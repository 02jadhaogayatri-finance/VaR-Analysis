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t\Downloads\"/>
    </mc:Choice>
  </mc:AlternateContent>
  <xr:revisionPtr revIDLastSave="0" documentId="13_ncr:1_{032B9A72-5472-476B-B693-70EA7347600C}" xr6:coauthVersionLast="47" xr6:coauthVersionMax="47" xr10:uidLastSave="{00000000-0000-0000-0000-000000000000}"/>
  <bookViews>
    <workbookView xWindow="-108" yWindow="-108" windowWidth="23256" windowHeight="12456" xr2:uid="{C87442FE-94D8-4A7C-B0D7-E0292C90B2B4}"/>
  </bookViews>
  <sheets>
    <sheet name="Historical Approach" sheetId="2" r:id="rId1"/>
    <sheet name="Monte Carlo Simulation" sheetId="4" r:id="rId2"/>
    <sheet name="Sheet2" sheetId="5" r:id="rId3"/>
  </sheets>
  <definedNames>
    <definedName name="_xlnm._FilterDatabase" localSheetId="0" hidden="1">'Historical Approach'!$B$7:$E$7</definedName>
    <definedName name="_xlnm._FilterDatabase" localSheetId="1" hidden="1">'Monte Carlo Simulation'!$B$7:$E$7</definedName>
    <definedName name="_xlchart.v1.0" hidden="1">'Historical Approach'!$E$8:$E$5918</definedName>
    <definedName name="_xlchart.v1.1" hidden="1">'Historical Approach'!$E$8:$E$5918</definedName>
    <definedName name="_xlchart.v1.2" hidden="1">'Historical Approach'!$E$10:$E$5920</definedName>
    <definedName name="_xlchart.v1.3" hidden="1">'Historical Approach'!$E$10:$E$5920</definedName>
    <definedName name="_xlchart.v1.4" hidden="1">'Historical Approach'!$E$10:$E$5920</definedName>
    <definedName name="_xlchart.v1.5" hidden="1">'Historical Approach'!$E$10:$E$5920</definedName>
    <definedName name="_xlchart.v1.6" hidden="1">'Monte Carlo Simulation'!$H$8:$H$6007</definedName>
    <definedName name="_xlchart.v1.7" hidden="1">'Monte Carlo Simulation'!$H$10:$H$6009</definedName>
    <definedName name="_xlnm.Print_Area" localSheetId="0">'Historical Approach'!$P$12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18" i="2" l="1"/>
  <c r="K24" i="4"/>
  <c r="D5918" i="4"/>
  <c r="D5917" i="4"/>
  <c r="D5916" i="4"/>
  <c r="D5915" i="4"/>
  <c r="D5914" i="4"/>
  <c r="D5913" i="4"/>
  <c r="D5912" i="4"/>
  <c r="D5911" i="4"/>
  <c r="D5910" i="4"/>
  <c r="D5909" i="4"/>
  <c r="D5908" i="4"/>
  <c r="D5907" i="4"/>
  <c r="D5906" i="4"/>
  <c r="D5905" i="4"/>
  <c r="D5904" i="4"/>
  <c r="D5903" i="4"/>
  <c r="D5902" i="4"/>
  <c r="D5901" i="4"/>
  <c r="D5900" i="4"/>
  <c r="D5899" i="4"/>
  <c r="D5898" i="4"/>
  <c r="D5897" i="4"/>
  <c r="D5896" i="4"/>
  <c r="D5895" i="4"/>
  <c r="D5894" i="4"/>
  <c r="D5893" i="4"/>
  <c r="D5892" i="4"/>
  <c r="D5891" i="4"/>
  <c r="D5890" i="4"/>
  <c r="D5889" i="4"/>
  <c r="D5888" i="4"/>
  <c r="D5887" i="4"/>
  <c r="D5886" i="4"/>
  <c r="D5885" i="4"/>
  <c r="D5884" i="4"/>
  <c r="D5883" i="4"/>
  <c r="D5882" i="4"/>
  <c r="D5881" i="4"/>
  <c r="D5880" i="4"/>
  <c r="D5879" i="4"/>
  <c r="D5878" i="4"/>
  <c r="D5877" i="4"/>
  <c r="D5876" i="4"/>
  <c r="D5875" i="4"/>
  <c r="D5874" i="4"/>
  <c r="D5873" i="4"/>
  <c r="D5872" i="4"/>
  <c r="D5871" i="4"/>
  <c r="D5870" i="4"/>
  <c r="D5869" i="4"/>
  <c r="D5868" i="4"/>
  <c r="D5867" i="4"/>
  <c r="D5866" i="4"/>
  <c r="D5865" i="4"/>
  <c r="D5864" i="4"/>
  <c r="D5863" i="4"/>
  <c r="D5862" i="4"/>
  <c r="D5861" i="4"/>
  <c r="D5860" i="4"/>
  <c r="D5859" i="4"/>
  <c r="D5858" i="4"/>
  <c r="D5857" i="4"/>
  <c r="D5856" i="4"/>
  <c r="D5855" i="4"/>
  <c r="D5854" i="4"/>
  <c r="D5853" i="4"/>
  <c r="D5852" i="4"/>
  <c r="D5851" i="4"/>
  <c r="D5850" i="4"/>
  <c r="D5849" i="4"/>
  <c r="D5848" i="4"/>
  <c r="D5847" i="4"/>
  <c r="D5846" i="4"/>
  <c r="D5845" i="4"/>
  <c r="D5844" i="4"/>
  <c r="D5843" i="4"/>
  <c r="D5842" i="4"/>
  <c r="D5841" i="4"/>
  <c r="D5840" i="4"/>
  <c r="D5839" i="4"/>
  <c r="D5838" i="4"/>
  <c r="D5837" i="4"/>
  <c r="D5836" i="4"/>
  <c r="D5835" i="4"/>
  <c r="D5834" i="4"/>
  <c r="D5833" i="4"/>
  <c r="D5832" i="4"/>
  <c r="D5831" i="4"/>
  <c r="D5830" i="4"/>
  <c r="D5829" i="4"/>
  <c r="D5828" i="4"/>
  <c r="D5827" i="4"/>
  <c r="D5826" i="4"/>
  <c r="D5825" i="4"/>
  <c r="D5824" i="4"/>
  <c r="D5823" i="4"/>
  <c r="D5822" i="4"/>
  <c r="D5821" i="4"/>
  <c r="D5820" i="4"/>
  <c r="D5819" i="4"/>
  <c r="D5818" i="4"/>
  <c r="D5817" i="4"/>
  <c r="D5816" i="4"/>
  <c r="D5815" i="4"/>
  <c r="D5814" i="4"/>
  <c r="D5813" i="4"/>
  <c r="D5812" i="4"/>
  <c r="D5811" i="4"/>
  <c r="D5810" i="4"/>
  <c r="D5809" i="4"/>
  <c r="D5808" i="4"/>
  <c r="D5807" i="4"/>
  <c r="D5806" i="4"/>
  <c r="D5805" i="4"/>
  <c r="D5804" i="4"/>
  <c r="D5803" i="4"/>
  <c r="D5802" i="4"/>
  <c r="D5801" i="4"/>
  <c r="D5800" i="4"/>
  <c r="D5799" i="4"/>
  <c r="D5798" i="4"/>
  <c r="D5797" i="4"/>
  <c r="D5796" i="4"/>
  <c r="D5795" i="4"/>
  <c r="D5794" i="4"/>
  <c r="D5793" i="4"/>
  <c r="D5792" i="4"/>
  <c r="D5791" i="4"/>
  <c r="D5790" i="4"/>
  <c r="D5789" i="4"/>
  <c r="D5788" i="4"/>
  <c r="D5787" i="4"/>
  <c r="D5786" i="4"/>
  <c r="D5785" i="4"/>
  <c r="D5784" i="4"/>
  <c r="D5783" i="4"/>
  <c r="D5782" i="4"/>
  <c r="D5781" i="4"/>
  <c r="D5780" i="4"/>
  <c r="D5779" i="4"/>
  <c r="D5778" i="4"/>
  <c r="D5777" i="4"/>
  <c r="D5776" i="4"/>
  <c r="D5775" i="4"/>
  <c r="D5774" i="4"/>
  <c r="D5773" i="4"/>
  <c r="D5772" i="4"/>
  <c r="D5771" i="4"/>
  <c r="D5770" i="4"/>
  <c r="D5769" i="4"/>
  <c r="D5768" i="4"/>
  <c r="D5767" i="4"/>
  <c r="D5766" i="4"/>
  <c r="D5765" i="4"/>
  <c r="D5764" i="4"/>
  <c r="D5763" i="4"/>
  <c r="D5762" i="4"/>
  <c r="D5761" i="4"/>
  <c r="D5760" i="4"/>
  <c r="D5759" i="4"/>
  <c r="D5758" i="4"/>
  <c r="D5757" i="4"/>
  <c r="D5756" i="4"/>
  <c r="D5755" i="4"/>
  <c r="D5754" i="4"/>
  <c r="D5753" i="4"/>
  <c r="D5752" i="4"/>
  <c r="D5751" i="4"/>
  <c r="D5750" i="4"/>
  <c r="D5749" i="4"/>
  <c r="D5748" i="4"/>
  <c r="D5747" i="4"/>
  <c r="D5746" i="4"/>
  <c r="D5745" i="4"/>
  <c r="D5744" i="4"/>
  <c r="D5743" i="4"/>
  <c r="D5742" i="4"/>
  <c r="D5741" i="4"/>
  <c r="D5740" i="4"/>
  <c r="D5739" i="4"/>
  <c r="D5738" i="4"/>
  <c r="D5737" i="4"/>
  <c r="D5736" i="4"/>
  <c r="D5735" i="4"/>
  <c r="D5734" i="4"/>
  <c r="D5733" i="4"/>
  <c r="D5732" i="4"/>
  <c r="D5731" i="4"/>
  <c r="D5730" i="4"/>
  <c r="D5729" i="4"/>
  <c r="D5728" i="4"/>
  <c r="D5727" i="4"/>
  <c r="D5726" i="4"/>
  <c r="D5725" i="4"/>
  <c r="D5724" i="4"/>
  <c r="D5723" i="4"/>
  <c r="D5722" i="4"/>
  <c r="D5721" i="4"/>
  <c r="D5720" i="4"/>
  <c r="D5719" i="4"/>
  <c r="D5718" i="4"/>
  <c r="D5717" i="4"/>
  <c r="D5716" i="4"/>
  <c r="D5715" i="4"/>
  <c r="D5714" i="4"/>
  <c r="D5713" i="4"/>
  <c r="D5712" i="4"/>
  <c r="D5711" i="4"/>
  <c r="D5710" i="4"/>
  <c r="D5709" i="4"/>
  <c r="D5708" i="4"/>
  <c r="D5707" i="4"/>
  <c r="D5706" i="4"/>
  <c r="D5705" i="4"/>
  <c r="D5704" i="4"/>
  <c r="D5703" i="4"/>
  <c r="D5702" i="4"/>
  <c r="D5701" i="4"/>
  <c r="D5700" i="4"/>
  <c r="D5699" i="4"/>
  <c r="D5698" i="4"/>
  <c r="D5697" i="4"/>
  <c r="D5696" i="4"/>
  <c r="D5695" i="4"/>
  <c r="D5694" i="4"/>
  <c r="D5693" i="4"/>
  <c r="D5692" i="4"/>
  <c r="D5691" i="4"/>
  <c r="D5690" i="4"/>
  <c r="D5689" i="4"/>
  <c r="D5688" i="4"/>
  <c r="D5687" i="4"/>
  <c r="D5686" i="4"/>
  <c r="D5685" i="4"/>
  <c r="D5684" i="4"/>
  <c r="D5683" i="4"/>
  <c r="D5682" i="4"/>
  <c r="D5681" i="4"/>
  <c r="D5680" i="4"/>
  <c r="D5679" i="4"/>
  <c r="D5678" i="4"/>
  <c r="D5677" i="4"/>
  <c r="D5676" i="4"/>
  <c r="D5675" i="4"/>
  <c r="D5674" i="4"/>
  <c r="D5673" i="4"/>
  <c r="D5672" i="4"/>
  <c r="D5671" i="4"/>
  <c r="D5670" i="4"/>
  <c r="D5669" i="4"/>
  <c r="D5668" i="4"/>
  <c r="D5667" i="4"/>
  <c r="D5666" i="4"/>
  <c r="D5665" i="4"/>
  <c r="D5664" i="4"/>
  <c r="D5663" i="4"/>
  <c r="D5662" i="4"/>
  <c r="D5661" i="4"/>
  <c r="D5660" i="4"/>
  <c r="D5659" i="4"/>
  <c r="D5658" i="4"/>
  <c r="D5657" i="4"/>
  <c r="D5656" i="4"/>
  <c r="D5655" i="4"/>
  <c r="D5654" i="4"/>
  <c r="D5653" i="4"/>
  <c r="D5652" i="4"/>
  <c r="D5651" i="4"/>
  <c r="D5650" i="4"/>
  <c r="D5649" i="4"/>
  <c r="D5648" i="4"/>
  <c r="D5647" i="4"/>
  <c r="D5646" i="4"/>
  <c r="D5645" i="4"/>
  <c r="D5644" i="4"/>
  <c r="D5643" i="4"/>
  <c r="D5642" i="4"/>
  <c r="D5641" i="4"/>
  <c r="D5640" i="4"/>
  <c r="D5639" i="4"/>
  <c r="D5638" i="4"/>
  <c r="D5637" i="4"/>
  <c r="D5636" i="4"/>
  <c r="D5635" i="4"/>
  <c r="D5634" i="4"/>
  <c r="D5633" i="4"/>
  <c r="D5632" i="4"/>
  <c r="D5631" i="4"/>
  <c r="D5630" i="4"/>
  <c r="D5629" i="4"/>
  <c r="D5628" i="4"/>
  <c r="D5627" i="4"/>
  <c r="D5626" i="4"/>
  <c r="D5625" i="4"/>
  <c r="D5624" i="4"/>
  <c r="D5623" i="4"/>
  <c r="D5622" i="4"/>
  <c r="D5621" i="4"/>
  <c r="D5620" i="4"/>
  <c r="D5619" i="4"/>
  <c r="D5618" i="4"/>
  <c r="D5617" i="4"/>
  <c r="D5616" i="4"/>
  <c r="D5615" i="4"/>
  <c r="D5614" i="4"/>
  <c r="D5613" i="4"/>
  <c r="D5612" i="4"/>
  <c r="D5611" i="4"/>
  <c r="D5610" i="4"/>
  <c r="D5609" i="4"/>
  <c r="D5608" i="4"/>
  <c r="D5607" i="4"/>
  <c r="D5606" i="4"/>
  <c r="D5605" i="4"/>
  <c r="D5604" i="4"/>
  <c r="D5603" i="4"/>
  <c r="D5602" i="4"/>
  <c r="D5601" i="4"/>
  <c r="D5600" i="4"/>
  <c r="D5599" i="4"/>
  <c r="D5598" i="4"/>
  <c r="D5597" i="4"/>
  <c r="D5596" i="4"/>
  <c r="D5595" i="4"/>
  <c r="D5594" i="4"/>
  <c r="D5593" i="4"/>
  <c r="D5592" i="4"/>
  <c r="D5591" i="4"/>
  <c r="D5590" i="4"/>
  <c r="D5589" i="4"/>
  <c r="D5588" i="4"/>
  <c r="D5587" i="4"/>
  <c r="D5586" i="4"/>
  <c r="D5585" i="4"/>
  <c r="D5584" i="4"/>
  <c r="D5583" i="4"/>
  <c r="D5582" i="4"/>
  <c r="D5581" i="4"/>
  <c r="D5580" i="4"/>
  <c r="D5579" i="4"/>
  <c r="D5578" i="4"/>
  <c r="D5577" i="4"/>
  <c r="D5576" i="4"/>
  <c r="D5575" i="4"/>
  <c r="D5574" i="4"/>
  <c r="D5573" i="4"/>
  <c r="D5572" i="4"/>
  <c r="D5571" i="4"/>
  <c r="D5570" i="4"/>
  <c r="D5569" i="4"/>
  <c r="D5568" i="4"/>
  <c r="D5567" i="4"/>
  <c r="D5566" i="4"/>
  <c r="D5565" i="4"/>
  <c r="D5564" i="4"/>
  <c r="D5563" i="4"/>
  <c r="D5562" i="4"/>
  <c r="D5561" i="4"/>
  <c r="D5560" i="4"/>
  <c r="D5559" i="4"/>
  <c r="D5558" i="4"/>
  <c r="D5557" i="4"/>
  <c r="D5556" i="4"/>
  <c r="D5555" i="4"/>
  <c r="D5554" i="4"/>
  <c r="D5553" i="4"/>
  <c r="D5552" i="4"/>
  <c r="D5551" i="4"/>
  <c r="D5550" i="4"/>
  <c r="D5549" i="4"/>
  <c r="D5548" i="4"/>
  <c r="D5547" i="4"/>
  <c r="D5546" i="4"/>
  <c r="D5545" i="4"/>
  <c r="D5544" i="4"/>
  <c r="D5543" i="4"/>
  <c r="D5542" i="4"/>
  <c r="D5541" i="4"/>
  <c r="D5540" i="4"/>
  <c r="D5539" i="4"/>
  <c r="D5538" i="4"/>
  <c r="D5537" i="4"/>
  <c r="D5536" i="4"/>
  <c r="D5535" i="4"/>
  <c r="D5534" i="4"/>
  <c r="D5533" i="4"/>
  <c r="D5532" i="4"/>
  <c r="D5531" i="4"/>
  <c r="D5530" i="4"/>
  <c r="D5529" i="4"/>
  <c r="D5528" i="4"/>
  <c r="D5527" i="4"/>
  <c r="D5526" i="4"/>
  <c r="D5525" i="4"/>
  <c r="D5524" i="4"/>
  <c r="D5523" i="4"/>
  <c r="D5522" i="4"/>
  <c r="D5521" i="4"/>
  <c r="D5520" i="4"/>
  <c r="D5519" i="4"/>
  <c r="D5518" i="4"/>
  <c r="D5517" i="4"/>
  <c r="D5516" i="4"/>
  <c r="D5515" i="4"/>
  <c r="D5514" i="4"/>
  <c r="D5513" i="4"/>
  <c r="D5512" i="4"/>
  <c r="D5511" i="4"/>
  <c r="D5510" i="4"/>
  <c r="D5509" i="4"/>
  <c r="D5508" i="4"/>
  <c r="D5507" i="4"/>
  <c r="D5506" i="4"/>
  <c r="D5505" i="4"/>
  <c r="D5504" i="4"/>
  <c r="D5503" i="4"/>
  <c r="D5502" i="4"/>
  <c r="D5501" i="4"/>
  <c r="D5500" i="4"/>
  <c r="D5499" i="4"/>
  <c r="D5498" i="4"/>
  <c r="D5497" i="4"/>
  <c r="D5496" i="4"/>
  <c r="D5495" i="4"/>
  <c r="D5494" i="4"/>
  <c r="D5493" i="4"/>
  <c r="D5492" i="4"/>
  <c r="D5491" i="4"/>
  <c r="D5490" i="4"/>
  <c r="D5489" i="4"/>
  <c r="D5488" i="4"/>
  <c r="D5487" i="4"/>
  <c r="D5486" i="4"/>
  <c r="D5485" i="4"/>
  <c r="D5484" i="4"/>
  <c r="D5483" i="4"/>
  <c r="D5482" i="4"/>
  <c r="D5481" i="4"/>
  <c r="D5480" i="4"/>
  <c r="D5479" i="4"/>
  <c r="D5478" i="4"/>
  <c r="D5477" i="4"/>
  <c r="D5476" i="4"/>
  <c r="D5475" i="4"/>
  <c r="D5474" i="4"/>
  <c r="D5473" i="4"/>
  <c r="D5472" i="4"/>
  <c r="D5471" i="4"/>
  <c r="D5470" i="4"/>
  <c r="D5469" i="4"/>
  <c r="D5468" i="4"/>
  <c r="D5467" i="4"/>
  <c r="D5466" i="4"/>
  <c r="D5465" i="4"/>
  <c r="D5464" i="4"/>
  <c r="D5463" i="4"/>
  <c r="D5462" i="4"/>
  <c r="D5461" i="4"/>
  <c r="D5460" i="4"/>
  <c r="D5459" i="4"/>
  <c r="D5458" i="4"/>
  <c r="D5457" i="4"/>
  <c r="D5456" i="4"/>
  <c r="D5455" i="4"/>
  <c r="D5454" i="4"/>
  <c r="D5453" i="4"/>
  <c r="D5452" i="4"/>
  <c r="D5451" i="4"/>
  <c r="D5450" i="4"/>
  <c r="D5449" i="4"/>
  <c r="D5448" i="4"/>
  <c r="D5447" i="4"/>
  <c r="D5446" i="4"/>
  <c r="D5445" i="4"/>
  <c r="D5444" i="4"/>
  <c r="D5443" i="4"/>
  <c r="D5442" i="4"/>
  <c r="D5441" i="4"/>
  <c r="D5440" i="4"/>
  <c r="D5439" i="4"/>
  <c r="D5438" i="4"/>
  <c r="D5437" i="4"/>
  <c r="D5436" i="4"/>
  <c r="D5435" i="4"/>
  <c r="D5434" i="4"/>
  <c r="D5433" i="4"/>
  <c r="D5432" i="4"/>
  <c r="D5431" i="4"/>
  <c r="D5430" i="4"/>
  <c r="D5429" i="4"/>
  <c r="D5428" i="4"/>
  <c r="D5427" i="4"/>
  <c r="D5426" i="4"/>
  <c r="D5425" i="4"/>
  <c r="D5424" i="4"/>
  <c r="D5423" i="4"/>
  <c r="D5422" i="4"/>
  <c r="D5421" i="4"/>
  <c r="D5420" i="4"/>
  <c r="D5419" i="4"/>
  <c r="D5418" i="4"/>
  <c r="D5417" i="4"/>
  <c r="D5416" i="4"/>
  <c r="D5415" i="4"/>
  <c r="D5414" i="4"/>
  <c r="D5413" i="4"/>
  <c r="D5412" i="4"/>
  <c r="D5411" i="4"/>
  <c r="D5410" i="4"/>
  <c r="D5409" i="4"/>
  <c r="D5408" i="4"/>
  <c r="D5407" i="4"/>
  <c r="D5406" i="4"/>
  <c r="D5405" i="4"/>
  <c r="D5404" i="4"/>
  <c r="D5403" i="4"/>
  <c r="D5402" i="4"/>
  <c r="D5401" i="4"/>
  <c r="D5400" i="4"/>
  <c r="D5399" i="4"/>
  <c r="D5398" i="4"/>
  <c r="D5397" i="4"/>
  <c r="D5396" i="4"/>
  <c r="D5395" i="4"/>
  <c r="D5394" i="4"/>
  <c r="D5393" i="4"/>
  <c r="D5392" i="4"/>
  <c r="D5391" i="4"/>
  <c r="D5390" i="4"/>
  <c r="D5389" i="4"/>
  <c r="D5388" i="4"/>
  <c r="D5387" i="4"/>
  <c r="D5386" i="4"/>
  <c r="D5385" i="4"/>
  <c r="D5384" i="4"/>
  <c r="D5383" i="4"/>
  <c r="D5382" i="4"/>
  <c r="D5381" i="4"/>
  <c r="D5380" i="4"/>
  <c r="D5379" i="4"/>
  <c r="D5378" i="4"/>
  <c r="D5377" i="4"/>
  <c r="D5376" i="4"/>
  <c r="D5375" i="4"/>
  <c r="D5374" i="4"/>
  <c r="D5373" i="4"/>
  <c r="D5372" i="4"/>
  <c r="D5371" i="4"/>
  <c r="D5370" i="4"/>
  <c r="D5369" i="4"/>
  <c r="D5368" i="4"/>
  <c r="D5367" i="4"/>
  <c r="D5366" i="4"/>
  <c r="D5365" i="4"/>
  <c r="D5364" i="4"/>
  <c r="D5363" i="4"/>
  <c r="D5362" i="4"/>
  <c r="D5361" i="4"/>
  <c r="D5360" i="4"/>
  <c r="D5359" i="4"/>
  <c r="D5358" i="4"/>
  <c r="D5357" i="4"/>
  <c r="D5356" i="4"/>
  <c r="D5355" i="4"/>
  <c r="D5354" i="4"/>
  <c r="D5353" i="4"/>
  <c r="D5352" i="4"/>
  <c r="D5351" i="4"/>
  <c r="D5350" i="4"/>
  <c r="D5349" i="4"/>
  <c r="D5348" i="4"/>
  <c r="D5347" i="4"/>
  <c r="D5346" i="4"/>
  <c r="D5345" i="4"/>
  <c r="D5344" i="4"/>
  <c r="D5343" i="4"/>
  <c r="D5342" i="4"/>
  <c r="D5341" i="4"/>
  <c r="D5340" i="4"/>
  <c r="D5339" i="4"/>
  <c r="D5338" i="4"/>
  <c r="D5337" i="4"/>
  <c r="D5336" i="4"/>
  <c r="D5335" i="4"/>
  <c r="D5334" i="4"/>
  <c r="D5333" i="4"/>
  <c r="D5332" i="4"/>
  <c r="D5331" i="4"/>
  <c r="D5330" i="4"/>
  <c r="D5329" i="4"/>
  <c r="D5328" i="4"/>
  <c r="D5327" i="4"/>
  <c r="D5326" i="4"/>
  <c r="D5325" i="4"/>
  <c r="D5324" i="4"/>
  <c r="D5323" i="4"/>
  <c r="D5322" i="4"/>
  <c r="D5321" i="4"/>
  <c r="D5320" i="4"/>
  <c r="D5319" i="4"/>
  <c r="D5318" i="4"/>
  <c r="D5317" i="4"/>
  <c r="D5316" i="4"/>
  <c r="D5315" i="4"/>
  <c r="D5314" i="4"/>
  <c r="D5313" i="4"/>
  <c r="D5312" i="4"/>
  <c r="D5311" i="4"/>
  <c r="D5310" i="4"/>
  <c r="D5309" i="4"/>
  <c r="D5308" i="4"/>
  <c r="D5307" i="4"/>
  <c r="D5306" i="4"/>
  <c r="D5305" i="4"/>
  <c r="D5304" i="4"/>
  <c r="D5303" i="4"/>
  <c r="D5302" i="4"/>
  <c r="D5301" i="4"/>
  <c r="D5300" i="4"/>
  <c r="D5299" i="4"/>
  <c r="D5298" i="4"/>
  <c r="D5297" i="4"/>
  <c r="D5296" i="4"/>
  <c r="D5295" i="4"/>
  <c r="D5294" i="4"/>
  <c r="D5293" i="4"/>
  <c r="D5292" i="4"/>
  <c r="D5291" i="4"/>
  <c r="D5290" i="4"/>
  <c r="D5289" i="4"/>
  <c r="D5288" i="4"/>
  <c r="D5287" i="4"/>
  <c r="D5286" i="4"/>
  <c r="D5285" i="4"/>
  <c r="D5284" i="4"/>
  <c r="D5283" i="4"/>
  <c r="D5282" i="4"/>
  <c r="D5281" i="4"/>
  <c r="D5280" i="4"/>
  <c r="D5279" i="4"/>
  <c r="D5278" i="4"/>
  <c r="D5277" i="4"/>
  <c r="D5276" i="4"/>
  <c r="D5275" i="4"/>
  <c r="D5274" i="4"/>
  <c r="D5273" i="4"/>
  <c r="D5272" i="4"/>
  <c r="D5271" i="4"/>
  <c r="D5270" i="4"/>
  <c r="D5269" i="4"/>
  <c r="D5268" i="4"/>
  <c r="D5267" i="4"/>
  <c r="D5266" i="4"/>
  <c r="D5265" i="4"/>
  <c r="D5264" i="4"/>
  <c r="D5263" i="4"/>
  <c r="D5262" i="4"/>
  <c r="D5261" i="4"/>
  <c r="D5260" i="4"/>
  <c r="D5259" i="4"/>
  <c r="D5258" i="4"/>
  <c r="D5257" i="4"/>
  <c r="D5256" i="4"/>
  <c r="D5255" i="4"/>
  <c r="D5254" i="4"/>
  <c r="D5253" i="4"/>
  <c r="D5252" i="4"/>
  <c r="D5251" i="4"/>
  <c r="D5250" i="4"/>
  <c r="D5249" i="4"/>
  <c r="D5248" i="4"/>
  <c r="D5247" i="4"/>
  <c r="D5246" i="4"/>
  <c r="D5245" i="4"/>
  <c r="D5244" i="4"/>
  <c r="D5243" i="4"/>
  <c r="D5242" i="4"/>
  <c r="D5241" i="4"/>
  <c r="D5240" i="4"/>
  <c r="D5239" i="4"/>
  <c r="D5238" i="4"/>
  <c r="D5237" i="4"/>
  <c r="D5236" i="4"/>
  <c r="D5235" i="4"/>
  <c r="D5234" i="4"/>
  <c r="D5233" i="4"/>
  <c r="D5232" i="4"/>
  <c r="D5231" i="4"/>
  <c r="D5230" i="4"/>
  <c r="D5229" i="4"/>
  <c r="D5228" i="4"/>
  <c r="D5227" i="4"/>
  <c r="D5226" i="4"/>
  <c r="D5225" i="4"/>
  <c r="D5224" i="4"/>
  <c r="D5223" i="4"/>
  <c r="D5222" i="4"/>
  <c r="D5221" i="4"/>
  <c r="D5220" i="4"/>
  <c r="D5219" i="4"/>
  <c r="D5218" i="4"/>
  <c r="D5217" i="4"/>
  <c r="D5216" i="4"/>
  <c r="D5215" i="4"/>
  <c r="D5214" i="4"/>
  <c r="D5213" i="4"/>
  <c r="D5212" i="4"/>
  <c r="D5211" i="4"/>
  <c r="D5210" i="4"/>
  <c r="D5209" i="4"/>
  <c r="D5208" i="4"/>
  <c r="D5207" i="4"/>
  <c r="D5206" i="4"/>
  <c r="D5205" i="4"/>
  <c r="D5204" i="4"/>
  <c r="D5203" i="4"/>
  <c r="D5202" i="4"/>
  <c r="D5201" i="4"/>
  <c r="D5200" i="4"/>
  <c r="D5199" i="4"/>
  <c r="D5198" i="4"/>
  <c r="D5197" i="4"/>
  <c r="D5196" i="4"/>
  <c r="D5195" i="4"/>
  <c r="D5194" i="4"/>
  <c r="D5193" i="4"/>
  <c r="D5192" i="4"/>
  <c r="D5191" i="4"/>
  <c r="D5190" i="4"/>
  <c r="D5189" i="4"/>
  <c r="D5188" i="4"/>
  <c r="D5187" i="4"/>
  <c r="D5186" i="4"/>
  <c r="D5185" i="4"/>
  <c r="D5184" i="4"/>
  <c r="D5183" i="4"/>
  <c r="D5182" i="4"/>
  <c r="D5181" i="4"/>
  <c r="D5180" i="4"/>
  <c r="D5179" i="4"/>
  <c r="D5178" i="4"/>
  <c r="D5177" i="4"/>
  <c r="D5176" i="4"/>
  <c r="D5175" i="4"/>
  <c r="D5174" i="4"/>
  <c r="D5173" i="4"/>
  <c r="D5172" i="4"/>
  <c r="D5171" i="4"/>
  <c r="D5170" i="4"/>
  <c r="D5169" i="4"/>
  <c r="D5168" i="4"/>
  <c r="D5167" i="4"/>
  <c r="D5166" i="4"/>
  <c r="D5165" i="4"/>
  <c r="D5164" i="4"/>
  <c r="D5163" i="4"/>
  <c r="D5162" i="4"/>
  <c r="D5161" i="4"/>
  <c r="D5160" i="4"/>
  <c r="D5159" i="4"/>
  <c r="D5158" i="4"/>
  <c r="D5157" i="4"/>
  <c r="D5156" i="4"/>
  <c r="D5155" i="4"/>
  <c r="D5154" i="4"/>
  <c r="D5153" i="4"/>
  <c r="D5152" i="4"/>
  <c r="D5151" i="4"/>
  <c r="D5150" i="4"/>
  <c r="D5149" i="4"/>
  <c r="D5148" i="4"/>
  <c r="D5147" i="4"/>
  <c r="D5146" i="4"/>
  <c r="D5145" i="4"/>
  <c r="D5144" i="4"/>
  <c r="D5143" i="4"/>
  <c r="D5142" i="4"/>
  <c r="D5141" i="4"/>
  <c r="D5140" i="4"/>
  <c r="D5139" i="4"/>
  <c r="D5138" i="4"/>
  <c r="D5137" i="4"/>
  <c r="D5136" i="4"/>
  <c r="D5135" i="4"/>
  <c r="D5134" i="4"/>
  <c r="D5133" i="4"/>
  <c r="D5132" i="4"/>
  <c r="D5131" i="4"/>
  <c r="D5130" i="4"/>
  <c r="D5129" i="4"/>
  <c r="D5128" i="4"/>
  <c r="D5127" i="4"/>
  <c r="D5126" i="4"/>
  <c r="D5125" i="4"/>
  <c r="D5124" i="4"/>
  <c r="D5123" i="4"/>
  <c r="D5122" i="4"/>
  <c r="D5121" i="4"/>
  <c r="D5120" i="4"/>
  <c r="D5119" i="4"/>
  <c r="D5118" i="4"/>
  <c r="D5117" i="4"/>
  <c r="D5116" i="4"/>
  <c r="D5115" i="4"/>
  <c r="D5114" i="4"/>
  <c r="D5113" i="4"/>
  <c r="D5112" i="4"/>
  <c r="D5111" i="4"/>
  <c r="D5110" i="4"/>
  <c r="D5109" i="4"/>
  <c r="D5108" i="4"/>
  <c r="D5107" i="4"/>
  <c r="D5106" i="4"/>
  <c r="D5105" i="4"/>
  <c r="D5104" i="4"/>
  <c r="D5103" i="4"/>
  <c r="D5102" i="4"/>
  <c r="D5101" i="4"/>
  <c r="D5100" i="4"/>
  <c r="D5099" i="4"/>
  <c r="D5098" i="4"/>
  <c r="D5097" i="4"/>
  <c r="D5096" i="4"/>
  <c r="D5095" i="4"/>
  <c r="D5094" i="4"/>
  <c r="D5093" i="4"/>
  <c r="D5092" i="4"/>
  <c r="D5091" i="4"/>
  <c r="D5090" i="4"/>
  <c r="D5089" i="4"/>
  <c r="D5088" i="4"/>
  <c r="D5087" i="4"/>
  <c r="D5086" i="4"/>
  <c r="D5085" i="4"/>
  <c r="D5084" i="4"/>
  <c r="D5083" i="4"/>
  <c r="D5082" i="4"/>
  <c r="D5081" i="4"/>
  <c r="D5080" i="4"/>
  <c r="D5079" i="4"/>
  <c r="D5078" i="4"/>
  <c r="D5077" i="4"/>
  <c r="D5076" i="4"/>
  <c r="D5075" i="4"/>
  <c r="D5074" i="4"/>
  <c r="D5073" i="4"/>
  <c r="D5072" i="4"/>
  <c r="D5071" i="4"/>
  <c r="D5070" i="4"/>
  <c r="D5069" i="4"/>
  <c r="D5068" i="4"/>
  <c r="D5067" i="4"/>
  <c r="D5066" i="4"/>
  <c r="D5065" i="4"/>
  <c r="D5064" i="4"/>
  <c r="D5063" i="4"/>
  <c r="D5062" i="4"/>
  <c r="D5061" i="4"/>
  <c r="D5060" i="4"/>
  <c r="D5059" i="4"/>
  <c r="D5058" i="4"/>
  <c r="D5057" i="4"/>
  <c r="D5056" i="4"/>
  <c r="D5055" i="4"/>
  <c r="D5054" i="4"/>
  <c r="D5053" i="4"/>
  <c r="D5052" i="4"/>
  <c r="D5051" i="4"/>
  <c r="D5050" i="4"/>
  <c r="D5049" i="4"/>
  <c r="D5048" i="4"/>
  <c r="D5047" i="4"/>
  <c r="D5046" i="4"/>
  <c r="D5045" i="4"/>
  <c r="D5044" i="4"/>
  <c r="D5043" i="4"/>
  <c r="D5042" i="4"/>
  <c r="D5041" i="4"/>
  <c r="D5040" i="4"/>
  <c r="D5039" i="4"/>
  <c r="D5038" i="4"/>
  <c r="D5037" i="4"/>
  <c r="D5036" i="4"/>
  <c r="D5035" i="4"/>
  <c r="D5034" i="4"/>
  <c r="D5033" i="4"/>
  <c r="D5032" i="4"/>
  <c r="D5031" i="4"/>
  <c r="D5030" i="4"/>
  <c r="D5029" i="4"/>
  <c r="D5028" i="4"/>
  <c r="D5027" i="4"/>
  <c r="D5026" i="4"/>
  <c r="D5025" i="4"/>
  <c r="D5024" i="4"/>
  <c r="D5023" i="4"/>
  <c r="D5022" i="4"/>
  <c r="D5021" i="4"/>
  <c r="D5020" i="4"/>
  <c r="D5019" i="4"/>
  <c r="D5018" i="4"/>
  <c r="D5017" i="4"/>
  <c r="D5016" i="4"/>
  <c r="D5015" i="4"/>
  <c r="D5014" i="4"/>
  <c r="D5013" i="4"/>
  <c r="D5012" i="4"/>
  <c r="D5011" i="4"/>
  <c r="D5010" i="4"/>
  <c r="D5009" i="4"/>
  <c r="D5008" i="4"/>
  <c r="D5007" i="4"/>
  <c r="D5006" i="4"/>
  <c r="D5005" i="4"/>
  <c r="D5004" i="4"/>
  <c r="D5003" i="4"/>
  <c r="D5002" i="4"/>
  <c r="D5001" i="4"/>
  <c r="D5000" i="4"/>
  <c r="D4999" i="4"/>
  <c r="D4998" i="4"/>
  <c r="D4997" i="4"/>
  <c r="D4996" i="4"/>
  <c r="D4995" i="4"/>
  <c r="D4994" i="4"/>
  <c r="D4993" i="4"/>
  <c r="D4992" i="4"/>
  <c r="D4991" i="4"/>
  <c r="D4990" i="4"/>
  <c r="D4989" i="4"/>
  <c r="D4988" i="4"/>
  <c r="D4987" i="4"/>
  <c r="D4986" i="4"/>
  <c r="D4985" i="4"/>
  <c r="D4984" i="4"/>
  <c r="D4983" i="4"/>
  <c r="D4982" i="4"/>
  <c r="D4981" i="4"/>
  <c r="D4980" i="4"/>
  <c r="D4979" i="4"/>
  <c r="D4978" i="4"/>
  <c r="D4977" i="4"/>
  <c r="D4976" i="4"/>
  <c r="D4975" i="4"/>
  <c r="D4974" i="4"/>
  <c r="D4973" i="4"/>
  <c r="D4972" i="4"/>
  <c r="D4971" i="4"/>
  <c r="D4970" i="4"/>
  <c r="D4969" i="4"/>
  <c r="D4968" i="4"/>
  <c r="D4967" i="4"/>
  <c r="D4966" i="4"/>
  <c r="D4965" i="4"/>
  <c r="D4964" i="4"/>
  <c r="D4963" i="4"/>
  <c r="D4962" i="4"/>
  <c r="D4961" i="4"/>
  <c r="D4960" i="4"/>
  <c r="D4959" i="4"/>
  <c r="D4958" i="4"/>
  <c r="D4957" i="4"/>
  <c r="D4956" i="4"/>
  <c r="D4955" i="4"/>
  <c r="D4954" i="4"/>
  <c r="D4953" i="4"/>
  <c r="D4952" i="4"/>
  <c r="D4951" i="4"/>
  <c r="D4950" i="4"/>
  <c r="D4949" i="4"/>
  <c r="D4948" i="4"/>
  <c r="D4947" i="4"/>
  <c r="D4946" i="4"/>
  <c r="D4945" i="4"/>
  <c r="D4944" i="4"/>
  <c r="D4943" i="4"/>
  <c r="D4942" i="4"/>
  <c r="D4941" i="4"/>
  <c r="D4940" i="4"/>
  <c r="D4939" i="4"/>
  <c r="D4938" i="4"/>
  <c r="D4937" i="4"/>
  <c r="D4936" i="4"/>
  <c r="D4935" i="4"/>
  <c r="D4934" i="4"/>
  <c r="D4933" i="4"/>
  <c r="D4932" i="4"/>
  <c r="D4931" i="4"/>
  <c r="D4930" i="4"/>
  <c r="D4929" i="4"/>
  <c r="D4928" i="4"/>
  <c r="D4927" i="4"/>
  <c r="D4926" i="4"/>
  <c r="D4925" i="4"/>
  <c r="D4924" i="4"/>
  <c r="D4923" i="4"/>
  <c r="D4922" i="4"/>
  <c r="D4921" i="4"/>
  <c r="D4920" i="4"/>
  <c r="D4919" i="4"/>
  <c r="D4918" i="4"/>
  <c r="D4917" i="4"/>
  <c r="D4916" i="4"/>
  <c r="D4915" i="4"/>
  <c r="D4914" i="4"/>
  <c r="D4913" i="4"/>
  <c r="D4912" i="4"/>
  <c r="D4911" i="4"/>
  <c r="D4910" i="4"/>
  <c r="D4909" i="4"/>
  <c r="D4908" i="4"/>
  <c r="D4907" i="4"/>
  <c r="D4906" i="4"/>
  <c r="D4905" i="4"/>
  <c r="D4904" i="4"/>
  <c r="D4903" i="4"/>
  <c r="D4902" i="4"/>
  <c r="D4901" i="4"/>
  <c r="D4900" i="4"/>
  <c r="D4899" i="4"/>
  <c r="D4898" i="4"/>
  <c r="D4897" i="4"/>
  <c r="D4896" i="4"/>
  <c r="D4895" i="4"/>
  <c r="D4894" i="4"/>
  <c r="D4893" i="4"/>
  <c r="D4892" i="4"/>
  <c r="D4891" i="4"/>
  <c r="D4890" i="4"/>
  <c r="D4889" i="4"/>
  <c r="D4888" i="4"/>
  <c r="D4887" i="4"/>
  <c r="D4886" i="4"/>
  <c r="D4885" i="4"/>
  <c r="D4884" i="4"/>
  <c r="D4883" i="4"/>
  <c r="D4882" i="4"/>
  <c r="D4881" i="4"/>
  <c r="D4880" i="4"/>
  <c r="D4879" i="4"/>
  <c r="D4878" i="4"/>
  <c r="D4877" i="4"/>
  <c r="D4876" i="4"/>
  <c r="D4875" i="4"/>
  <c r="D4874" i="4"/>
  <c r="D4873" i="4"/>
  <c r="D4872" i="4"/>
  <c r="D4871" i="4"/>
  <c r="D4870" i="4"/>
  <c r="D4869" i="4"/>
  <c r="D4868" i="4"/>
  <c r="D4867" i="4"/>
  <c r="D4866" i="4"/>
  <c r="D4865" i="4"/>
  <c r="D4864" i="4"/>
  <c r="D4863" i="4"/>
  <c r="D4862" i="4"/>
  <c r="D4861" i="4"/>
  <c r="D4860" i="4"/>
  <c r="D4859" i="4"/>
  <c r="D4858" i="4"/>
  <c r="D4857" i="4"/>
  <c r="D4856" i="4"/>
  <c r="D4855" i="4"/>
  <c r="D4854" i="4"/>
  <c r="D4853" i="4"/>
  <c r="D4852" i="4"/>
  <c r="D4851" i="4"/>
  <c r="D4850" i="4"/>
  <c r="D4849" i="4"/>
  <c r="D4848" i="4"/>
  <c r="D4847" i="4"/>
  <c r="D4846" i="4"/>
  <c r="D4845" i="4"/>
  <c r="D4844" i="4"/>
  <c r="D4843" i="4"/>
  <c r="D4842" i="4"/>
  <c r="D4841" i="4"/>
  <c r="D4840" i="4"/>
  <c r="D4839" i="4"/>
  <c r="D4838" i="4"/>
  <c r="D4837" i="4"/>
  <c r="D4836" i="4"/>
  <c r="D4835" i="4"/>
  <c r="D4834" i="4"/>
  <c r="D4833" i="4"/>
  <c r="D4832" i="4"/>
  <c r="D4831" i="4"/>
  <c r="D4830" i="4"/>
  <c r="D4829" i="4"/>
  <c r="D4828" i="4"/>
  <c r="D4827" i="4"/>
  <c r="D4826" i="4"/>
  <c r="D4825" i="4"/>
  <c r="D4824" i="4"/>
  <c r="D4823" i="4"/>
  <c r="D4822" i="4"/>
  <c r="D4821" i="4"/>
  <c r="D4820" i="4"/>
  <c r="D4819" i="4"/>
  <c r="D4818" i="4"/>
  <c r="D4817" i="4"/>
  <c r="D4816" i="4"/>
  <c r="D4815" i="4"/>
  <c r="D4814" i="4"/>
  <c r="D4813" i="4"/>
  <c r="D4812" i="4"/>
  <c r="D4811" i="4"/>
  <c r="D4810" i="4"/>
  <c r="D4809" i="4"/>
  <c r="D4808" i="4"/>
  <c r="D4807" i="4"/>
  <c r="D4806" i="4"/>
  <c r="D4805" i="4"/>
  <c r="D4804" i="4"/>
  <c r="D4803" i="4"/>
  <c r="D4802" i="4"/>
  <c r="D4801" i="4"/>
  <c r="D4800" i="4"/>
  <c r="D4799" i="4"/>
  <c r="D4798" i="4"/>
  <c r="D4797" i="4"/>
  <c r="D4796" i="4"/>
  <c r="D4795" i="4"/>
  <c r="D4794" i="4"/>
  <c r="D4793" i="4"/>
  <c r="D4792" i="4"/>
  <c r="D4791" i="4"/>
  <c r="D4790" i="4"/>
  <c r="D4789" i="4"/>
  <c r="D4788" i="4"/>
  <c r="D4787" i="4"/>
  <c r="D4786" i="4"/>
  <c r="D4785" i="4"/>
  <c r="D4784" i="4"/>
  <c r="D4783" i="4"/>
  <c r="D4782" i="4"/>
  <c r="D4781" i="4"/>
  <c r="D4780" i="4"/>
  <c r="D4779" i="4"/>
  <c r="D4778" i="4"/>
  <c r="D4777" i="4"/>
  <c r="D4776" i="4"/>
  <c r="D4775" i="4"/>
  <c r="D4774" i="4"/>
  <c r="D4773" i="4"/>
  <c r="D4772" i="4"/>
  <c r="D4771" i="4"/>
  <c r="D4770" i="4"/>
  <c r="D4769" i="4"/>
  <c r="D4768" i="4"/>
  <c r="D4767" i="4"/>
  <c r="D4766" i="4"/>
  <c r="D4765" i="4"/>
  <c r="D4764" i="4"/>
  <c r="D4763" i="4"/>
  <c r="D4762" i="4"/>
  <c r="D4761" i="4"/>
  <c r="D4760" i="4"/>
  <c r="D4759" i="4"/>
  <c r="D4758" i="4"/>
  <c r="D4757" i="4"/>
  <c r="D4756" i="4"/>
  <c r="D4755" i="4"/>
  <c r="D4754" i="4"/>
  <c r="D4753" i="4"/>
  <c r="D4752" i="4"/>
  <c r="D4751" i="4"/>
  <c r="D4750" i="4"/>
  <c r="D4749" i="4"/>
  <c r="D4748" i="4"/>
  <c r="D4747" i="4"/>
  <c r="D4746" i="4"/>
  <c r="D4745" i="4"/>
  <c r="D4744" i="4"/>
  <c r="D4743" i="4"/>
  <c r="D4742" i="4"/>
  <c r="D4741" i="4"/>
  <c r="D4740" i="4"/>
  <c r="D4739" i="4"/>
  <c r="D4738" i="4"/>
  <c r="D4737" i="4"/>
  <c r="D4736" i="4"/>
  <c r="D4735" i="4"/>
  <c r="D4734" i="4"/>
  <c r="D4733" i="4"/>
  <c r="D4732" i="4"/>
  <c r="D4731" i="4"/>
  <c r="D4730" i="4"/>
  <c r="D4729" i="4"/>
  <c r="D4728" i="4"/>
  <c r="D4727" i="4"/>
  <c r="D4726" i="4"/>
  <c r="D4725" i="4"/>
  <c r="D4724" i="4"/>
  <c r="D4723" i="4"/>
  <c r="D4722" i="4"/>
  <c r="D4721" i="4"/>
  <c r="D4720" i="4"/>
  <c r="D4719" i="4"/>
  <c r="D4718" i="4"/>
  <c r="D4717" i="4"/>
  <c r="D4716" i="4"/>
  <c r="D4715" i="4"/>
  <c r="D4714" i="4"/>
  <c r="D4713" i="4"/>
  <c r="D4712" i="4"/>
  <c r="D4711" i="4"/>
  <c r="D4710" i="4"/>
  <c r="D4709" i="4"/>
  <c r="D4708" i="4"/>
  <c r="D4707" i="4"/>
  <c r="D4706" i="4"/>
  <c r="D4705" i="4"/>
  <c r="D4704" i="4"/>
  <c r="D4703" i="4"/>
  <c r="D4702" i="4"/>
  <c r="D4701" i="4"/>
  <c r="D4700" i="4"/>
  <c r="D4699" i="4"/>
  <c r="D4698" i="4"/>
  <c r="D4697" i="4"/>
  <c r="D4696" i="4"/>
  <c r="D4695" i="4"/>
  <c r="D4694" i="4"/>
  <c r="D4693" i="4"/>
  <c r="D4692" i="4"/>
  <c r="D4691" i="4"/>
  <c r="D4690" i="4"/>
  <c r="D4689" i="4"/>
  <c r="D4688" i="4"/>
  <c r="D4687" i="4"/>
  <c r="D4686" i="4"/>
  <c r="D4685" i="4"/>
  <c r="D4684" i="4"/>
  <c r="D4683" i="4"/>
  <c r="D4682" i="4"/>
  <c r="D4681" i="4"/>
  <c r="D4680" i="4"/>
  <c r="D4679" i="4"/>
  <c r="D4678" i="4"/>
  <c r="D4677" i="4"/>
  <c r="D4676" i="4"/>
  <c r="D4675" i="4"/>
  <c r="D4674" i="4"/>
  <c r="D4673" i="4"/>
  <c r="D4672" i="4"/>
  <c r="D4671" i="4"/>
  <c r="D4670" i="4"/>
  <c r="D4669" i="4"/>
  <c r="D4668" i="4"/>
  <c r="D4667" i="4"/>
  <c r="D4666" i="4"/>
  <c r="D4665" i="4"/>
  <c r="D4664" i="4"/>
  <c r="D4663" i="4"/>
  <c r="D4662" i="4"/>
  <c r="D4661" i="4"/>
  <c r="D4660" i="4"/>
  <c r="D4659" i="4"/>
  <c r="D4658" i="4"/>
  <c r="D4657" i="4"/>
  <c r="D4656" i="4"/>
  <c r="D4655" i="4"/>
  <c r="D4654" i="4"/>
  <c r="D4653" i="4"/>
  <c r="D4652" i="4"/>
  <c r="D4651" i="4"/>
  <c r="D4650" i="4"/>
  <c r="D4649" i="4"/>
  <c r="D4648" i="4"/>
  <c r="D4647" i="4"/>
  <c r="D4646" i="4"/>
  <c r="D4645" i="4"/>
  <c r="D4644" i="4"/>
  <c r="D4643" i="4"/>
  <c r="D4642" i="4"/>
  <c r="D4641" i="4"/>
  <c r="D4640" i="4"/>
  <c r="D4639" i="4"/>
  <c r="D4638" i="4"/>
  <c r="D4637" i="4"/>
  <c r="D4636" i="4"/>
  <c r="D4635" i="4"/>
  <c r="D4634" i="4"/>
  <c r="D4633" i="4"/>
  <c r="D4632" i="4"/>
  <c r="D4631" i="4"/>
  <c r="D4630" i="4"/>
  <c r="D4629" i="4"/>
  <c r="D4628" i="4"/>
  <c r="D4627" i="4"/>
  <c r="D4626" i="4"/>
  <c r="D4625" i="4"/>
  <c r="D4624" i="4"/>
  <c r="D4623" i="4"/>
  <c r="D4622" i="4"/>
  <c r="D4621" i="4"/>
  <c r="D4620" i="4"/>
  <c r="D4619" i="4"/>
  <c r="D4618" i="4"/>
  <c r="D4617" i="4"/>
  <c r="D4616" i="4"/>
  <c r="D4615" i="4"/>
  <c r="D4614" i="4"/>
  <c r="D4613" i="4"/>
  <c r="D4612" i="4"/>
  <c r="D4611" i="4"/>
  <c r="D4610" i="4"/>
  <c r="D4609" i="4"/>
  <c r="D4608" i="4"/>
  <c r="D4607" i="4"/>
  <c r="D4606" i="4"/>
  <c r="D4605" i="4"/>
  <c r="D4604" i="4"/>
  <c r="D4603" i="4"/>
  <c r="D4602" i="4"/>
  <c r="D4601" i="4"/>
  <c r="D4600" i="4"/>
  <c r="D4599" i="4"/>
  <c r="D4598" i="4"/>
  <c r="D4597" i="4"/>
  <c r="D4596" i="4"/>
  <c r="D4595" i="4"/>
  <c r="D4594" i="4"/>
  <c r="D4593" i="4"/>
  <c r="D4592" i="4"/>
  <c r="D4591" i="4"/>
  <c r="D4590" i="4"/>
  <c r="D4589" i="4"/>
  <c r="D4588" i="4"/>
  <c r="D4587" i="4"/>
  <c r="D4586" i="4"/>
  <c r="D4585" i="4"/>
  <c r="D4584" i="4"/>
  <c r="D4583" i="4"/>
  <c r="D4582" i="4"/>
  <c r="D4581" i="4"/>
  <c r="D4580" i="4"/>
  <c r="D4579" i="4"/>
  <c r="D4578" i="4"/>
  <c r="D4577" i="4"/>
  <c r="D4576" i="4"/>
  <c r="D4575" i="4"/>
  <c r="D4574" i="4"/>
  <c r="D4573" i="4"/>
  <c r="D4572" i="4"/>
  <c r="D4571" i="4"/>
  <c r="D4570" i="4"/>
  <c r="D4569" i="4"/>
  <c r="D4568" i="4"/>
  <c r="D4567" i="4"/>
  <c r="D4566" i="4"/>
  <c r="D4565" i="4"/>
  <c r="D4564" i="4"/>
  <c r="D4563" i="4"/>
  <c r="D4562" i="4"/>
  <c r="D4561" i="4"/>
  <c r="D4560" i="4"/>
  <c r="D4559" i="4"/>
  <c r="D4558" i="4"/>
  <c r="D4557" i="4"/>
  <c r="D4556" i="4"/>
  <c r="D4555" i="4"/>
  <c r="D4554" i="4"/>
  <c r="D4553" i="4"/>
  <c r="D4552" i="4"/>
  <c r="D4551" i="4"/>
  <c r="D4550" i="4"/>
  <c r="D4549" i="4"/>
  <c r="D4548" i="4"/>
  <c r="D4547" i="4"/>
  <c r="D4546" i="4"/>
  <c r="D4545" i="4"/>
  <c r="D4544" i="4"/>
  <c r="D4543" i="4"/>
  <c r="D4542" i="4"/>
  <c r="D4541" i="4"/>
  <c r="D4540" i="4"/>
  <c r="D4539" i="4"/>
  <c r="D4538" i="4"/>
  <c r="D4537" i="4"/>
  <c r="D4536" i="4"/>
  <c r="D4535" i="4"/>
  <c r="D4534" i="4"/>
  <c r="D4533" i="4"/>
  <c r="D4532" i="4"/>
  <c r="D4531" i="4"/>
  <c r="D4530" i="4"/>
  <c r="D4529" i="4"/>
  <c r="D4528" i="4"/>
  <c r="D4527" i="4"/>
  <c r="D4526" i="4"/>
  <c r="D4525" i="4"/>
  <c r="D4524" i="4"/>
  <c r="D4523" i="4"/>
  <c r="D4522" i="4"/>
  <c r="D4521" i="4"/>
  <c r="D4520" i="4"/>
  <c r="D4519" i="4"/>
  <c r="D4518" i="4"/>
  <c r="D4517" i="4"/>
  <c r="D4516" i="4"/>
  <c r="D4515" i="4"/>
  <c r="D4514" i="4"/>
  <c r="D4513" i="4"/>
  <c r="D4512" i="4"/>
  <c r="D4511" i="4"/>
  <c r="D4510" i="4"/>
  <c r="D4509" i="4"/>
  <c r="D4508" i="4"/>
  <c r="D4507" i="4"/>
  <c r="D4506" i="4"/>
  <c r="D4505" i="4"/>
  <c r="D4504" i="4"/>
  <c r="D4503" i="4"/>
  <c r="D4502" i="4"/>
  <c r="D4501" i="4"/>
  <c r="D4500" i="4"/>
  <c r="D4499" i="4"/>
  <c r="D4498" i="4"/>
  <c r="D4497" i="4"/>
  <c r="D4496" i="4"/>
  <c r="D4495" i="4"/>
  <c r="D4494" i="4"/>
  <c r="D4493" i="4"/>
  <c r="D4492" i="4"/>
  <c r="D4491" i="4"/>
  <c r="D4490" i="4"/>
  <c r="D4489" i="4"/>
  <c r="D4488" i="4"/>
  <c r="D4487" i="4"/>
  <c r="D4486" i="4"/>
  <c r="D4485" i="4"/>
  <c r="D4484" i="4"/>
  <c r="D4483" i="4"/>
  <c r="D4482" i="4"/>
  <c r="D4481" i="4"/>
  <c r="D4480" i="4"/>
  <c r="D4479" i="4"/>
  <c r="D4478" i="4"/>
  <c r="D4477" i="4"/>
  <c r="D4476" i="4"/>
  <c r="D4475" i="4"/>
  <c r="D4474" i="4"/>
  <c r="D4473" i="4"/>
  <c r="D4472" i="4"/>
  <c r="D4471" i="4"/>
  <c r="D4470" i="4"/>
  <c r="D4469" i="4"/>
  <c r="D4468" i="4"/>
  <c r="D4467" i="4"/>
  <c r="D4466" i="4"/>
  <c r="D4465" i="4"/>
  <c r="D4464" i="4"/>
  <c r="D4463" i="4"/>
  <c r="D4462" i="4"/>
  <c r="D4461" i="4"/>
  <c r="D4460" i="4"/>
  <c r="D4459" i="4"/>
  <c r="D4458" i="4"/>
  <c r="D4457" i="4"/>
  <c r="D4456" i="4"/>
  <c r="D4455" i="4"/>
  <c r="D4454" i="4"/>
  <c r="D4453" i="4"/>
  <c r="D4452" i="4"/>
  <c r="D4451" i="4"/>
  <c r="D4450" i="4"/>
  <c r="D4449" i="4"/>
  <c r="D4448" i="4"/>
  <c r="D4447" i="4"/>
  <c r="D4446" i="4"/>
  <c r="D4445" i="4"/>
  <c r="D4444" i="4"/>
  <c r="D4443" i="4"/>
  <c r="D4442" i="4"/>
  <c r="D4441" i="4"/>
  <c r="D4440" i="4"/>
  <c r="D4439" i="4"/>
  <c r="D4438" i="4"/>
  <c r="D4437" i="4"/>
  <c r="D4436" i="4"/>
  <c r="D4435" i="4"/>
  <c r="D4434" i="4"/>
  <c r="D4433" i="4"/>
  <c r="D4432" i="4"/>
  <c r="D4431" i="4"/>
  <c r="D4430" i="4"/>
  <c r="D4429" i="4"/>
  <c r="D4428" i="4"/>
  <c r="D4427" i="4"/>
  <c r="D4426" i="4"/>
  <c r="D4425" i="4"/>
  <c r="D4424" i="4"/>
  <c r="D4423" i="4"/>
  <c r="D4422" i="4"/>
  <c r="D4421" i="4"/>
  <c r="D4420" i="4"/>
  <c r="D4419" i="4"/>
  <c r="D4418" i="4"/>
  <c r="D4417" i="4"/>
  <c r="D4416" i="4"/>
  <c r="D4415" i="4"/>
  <c r="D4414" i="4"/>
  <c r="D4413" i="4"/>
  <c r="D4412" i="4"/>
  <c r="D4411" i="4"/>
  <c r="D4410" i="4"/>
  <c r="D4409" i="4"/>
  <c r="D4408" i="4"/>
  <c r="D4407" i="4"/>
  <c r="D4406" i="4"/>
  <c r="D4405" i="4"/>
  <c r="D4404" i="4"/>
  <c r="D4403" i="4"/>
  <c r="D4402" i="4"/>
  <c r="D4401" i="4"/>
  <c r="D4400" i="4"/>
  <c r="D4399" i="4"/>
  <c r="D4398" i="4"/>
  <c r="D4397" i="4"/>
  <c r="D4396" i="4"/>
  <c r="D4395" i="4"/>
  <c r="D4394" i="4"/>
  <c r="D4393" i="4"/>
  <c r="D4392" i="4"/>
  <c r="D4391" i="4"/>
  <c r="D4390" i="4"/>
  <c r="D4389" i="4"/>
  <c r="D4388" i="4"/>
  <c r="D4387" i="4"/>
  <c r="D4386" i="4"/>
  <c r="D4385" i="4"/>
  <c r="D4384" i="4"/>
  <c r="D4383" i="4"/>
  <c r="D4382" i="4"/>
  <c r="D4381" i="4"/>
  <c r="D4380" i="4"/>
  <c r="D4379" i="4"/>
  <c r="D4378" i="4"/>
  <c r="D4377" i="4"/>
  <c r="D4376" i="4"/>
  <c r="D4375" i="4"/>
  <c r="D4374" i="4"/>
  <c r="D4373" i="4"/>
  <c r="D4372" i="4"/>
  <c r="D4371" i="4"/>
  <c r="D4370" i="4"/>
  <c r="D4369" i="4"/>
  <c r="D4368" i="4"/>
  <c r="D4367" i="4"/>
  <c r="D4366" i="4"/>
  <c r="D4365" i="4"/>
  <c r="D4364" i="4"/>
  <c r="D4363" i="4"/>
  <c r="D4362" i="4"/>
  <c r="D4361" i="4"/>
  <c r="D4360" i="4"/>
  <c r="D4359" i="4"/>
  <c r="D4358" i="4"/>
  <c r="D4357" i="4"/>
  <c r="D4356" i="4"/>
  <c r="D4355" i="4"/>
  <c r="D4354" i="4"/>
  <c r="D4353" i="4"/>
  <c r="D4352" i="4"/>
  <c r="D4351" i="4"/>
  <c r="D4350" i="4"/>
  <c r="D4349" i="4"/>
  <c r="D4348" i="4"/>
  <c r="D4347" i="4"/>
  <c r="D4346" i="4"/>
  <c r="D4345" i="4"/>
  <c r="D4344" i="4"/>
  <c r="D4343" i="4"/>
  <c r="D4342" i="4"/>
  <c r="D4341" i="4"/>
  <c r="D4340" i="4"/>
  <c r="D4339" i="4"/>
  <c r="D4338" i="4"/>
  <c r="D4337" i="4"/>
  <c r="D4336" i="4"/>
  <c r="D4335" i="4"/>
  <c r="D4334" i="4"/>
  <c r="D4333" i="4"/>
  <c r="D4332" i="4"/>
  <c r="D4331" i="4"/>
  <c r="D4330" i="4"/>
  <c r="D4329" i="4"/>
  <c r="D4328" i="4"/>
  <c r="D4327" i="4"/>
  <c r="D4326" i="4"/>
  <c r="D4325" i="4"/>
  <c r="D4324" i="4"/>
  <c r="D4323" i="4"/>
  <c r="D4322" i="4"/>
  <c r="D4321" i="4"/>
  <c r="D4320" i="4"/>
  <c r="D4319" i="4"/>
  <c r="D4318" i="4"/>
  <c r="D4317" i="4"/>
  <c r="D4316" i="4"/>
  <c r="D4315" i="4"/>
  <c r="D4314" i="4"/>
  <c r="D4313" i="4"/>
  <c r="D4312" i="4"/>
  <c r="D4311" i="4"/>
  <c r="D4310" i="4"/>
  <c r="D4309" i="4"/>
  <c r="D4308" i="4"/>
  <c r="D4307" i="4"/>
  <c r="D4306" i="4"/>
  <c r="D4305" i="4"/>
  <c r="D4304" i="4"/>
  <c r="D4303" i="4"/>
  <c r="D4302" i="4"/>
  <c r="D4301" i="4"/>
  <c r="D4300" i="4"/>
  <c r="D4299" i="4"/>
  <c r="D4298" i="4"/>
  <c r="D4297" i="4"/>
  <c r="D4296" i="4"/>
  <c r="D4295" i="4"/>
  <c r="D4294" i="4"/>
  <c r="D4293" i="4"/>
  <c r="D4292" i="4"/>
  <c r="D4291" i="4"/>
  <c r="D4290" i="4"/>
  <c r="D4289" i="4"/>
  <c r="D4288" i="4"/>
  <c r="D4287" i="4"/>
  <c r="D4286" i="4"/>
  <c r="D4285" i="4"/>
  <c r="D4284" i="4"/>
  <c r="D4283" i="4"/>
  <c r="D4282" i="4"/>
  <c r="D4281" i="4"/>
  <c r="D4280" i="4"/>
  <c r="D4279" i="4"/>
  <c r="D4278" i="4"/>
  <c r="D4277" i="4"/>
  <c r="D4276" i="4"/>
  <c r="D4275" i="4"/>
  <c r="D4274" i="4"/>
  <c r="D4273" i="4"/>
  <c r="D4272" i="4"/>
  <c r="D4271" i="4"/>
  <c r="D4270" i="4"/>
  <c r="D4269" i="4"/>
  <c r="D4268" i="4"/>
  <c r="D4267" i="4"/>
  <c r="D4266" i="4"/>
  <c r="D4265" i="4"/>
  <c r="D4264" i="4"/>
  <c r="D4263" i="4"/>
  <c r="D4262" i="4"/>
  <c r="D4261" i="4"/>
  <c r="D4260" i="4"/>
  <c r="D4259" i="4"/>
  <c r="D4258" i="4"/>
  <c r="D4257" i="4"/>
  <c r="D4256" i="4"/>
  <c r="D4255" i="4"/>
  <c r="D4254" i="4"/>
  <c r="D4253" i="4"/>
  <c r="D4252" i="4"/>
  <c r="D4251" i="4"/>
  <c r="D4250" i="4"/>
  <c r="D4249" i="4"/>
  <c r="D4248" i="4"/>
  <c r="D4247" i="4"/>
  <c r="D4246" i="4"/>
  <c r="D4245" i="4"/>
  <c r="D4244" i="4"/>
  <c r="D4243" i="4"/>
  <c r="D4242" i="4"/>
  <c r="D4241" i="4"/>
  <c r="D4240" i="4"/>
  <c r="D4239" i="4"/>
  <c r="D4238" i="4"/>
  <c r="D4237" i="4"/>
  <c r="D4236" i="4"/>
  <c r="D4235" i="4"/>
  <c r="D4234" i="4"/>
  <c r="D4233" i="4"/>
  <c r="D4232" i="4"/>
  <c r="D4231" i="4"/>
  <c r="D4230" i="4"/>
  <c r="D4229" i="4"/>
  <c r="D4228" i="4"/>
  <c r="D4227" i="4"/>
  <c r="D4226" i="4"/>
  <c r="D4225" i="4"/>
  <c r="D4224" i="4"/>
  <c r="D4223" i="4"/>
  <c r="D4222" i="4"/>
  <c r="D4221" i="4"/>
  <c r="D4220" i="4"/>
  <c r="D4219" i="4"/>
  <c r="D4218" i="4"/>
  <c r="D4217" i="4"/>
  <c r="D4216" i="4"/>
  <c r="D4215" i="4"/>
  <c r="D4214" i="4"/>
  <c r="D4213" i="4"/>
  <c r="D4212" i="4"/>
  <c r="D4211" i="4"/>
  <c r="D4210" i="4"/>
  <c r="D4209" i="4"/>
  <c r="D4208" i="4"/>
  <c r="D4207" i="4"/>
  <c r="D4206" i="4"/>
  <c r="D4205" i="4"/>
  <c r="D4204" i="4"/>
  <c r="D4203" i="4"/>
  <c r="D4202" i="4"/>
  <c r="D4201" i="4"/>
  <c r="D4200" i="4"/>
  <c r="D4199" i="4"/>
  <c r="D4198" i="4"/>
  <c r="D4197" i="4"/>
  <c r="D4196" i="4"/>
  <c r="D4195" i="4"/>
  <c r="D4194" i="4"/>
  <c r="D4193" i="4"/>
  <c r="D4192" i="4"/>
  <c r="D4191" i="4"/>
  <c r="D4190" i="4"/>
  <c r="D4189" i="4"/>
  <c r="D4188" i="4"/>
  <c r="D4187" i="4"/>
  <c r="D4186" i="4"/>
  <c r="D4185" i="4"/>
  <c r="D4184" i="4"/>
  <c r="D4183" i="4"/>
  <c r="D4182" i="4"/>
  <c r="D4181" i="4"/>
  <c r="D4180" i="4"/>
  <c r="D4179" i="4"/>
  <c r="D4178" i="4"/>
  <c r="D4177" i="4"/>
  <c r="D4176" i="4"/>
  <c r="D4175" i="4"/>
  <c r="D4174" i="4"/>
  <c r="D4173" i="4"/>
  <c r="D4172" i="4"/>
  <c r="D4171" i="4"/>
  <c r="D4170" i="4"/>
  <c r="D4169" i="4"/>
  <c r="D4168" i="4"/>
  <c r="D4167" i="4"/>
  <c r="D4166" i="4"/>
  <c r="D4165" i="4"/>
  <c r="D4164" i="4"/>
  <c r="D4163" i="4"/>
  <c r="D4162" i="4"/>
  <c r="D4161" i="4"/>
  <c r="D4160" i="4"/>
  <c r="D4159" i="4"/>
  <c r="D4158" i="4"/>
  <c r="D4157" i="4"/>
  <c r="D4156" i="4"/>
  <c r="D4155" i="4"/>
  <c r="D4154" i="4"/>
  <c r="D4153" i="4"/>
  <c r="D4152" i="4"/>
  <c r="D4151" i="4"/>
  <c r="D4150" i="4"/>
  <c r="D4149" i="4"/>
  <c r="D4148" i="4"/>
  <c r="D4147" i="4"/>
  <c r="D4146" i="4"/>
  <c r="D4145" i="4"/>
  <c r="D4144" i="4"/>
  <c r="D4143" i="4"/>
  <c r="D4142" i="4"/>
  <c r="D4141" i="4"/>
  <c r="D4140" i="4"/>
  <c r="D4139" i="4"/>
  <c r="D4138" i="4"/>
  <c r="D4137" i="4"/>
  <c r="D4136" i="4"/>
  <c r="D4135" i="4"/>
  <c r="D4134" i="4"/>
  <c r="D4133" i="4"/>
  <c r="D4132" i="4"/>
  <c r="D4131" i="4"/>
  <c r="D4130" i="4"/>
  <c r="D4129" i="4"/>
  <c r="D4128" i="4"/>
  <c r="D4127" i="4"/>
  <c r="D4126" i="4"/>
  <c r="D4125" i="4"/>
  <c r="D4124" i="4"/>
  <c r="D4123" i="4"/>
  <c r="D4122" i="4"/>
  <c r="D4121" i="4"/>
  <c r="D4120" i="4"/>
  <c r="D4119" i="4"/>
  <c r="D4118" i="4"/>
  <c r="D4117" i="4"/>
  <c r="D4116" i="4"/>
  <c r="D4115" i="4"/>
  <c r="D4114" i="4"/>
  <c r="D4113" i="4"/>
  <c r="D4112" i="4"/>
  <c r="D4111" i="4"/>
  <c r="D4110" i="4"/>
  <c r="D4109" i="4"/>
  <c r="D4108" i="4"/>
  <c r="D4107" i="4"/>
  <c r="D4106" i="4"/>
  <c r="D4105" i="4"/>
  <c r="D4104" i="4"/>
  <c r="D4103" i="4"/>
  <c r="D4102" i="4"/>
  <c r="D4101" i="4"/>
  <c r="D4100" i="4"/>
  <c r="D4099" i="4"/>
  <c r="D4098" i="4"/>
  <c r="D4097" i="4"/>
  <c r="D4096" i="4"/>
  <c r="D4095" i="4"/>
  <c r="D4094" i="4"/>
  <c r="D4093" i="4"/>
  <c r="D4092" i="4"/>
  <c r="D4091" i="4"/>
  <c r="D4090" i="4"/>
  <c r="D4089" i="4"/>
  <c r="D4088" i="4"/>
  <c r="D4087" i="4"/>
  <c r="D4086" i="4"/>
  <c r="D4085" i="4"/>
  <c r="D4084" i="4"/>
  <c r="D4083" i="4"/>
  <c r="D4082" i="4"/>
  <c r="D4081" i="4"/>
  <c r="D4080" i="4"/>
  <c r="D4079" i="4"/>
  <c r="D4078" i="4"/>
  <c r="D4077" i="4"/>
  <c r="D4076" i="4"/>
  <c r="D4075" i="4"/>
  <c r="D4074" i="4"/>
  <c r="D4073" i="4"/>
  <c r="D4072" i="4"/>
  <c r="D4071" i="4"/>
  <c r="D4070" i="4"/>
  <c r="D4069" i="4"/>
  <c r="D4068" i="4"/>
  <c r="D4067" i="4"/>
  <c r="D4066" i="4"/>
  <c r="D4065" i="4"/>
  <c r="D4064" i="4"/>
  <c r="D4063" i="4"/>
  <c r="D4062" i="4"/>
  <c r="D4061" i="4"/>
  <c r="D4060" i="4"/>
  <c r="D4059" i="4"/>
  <c r="D4058" i="4"/>
  <c r="D4057" i="4"/>
  <c r="D4056" i="4"/>
  <c r="D4055" i="4"/>
  <c r="D4054" i="4"/>
  <c r="D4053" i="4"/>
  <c r="D4052" i="4"/>
  <c r="D4051" i="4"/>
  <c r="D4050" i="4"/>
  <c r="D4049" i="4"/>
  <c r="D4048" i="4"/>
  <c r="D4047" i="4"/>
  <c r="D4046" i="4"/>
  <c r="D4045" i="4"/>
  <c r="D4044" i="4"/>
  <c r="D4043" i="4"/>
  <c r="D4042" i="4"/>
  <c r="D4041" i="4"/>
  <c r="D4040" i="4"/>
  <c r="D4039" i="4"/>
  <c r="D4038" i="4"/>
  <c r="D4037" i="4"/>
  <c r="D4036" i="4"/>
  <c r="D4035" i="4"/>
  <c r="D4034" i="4"/>
  <c r="D4033" i="4"/>
  <c r="D4032" i="4"/>
  <c r="D4031" i="4"/>
  <c r="D4030" i="4"/>
  <c r="D4029" i="4"/>
  <c r="D4028" i="4"/>
  <c r="D4027" i="4"/>
  <c r="D4026" i="4"/>
  <c r="D4025" i="4"/>
  <c r="D4024" i="4"/>
  <c r="D4023" i="4"/>
  <c r="D4022" i="4"/>
  <c r="D4021" i="4"/>
  <c r="D4020" i="4"/>
  <c r="D4019" i="4"/>
  <c r="D4018" i="4"/>
  <c r="D4017" i="4"/>
  <c r="D4016" i="4"/>
  <c r="D4015" i="4"/>
  <c r="D4014" i="4"/>
  <c r="D4013" i="4"/>
  <c r="D4012" i="4"/>
  <c r="D4011" i="4"/>
  <c r="D4010" i="4"/>
  <c r="D4009" i="4"/>
  <c r="D4008" i="4"/>
  <c r="D4007" i="4"/>
  <c r="D4006" i="4"/>
  <c r="D4005" i="4"/>
  <c r="D4004" i="4"/>
  <c r="D4003" i="4"/>
  <c r="D4002" i="4"/>
  <c r="D4001" i="4"/>
  <c r="D4000" i="4"/>
  <c r="D3999" i="4"/>
  <c r="D3998" i="4"/>
  <c r="D3997" i="4"/>
  <c r="D3996" i="4"/>
  <c r="D3995" i="4"/>
  <c r="D3994" i="4"/>
  <c r="D3993" i="4"/>
  <c r="D3992" i="4"/>
  <c r="D3991" i="4"/>
  <c r="D3990" i="4"/>
  <c r="D3989" i="4"/>
  <c r="D3988" i="4"/>
  <c r="D3987" i="4"/>
  <c r="D3986" i="4"/>
  <c r="D3985" i="4"/>
  <c r="D3984" i="4"/>
  <c r="D3983" i="4"/>
  <c r="D3982" i="4"/>
  <c r="D3981" i="4"/>
  <c r="D3980" i="4"/>
  <c r="D3979" i="4"/>
  <c r="D3978" i="4"/>
  <c r="D3977" i="4"/>
  <c r="D3976" i="4"/>
  <c r="D3975" i="4"/>
  <c r="D3974" i="4"/>
  <c r="D3973" i="4"/>
  <c r="D3972" i="4"/>
  <c r="D3971" i="4"/>
  <c r="D3970" i="4"/>
  <c r="D3969" i="4"/>
  <c r="D3968" i="4"/>
  <c r="D3967" i="4"/>
  <c r="D3966" i="4"/>
  <c r="D3965" i="4"/>
  <c r="D3964" i="4"/>
  <c r="D3963" i="4"/>
  <c r="D3962" i="4"/>
  <c r="D3961" i="4"/>
  <c r="D3960" i="4"/>
  <c r="D3959" i="4"/>
  <c r="D3958" i="4"/>
  <c r="D3957" i="4"/>
  <c r="D3956" i="4"/>
  <c r="D3955" i="4"/>
  <c r="D3954" i="4"/>
  <c r="D3953" i="4"/>
  <c r="D3952" i="4"/>
  <c r="D3951" i="4"/>
  <c r="D3950" i="4"/>
  <c r="D3949" i="4"/>
  <c r="D3948" i="4"/>
  <c r="D3947" i="4"/>
  <c r="D3946" i="4"/>
  <c r="D3945" i="4"/>
  <c r="D3944" i="4"/>
  <c r="D3943" i="4"/>
  <c r="D3942" i="4"/>
  <c r="D3941" i="4"/>
  <c r="D3940" i="4"/>
  <c r="D3939" i="4"/>
  <c r="D3938" i="4"/>
  <c r="D3937" i="4"/>
  <c r="D3936" i="4"/>
  <c r="D3935" i="4"/>
  <c r="D3934" i="4"/>
  <c r="D3933" i="4"/>
  <c r="D3932" i="4"/>
  <c r="D3931" i="4"/>
  <c r="D3930" i="4"/>
  <c r="D3929" i="4"/>
  <c r="D3928" i="4"/>
  <c r="D3927" i="4"/>
  <c r="D3926" i="4"/>
  <c r="D3925" i="4"/>
  <c r="D3924" i="4"/>
  <c r="D3923" i="4"/>
  <c r="D3922" i="4"/>
  <c r="D3921" i="4"/>
  <c r="D3920" i="4"/>
  <c r="D3919" i="4"/>
  <c r="D3918" i="4"/>
  <c r="D3917" i="4"/>
  <c r="D3916" i="4"/>
  <c r="D3915" i="4"/>
  <c r="D3914" i="4"/>
  <c r="D3913" i="4"/>
  <c r="D3912" i="4"/>
  <c r="D3911" i="4"/>
  <c r="D3910" i="4"/>
  <c r="D3909" i="4"/>
  <c r="D3908" i="4"/>
  <c r="D3907" i="4"/>
  <c r="D3906" i="4"/>
  <c r="D3905" i="4"/>
  <c r="D3904" i="4"/>
  <c r="D3903" i="4"/>
  <c r="D3902" i="4"/>
  <c r="D3901" i="4"/>
  <c r="D3900" i="4"/>
  <c r="D3899" i="4"/>
  <c r="D3898" i="4"/>
  <c r="D3897" i="4"/>
  <c r="D3896" i="4"/>
  <c r="D3895" i="4"/>
  <c r="D3894" i="4"/>
  <c r="D3893" i="4"/>
  <c r="D3892" i="4"/>
  <c r="D3891" i="4"/>
  <c r="D3890" i="4"/>
  <c r="D3889" i="4"/>
  <c r="D3888" i="4"/>
  <c r="D3887" i="4"/>
  <c r="D3886" i="4"/>
  <c r="D3885" i="4"/>
  <c r="D3884" i="4"/>
  <c r="D3883" i="4"/>
  <c r="D3882" i="4"/>
  <c r="D3881" i="4"/>
  <c r="D3880" i="4"/>
  <c r="D3879" i="4"/>
  <c r="D3878" i="4"/>
  <c r="D3877" i="4"/>
  <c r="D3876" i="4"/>
  <c r="D3875" i="4"/>
  <c r="D3874" i="4"/>
  <c r="D3873" i="4"/>
  <c r="D3872" i="4"/>
  <c r="D3871" i="4"/>
  <c r="D3870" i="4"/>
  <c r="D3869" i="4"/>
  <c r="D3868" i="4"/>
  <c r="D3867" i="4"/>
  <c r="D3866" i="4"/>
  <c r="D3865" i="4"/>
  <c r="D3864" i="4"/>
  <c r="D3863" i="4"/>
  <c r="D3862" i="4"/>
  <c r="D3861" i="4"/>
  <c r="D3860" i="4"/>
  <c r="D3859" i="4"/>
  <c r="D3858" i="4"/>
  <c r="D3857" i="4"/>
  <c r="D3856" i="4"/>
  <c r="D3855" i="4"/>
  <c r="D3854" i="4"/>
  <c r="D3853" i="4"/>
  <c r="D3852" i="4"/>
  <c r="D3851" i="4"/>
  <c r="D3850" i="4"/>
  <c r="D3849" i="4"/>
  <c r="D3848" i="4"/>
  <c r="D3847" i="4"/>
  <c r="D3846" i="4"/>
  <c r="D3845" i="4"/>
  <c r="D3844" i="4"/>
  <c r="D3843" i="4"/>
  <c r="D3842" i="4"/>
  <c r="D3841" i="4"/>
  <c r="D3840" i="4"/>
  <c r="D3839" i="4"/>
  <c r="D3838" i="4"/>
  <c r="D3837" i="4"/>
  <c r="D3836" i="4"/>
  <c r="D3835" i="4"/>
  <c r="D3834" i="4"/>
  <c r="D3833" i="4"/>
  <c r="D3832" i="4"/>
  <c r="D3831" i="4"/>
  <c r="D3830" i="4"/>
  <c r="D3829" i="4"/>
  <c r="D3828" i="4"/>
  <c r="D3827" i="4"/>
  <c r="D3826" i="4"/>
  <c r="D3825" i="4"/>
  <c r="D3824" i="4"/>
  <c r="D3823" i="4"/>
  <c r="D3822" i="4"/>
  <c r="D3821" i="4"/>
  <c r="D3820" i="4"/>
  <c r="D3819" i="4"/>
  <c r="D3818" i="4"/>
  <c r="D3817" i="4"/>
  <c r="D3816" i="4"/>
  <c r="D3815" i="4"/>
  <c r="D3814" i="4"/>
  <c r="D3813" i="4"/>
  <c r="D3812" i="4"/>
  <c r="D3811" i="4"/>
  <c r="D3810" i="4"/>
  <c r="D3809" i="4"/>
  <c r="D3808" i="4"/>
  <c r="D3807" i="4"/>
  <c r="D3806" i="4"/>
  <c r="D3805" i="4"/>
  <c r="D3804" i="4"/>
  <c r="D3803" i="4"/>
  <c r="D3802" i="4"/>
  <c r="D3801" i="4"/>
  <c r="D3800" i="4"/>
  <c r="D3799" i="4"/>
  <c r="D3798" i="4"/>
  <c r="D3797" i="4"/>
  <c r="D3796" i="4"/>
  <c r="D3795" i="4"/>
  <c r="D3794" i="4"/>
  <c r="D3793" i="4"/>
  <c r="D3792" i="4"/>
  <c r="D3791" i="4"/>
  <c r="D3790" i="4"/>
  <c r="D3789" i="4"/>
  <c r="D3788" i="4"/>
  <c r="D3787" i="4"/>
  <c r="D3786" i="4"/>
  <c r="D3785" i="4"/>
  <c r="D3784" i="4"/>
  <c r="D3783" i="4"/>
  <c r="D3782" i="4"/>
  <c r="D3781" i="4"/>
  <c r="D3780" i="4"/>
  <c r="D3779" i="4"/>
  <c r="D3778" i="4"/>
  <c r="D3777" i="4"/>
  <c r="D3776" i="4"/>
  <c r="D3775" i="4"/>
  <c r="D3774" i="4"/>
  <c r="D3773" i="4"/>
  <c r="D3772" i="4"/>
  <c r="D3771" i="4"/>
  <c r="D3770" i="4"/>
  <c r="D3769" i="4"/>
  <c r="D3768" i="4"/>
  <c r="D3767" i="4"/>
  <c r="D3766" i="4"/>
  <c r="D3765" i="4"/>
  <c r="D3764" i="4"/>
  <c r="D3763" i="4"/>
  <c r="D3762" i="4"/>
  <c r="D3761" i="4"/>
  <c r="D3760" i="4"/>
  <c r="D3759" i="4"/>
  <c r="D3758" i="4"/>
  <c r="D3757" i="4"/>
  <c r="D3756" i="4"/>
  <c r="D3755" i="4"/>
  <c r="D3754" i="4"/>
  <c r="D3753" i="4"/>
  <c r="D3752" i="4"/>
  <c r="D3751" i="4"/>
  <c r="D3750" i="4"/>
  <c r="D3749" i="4"/>
  <c r="D3748" i="4"/>
  <c r="D3747" i="4"/>
  <c r="D3746" i="4"/>
  <c r="D3745" i="4"/>
  <c r="D3744" i="4"/>
  <c r="D3743" i="4"/>
  <c r="D3742" i="4"/>
  <c r="D3741" i="4"/>
  <c r="D3740" i="4"/>
  <c r="D3739" i="4"/>
  <c r="D3738" i="4"/>
  <c r="D3737" i="4"/>
  <c r="D3736" i="4"/>
  <c r="D3735" i="4"/>
  <c r="D3734" i="4"/>
  <c r="D3733" i="4"/>
  <c r="D3732" i="4"/>
  <c r="D3731" i="4"/>
  <c r="D3730" i="4"/>
  <c r="D3729" i="4"/>
  <c r="D3728" i="4"/>
  <c r="D3727" i="4"/>
  <c r="D3726" i="4"/>
  <c r="D3725" i="4"/>
  <c r="D3724" i="4"/>
  <c r="D3723" i="4"/>
  <c r="D3722" i="4"/>
  <c r="D3721" i="4"/>
  <c r="D3720" i="4"/>
  <c r="D3719" i="4"/>
  <c r="D3718" i="4"/>
  <c r="D3717" i="4"/>
  <c r="D3716" i="4"/>
  <c r="D3715" i="4"/>
  <c r="D3714" i="4"/>
  <c r="D3713" i="4"/>
  <c r="D3712" i="4"/>
  <c r="D3711" i="4"/>
  <c r="D3710" i="4"/>
  <c r="D3709" i="4"/>
  <c r="D3708" i="4"/>
  <c r="D3707" i="4"/>
  <c r="D3706" i="4"/>
  <c r="D3705" i="4"/>
  <c r="D3704" i="4"/>
  <c r="D3703" i="4"/>
  <c r="D3702" i="4"/>
  <c r="D3701" i="4"/>
  <c r="D3700" i="4"/>
  <c r="D3699" i="4"/>
  <c r="D3698" i="4"/>
  <c r="D3697" i="4"/>
  <c r="D3696" i="4"/>
  <c r="D3695" i="4"/>
  <c r="D3694" i="4"/>
  <c r="D3693" i="4"/>
  <c r="D3692" i="4"/>
  <c r="D3691" i="4"/>
  <c r="D3690" i="4"/>
  <c r="D3689" i="4"/>
  <c r="D3688" i="4"/>
  <c r="D3687" i="4"/>
  <c r="D3686" i="4"/>
  <c r="D3685" i="4"/>
  <c r="D3684" i="4"/>
  <c r="D3683" i="4"/>
  <c r="D3682" i="4"/>
  <c r="D3681" i="4"/>
  <c r="D3680" i="4"/>
  <c r="D3679" i="4"/>
  <c r="D3678" i="4"/>
  <c r="D3677" i="4"/>
  <c r="D3676" i="4"/>
  <c r="D3675" i="4"/>
  <c r="D3674" i="4"/>
  <c r="D3673" i="4"/>
  <c r="D3672" i="4"/>
  <c r="D3671" i="4"/>
  <c r="D3670" i="4"/>
  <c r="D3669" i="4"/>
  <c r="D3668" i="4"/>
  <c r="D3667" i="4"/>
  <c r="D3666" i="4"/>
  <c r="D3665" i="4"/>
  <c r="D3664" i="4"/>
  <c r="D3663" i="4"/>
  <c r="D3662" i="4"/>
  <c r="D3661" i="4"/>
  <c r="D3660" i="4"/>
  <c r="D3659" i="4"/>
  <c r="D3658" i="4"/>
  <c r="D3657" i="4"/>
  <c r="D3656" i="4"/>
  <c r="D3655" i="4"/>
  <c r="D3654" i="4"/>
  <c r="D3653" i="4"/>
  <c r="D3652" i="4"/>
  <c r="D3651" i="4"/>
  <c r="D3650" i="4"/>
  <c r="D3649" i="4"/>
  <c r="D3648" i="4"/>
  <c r="D3647" i="4"/>
  <c r="D3646" i="4"/>
  <c r="D3645" i="4"/>
  <c r="D3644" i="4"/>
  <c r="D3643" i="4"/>
  <c r="D3642" i="4"/>
  <c r="D3641" i="4"/>
  <c r="D3640" i="4"/>
  <c r="D3639" i="4"/>
  <c r="D3638" i="4"/>
  <c r="D3637" i="4"/>
  <c r="D3636" i="4"/>
  <c r="D3635" i="4"/>
  <c r="D3634" i="4"/>
  <c r="D3633" i="4"/>
  <c r="D3632" i="4"/>
  <c r="D3631" i="4"/>
  <c r="D3630" i="4"/>
  <c r="D3629" i="4"/>
  <c r="D3628" i="4"/>
  <c r="D3627" i="4"/>
  <c r="D3626" i="4"/>
  <c r="D3625" i="4"/>
  <c r="D3624" i="4"/>
  <c r="D3623" i="4"/>
  <c r="D3622" i="4"/>
  <c r="D3621" i="4"/>
  <c r="D3620" i="4"/>
  <c r="D3619" i="4"/>
  <c r="D3618" i="4"/>
  <c r="D3617" i="4"/>
  <c r="D3616" i="4"/>
  <c r="D3615" i="4"/>
  <c r="D3614" i="4"/>
  <c r="D3613" i="4"/>
  <c r="D3612" i="4"/>
  <c r="D3611" i="4"/>
  <c r="D3610" i="4"/>
  <c r="D3609" i="4"/>
  <c r="D3608" i="4"/>
  <c r="D3607" i="4"/>
  <c r="D3606" i="4"/>
  <c r="D3605" i="4"/>
  <c r="D3604" i="4"/>
  <c r="D3603" i="4"/>
  <c r="D3602" i="4"/>
  <c r="D3601" i="4"/>
  <c r="D3600" i="4"/>
  <c r="D3599" i="4"/>
  <c r="D3598" i="4"/>
  <c r="D3597" i="4"/>
  <c r="D3596" i="4"/>
  <c r="D3595" i="4"/>
  <c r="D3594" i="4"/>
  <c r="D3593" i="4"/>
  <c r="D3592" i="4"/>
  <c r="D3591" i="4"/>
  <c r="D3590" i="4"/>
  <c r="D3589" i="4"/>
  <c r="D3588" i="4"/>
  <c r="D3587" i="4"/>
  <c r="D3586" i="4"/>
  <c r="D3585" i="4"/>
  <c r="D3584" i="4"/>
  <c r="D3583" i="4"/>
  <c r="D3582" i="4"/>
  <c r="D3581" i="4"/>
  <c r="D3580" i="4"/>
  <c r="D3579" i="4"/>
  <c r="D3578" i="4"/>
  <c r="D3577" i="4"/>
  <c r="D3576" i="4"/>
  <c r="D3575" i="4"/>
  <c r="D3574" i="4"/>
  <c r="D3573" i="4"/>
  <c r="D3572" i="4"/>
  <c r="D3571" i="4"/>
  <c r="D3570" i="4"/>
  <c r="D3569" i="4"/>
  <c r="D3568" i="4"/>
  <c r="D3567" i="4"/>
  <c r="D3566" i="4"/>
  <c r="D3565" i="4"/>
  <c r="D3564" i="4"/>
  <c r="D3563" i="4"/>
  <c r="D3562" i="4"/>
  <c r="D3561" i="4"/>
  <c r="D3560" i="4"/>
  <c r="D3559" i="4"/>
  <c r="D3558" i="4"/>
  <c r="D3557" i="4"/>
  <c r="D3556" i="4"/>
  <c r="D3555" i="4"/>
  <c r="D3554" i="4"/>
  <c r="D3553" i="4"/>
  <c r="D3552" i="4"/>
  <c r="D3551" i="4"/>
  <c r="D3550" i="4"/>
  <c r="D3549" i="4"/>
  <c r="D3548" i="4"/>
  <c r="D3547" i="4"/>
  <c r="D3546" i="4"/>
  <c r="D3545" i="4"/>
  <c r="D3544" i="4"/>
  <c r="D3543" i="4"/>
  <c r="D3542" i="4"/>
  <c r="D3541" i="4"/>
  <c r="D3540" i="4"/>
  <c r="D3539" i="4"/>
  <c r="D3538" i="4"/>
  <c r="D3537" i="4"/>
  <c r="D3536" i="4"/>
  <c r="D3535" i="4"/>
  <c r="D3534" i="4"/>
  <c r="D3533" i="4"/>
  <c r="D3532" i="4"/>
  <c r="D3531" i="4"/>
  <c r="D3530" i="4"/>
  <c r="D3529" i="4"/>
  <c r="D3528" i="4"/>
  <c r="D3527" i="4"/>
  <c r="D3526" i="4"/>
  <c r="D3525" i="4"/>
  <c r="D3524" i="4"/>
  <c r="D3523" i="4"/>
  <c r="D3522" i="4"/>
  <c r="D3521" i="4"/>
  <c r="D3520" i="4"/>
  <c r="D3519" i="4"/>
  <c r="D3518" i="4"/>
  <c r="D3517" i="4"/>
  <c r="D3516" i="4"/>
  <c r="D3515" i="4"/>
  <c r="D3514" i="4"/>
  <c r="D3513" i="4"/>
  <c r="D3512" i="4"/>
  <c r="D3511" i="4"/>
  <c r="D3510" i="4"/>
  <c r="D3509" i="4"/>
  <c r="D3508" i="4"/>
  <c r="D3507" i="4"/>
  <c r="D3506" i="4"/>
  <c r="D3505" i="4"/>
  <c r="D3504" i="4"/>
  <c r="D3503" i="4"/>
  <c r="D3502" i="4"/>
  <c r="D3501" i="4"/>
  <c r="D3500" i="4"/>
  <c r="D3499" i="4"/>
  <c r="D3498" i="4"/>
  <c r="D3497" i="4"/>
  <c r="D3496" i="4"/>
  <c r="D3495" i="4"/>
  <c r="D3494" i="4"/>
  <c r="D3493" i="4"/>
  <c r="D3492" i="4"/>
  <c r="D3491" i="4"/>
  <c r="D3490" i="4"/>
  <c r="D3489" i="4"/>
  <c r="D3488" i="4"/>
  <c r="D3487" i="4"/>
  <c r="D3486" i="4"/>
  <c r="D3485" i="4"/>
  <c r="D3484" i="4"/>
  <c r="D3483" i="4"/>
  <c r="D3482" i="4"/>
  <c r="D3481" i="4"/>
  <c r="D3480" i="4"/>
  <c r="D3479" i="4"/>
  <c r="D3478" i="4"/>
  <c r="D3477" i="4"/>
  <c r="D3476" i="4"/>
  <c r="D3475" i="4"/>
  <c r="D3474" i="4"/>
  <c r="D3473" i="4"/>
  <c r="D3472" i="4"/>
  <c r="D3471" i="4"/>
  <c r="D3470" i="4"/>
  <c r="D3469" i="4"/>
  <c r="D3468" i="4"/>
  <c r="D3467" i="4"/>
  <c r="D3466" i="4"/>
  <c r="D3465" i="4"/>
  <c r="D3464" i="4"/>
  <c r="D3463" i="4"/>
  <c r="D3462" i="4"/>
  <c r="D3461" i="4"/>
  <c r="D3460" i="4"/>
  <c r="D3459" i="4"/>
  <c r="D3458" i="4"/>
  <c r="D3457" i="4"/>
  <c r="D3456" i="4"/>
  <c r="D3455" i="4"/>
  <c r="D3454" i="4"/>
  <c r="D3453" i="4"/>
  <c r="D3452" i="4"/>
  <c r="D3451" i="4"/>
  <c r="D3450" i="4"/>
  <c r="D3449" i="4"/>
  <c r="D3448" i="4"/>
  <c r="D3447" i="4"/>
  <c r="D3446" i="4"/>
  <c r="D3445" i="4"/>
  <c r="D3444" i="4"/>
  <c r="D3443" i="4"/>
  <c r="D3442" i="4"/>
  <c r="D3441" i="4"/>
  <c r="D3440" i="4"/>
  <c r="D3439" i="4"/>
  <c r="D3438" i="4"/>
  <c r="D3437" i="4"/>
  <c r="D3436" i="4"/>
  <c r="D3435" i="4"/>
  <c r="D3434" i="4"/>
  <c r="D3433" i="4"/>
  <c r="D3432" i="4"/>
  <c r="D3431" i="4"/>
  <c r="D3430" i="4"/>
  <c r="D3429" i="4"/>
  <c r="D3428" i="4"/>
  <c r="D3427" i="4"/>
  <c r="D3426" i="4"/>
  <c r="D3425" i="4"/>
  <c r="D3424" i="4"/>
  <c r="D3423" i="4"/>
  <c r="D3422" i="4"/>
  <c r="D3421" i="4"/>
  <c r="D3420" i="4"/>
  <c r="D3419" i="4"/>
  <c r="D3418" i="4"/>
  <c r="D3417" i="4"/>
  <c r="D3416" i="4"/>
  <c r="D3415" i="4"/>
  <c r="D3414" i="4"/>
  <c r="D3413" i="4"/>
  <c r="D3412" i="4"/>
  <c r="D3411" i="4"/>
  <c r="D3410" i="4"/>
  <c r="D3409" i="4"/>
  <c r="D3408" i="4"/>
  <c r="D3407" i="4"/>
  <c r="D3406" i="4"/>
  <c r="D3405" i="4"/>
  <c r="D3404" i="4"/>
  <c r="D3403" i="4"/>
  <c r="D3402" i="4"/>
  <c r="D3401" i="4"/>
  <c r="D3400" i="4"/>
  <c r="D3399" i="4"/>
  <c r="D3398" i="4"/>
  <c r="D3397" i="4"/>
  <c r="D3396" i="4"/>
  <c r="D3395" i="4"/>
  <c r="D3394" i="4"/>
  <c r="D3393" i="4"/>
  <c r="D3392" i="4"/>
  <c r="D3391" i="4"/>
  <c r="D3390" i="4"/>
  <c r="D3389" i="4"/>
  <c r="D3388" i="4"/>
  <c r="D3387" i="4"/>
  <c r="D3386" i="4"/>
  <c r="D3385" i="4"/>
  <c r="D3384" i="4"/>
  <c r="D3383" i="4"/>
  <c r="D3382" i="4"/>
  <c r="D3381" i="4"/>
  <c r="D3380" i="4"/>
  <c r="D3379" i="4"/>
  <c r="D3378" i="4"/>
  <c r="D3377" i="4"/>
  <c r="D3376" i="4"/>
  <c r="D3375" i="4"/>
  <c r="D3374" i="4"/>
  <c r="D3373" i="4"/>
  <c r="D3372" i="4"/>
  <c r="D3371" i="4"/>
  <c r="D3370" i="4"/>
  <c r="D3369" i="4"/>
  <c r="D3368" i="4"/>
  <c r="D3367" i="4"/>
  <c r="D3366" i="4"/>
  <c r="D3365" i="4"/>
  <c r="D3364" i="4"/>
  <c r="D3363" i="4"/>
  <c r="D3362" i="4"/>
  <c r="D3361" i="4"/>
  <c r="D3360" i="4"/>
  <c r="D3359" i="4"/>
  <c r="D3358" i="4"/>
  <c r="D3357" i="4"/>
  <c r="D3356" i="4"/>
  <c r="D3355" i="4"/>
  <c r="D3354" i="4"/>
  <c r="D3353" i="4"/>
  <c r="D3352" i="4"/>
  <c r="D3351" i="4"/>
  <c r="D3350" i="4"/>
  <c r="D3349" i="4"/>
  <c r="D3348" i="4"/>
  <c r="D3347" i="4"/>
  <c r="D3346" i="4"/>
  <c r="D3345" i="4"/>
  <c r="D3344" i="4"/>
  <c r="D3343" i="4"/>
  <c r="D3342" i="4"/>
  <c r="D3341" i="4"/>
  <c r="D3340" i="4"/>
  <c r="D3339" i="4"/>
  <c r="D3338" i="4"/>
  <c r="D3337" i="4"/>
  <c r="D3336" i="4"/>
  <c r="D3335" i="4"/>
  <c r="D3334" i="4"/>
  <c r="D3333" i="4"/>
  <c r="D3332" i="4"/>
  <c r="D3331" i="4"/>
  <c r="D3330" i="4"/>
  <c r="D3329" i="4"/>
  <c r="D3328" i="4"/>
  <c r="D3327" i="4"/>
  <c r="D3326" i="4"/>
  <c r="D3325" i="4"/>
  <c r="D3324" i="4"/>
  <c r="D3323" i="4"/>
  <c r="D3322" i="4"/>
  <c r="D3321" i="4"/>
  <c r="D3320" i="4"/>
  <c r="D3319" i="4"/>
  <c r="D3318" i="4"/>
  <c r="D3317" i="4"/>
  <c r="D3316" i="4"/>
  <c r="D3315" i="4"/>
  <c r="D3314" i="4"/>
  <c r="D3313" i="4"/>
  <c r="D3312" i="4"/>
  <c r="D3311" i="4"/>
  <c r="D3310" i="4"/>
  <c r="D3309" i="4"/>
  <c r="D3308" i="4"/>
  <c r="D3307" i="4"/>
  <c r="D3306" i="4"/>
  <c r="D3305" i="4"/>
  <c r="D3304" i="4"/>
  <c r="D3303" i="4"/>
  <c r="D3302" i="4"/>
  <c r="D3301" i="4"/>
  <c r="D3300" i="4"/>
  <c r="D3299" i="4"/>
  <c r="D3298" i="4"/>
  <c r="D3297" i="4"/>
  <c r="D3296" i="4"/>
  <c r="D3295" i="4"/>
  <c r="D3294" i="4"/>
  <c r="D3293" i="4"/>
  <c r="D3292" i="4"/>
  <c r="D3291" i="4"/>
  <c r="D3290" i="4"/>
  <c r="D3289" i="4"/>
  <c r="D3288" i="4"/>
  <c r="D3287" i="4"/>
  <c r="D3286" i="4"/>
  <c r="D3285" i="4"/>
  <c r="D3284" i="4"/>
  <c r="D3283" i="4"/>
  <c r="D3282" i="4"/>
  <c r="D3281" i="4"/>
  <c r="D3280" i="4"/>
  <c r="D3279" i="4"/>
  <c r="D3278" i="4"/>
  <c r="D3277" i="4"/>
  <c r="D3276" i="4"/>
  <c r="D3275" i="4"/>
  <c r="D3274" i="4"/>
  <c r="D3273" i="4"/>
  <c r="D3272" i="4"/>
  <c r="D3271" i="4"/>
  <c r="D3270" i="4"/>
  <c r="D3269" i="4"/>
  <c r="D3268" i="4"/>
  <c r="D3267" i="4"/>
  <c r="D3266" i="4"/>
  <c r="D3265" i="4"/>
  <c r="D3264" i="4"/>
  <c r="D3263" i="4"/>
  <c r="D3262" i="4"/>
  <c r="D3261" i="4"/>
  <c r="D3260" i="4"/>
  <c r="D3259" i="4"/>
  <c r="D3258" i="4"/>
  <c r="D3257" i="4"/>
  <c r="D3256" i="4"/>
  <c r="D3255" i="4"/>
  <c r="D3254" i="4"/>
  <c r="D3253" i="4"/>
  <c r="D3252" i="4"/>
  <c r="D3251" i="4"/>
  <c r="D3250" i="4"/>
  <c r="D3249" i="4"/>
  <c r="D3248" i="4"/>
  <c r="D3247" i="4"/>
  <c r="D3246" i="4"/>
  <c r="D3245" i="4"/>
  <c r="D3244" i="4"/>
  <c r="D3243" i="4"/>
  <c r="D3242" i="4"/>
  <c r="D3241" i="4"/>
  <c r="D3240" i="4"/>
  <c r="D3239" i="4"/>
  <c r="D3238" i="4"/>
  <c r="D3237" i="4"/>
  <c r="D3236" i="4"/>
  <c r="D3235" i="4"/>
  <c r="D3234" i="4"/>
  <c r="D3233" i="4"/>
  <c r="D3232" i="4"/>
  <c r="D3231" i="4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K27" i="4"/>
  <c r="D19" i="4"/>
  <c r="K26" i="4"/>
  <c r="D18" i="4"/>
  <c r="K25" i="4"/>
  <c r="D17" i="4"/>
  <c r="D16" i="4"/>
  <c r="D15" i="4"/>
  <c r="D14" i="4"/>
  <c r="D13" i="4"/>
  <c r="N13" i="4"/>
  <c r="D12" i="4"/>
  <c r="N12" i="4"/>
  <c r="D11" i="4"/>
  <c r="N11" i="4"/>
  <c r="D10" i="4"/>
  <c r="N10" i="4"/>
  <c r="D9" i="4"/>
  <c r="D8" i="4"/>
  <c r="H17" i="2"/>
  <c r="H18" i="2"/>
  <c r="H19" i="2"/>
  <c r="H16" i="2"/>
  <c r="I17" i="2"/>
  <c r="J17" i="2" s="1"/>
  <c r="K17" i="2" s="1"/>
  <c r="I16" i="2"/>
  <c r="J16" i="2" s="1"/>
  <c r="K16" i="2" s="1"/>
  <c r="I19" i="2"/>
  <c r="J19" i="2" s="1"/>
  <c r="K19" i="2" s="1"/>
  <c r="I18" i="2"/>
  <c r="J18" i="2" s="1"/>
  <c r="K18" i="2" s="1"/>
  <c r="K10" i="2"/>
  <c r="K12" i="2"/>
  <c r="K11" i="2"/>
  <c r="K9" i="2"/>
  <c r="D2703" i="2"/>
  <c r="D3352" i="2"/>
  <c r="D4280" i="2"/>
  <c r="D4685" i="2"/>
  <c r="D3008" i="2"/>
  <c r="D5179" i="2"/>
  <c r="D5301" i="2"/>
  <c r="D1654" i="2"/>
  <c r="D1292" i="2"/>
  <c r="D503" i="2"/>
  <c r="D1400" i="2"/>
  <c r="D1727" i="2"/>
  <c r="D257" i="2"/>
  <c r="D3810" i="2"/>
  <c r="D117" i="2"/>
  <c r="D4178" i="2"/>
  <c r="D90" i="2"/>
  <c r="D2833" i="2"/>
  <c r="D1732" i="2"/>
  <c r="D5663" i="2"/>
  <c r="D298" i="2"/>
  <c r="D5453" i="2"/>
  <c r="D5714" i="2"/>
  <c r="D414" i="2"/>
  <c r="D77" i="2"/>
  <c r="D5801" i="2"/>
  <c r="D2166" i="2"/>
  <c r="D5798" i="2"/>
  <c r="D1287" i="2"/>
  <c r="D1453" i="2"/>
  <c r="D1423" i="2"/>
  <c r="D4891" i="2"/>
  <c r="D4042" i="2"/>
  <c r="D5530" i="2"/>
  <c r="D326" i="2"/>
  <c r="D5666" i="2"/>
  <c r="D3829" i="2"/>
  <c r="D2779" i="2"/>
  <c r="D4743" i="2"/>
  <c r="D5735" i="2"/>
  <c r="D4508" i="2"/>
  <c r="D4663" i="2"/>
  <c r="D2724" i="2"/>
  <c r="D4372" i="2"/>
  <c r="D2880" i="2"/>
  <c r="D1210" i="2"/>
  <c r="D5062" i="2"/>
  <c r="D3564" i="2"/>
  <c r="D749" i="2"/>
  <c r="D1046" i="2"/>
  <c r="D5412" i="2"/>
  <c r="D1663" i="2"/>
  <c r="D3194" i="2"/>
  <c r="D4778" i="2"/>
  <c r="D1763" i="2"/>
  <c r="D5044" i="2"/>
  <c r="D4595" i="2"/>
  <c r="D1251" i="2"/>
  <c r="D1363" i="2"/>
  <c r="D4871" i="2"/>
  <c r="D2022" i="2"/>
  <c r="D5839" i="2"/>
  <c r="D5859" i="2"/>
  <c r="D5747" i="2"/>
  <c r="D3096" i="2"/>
  <c r="D800" i="2"/>
  <c r="D4142" i="2"/>
  <c r="D5726" i="2"/>
  <c r="D3325" i="2"/>
  <c r="D5496" i="2"/>
  <c r="D3010" i="2"/>
  <c r="D5649" i="2"/>
  <c r="D3806" i="2"/>
  <c r="D377" i="2"/>
  <c r="D964" i="2"/>
  <c r="D4566" i="2"/>
  <c r="D5052" i="2"/>
  <c r="D1283" i="2"/>
  <c r="D835" i="2"/>
  <c r="D1665" i="2"/>
  <c r="D4292" i="2"/>
  <c r="D2218" i="2"/>
  <c r="D4273" i="2"/>
  <c r="D1307" i="2"/>
  <c r="D5154" i="2"/>
  <c r="D4531" i="2"/>
  <c r="D3006" i="2"/>
  <c r="D2454" i="2"/>
  <c r="D915" i="2"/>
  <c r="D4721" i="2"/>
  <c r="D3503" i="2"/>
  <c r="D2254" i="2"/>
  <c r="D1934" i="2"/>
  <c r="D4122" i="2"/>
  <c r="D4673" i="2"/>
  <c r="D2405" i="2"/>
  <c r="D5869" i="2"/>
  <c r="D5123" i="2"/>
  <c r="D2258" i="2"/>
  <c r="D2745" i="2"/>
  <c r="D3152" i="2"/>
  <c r="D249" i="2"/>
  <c r="D3604" i="2"/>
  <c r="D3457" i="2"/>
  <c r="D2640" i="2"/>
  <c r="D3227" i="2"/>
  <c r="D3359" i="2"/>
  <c r="D2829" i="2"/>
  <c r="D1892" i="2"/>
  <c r="D4967" i="2"/>
  <c r="D11" i="2"/>
  <c r="D2488" i="2"/>
  <c r="D963" i="2"/>
  <c r="D2195" i="2"/>
  <c r="D70" i="2"/>
  <c r="D4805" i="2"/>
  <c r="D2905" i="2"/>
  <c r="D4081" i="2"/>
  <c r="D4238" i="2"/>
  <c r="D1182" i="2"/>
  <c r="D3852" i="2"/>
  <c r="D1754" i="2"/>
  <c r="D3155" i="2"/>
  <c r="D3290" i="2"/>
  <c r="D3989" i="2"/>
  <c r="D2365" i="2"/>
  <c r="D109" i="2"/>
  <c r="D914" i="2"/>
  <c r="D388" i="2"/>
  <c r="D4825" i="2"/>
  <c r="D2815" i="2"/>
  <c r="D2668" i="2"/>
  <c r="D2343" i="2"/>
  <c r="D4819" i="2"/>
  <c r="D3281" i="2"/>
  <c r="D3381" i="2"/>
  <c r="D1439" i="2"/>
  <c r="D4249" i="2"/>
  <c r="D2392" i="2"/>
  <c r="D3105" i="2"/>
  <c r="D5660" i="2"/>
  <c r="D5544" i="2"/>
  <c r="D2190" i="2"/>
  <c r="D5183" i="2"/>
  <c r="D2947" i="2"/>
  <c r="D2764" i="2"/>
  <c r="D4234" i="2"/>
  <c r="D2016" i="2"/>
  <c r="D4640" i="2"/>
  <c r="D5351" i="2"/>
  <c r="D3847" i="2"/>
  <c r="D2045" i="2"/>
  <c r="D2536" i="2"/>
  <c r="D2486" i="2"/>
  <c r="D5447" i="2"/>
  <c r="D2144" i="2"/>
  <c r="D1903" i="2"/>
  <c r="D1963" i="2"/>
  <c r="D4971" i="2"/>
  <c r="D536" i="2"/>
  <c r="D1159" i="2"/>
  <c r="D2401" i="2"/>
  <c r="D4008" i="2"/>
  <c r="D4010" i="2"/>
  <c r="D5626" i="2"/>
  <c r="D3399" i="2"/>
  <c r="D3825" i="2"/>
  <c r="D3739" i="2"/>
  <c r="D433" i="2"/>
  <c r="D1206" i="2"/>
  <c r="D1489" i="2"/>
  <c r="D3962" i="2"/>
  <c r="D1966" i="2"/>
  <c r="D5015" i="2"/>
  <c r="D1850" i="2"/>
  <c r="D465" i="2"/>
  <c r="D4130" i="2"/>
  <c r="D1636" i="2"/>
  <c r="D918" i="2"/>
  <c r="D4568" i="2"/>
  <c r="D1879" i="2"/>
  <c r="D693" i="2"/>
  <c r="D1360" i="2"/>
  <c r="D4358" i="2"/>
  <c r="D4776" i="2"/>
  <c r="D2162" i="2"/>
  <c r="D3955" i="2"/>
  <c r="D3703" i="2"/>
  <c r="D4378" i="2"/>
  <c r="D4035" i="2"/>
  <c r="D1725" i="2"/>
  <c r="D3791" i="2"/>
  <c r="D5252" i="2"/>
  <c r="D4060" i="2"/>
  <c r="D5452" i="2"/>
  <c r="D1904" i="2"/>
  <c r="D726" i="2"/>
  <c r="D1644" i="2"/>
  <c r="D3681" i="2"/>
  <c r="D2088" i="2"/>
  <c r="D513" i="2"/>
  <c r="D1135" i="2"/>
  <c r="D4468" i="2"/>
  <c r="D255" i="2"/>
  <c r="D2159" i="2"/>
  <c r="D2596" i="2"/>
  <c r="D2048" i="2"/>
  <c r="D4737" i="2"/>
  <c r="D1627" i="2"/>
  <c r="D4215" i="2"/>
  <c r="D1691" i="2"/>
  <c r="D1485" i="2"/>
  <c r="D981" i="2"/>
  <c r="D3597" i="2"/>
  <c r="D2079" i="2"/>
  <c r="D3993" i="2"/>
  <c r="D3855" i="2"/>
  <c r="D2767" i="2"/>
  <c r="D2865" i="2"/>
  <c r="D3621" i="2"/>
  <c r="D3709" i="2"/>
  <c r="D4050" i="2"/>
  <c r="D2349" i="2"/>
  <c r="D5246" i="2"/>
  <c r="D3871" i="2"/>
  <c r="D4831" i="2"/>
  <c r="D2989" i="2"/>
  <c r="D2028" i="2"/>
  <c r="D1728" i="2"/>
  <c r="D4193" i="2"/>
  <c r="D1692" i="2"/>
  <c r="D5248" i="2"/>
  <c r="D4731" i="2"/>
  <c r="D1346" i="2"/>
  <c r="D521" i="2"/>
  <c r="D5408" i="2"/>
  <c r="D5118" i="2"/>
  <c r="D385" i="2"/>
  <c r="D3384" i="2"/>
  <c r="D5119" i="2"/>
  <c r="D5813" i="2"/>
  <c r="D4502" i="2"/>
  <c r="D1231" i="2"/>
  <c r="D4318" i="2"/>
  <c r="D4821" i="2"/>
  <c r="D3192" i="2"/>
  <c r="D1539" i="2"/>
  <c r="D5100" i="2"/>
  <c r="D2108" i="2"/>
  <c r="D1506" i="2"/>
  <c r="D4131" i="2"/>
  <c r="D4710" i="2"/>
  <c r="D2373" i="2"/>
  <c r="D654" i="2"/>
  <c r="D1454" i="2"/>
  <c r="D4436" i="2"/>
  <c r="D1731" i="2"/>
  <c r="D455" i="2"/>
  <c r="D4284" i="2"/>
  <c r="D2444" i="2"/>
  <c r="D638" i="2"/>
  <c r="D3909" i="2"/>
  <c r="D4837" i="2"/>
  <c r="D2789" i="2"/>
  <c r="D1807" i="2"/>
  <c r="D3782" i="2"/>
  <c r="D2310" i="2"/>
  <c r="D1412" i="2"/>
  <c r="D1902" i="2"/>
  <c r="D2441" i="2"/>
  <c r="D308" i="2"/>
  <c r="D3011" i="2"/>
  <c r="D4123" i="2"/>
  <c r="D4660" i="2"/>
  <c r="D5278" i="2"/>
  <c r="D2253" i="2"/>
  <c r="D2269" i="2"/>
  <c r="D2807" i="2"/>
  <c r="D66" i="2"/>
  <c r="D873" i="2"/>
  <c r="D5281" i="2"/>
  <c r="D4266" i="2"/>
  <c r="D5243" i="2"/>
  <c r="D4077" i="2"/>
  <c r="D4752" i="2"/>
  <c r="D4082" i="2"/>
  <c r="D2263" i="2"/>
  <c r="D2133" i="2"/>
  <c r="D2879" i="2"/>
  <c r="D4216" i="2"/>
  <c r="D1501" i="2"/>
  <c r="D3578" i="2"/>
  <c r="D2291" i="2"/>
  <c r="D4182" i="2"/>
  <c r="D5067" i="2"/>
  <c r="D3169" i="2"/>
  <c r="D2351" i="2"/>
  <c r="D4113" i="2"/>
  <c r="D5797" i="2"/>
  <c r="D317" i="2"/>
  <c r="D5647" i="2"/>
  <c r="D484" i="2"/>
  <c r="D451" i="2"/>
  <c r="D1150" i="2"/>
  <c r="D4586" i="2"/>
  <c r="D3957" i="2"/>
  <c r="D4038" i="2"/>
  <c r="D4267" i="2"/>
  <c r="D1822" i="2"/>
  <c r="D2862" i="2"/>
  <c r="D4656" i="2"/>
  <c r="D1508" i="2"/>
  <c r="D535" i="2"/>
  <c r="D4295" i="2"/>
  <c r="D4000" i="2"/>
  <c r="D4184" i="2"/>
  <c r="D5737" i="2"/>
  <c r="D5031" i="2"/>
  <c r="D1762" i="2"/>
  <c r="D660" i="2"/>
  <c r="D1224" i="2"/>
  <c r="D5739" i="2"/>
  <c r="D3745" i="2"/>
  <c r="D752" i="2"/>
  <c r="D1338" i="2"/>
  <c r="D3720" i="2"/>
  <c r="D1670" i="2"/>
  <c r="D2232" i="2"/>
  <c r="D4738" i="2"/>
  <c r="D2579" i="2"/>
  <c r="D3403" i="2"/>
  <c r="D3932" i="2"/>
  <c r="D5595" i="2"/>
  <c r="D3981" i="2"/>
  <c r="D5467" i="2"/>
  <c r="D3571" i="2"/>
  <c r="D1655" i="2"/>
  <c r="D4933" i="2"/>
  <c r="D1161" i="2"/>
  <c r="D3376" i="2"/>
  <c r="D5266" i="2"/>
  <c r="D4700" i="2"/>
  <c r="D3704" i="2"/>
  <c r="D3905" i="2"/>
  <c r="D3878" i="2"/>
  <c r="D3138" i="2"/>
  <c r="D1500" i="2"/>
  <c r="D5127" i="2"/>
  <c r="D4118" i="2"/>
  <c r="D644" i="2"/>
  <c r="D4084" i="2"/>
  <c r="D663" i="2"/>
  <c r="D5573" i="2"/>
  <c r="D2651" i="2"/>
  <c r="D2984" i="2"/>
  <c r="D2017" i="2"/>
  <c r="D3481" i="2"/>
  <c r="D5695" i="2"/>
  <c r="D5914" i="2"/>
  <c r="D5668" i="2"/>
  <c r="D5436" i="2"/>
  <c r="D2326" i="2"/>
  <c r="D4760" i="2"/>
  <c r="D4588" i="2"/>
  <c r="D2710" i="2"/>
  <c r="D5500" i="2"/>
  <c r="D2740" i="2"/>
  <c r="D3718" i="2"/>
  <c r="D886" i="2"/>
  <c r="D4019" i="2"/>
  <c r="D4229" i="2"/>
  <c r="D4191" i="2"/>
  <c r="D5145" i="2"/>
  <c r="D608" i="2"/>
  <c r="D5516" i="2"/>
  <c r="D4613" i="2"/>
  <c r="D2061" i="2"/>
  <c r="D1462" i="2"/>
  <c r="D2883" i="2"/>
  <c r="D4419" i="2"/>
  <c r="D4310" i="2"/>
  <c r="D3711" i="2"/>
  <c r="D1541" i="2"/>
  <c r="D3789" i="2"/>
  <c r="D5633" i="2"/>
  <c r="D5844" i="2"/>
  <c r="D5261" i="2"/>
  <c r="D1942" i="2"/>
  <c r="D1333" i="2"/>
  <c r="D1368" i="2"/>
  <c r="D3350" i="2"/>
  <c r="D4657" i="2"/>
  <c r="D4668" i="2"/>
  <c r="D2234" i="2"/>
  <c r="D1895" i="2"/>
  <c r="D4937" i="2"/>
  <c r="D4388" i="2"/>
  <c r="D4339" i="2"/>
  <c r="D4464" i="2"/>
  <c r="D2094" i="2"/>
  <c r="D482" i="2"/>
  <c r="D2155" i="2"/>
  <c r="D2567" i="2"/>
  <c r="D1258" i="2"/>
  <c r="D2592" i="2"/>
  <c r="D398" i="2"/>
  <c r="D2750" i="2"/>
  <c r="D1637" i="2"/>
  <c r="D2318" i="2"/>
  <c r="D3735" i="2"/>
  <c r="D5060" i="2"/>
  <c r="D3455" i="2"/>
  <c r="D1994" i="2"/>
  <c r="D4792" i="2"/>
  <c r="D1238" i="2"/>
  <c r="D831" i="2"/>
  <c r="D1502" i="2"/>
  <c r="D1456" i="2"/>
  <c r="D1682" i="2"/>
  <c r="D2864" i="2"/>
  <c r="D4767" i="2"/>
  <c r="D2203" i="2"/>
  <c r="D1184" i="2"/>
  <c r="D5763" i="2"/>
  <c r="D3107" i="2"/>
  <c r="D2465" i="2"/>
  <c r="D3953" i="2"/>
  <c r="D2533" i="2"/>
  <c r="D2075" i="2"/>
  <c r="D334" i="2"/>
  <c r="D732" i="2"/>
  <c r="D2684" i="2"/>
  <c r="D746" i="2"/>
  <c r="D3882" i="2"/>
  <c r="D1972" i="2"/>
  <c r="D5040" i="2"/>
  <c r="D3895" i="2"/>
  <c r="D2047" i="2"/>
  <c r="D5184" i="2"/>
  <c r="D1863" i="2"/>
  <c r="D5166" i="2"/>
  <c r="D4483" i="2"/>
  <c r="D1528" i="2"/>
  <c r="D224" i="2"/>
  <c r="D2535" i="2"/>
  <c r="D5061" i="2"/>
  <c r="D2959" i="2"/>
  <c r="D2388" i="2"/>
  <c r="D3093" i="2"/>
  <c r="D3251" i="2"/>
  <c r="D2287" i="2"/>
  <c r="D1084" i="2"/>
  <c r="D1858" i="2"/>
  <c r="D2650" i="2"/>
  <c r="D5075" i="2"/>
  <c r="D2639" i="2"/>
  <c r="D4602" i="2"/>
  <c r="D1573" i="2"/>
  <c r="D4702" i="2"/>
  <c r="D3328" i="2"/>
  <c r="D2231" i="2"/>
  <c r="D2707" i="2"/>
  <c r="D2776" i="2"/>
  <c r="D3607" i="2"/>
  <c r="D2348" i="2"/>
  <c r="D1621" i="2"/>
  <c r="D5466" i="2"/>
  <c r="D152" i="2"/>
  <c r="D3733" i="2"/>
  <c r="D4091" i="2"/>
  <c r="D3287" i="2"/>
  <c r="D4187" i="2"/>
  <c r="D3857" i="2"/>
  <c r="D999" i="2"/>
  <c r="D3282" i="2"/>
  <c r="D4788" i="2"/>
  <c r="D1832" i="2"/>
  <c r="D1158" i="2"/>
  <c r="D880" i="2"/>
  <c r="D3425" i="2"/>
  <c r="D2996" i="2"/>
  <c r="D5413" i="2"/>
  <c r="D3994" i="2"/>
  <c r="D124" i="2"/>
  <c r="D456" i="2"/>
  <c r="D5876" i="2"/>
  <c r="D5618" i="2"/>
  <c r="D4328" i="2"/>
  <c r="D2851" i="2"/>
  <c r="D5247" i="2"/>
  <c r="D173" i="2"/>
  <c r="D2466" i="2"/>
  <c r="D1540" i="2"/>
  <c r="D4250" i="2"/>
  <c r="D3567" i="2"/>
  <c r="D3631" i="2"/>
  <c r="D1190" i="2"/>
  <c r="D1163" i="2"/>
  <c r="D2973" i="2"/>
  <c r="D4521" i="2"/>
  <c r="D4085" i="2"/>
  <c r="D3814" i="2"/>
  <c r="D5197" i="2"/>
  <c r="D974" i="2"/>
  <c r="D4997" i="2"/>
  <c r="D2422" i="2"/>
  <c r="D4991" i="2"/>
  <c r="D731" i="2"/>
  <c r="D3464" i="2"/>
  <c r="D2784" i="2"/>
  <c r="D1532" i="2"/>
  <c r="D1908" i="2"/>
  <c r="D1927" i="2"/>
  <c r="D4736" i="2"/>
  <c r="D1708" i="2"/>
  <c r="D3390" i="2"/>
  <c r="D2323" i="2"/>
  <c r="D4897" i="2"/>
  <c r="D4445" i="2"/>
  <c r="D4614" i="2"/>
  <c r="D1225" i="2"/>
  <c r="D4170" i="2"/>
  <c r="D3143" i="2"/>
  <c r="D2555" i="2"/>
  <c r="D852" i="2"/>
  <c r="D2511" i="2"/>
  <c r="D3901" i="2"/>
  <c r="D3012" i="2"/>
  <c r="D2322" i="2"/>
  <c r="D1381" i="2"/>
  <c r="D5593" i="2"/>
  <c r="D3741" i="2"/>
  <c r="D5846" i="2"/>
  <c r="D4826" i="2"/>
  <c r="D2002" i="2"/>
  <c r="D3783" i="2"/>
  <c r="D2119" i="2"/>
  <c r="D3779" i="2"/>
  <c r="D3690" i="2"/>
  <c r="D1005" i="2"/>
  <c r="D2672" i="2"/>
  <c r="D1873" i="2"/>
  <c r="D2870" i="2"/>
  <c r="D1662" i="2"/>
  <c r="D5359" i="2"/>
  <c r="D723" i="2"/>
  <c r="D2101" i="2"/>
  <c r="D4315" i="2"/>
  <c r="D2532" i="2"/>
  <c r="D4762" i="2"/>
  <c r="D2741" i="2"/>
  <c r="D4451" i="2"/>
  <c r="D1472" i="2"/>
  <c r="D5330" i="2"/>
  <c r="D5402" i="2"/>
  <c r="D5819" i="2"/>
  <c r="D2886" i="2"/>
  <c r="D5627" i="2"/>
  <c r="D5322" i="2"/>
  <c r="D1737" i="2"/>
  <c r="D3364" i="2"/>
  <c r="D3755" i="2"/>
  <c r="D2942" i="2"/>
  <c r="D1885" i="2"/>
  <c r="D4723" i="2"/>
  <c r="D5345" i="2"/>
  <c r="D4428" i="2"/>
  <c r="D2620" i="2"/>
  <c r="D4119" i="2"/>
  <c r="D3408" i="2"/>
  <c r="D3499" i="2"/>
  <c r="D2690" i="2"/>
  <c r="D3556" i="2"/>
  <c r="D1831" i="2"/>
  <c r="D1081" i="2"/>
  <c r="D1191" i="2"/>
  <c r="D2642" i="2"/>
  <c r="D4957" i="2"/>
  <c r="D2768" i="2"/>
  <c r="D1962" i="2"/>
  <c r="D464" i="2"/>
  <c r="D3242" i="2"/>
  <c r="D1896" i="2"/>
  <c r="D3638" i="2"/>
  <c r="D2971" i="2"/>
  <c r="D4257" i="2"/>
  <c r="D3140" i="2"/>
  <c r="D1586" i="2"/>
  <c r="D1371" i="2"/>
  <c r="D1776" i="2"/>
  <c r="D721" i="2"/>
  <c r="D4680" i="2"/>
  <c r="D3013" i="2"/>
  <c r="D2247" i="2"/>
  <c r="D2187" i="2"/>
  <c r="D3768" i="2"/>
  <c r="D3103" i="2"/>
  <c r="D3574" i="2"/>
  <c r="D4675" i="2"/>
  <c r="D1108" i="2"/>
  <c r="D2116" i="2"/>
  <c r="D1374" i="2"/>
  <c r="D2418" i="2"/>
  <c r="D3371" i="2"/>
  <c r="D4053" i="2"/>
  <c r="D541" i="2"/>
  <c r="D2729" i="2"/>
  <c r="D717" i="2"/>
  <c r="D1446" i="2"/>
  <c r="D1722" i="2"/>
  <c r="D5503" i="2"/>
  <c r="D1406" i="2"/>
  <c r="D2219" i="2"/>
  <c r="D3474" i="2"/>
  <c r="D5788" i="2"/>
  <c r="D3832" i="2"/>
  <c r="D4878" i="2"/>
  <c r="D2734" i="2"/>
  <c r="D2646" i="2"/>
  <c r="D4158" i="2"/>
  <c r="D2917" i="2"/>
  <c r="D4960" i="2"/>
  <c r="D3781" i="2"/>
  <c r="D3432" i="2"/>
  <c r="D2239" i="2"/>
  <c r="D3179" i="2"/>
  <c r="D5115" i="2"/>
  <c r="D3785" i="2"/>
  <c r="D1200" i="2"/>
  <c r="D2822" i="2"/>
  <c r="D2632" i="2"/>
  <c r="D3702" i="2"/>
  <c r="D5849" i="2"/>
  <c r="D2459" i="2"/>
  <c r="D4698" i="2"/>
  <c r="D892" i="2"/>
  <c r="D1432" i="2"/>
  <c r="D1450" i="2"/>
  <c r="D2499" i="2"/>
  <c r="D2408" i="2"/>
  <c r="D5116" i="2"/>
  <c r="D4926" i="2"/>
  <c r="D1810" i="2"/>
  <c r="D3256" i="2"/>
  <c r="D1785" i="2"/>
  <c r="D3639" i="2"/>
  <c r="D1791" i="2"/>
  <c r="D2890" i="2"/>
  <c r="D3854" i="2"/>
  <c r="D4450" i="2"/>
  <c r="D2796" i="2"/>
  <c r="D4968" i="2"/>
  <c r="D2457" i="2"/>
  <c r="D1610" i="2"/>
  <c r="D2997" i="2"/>
  <c r="D1314" i="2"/>
  <c r="D675" i="2"/>
  <c r="D3797" i="2"/>
  <c r="D3270" i="2"/>
  <c r="D1884" i="2"/>
  <c r="D4276" i="2"/>
  <c r="D3792" i="2"/>
  <c r="D3662" i="2"/>
  <c r="D1971" i="2"/>
  <c r="D5304" i="2"/>
  <c r="D5717" i="2"/>
  <c r="D4089" i="2"/>
  <c r="D2691" i="2"/>
  <c r="D2810" i="2"/>
  <c r="D2813" i="2"/>
  <c r="D4524" i="2"/>
  <c r="D1877" i="2"/>
  <c r="D4808" i="2"/>
  <c r="D3889" i="2"/>
  <c r="D1820" i="2"/>
  <c r="D3332" i="2"/>
  <c r="D4549" i="2"/>
  <c r="D5853" i="2"/>
  <c r="D1677" i="2"/>
  <c r="D3599" i="2"/>
  <c r="D2381" i="2"/>
  <c r="D2960" i="2"/>
  <c r="D850" i="2"/>
  <c r="D1482" i="2"/>
  <c r="D1464" i="2"/>
  <c r="D3611" i="2"/>
  <c r="D2196" i="2"/>
  <c r="D895" i="2"/>
  <c r="D3118" i="2"/>
  <c r="D5312" i="2"/>
  <c r="D1673" i="2"/>
  <c r="D1611" i="2"/>
  <c r="D3786" i="2"/>
  <c r="D3314" i="2"/>
  <c r="D2207" i="2"/>
  <c r="D1772" i="2"/>
  <c r="D1974" i="2"/>
  <c r="D2390" i="2"/>
  <c r="D854" i="2"/>
  <c r="D5506" i="2"/>
  <c r="D3259" i="2"/>
  <c r="D2463" i="2"/>
  <c r="D3562" i="2"/>
  <c r="D1758" i="2"/>
  <c r="D1679" i="2"/>
  <c r="D2548" i="2"/>
  <c r="D506" i="2"/>
  <c r="D2130" i="2"/>
  <c r="D3784" i="2"/>
  <c r="D3876" i="2"/>
  <c r="D2278" i="2"/>
  <c r="D2216" i="2"/>
  <c r="D4947" i="2"/>
  <c r="D3331" i="2"/>
  <c r="D877" i="2"/>
  <c r="D842" i="2"/>
  <c r="D2551" i="2"/>
  <c r="D2436" i="2"/>
  <c r="D2682" i="2"/>
  <c r="D1721" i="2"/>
  <c r="D4263" i="2"/>
  <c r="D1193" i="2"/>
  <c r="D2992" i="2"/>
  <c r="D4527" i="2"/>
  <c r="D1978" i="2"/>
  <c r="D5193" i="2"/>
  <c r="D2604" i="2"/>
  <c r="D2980" i="2"/>
  <c r="D3680" i="2"/>
  <c r="D211" i="2"/>
  <c r="D2558" i="2"/>
  <c r="D2023" i="2"/>
  <c r="D2564" i="2"/>
  <c r="D1349" i="2"/>
  <c r="D664" i="2"/>
  <c r="D1320" i="2"/>
  <c r="D3309" i="2"/>
  <c r="D2847" i="2"/>
  <c r="D3801" i="2"/>
  <c r="D2204" i="2"/>
  <c r="D2526" i="2"/>
  <c r="D2395" i="2"/>
  <c r="D1010" i="2"/>
  <c r="D1133" i="2"/>
  <c r="D5275" i="2"/>
  <c r="D2221" i="2"/>
  <c r="D1162" i="2"/>
  <c r="D1570" i="2"/>
  <c r="D1152" i="2"/>
  <c r="D4559" i="2"/>
  <c r="D4988" i="2"/>
  <c r="D2916" i="2"/>
  <c r="D1212" i="2"/>
  <c r="D1937" i="2"/>
  <c r="D3765" i="2"/>
  <c r="D4079" i="2"/>
  <c r="D4380" i="2"/>
  <c r="D2621" i="2"/>
  <c r="D2982" i="2"/>
  <c r="D5217" i="2"/>
  <c r="D2981" i="2"/>
  <c r="D4183" i="2"/>
  <c r="D3654" i="2"/>
  <c r="D4841" i="2"/>
  <c r="D430" i="2"/>
  <c r="D258" i="2"/>
  <c r="D5143" i="2"/>
  <c r="D5306" i="2"/>
  <c r="D4571" i="2"/>
  <c r="D3549" i="2"/>
  <c r="D3476" i="2"/>
  <c r="D1078" i="2"/>
  <c r="D3486" i="2"/>
  <c r="D3627" i="2"/>
  <c r="D2171" i="2"/>
  <c r="D279" i="2"/>
  <c r="D2201" i="2"/>
  <c r="D1147" i="2"/>
  <c r="D5783" i="2"/>
  <c r="D4476" i="2"/>
  <c r="D3714" i="2"/>
  <c r="D3688" i="2"/>
  <c r="D1383" i="2"/>
  <c r="D1723" i="2"/>
  <c r="D2362" i="2"/>
  <c r="D4065" i="2"/>
  <c r="D4066" i="2"/>
  <c r="D3817" i="2"/>
  <c r="D696" i="2"/>
  <c r="D2458" i="2"/>
  <c r="D2717" i="2"/>
  <c r="D3572" i="2"/>
  <c r="D550" i="2"/>
  <c r="D5146" i="2"/>
  <c r="D1788" i="2"/>
  <c r="D5198" i="2"/>
  <c r="D804" i="2"/>
  <c r="D5441" i="2"/>
  <c r="D5038" i="2"/>
  <c r="D1442" i="2"/>
  <c r="D3368" i="2"/>
  <c r="D5705" i="2"/>
  <c r="D5696" i="2"/>
  <c r="D2700" i="2"/>
  <c r="D1531" i="2"/>
  <c r="D2531" i="2"/>
  <c r="D3592" i="2"/>
  <c r="D4585" i="2"/>
  <c r="D4354" i="2"/>
  <c r="D4534" i="2"/>
  <c r="D2610" i="2"/>
  <c r="D4630" i="2"/>
  <c r="D3929" i="2"/>
  <c r="D3849" i="2"/>
  <c r="D4283" i="2"/>
  <c r="D5090" i="2"/>
  <c r="D4645" i="2"/>
  <c r="D3678" i="2"/>
  <c r="D2307" i="2"/>
  <c r="D639" i="2"/>
  <c r="D3218" i="2"/>
  <c r="D4783" i="2"/>
  <c r="D1845" i="2"/>
  <c r="D3914" i="2"/>
  <c r="D2951" i="2"/>
  <c r="D1578" i="2"/>
  <c r="D5613" i="2"/>
  <c r="D4057" i="2"/>
  <c r="D4814" i="2"/>
  <c r="D2256" i="2"/>
  <c r="D5435" i="2"/>
  <c r="D2652" i="2"/>
  <c r="D3441" i="2"/>
  <c r="D534" i="2"/>
  <c r="D2688" i="2"/>
  <c r="D2170" i="2"/>
  <c r="D4914" i="2"/>
  <c r="D2732" i="2"/>
  <c r="D1065" i="2"/>
  <c r="D4093" i="2"/>
  <c r="D978" i="2"/>
  <c r="D3582" i="2"/>
  <c r="D2096" i="2"/>
  <c r="D3313" i="2"/>
  <c r="D2451" i="2"/>
  <c r="D3101" i="2"/>
  <c r="D1631" i="2"/>
  <c r="D3840" i="2"/>
  <c r="D2757" i="2"/>
  <c r="D1525" i="2"/>
  <c r="D3245" i="2"/>
  <c r="D2347" i="2"/>
  <c r="D5108" i="2"/>
  <c r="D4159" i="2"/>
  <c r="D5635" i="2"/>
  <c r="D1067" i="2"/>
  <c r="D2412" i="2"/>
  <c r="D4643" i="2"/>
  <c r="D759" i="2"/>
  <c r="D595" i="2"/>
  <c r="D2366" i="2"/>
  <c r="D5113" i="2"/>
  <c r="D4972" i="2"/>
  <c r="D1429" i="2"/>
  <c r="D5254" i="2"/>
  <c r="D5572" i="2"/>
  <c r="D3917" i="2"/>
  <c r="D1490" i="2"/>
  <c r="D2264" i="2"/>
  <c r="D4441" i="2"/>
  <c r="D4998" i="2"/>
  <c r="D5242" i="2"/>
  <c r="D1817" i="2"/>
  <c r="D5481" i="2"/>
  <c r="D2139" i="2"/>
  <c r="D3658" i="2"/>
  <c r="D1300" i="2"/>
  <c r="D4978" i="2"/>
  <c r="D5029" i="2"/>
  <c r="D5892" i="2"/>
  <c r="D278" i="2"/>
  <c r="D1427" i="2"/>
  <c r="D1079" i="2"/>
  <c r="D4984" i="2"/>
  <c r="D417" i="2"/>
  <c r="D4886" i="2"/>
  <c r="D434" i="2"/>
  <c r="D3507" i="2"/>
  <c r="D5539" i="2"/>
  <c r="D5037" i="2"/>
  <c r="D2059" i="2"/>
  <c r="D3697" i="2"/>
  <c r="D3686" i="2"/>
  <c r="D3610" i="2"/>
  <c r="D905" i="2"/>
  <c r="D2694" i="2"/>
  <c r="D4629" i="2"/>
  <c r="D3491" i="2"/>
  <c r="D3986" i="2"/>
  <c r="D790" i="2"/>
  <c r="D923" i="2"/>
  <c r="D1883" i="2"/>
  <c r="D4948" i="2"/>
  <c r="D4043" i="2"/>
  <c r="D1780" i="2"/>
  <c r="D2590" i="2"/>
  <c r="D5838" i="2"/>
  <c r="D5225" i="2"/>
  <c r="D2361" i="2"/>
  <c r="D1796" i="2"/>
  <c r="D505" i="2"/>
  <c r="D1778" i="2"/>
  <c r="D3505" i="2"/>
  <c r="D5122" i="2"/>
  <c r="D3977" i="2"/>
  <c r="D2251" i="2"/>
  <c r="D1867" i="2"/>
  <c r="D1062" i="2"/>
  <c r="D502" i="2"/>
  <c r="D3682" i="2"/>
  <c r="D627" i="2"/>
  <c r="D315" i="2"/>
  <c r="D380" i="2"/>
  <c r="D2778" i="2"/>
  <c r="D1121" i="2"/>
  <c r="D2937" i="2"/>
  <c r="D566" i="2"/>
  <c r="D3942" i="2"/>
  <c r="D2939" i="2"/>
  <c r="D1017" i="2"/>
  <c r="D1027" i="2"/>
  <c r="D3240" i="2"/>
  <c r="D766" i="2"/>
  <c r="D5128" i="2"/>
  <c r="D641" i="2"/>
  <c r="D3902" i="2"/>
  <c r="D1312" i="2"/>
  <c r="D180" i="2"/>
  <c r="D4608" i="2"/>
  <c r="D1841" i="2"/>
  <c r="D277" i="2"/>
  <c r="D3308" i="2"/>
  <c r="D4836" i="2"/>
  <c r="D5794" i="2"/>
  <c r="D492" i="2"/>
  <c r="D2818" i="2"/>
  <c r="D178" i="2"/>
  <c r="D3983" i="2"/>
  <c r="D1779" i="2"/>
  <c r="D230" i="2"/>
  <c r="D5734" i="2"/>
  <c r="D3406" i="2"/>
  <c r="D1396" i="2"/>
  <c r="D4745" i="2"/>
  <c r="D5387" i="2"/>
  <c r="D1582" i="2"/>
  <c r="D3337" i="2"/>
  <c r="D5178" i="2"/>
  <c r="D5670" i="2"/>
  <c r="D5622" i="2"/>
  <c r="D4463" i="2"/>
  <c r="D577" i="2"/>
  <c r="D3633" i="2"/>
  <c r="D1953" i="2"/>
  <c r="D2382" i="2"/>
  <c r="D3504" i="2"/>
  <c r="D2869" i="2"/>
  <c r="D5912" i="2"/>
  <c r="D5710" i="2"/>
  <c r="D531" i="2"/>
  <c r="D528" i="2"/>
  <c r="D5353" i="2"/>
  <c r="D778" i="2"/>
  <c r="D754" i="2"/>
  <c r="D5520" i="2"/>
  <c r="D1616" i="2"/>
  <c r="D3984" i="2"/>
  <c r="D4842" i="2"/>
  <c r="D323" i="2"/>
  <c r="D3833" i="2"/>
  <c r="D5477" i="2"/>
  <c r="D4511" i="2"/>
  <c r="D5764" i="2"/>
  <c r="D4934" i="2"/>
  <c r="D3774" i="2"/>
  <c r="D223" i="2"/>
  <c r="D1700" i="2"/>
  <c r="D3443" i="2"/>
  <c r="D4853" i="2"/>
  <c r="D2605" i="2"/>
  <c r="D397" i="2"/>
  <c r="D238" i="2"/>
  <c r="D4796" i="2"/>
  <c r="D5460" i="2"/>
  <c r="D5245" i="2"/>
  <c r="D4690" i="2"/>
  <c r="D5235" i="2"/>
  <c r="D788" i="2"/>
  <c r="D2970" i="2"/>
  <c r="D2192" i="2"/>
  <c r="D1696" i="2"/>
  <c r="D2751" i="2"/>
  <c r="D1240" i="2"/>
  <c r="D3205" i="2"/>
  <c r="D1063" i="2"/>
  <c r="D2037" i="2"/>
  <c r="D4308" i="2"/>
  <c r="D1718" i="2"/>
  <c r="D2443" i="2"/>
  <c r="D4912" i="2"/>
  <c r="D2641" i="2"/>
  <c r="D5733" i="2"/>
  <c r="D232" i="2"/>
  <c r="D651" i="2"/>
  <c r="D1575" i="2"/>
  <c r="D1309" i="2"/>
  <c r="D1786" i="2"/>
  <c r="D1031" i="2"/>
  <c r="D43" i="2"/>
  <c r="D1949" i="2"/>
  <c r="D4872" i="2"/>
  <c r="D5875" i="2"/>
  <c r="D5889" i="2"/>
  <c r="D5872" i="2"/>
  <c r="D690" i="2"/>
  <c r="D783" i="2"/>
  <c r="D5891" i="2"/>
  <c r="D2396" i="2"/>
  <c r="D4479" i="2"/>
  <c r="D3543" i="2"/>
  <c r="D3575" i="2"/>
  <c r="D2230" i="2"/>
  <c r="D3824" i="2"/>
  <c r="D128" i="2"/>
  <c r="D5584" i="2"/>
  <c r="D4394" i="2"/>
  <c r="D2384" i="2"/>
  <c r="D2282" i="2"/>
  <c r="D1035" i="2"/>
  <c r="D5456" i="2"/>
  <c r="D1308" i="2"/>
  <c r="D2662" i="2"/>
  <c r="D2926" i="2"/>
  <c r="D968" i="2"/>
  <c r="D1022" i="2"/>
  <c r="D3516" i="2"/>
  <c r="D4756" i="2"/>
  <c r="D3637" i="2"/>
  <c r="D5831" i="2"/>
  <c r="D4750" i="2"/>
  <c r="D1615" i="2"/>
  <c r="D5713" i="2"/>
  <c r="D3419" i="2"/>
  <c r="D2182" i="2"/>
  <c r="D5685" i="2"/>
  <c r="D5639" i="2"/>
  <c r="D2713" i="2"/>
  <c r="D3934" i="2"/>
  <c r="D4305" i="2"/>
  <c r="D705" i="2"/>
  <c r="D3800" i="2"/>
  <c r="D584" i="2"/>
  <c r="D1279" i="2"/>
  <c r="D1186" i="2"/>
  <c r="D2015" i="2"/>
  <c r="D3207" i="2"/>
  <c r="D3139" i="2"/>
  <c r="D270" i="2"/>
  <c r="D3853" i="2"/>
  <c r="D2008" i="2"/>
  <c r="D3842" i="2"/>
  <c r="D2470" i="2"/>
  <c r="D1385" i="2"/>
  <c r="D3386" i="2"/>
  <c r="D5326" i="2"/>
  <c r="D3319" i="2"/>
  <c r="D2726" i="2"/>
  <c r="D1977" i="2"/>
  <c r="D3316" i="2"/>
  <c r="D203" i="2"/>
  <c r="D454" i="2"/>
  <c r="D356" i="2"/>
  <c r="D3653" i="2"/>
  <c r="D5600" i="2"/>
  <c r="D5562" i="2"/>
  <c r="D1001" i="2"/>
  <c r="D3479" i="2"/>
  <c r="D3131" i="2"/>
  <c r="D2952" i="2"/>
  <c r="D3166" i="2"/>
  <c r="D3908" i="2"/>
  <c r="D4674" i="2"/>
  <c r="D5601" i="2"/>
  <c r="D1290" i="2"/>
  <c r="D3326" i="2"/>
  <c r="D381" i="2"/>
  <c r="D4136" i="2"/>
  <c r="D903" i="2"/>
  <c r="D590" i="2"/>
  <c r="D5182" i="2"/>
  <c r="D4969" i="2"/>
  <c r="D2547" i="2"/>
  <c r="D4353" i="2"/>
  <c r="D3823" i="2"/>
  <c r="D497" i="2"/>
  <c r="D4225" i="2"/>
  <c r="D1740" i="2"/>
  <c r="D4114" i="2"/>
  <c r="D1579" i="2"/>
  <c r="D101" i="2"/>
  <c r="D695" i="2"/>
  <c r="D5541" i="2"/>
  <c r="D4327" i="2"/>
  <c r="D5894" i="2"/>
  <c r="D3976" i="2"/>
  <c r="D5389" i="2"/>
  <c r="D5347" i="2"/>
  <c r="D4499" i="2"/>
  <c r="D3004" i="2"/>
  <c r="D2001" i="2"/>
  <c r="D3145" i="2"/>
  <c r="D2069" i="2"/>
  <c r="D392" i="2"/>
  <c r="D5082" i="2"/>
  <c r="D765" i="2"/>
  <c r="D1666" i="2"/>
  <c r="D5511" i="2"/>
  <c r="D5608" i="2"/>
  <c r="D5331" i="2"/>
  <c r="D5221" i="2"/>
  <c r="D4115" i="2"/>
  <c r="D129" i="2"/>
  <c r="D2824" i="2"/>
  <c r="D2500" i="2"/>
  <c r="D1196" i="2"/>
  <c r="D4747" i="2"/>
  <c r="D4965" i="2"/>
  <c r="D3730" i="2"/>
  <c r="D3725" i="2"/>
  <c r="D3395" i="2"/>
  <c r="D1839" i="2"/>
  <c r="D2428" i="2"/>
  <c r="D2999" i="2"/>
  <c r="D1829" i="2"/>
  <c r="D4396" i="2"/>
  <c r="D1220" i="2"/>
  <c r="D3162" i="2"/>
  <c r="D219" i="2"/>
  <c r="D259" i="2"/>
  <c r="D420" i="2"/>
  <c r="D3301" i="2"/>
  <c r="D2910" i="2"/>
  <c r="D3649" i="2"/>
  <c r="D4813" i="2"/>
  <c r="D4921" i="2"/>
  <c r="D147" i="2"/>
  <c r="D3996" i="2"/>
  <c r="D893" i="2"/>
  <c r="D4201" i="2"/>
  <c r="D2138" i="2"/>
  <c r="D2819" i="2"/>
  <c r="D3435" i="2"/>
  <c r="D4099" i="2"/>
  <c r="D1493" i="2"/>
  <c r="D4446" i="2"/>
  <c r="D4789" i="2"/>
  <c r="D3683" i="2"/>
  <c r="D688" i="2"/>
  <c r="D1995" i="2"/>
  <c r="D5077" i="2"/>
  <c r="D3569" i="2"/>
  <c r="D4558" i="2"/>
  <c r="D4845" i="2"/>
  <c r="D4440" i="2"/>
  <c r="D4456" i="2"/>
  <c r="D5321" i="2"/>
  <c r="D36" i="2"/>
  <c r="D3625" i="2"/>
  <c r="D2614" i="2"/>
  <c r="D4262" i="2"/>
  <c r="D2464" i="2"/>
  <c r="D3498" i="2"/>
  <c r="D3843" i="2"/>
  <c r="D4210" i="2"/>
  <c r="D3875" i="2"/>
  <c r="D1089" i="2"/>
  <c r="D3922" i="2"/>
  <c r="D2369" i="2"/>
  <c r="D4160" i="2"/>
  <c r="D1405" i="2"/>
  <c r="D3700" i="2"/>
  <c r="D1835" i="2"/>
  <c r="D4397" i="2"/>
  <c r="D5070" i="2"/>
  <c r="D628" i="2"/>
  <c r="D4506" i="2"/>
  <c r="D5438" i="2"/>
  <c r="D1738" i="2"/>
  <c r="D3954" i="2"/>
  <c r="D985" i="2"/>
  <c r="D4495" i="2"/>
  <c r="D228" i="2"/>
  <c r="D3561" i="2"/>
  <c r="D2613" i="2"/>
  <c r="D1685" i="2"/>
  <c r="D1887" i="2"/>
  <c r="D3594" i="2"/>
  <c r="D2448" i="2"/>
  <c r="D3820" i="2"/>
  <c r="D1265" i="2"/>
  <c r="D4715" i="2"/>
  <c r="D5268" i="2"/>
  <c r="D1092" i="2"/>
  <c r="D3701" i="2"/>
  <c r="D2477" i="2"/>
  <c r="D1448" i="2"/>
  <c r="D185" i="2"/>
  <c r="D4017" i="2"/>
  <c r="D989" i="2"/>
  <c r="D4496" i="2"/>
  <c r="D3553" i="2"/>
  <c r="D960" i="2"/>
  <c r="D2417" i="2"/>
  <c r="D13" i="2"/>
  <c r="D3094" i="2"/>
  <c r="D3148" i="2"/>
  <c r="D2587" i="2"/>
  <c r="D2806" i="2"/>
  <c r="D4433" i="2"/>
  <c r="D4480" i="2"/>
  <c r="D2607" i="2"/>
  <c r="D668" i="2"/>
  <c r="D5741" i="2"/>
  <c r="D3181" i="2"/>
  <c r="D828" i="2"/>
  <c r="D1808" i="2"/>
  <c r="D816" i="2"/>
  <c r="D2471" i="2"/>
  <c r="D5323" i="2"/>
  <c r="D4412" i="2"/>
  <c r="D5810" i="2"/>
  <c r="D266" i="2"/>
  <c r="D1781" i="2"/>
  <c r="D5000" i="2"/>
  <c r="D4874" i="2"/>
  <c r="D4471" i="2"/>
  <c r="D1547" i="2"/>
  <c r="D1793" i="2"/>
  <c r="D116" i="2"/>
  <c r="D5298" i="2"/>
  <c r="D1923" i="2"/>
  <c r="D5277" i="2"/>
  <c r="D273" i="2"/>
  <c r="D94" i="2"/>
  <c r="D5341" i="2"/>
  <c r="D982" i="2"/>
  <c r="D4299" i="2"/>
  <c r="D1874" i="2"/>
  <c r="D2449" i="2"/>
  <c r="D4484" i="2"/>
  <c r="D5421" i="2"/>
  <c r="D64" i="2"/>
  <c r="D5469" i="2"/>
  <c r="D5033" i="2"/>
  <c r="D2260" i="2"/>
  <c r="D748" i="2"/>
  <c r="D3495" i="2"/>
  <c r="D5020" i="2"/>
  <c r="D1828" i="2"/>
  <c r="D2058" i="2"/>
  <c r="D1160" i="2"/>
  <c r="D143" i="2"/>
  <c r="D5855" i="2"/>
  <c r="D1996" i="2"/>
  <c r="D3998" i="2"/>
  <c r="D4281" i="2"/>
  <c r="D5004" i="2"/>
  <c r="D5558" i="2"/>
  <c r="D174" i="2"/>
  <c r="D5656" i="2"/>
  <c r="D3659" i="2"/>
  <c r="D4975" i="2"/>
  <c r="D4500" i="2"/>
  <c r="D3530" i="2"/>
  <c r="D2695" i="2"/>
  <c r="D145" i="2"/>
  <c r="D742" i="2"/>
  <c r="D4827" i="2"/>
  <c r="D5528" i="2"/>
  <c r="D3918" i="2"/>
  <c r="D1797" i="2"/>
  <c r="D747" i="2"/>
  <c r="D5161" i="2"/>
  <c r="D2581" i="2"/>
  <c r="D5758" i="2"/>
  <c r="D5776" i="2"/>
  <c r="D5865" i="2"/>
  <c r="D1729" i="2"/>
  <c r="D574" i="2"/>
  <c r="D483" i="2"/>
  <c r="D3322" i="2"/>
  <c r="D5707" i="2"/>
  <c r="D5209" i="2"/>
  <c r="D4278" i="2"/>
  <c r="D5870" i="2"/>
  <c r="D2669" i="2"/>
  <c r="D625" i="2"/>
  <c r="D4013" i="2"/>
  <c r="D2209" i="2"/>
  <c r="D912" i="2"/>
  <c r="D4519" i="2"/>
  <c r="D2229" i="2"/>
  <c r="D1250" i="2"/>
  <c r="D971" i="2"/>
  <c r="D2077" i="2"/>
  <c r="D1009" i="2"/>
  <c r="D2565" i="2"/>
  <c r="D798" i="2"/>
  <c r="D667" i="2"/>
  <c r="D5399" i="2"/>
  <c r="D1334" i="2"/>
  <c r="D3691" i="2"/>
  <c r="D491" i="2"/>
  <c r="D4560" i="2"/>
  <c r="D1278" i="2"/>
  <c r="D3526" i="2"/>
  <c r="D2697" i="2"/>
  <c r="D182" i="2"/>
  <c r="D5131" i="2"/>
  <c r="D975" i="2"/>
  <c r="D1213" i="2"/>
  <c r="D106" i="2"/>
  <c r="D130" i="2"/>
  <c r="D1777" i="2"/>
  <c r="D300" i="2"/>
  <c r="D2924" i="2"/>
  <c r="D5632" i="2"/>
  <c r="D1376" i="2"/>
  <c r="D1473" i="2"/>
  <c r="D2549" i="2"/>
  <c r="D5259" i="2"/>
  <c r="D2286" i="2"/>
  <c r="D2718" i="2"/>
  <c r="D2571" i="2"/>
  <c r="D2277" i="2"/>
  <c r="D3991" i="2"/>
  <c r="D4576" i="2"/>
  <c r="D4925" i="2"/>
  <c r="D1694" i="2"/>
  <c r="D5083" i="2"/>
  <c r="D218" i="2"/>
  <c r="D1756" i="2"/>
  <c r="D4593" i="2"/>
  <c r="D5372" i="2"/>
  <c r="D4288" i="2"/>
  <c r="D243" i="2"/>
  <c r="D5285" i="2"/>
  <c r="D41" i="2"/>
  <c r="D5434" i="2"/>
  <c r="D1403" i="2"/>
  <c r="D4367" i="2"/>
  <c r="D3522" i="2"/>
  <c r="D426" i="2"/>
  <c r="D2161" i="2"/>
  <c r="D5151" i="2"/>
  <c r="D1458" i="2"/>
  <c r="D2376" i="2"/>
  <c r="D4302" i="2"/>
  <c r="D1025" i="2"/>
  <c r="D5409" i="2"/>
  <c r="D4503" i="2"/>
  <c r="D1711" i="2"/>
  <c r="D241" i="2"/>
  <c r="D4259" i="2"/>
  <c r="D312" i="2"/>
  <c r="D1004" i="2"/>
  <c r="D1681" i="2"/>
  <c r="D1322" i="2"/>
  <c r="D2272" i="2"/>
  <c r="D5190" i="2"/>
  <c r="D2099" i="2"/>
  <c r="D5388" i="2"/>
  <c r="D5711" i="2"/>
  <c r="D1341" i="2"/>
  <c r="D3537" i="2"/>
  <c r="D3671" i="2"/>
  <c r="D4352" i="2"/>
  <c r="D3591" i="2"/>
  <c r="D4791" i="2"/>
  <c r="D122" i="2"/>
  <c r="D1419" i="2"/>
  <c r="D4890" i="2"/>
  <c r="D1032" i="2"/>
  <c r="D4884" i="2"/>
  <c r="D706" i="2"/>
  <c r="D5392" i="2"/>
  <c r="D98" i="2"/>
  <c r="D5750" i="2"/>
  <c r="D5012" i="2"/>
  <c r="D1926" i="2"/>
  <c r="D5199" i="2"/>
  <c r="D581" i="2"/>
  <c r="D2575" i="2"/>
  <c r="D87" i="2"/>
  <c r="D4196" i="2"/>
  <c r="D1838" i="2"/>
  <c r="D544" i="2"/>
  <c r="D612" i="2"/>
  <c r="D3014" i="2"/>
  <c r="D2425" i="2"/>
  <c r="D2164" i="2"/>
  <c r="D2222" i="2"/>
  <c r="D5094" i="2"/>
  <c r="D76" i="2"/>
  <c r="D1789" i="2"/>
  <c r="D2723" i="2"/>
  <c r="D2046" i="2"/>
  <c r="D4206" i="2"/>
  <c r="D5289" i="2"/>
  <c r="D2629" i="2"/>
  <c r="D4899" i="2"/>
  <c r="D4823" i="2"/>
  <c r="D126" i="2"/>
  <c r="D4688" i="2"/>
  <c r="D569" i="2"/>
  <c r="D5319" i="2"/>
  <c r="D5267" i="2"/>
  <c r="D580" i="2"/>
  <c r="D910" i="2"/>
  <c r="D1054" i="2"/>
  <c r="D4784" i="2"/>
  <c r="D4802" i="2"/>
  <c r="D2744" i="2"/>
  <c r="D4542" i="2"/>
  <c r="D647" i="2"/>
  <c r="D5804" i="2"/>
  <c r="D501" i="2"/>
  <c r="D1630" i="2"/>
  <c r="D1965" i="2"/>
  <c r="D3296" i="2"/>
  <c r="D2963" i="2"/>
  <c r="D3661" i="2"/>
  <c r="D2398" i="2"/>
  <c r="D3392" i="2"/>
  <c r="D5790" i="2"/>
  <c r="D139" i="2"/>
  <c r="D598" i="2"/>
  <c r="D657" i="2"/>
  <c r="D839" i="2"/>
  <c r="D2692" i="2"/>
  <c r="D5303" i="2"/>
  <c r="D2563" i="2"/>
  <c r="D4966" i="2"/>
  <c r="D763" i="2"/>
  <c r="D5257" i="2"/>
  <c r="D3841" i="2"/>
  <c r="D2082" i="2"/>
  <c r="D3656" i="2"/>
  <c r="D2426" i="2"/>
  <c r="D5879" i="2"/>
  <c r="D2179" i="2"/>
  <c r="D1428" i="2"/>
  <c r="D1871" i="2"/>
  <c r="D404" i="2"/>
  <c r="D881" i="2"/>
  <c r="D4306" i="2"/>
  <c r="D1678" i="2"/>
  <c r="D305" i="2"/>
  <c r="D58" i="2"/>
  <c r="D3648" i="2"/>
  <c r="D2616" i="2"/>
  <c r="D5791" i="2"/>
  <c r="D558" i="2"/>
  <c r="D5679" i="2"/>
  <c r="D345" i="2"/>
  <c r="D5740" i="2"/>
  <c r="D4172" i="2"/>
  <c r="D4786" i="2"/>
  <c r="D4806" i="2"/>
  <c r="D4121" i="2"/>
  <c r="D5805" i="2"/>
  <c r="D5874" i="2"/>
  <c r="D4076" i="2"/>
  <c r="D5765" i="2"/>
  <c r="D5194" i="2"/>
  <c r="D1045" i="2"/>
  <c r="D2377" i="2"/>
  <c r="D2083" i="2"/>
  <c r="D56" i="2"/>
  <c r="D3642" i="2"/>
  <c r="D5207" i="2"/>
  <c r="D1659" i="2"/>
  <c r="D921" i="2"/>
  <c r="D472" i="2"/>
  <c r="D680" i="2"/>
  <c r="D340" i="2"/>
  <c r="D4693" i="2"/>
  <c r="D25" i="2"/>
  <c r="D5887" i="2"/>
  <c r="D5837" i="2"/>
  <c r="D81" i="2"/>
  <c r="D4197" i="2"/>
  <c r="D4526" i="2"/>
  <c r="D878" i="2"/>
  <c r="D82" i="2"/>
  <c r="D701" i="2"/>
  <c r="D12" i="2"/>
  <c r="D4834" i="2"/>
  <c r="D5907" i="2"/>
  <c r="D282" i="2"/>
  <c r="D5906" i="2"/>
  <c r="D5642" i="2"/>
  <c r="D5524" i="2"/>
  <c r="D1544" i="2"/>
  <c r="D4156" i="2"/>
  <c r="D2675" i="2"/>
  <c r="D932" i="2"/>
  <c r="D341" i="2"/>
  <c r="D1177" i="2"/>
  <c r="D4279" i="2"/>
  <c r="D5644" i="2"/>
  <c r="D1443" i="2"/>
  <c r="D2972" i="2"/>
  <c r="D2241" i="2"/>
  <c r="D5035" i="2"/>
  <c r="D5583" i="2"/>
  <c r="D1204" i="2"/>
  <c r="D4732" i="2"/>
  <c r="D2541" i="2"/>
  <c r="D2674" i="2"/>
  <c r="D4822" i="2"/>
  <c r="D1564" i="2"/>
  <c r="D2109" i="2"/>
  <c r="D1899" i="2"/>
  <c r="D2802" i="2"/>
  <c r="D4667" i="2"/>
  <c r="D4727" i="2"/>
  <c r="D1075" i="2"/>
  <c r="D118" i="2"/>
  <c r="D4109" i="2"/>
  <c r="D2128" i="2"/>
  <c r="D1358" i="2"/>
  <c r="D4107" i="2"/>
  <c r="D2836" i="2"/>
  <c r="D1872" i="2"/>
  <c r="D3485" i="2"/>
  <c r="D5365" i="2"/>
  <c r="D5508" i="2"/>
  <c r="D1337" i="2"/>
  <c r="D3684" i="2"/>
  <c r="D3864" i="2"/>
  <c r="D1071" i="2"/>
  <c r="D1618" i="2"/>
  <c r="D1751" i="2"/>
  <c r="D1216" i="2"/>
  <c r="D370" i="2"/>
  <c r="D2490" i="2"/>
  <c r="D1348" i="2"/>
  <c r="D5654" i="2"/>
  <c r="D5554" i="2"/>
  <c r="D3413" i="2"/>
  <c r="D2105" i="2"/>
  <c r="D4761" i="2"/>
  <c r="D4157" i="2"/>
  <c r="D2704" i="2"/>
  <c r="D2339" i="2"/>
  <c r="D3576" i="2"/>
  <c r="D2106" i="2"/>
  <c r="D3558" i="2"/>
  <c r="D976" i="2"/>
  <c r="D614" i="2"/>
  <c r="D1600" i="2"/>
  <c r="D4421" i="2"/>
  <c r="D3859" i="2"/>
  <c r="D1714" i="2"/>
  <c r="D909" i="2"/>
  <c r="D4489" i="2"/>
  <c r="D1922" i="2"/>
  <c r="D2923" i="2"/>
  <c r="D3647" i="2"/>
  <c r="D4713" i="2"/>
  <c r="D3323" i="2"/>
  <c r="D621" i="2"/>
  <c r="D4064" i="2"/>
  <c r="D3190" i="2"/>
  <c r="D2423" i="2"/>
  <c r="D3141" i="2"/>
  <c r="D761" i="2"/>
  <c r="D5550" i="2"/>
  <c r="D3494" i="2"/>
  <c r="D2746" i="2"/>
  <c r="D4804" i="2"/>
  <c r="D5014" i="2"/>
  <c r="D4289" i="2"/>
  <c r="D2861" i="2"/>
  <c r="D3518" i="2"/>
  <c r="D4955" i="2"/>
  <c r="D5377" i="2"/>
  <c r="D785" i="2"/>
  <c r="D2583" i="2"/>
  <c r="D2132" i="2"/>
  <c r="D1245" i="2"/>
  <c r="D5616" i="2"/>
  <c r="D4313" i="2"/>
  <c r="D1909" i="2"/>
  <c r="D1141" i="2"/>
  <c r="D3535" i="2"/>
  <c r="D2378" i="2"/>
  <c r="D1039" i="2"/>
  <c r="D4423" i="2"/>
  <c r="D5492" i="2"/>
  <c r="D2509" i="2"/>
  <c r="D337" i="2"/>
  <c r="D5514" i="2"/>
  <c r="D2513" i="2"/>
  <c r="D2091" i="2"/>
  <c r="D1790" i="2"/>
  <c r="D2433" i="2"/>
  <c r="D297" i="2"/>
  <c r="D2929" i="2"/>
  <c r="D5158" i="2"/>
  <c r="D4766" i="2"/>
  <c r="D2550" i="2"/>
  <c r="D4532" i="2"/>
  <c r="D2407" i="2"/>
  <c r="D1260" i="2"/>
  <c r="D4536" i="2"/>
  <c r="D5504" i="2"/>
  <c r="D16" i="2"/>
  <c r="D19" i="2"/>
  <c r="D2233" i="2"/>
  <c r="D1254" i="2"/>
  <c r="D1821" i="2"/>
  <c r="D5363" i="2"/>
  <c r="D2014" i="2"/>
  <c r="D5125" i="2"/>
  <c r="D1000" i="2"/>
  <c r="D1982" i="2"/>
  <c r="D1563" i="2"/>
  <c r="D4794" i="2"/>
  <c r="D5684" i="2"/>
  <c r="D5634" i="2"/>
  <c r="D2901" i="2"/>
  <c r="D1657" i="2"/>
  <c r="D2542" i="2"/>
  <c r="D2771" i="2"/>
  <c r="D1275" i="2"/>
  <c r="D1795" i="2"/>
  <c r="D4989" i="2"/>
  <c r="D3848" i="2"/>
  <c r="D1959" i="2"/>
  <c r="D4382" i="2"/>
  <c r="D700" i="2"/>
  <c r="D3589" i="2"/>
  <c r="D3400" i="2"/>
  <c r="D1851" i="2"/>
  <c r="D2167" i="2"/>
  <c r="D3948" i="2"/>
  <c r="D333" i="2"/>
  <c r="D5053" i="2"/>
  <c r="D325" i="2"/>
  <c r="D4866" i="2"/>
  <c r="D1580" i="2"/>
  <c r="D3710" i="2"/>
  <c r="D4633" i="2"/>
  <c r="D538" i="2"/>
  <c r="D1548" i="2"/>
  <c r="D135" i="2"/>
  <c r="D677" i="2"/>
  <c r="D360" i="2"/>
  <c r="D4927" i="2"/>
  <c r="D4513" i="2"/>
  <c r="D719" i="2"/>
  <c r="D949" i="2"/>
  <c r="D4317" i="2"/>
  <c r="D478" i="2"/>
  <c r="D1709" i="2"/>
  <c r="D2702" i="2"/>
  <c r="D5177" i="2"/>
  <c r="D5126" i="2"/>
  <c r="D3248" i="2"/>
  <c r="D1913" i="2"/>
  <c r="D2103" i="2"/>
  <c r="D4237" i="2"/>
  <c r="D3754" i="2"/>
  <c r="D3605" i="2"/>
  <c r="D2795" i="2"/>
  <c r="D3583" i="2"/>
  <c r="D4741" i="2"/>
  <c r="D4070" i="2"/>
  <c r="D4321" i="2"/>
  <c r="D1619" i="2"/>
  <c r="D2858" i="2"/>
  <c r="D5269" i="2"/>
  <c r="D4486" i="2"/>
  <c r="D4964" i="2"/>
  <c r="D1576" i="2"/>
  <c r="D3097" i="2"/>
  <c r="D2591" i="2"/>
  <c r="D2415" i="2"/>
  <c r="D4417" i="2"/>
  <c r="D2043" i="2"/>
  <c r="D5674" i="2"/>
  <c r="D148" i="2"/>
  <c r="D419" i="2"/>
  <c r="D1146" i="2"/>
  <c r="D3980" i="2"/>
  <c r="D3492" i="2"/>
  <c r="D5046" i="2"/>
  <c r="D1119" i="2"/>
  <c r="D3203" i="2"/>
  <c r="D1622" i="2"/>
  <c r="D4973" i="2"/>
  <c r="D107" i="2"/>
  <c r="D1153" i="2"/>
  <c r="D3360" i="2"/>
  <c r="D4870" i="2"/>
  <c r="D4706" i="2"/>
  <c r="D4304" i="2"/>
  <c r="D4768" i="2"/>
  <c r="D5587" i="2"/>
  <c r="D3429" i="2"/>
  <c r="D5385" i="2"/>
  <c r="D5394" i="2"/>
  <c r="D2725" i="2"/>
  <c r="D5403" i="2"/>
  <c r="D1369" i="2"/>
  <c r="D2906" i="2"/>
  <c r="D3417" i="2"/>
  <c r="D1020" i="2"/>
  <c r="D4618" i="2"/>
  <c r="D5393" i="2"/>
  <c r="D1699" i="2"/>
  <c r="D600" i="2"/>
  <c r="D4067" i="2"/>
  <c r="D1267" i="2"/>
  <c r="D1435" i="2"/>
  <c r="D5629" i="2"/>
  <c r="D5807" i="2"/>
  <c r="D4992" i="2"/>
  <c r="D3716" i="2"/>
  <c r="D937" i="2"/>
  <c r="D5172" i="2"/>
  <c r="D689" i="2"/>
  <c r="D3687" i="2"/>
  <c r="D737" i="2"/>
  <c r="D4646" i="2"/>
  <c r="D619" i="2"/>
  <c r="D4716" i="2"/>
  <c r="D1325" i="2"/>
  <c r="D2683" i="2"/>
  <c r="D1907" i="2"/>
  <c r="D1471" i="2"/>
  <c r="D3434" i="2"/>
  <c r="D2121" i="2"/>
  <c r="D2993" i="2"/>
  <c r="D1897" i="2"/>
  <c r="D316" i="2"/>
  <c r="D4725" i="2"/>
  <c r="D2743" i="2"/>
  <c r="D4431" i="2"/>
  <c r="D1569" i="2"/>
  <c r="D4692" i="2"/>
  <c r="D3163" i="2"/>
  <c r="D2475" i="2"/>
  <c r="D2467" i="2"/>
  <c r="D2969" i="2"/>
  <c r="D3015" i="2"/>
  <c r="D2882" i="2"/>
  <c r="D980" i="2"/>
  <c r="D3448" i="2"/>
  <c r="D4770" i="2"/>
  <c r="D3898" i="2"/>
  <c r="D5828" i="2"/>
  <c r="D1315" i="2"/>
  <c r="D4552" i="2"/>
  <c r="D5296" i="2"/>
  <c r="D2588" i="2"/>
  <c r="D1034" i="2"/>
  <c r="D2452" i="2"/>
  <c r="D4462" i="2"/>
  <c r="D222" i="2"/>
  <c r="D807" i="2"/>
  <c r="D3540" i="2"/>
  <c r="D1361" i="2"/>
  <c r="D1981" i="2"/>
  <c r="D5529" i="2"/>
  <c r="D2267" i="2"/>
  <c r="D4453" i="2"/>
  <c r="D4846" i="2"/>
  <c r="D838" i="2"/>
  <c r="D1625" i="2"/>
  <c r="D3110" i="2"/>
  <c r="D4938" i="2"/>
  <c r="D1095" i="2"/>
  <c r="D4859" i="2"/>
  <c r="D2000" i="2"/>
  <c r="D3904" i="2"/>
  <c r="D2907" i="2"/>
  <c r="D2276" i="2"/>
  <c r="D1690" i="2"/>
  <c r="D3484" i="2"/>
  <c r="D2302" i="2"/>
  <c r="D1521" i="2"/>
  <c r="D3341" i="2"/>
  <c r="D2010" i="2"/>
  <c r="D4025" i="2"/>
  <c r="D1742" i="2"/>
  <c r="D2148" i="2"/>
  <c r="D5576" i="2"/>
  <c r="D5683" i="2"/>
  <c r="D659" i="2"/>
  <c r="D204" i="2"/>
  <c r="D884" i="2"/>
  <c r="D3858" i="2"/>
  <c r="D822" i="2"/>
  <c r="D4546" i="2"/>
  <c r="D1950" i="2"/>
  <c r="D125" i="2"/>
  <c r="D5800" i="2"/>
  <c r="D662" i="2"/>
  <c r="D5673" i="2"/>
  <c r="D3009" i="2"/>
  <c r="D4390" i="2"/>
  <c r="D4139" i="2"/>
  <c r="D3772" i="2"/>
  <c r="D576" i="2"/>
  <c r="D4929" i="2"/>
  <c r="D4444" i="2"/>
  <c r="D328" i="2"/>
  <c r="D4455" i="2"/>
  <c r="D1026" i="2"/>
  <c r="D3911" i="2"/>
  <c r="D4393" i="2"/>
  <c r="D2546" i="2"/>
  <c r="D3468" i="2"/>
  <c r="D303" i="2"/>
  <c r="D2084" i="2"/>
  <c r="D5073" i="2"/>
  <c r="D163" i="2"/>
  <c r="D1354" i="2"/>
  <c r="D3979" i="2"/>
  <c r="D3602" i="2"/>
  <c r="D410" i="2"/>
  <c r="D4815" i="2"/>
  <c r="D284" i="2"/>
  <c r="D2985" i="2"/>
  <c r="D1703" i="2"/>
  <c r="D4561" i="2"/>
  <c r="D1243" i="2"/>
  <c r="D95" i="2"/>
  <c r="D5888" i="2"/>
  <c r="D5722" i="2"/>
  <c r="D5433" i="2"/>
  <c r="D4362" i="2"/>
  <c r="D979" i="2"/>
  <c r="D4632" i="2"/>
  <c r="D176" i="2"/>
  <c r="D4181" i="2"/>
  <c r="D540" i="2"/>
  <c r="D5834" i="2"/>
  <c r="D220" i="2"/>
  <c r="D5019" i="2"/>
  <c r="D5542" i="2"/>
  <c r="D5553" i="2"/>
  <c r="D4828" i="2"/>
  <c r="D2123" i="2"/>
  <c r="D2168" i="2"/>
  <c r="D4265" i="2"/>
  <c r="D952" i="2"/>
  <c r="D5652" i="2"/>
  <c r="D1323" i="2"/>
  <c r="D3212" i="2"/>
  <c r="D5034" i="2"/>
  <c r="D5443" i="2"/>
  <c r="D193" i="2"/>
  <c r="D4125" i="2"/>
  <c r="D2290" i="2"/>
  <c r="D5366" i="2"/>
  <c r="D2777" i="2"/>
  <c r="D4102" i="2"/>
  <c r="D1651" i="2"/>
  <c r="D5833" i="2"/>
  <c r="D4525" i="2"/>
  <c r="D3990" i="2"/>
  <c r="D4889" i="2"/>
  <c r="D4757" i="2"/>
  <c r="D1956" i="2"/>
  <c r="D2120" i="2"/>
  <c r="D3292" i="2"/>
  <c r="D4258" i="2"/>
  <c r="D3924" i="2"/>
  <c r="D1870" i="2"/>
  <c r="D2194" i="2"/>
  <c r="D3135" i="2"/>
  <c r="D3708" i="2"/>
  <c r="D5134" i="2"/>
  <c r="D2831" i="2"/>
  <c r="D4219" i="2"/>
  <c r="D2797" i="2"/>
  <c r="D599" i="2"/>
  <c r="D4812" i="2"/>
  <c r="D4009" i="2"/>
  <c r="D5085" i="2"/>
  <c r="D4773" i="2"/>
  <c r="D887" i="2"/>
  <c r="D3776" i="2"/>
  <c r="D2873" i="2"/>
  <c r="D4908" i="2"/>
  <c r="D4994" i="2"/>
  <c r="D402" i="2"/>
  <c r="D342" i="2"/>
  <c r="D4012" i="2"/>
  <c r="D1710" i="2"/>
  <c r="D1132" i="2"/>
  <c r="D1113" i="2"/>
  <c r="D4246" i="2"/>
  <c r="D1697" i="2"/>
  <c r="D3407" i="2"/>
  <c r="D4504" i="2"/>
  <c r="D1975" i="2"/>
  <c r="D253" i="2"/>
  <c r="D2731" i="2"/>
  <c r="D391" i="2"/>
  <c r="D3445" i="2"/>
  <c r="D3297" i="2"/>
  <c r="D453" i="2"/>
  <c r="D3743" i="2"/>
  <c r="D2812" i="2"/>
  <c r="D4211" i="2"/>
  <c r="D741" i="2"/>
  <c r="D4907" i="2"/>
  <c r="D1180" i="2"/>
  <c r="D5180" i="2"/>
  <c r="D2661" i="2"/>
  <c r="D4793" i="2"/>
  <c r="D3112" i="2"/>
  <c r="D3724" i="2"/>
  <c r="D2127" i="2"/>
  <c r="D3315" i="2"/>
  <c r="D2335" i="2"/>
  <c r="D2325" i="2"/>
  <c r="D4709" i="2"/>
  <c r="D476" i="2"/>
  <c r="D4606" i="2"/>
  <c r="D4598" i="2"/>
  <c r="D4343" i="2"/>
  <c r="D4661" i="2"/>
  <c r="D1559" i="2"/>
  <c r="D3965" i="2"/>
  <c r="D5339" i="2"/>
  <c r="D443" i="2"/>
  <c r="D3310" i="2"/>
  <c r="D1179" i="2"/>
  <c r="D4309" i="2"/>
  <c r="D4923" i="2"/>
  <c r="D4087" i="2"/>
  <c r="D3279" i="2"/>
  <c r="D4864" i="2"/>
  <c r="D1752" i="2"/>
  <c r="D1016" i="2"/>
  <c r="D1538" i="2"/>
  <c r="D40" i="2"/>
  <c r="D3892" i="2"/>
  <c r="D1313" i="2"/>
  <c r="D3970" i="2"/>
  <c r="D523" i="2"/>
  <c r="D5121" i="2"/>
  <c r="D5043" i="2"/>
  <c r="D722" i="2"/>
  <c r="D734" i="2"/>
  <c r="D462" i="2"/>
  <c r="D4293" i="2"/>
  <c r="D4245" i="2"/>
  <c r="D4439" i="2"/>
  <c r="D755" i="2"/>
  <c r="D4047" i="2"/>
  <c r="D4282" i="2"/>
  <c r="D3749" i="2"/>
  <c r="D3614" i="2"/>
  <c r="D934" i="2"/>
  <c r="D3643" i="2"/>
  <c r="D1593" i="2"/>
  <c r="D3258" i="2"/>
  <c r="D3216" i="2"/>
  <c r="D1128" i="2"/>
  <c r="D2908" i="2"/>
  <c r="D1864" i="2"/>
  <c r="D5150" i="2"/>
  <c r="D2653" i="2"/>
  <c r="D332" i="2"/>
  <c r="D4739" i="2"/>
  <c r="D1138" i="2"/>
  <c r="D2141" i="2"/>
  <c r="D2035" i="2"/>
  <c r="D2386" i="2"/>
  <c r="D3663" i="2"/>
  <c r="D2306" i="2"/>
  <c r="D5397" i="2"/>
  <c r="D5787" i="2"/>
  <c r="D518" i="2"/>
  <c r="D3695" i="2"/>
  <c r="D1632" i="2"/>
  <c r="D2573" i="2"/>
  <c r="D2730" i="2"/>
  <c r="D648" i="2"/>
  <c r="D2013" i="2"/>
  <c r="D3887" i="2"/>
  <c r="D4945" i="2"/>
  <c r="D2805" i="2"/>
  <c r="D1775" i="2"/>
  <c r="D2032" i="2"/>
  <c r="D2462" i="2"/>
  <c r="D5196" i="2"/>
  <c r="D4554" i="2"/>
  <c r="D2872" i="2"/>
  <c r="D1973" i="2"/>
  <c r="D5507" i="2"/>
  <c r="D1676" i="2"/>
  <c r="D3778" i="2"/>
  <c r="D4002" i="2"/>
  <c r="D1142" i="2"/>
  <c r="D1878" i="2"/>
  <c r="D2478" i="2"/>
  <c r="D1394" i="2"/>
  <c r="D5525" i="2"/>
  <c r="D3790" i="2"/>
  <c r="D5086" i="2"/>
  <c r="D485" i="2"/>
  <c r="D2714" i="2"/>
  <c r="D5559" i="2"/>
  <c r="D2720" i="2"/>
  <c r="D3206" i="2"/>
  <c r="D5299" i="2"/>
  <c r="D4112" i="2"/>
  <c r="D4963" i="2"/>
  <c r="D2719" i="2"/>
  <c r="D4007" i="2"/>
  <c r="D2189" i="2"/>
  <c r="D5041" i="2"/>
  <c r="D1145" i="2"/>
  <c r="D2888" i="2"/>
  <c r="D1389" i="2"/>
  <c r="D5088" i="2"/>
  <c r="D1447" i="2"/>
  <c r="D3679" i="2"/>
  <c r="D1219" i="2"/>
  <c r="D336" i="2"/>
  <c r="D3249" i="2"/>
  <c r="D3260" i="2"/>
  <c r="D5055" i="2"/>
  <c r="D1109" i="2"/>
  <c r="D3913" i="2"/>
  <c r="D3423" i="2"/>
  <c r="D1227" i="2"/>
  <c r="D3003" i="2"/>
  <c r="D2576" i="2"/>
  <c r="D3513" i="2"/>
  <c r="D2915" i="2"/>
  <c r="D773" i="2"/>
  <c r="D3946" i="2"/>
  <c r="D1842" i="2"/>
  <c r="D3253" i="2"/>
  <c r="D4475" i="2"/>
  <c r="D4610" i="2"/>
  <c r="D4505" i="2"/>
  <c r="D158" i="2"/>
  <c r="D4754" i="2"/>
  <c r="D4132" i="2"/>
  <c r="D4910" i="2"/>
  <c r="D4917" i="2"/>
  <c r="D4271" i="2"/>
  <c r="D5205" i="2"/>
  <c r="D1086" i="2"/>
  <c r="D3664" i="2"/>
  <c r="D3016" i="2"/>
  <c r="D5030" i="2"/>
  <c r="D1144" i="2"/>
  <c r="D4111" i="2"/>
  <c r="D3947" i="2"/>
  <c r="D4400" i="2"/>
  <c r="D3467" i="2"/>
  <c r="D439" i="2"/>
  <c r="D5344" i="2"/>
  <c r="D3740" i="2"/>
  <c r="D5167" i="2"/>
  <c r="D560" i="2"/>
  <c r="D324" i="2"/>
  <c r="D5398" i="2"/>
  <c r="D4627" i="2"/>
  <c r="D4083" i="2"/>
  <c r="D2586" i="2"/>
  <c r="D3933" i="2"/>
  <c r="D2855" i="2"/>
  <c r="D3465" i="2"/>
  <c r="D4166" i="2"/>
  <c r="D4647" i="2"/>
  <c r="D5361" i="2"/>
  <c r="D104" i="2"/>
  <c r="D3837" i="2"/>
  <c r="D3312" i="2"/>
  <c r="D5202" i="2"/>
  <c r="D467" i="2"/>
  <c r="D3676" i="2"/>
  <c r="D1018" i="2"/>
  <c r="D3438" i="2"/>
  <c r="D3536" i="2"/>
  <c r="D2265" i="2"/>
  <c r="D2781" i="2"/>
  <c r="D2317" i="2"/>
  <c r="D3239" i="2"/>
  <c r="D2111" i="2"/>
  <c r="D869" i="2"/>
  <c r="D2693" i="2"/>
  <c r="D5671" i="2"/>
  <c r="D4987" i="2"/>
  <c r="D5459" i="2"/>
  <c r="D5114" i="2"/>
  <c r="D5066" i="2"/>
  <c r="D4340" i="2"/>
  <c r="D5048" i="2"/>
  <c r="D3554" i="2"/>
  <c r="D1549" i="2"/>
  <c r="D3188" i="2"/>
  <c r="D4409" i="2"/>
  <c r="D3347" i="2"/>
  <c r="D894" i="2"/>
  <c r="D291" i="2"/>
  <c r="D2140" i="2"/>
  <c r="D4268" i="2"/>
  <c r="D3144" i="2"/>
  <c r="D1633" i="2"/>
  <c r="D5260" i="2"/>
  <c r="D112" i="2"/>
  <c r="D1030" i="2"/>
  <c r="D2708" i="2"/>
  <c r="D3831" i="2"/>
  <c r="D679" i="2"/>
  <c r="D4078" i="2"/>
  <c r="D1311" i="2"/>
  <c r="D3972" i="2"/>
  <c r="D4054" i="2"/>
  <c r="D2134" i="2"/>
  <c r="D4171" i="2"/>
  <c r="D4895" i="2"/>
  <c r="D1491" i="2"/>
  <c r="D4285" i="2"/>
  <c r="D3866" i="2"/>
  <c r="D1716" i="2"/>
  <c r="D3523" i="2"/>
  <c r="D4336" i="2"/>
  <c r="D1397" i="2"/>
  <c r="D2716" i="2"/>
  <c r="D3770" i="2"/>
  <c r="D4953" i="2"/>
  <c r="D1687" i="2"/>
  <c r="D2252" i="2"/>
  <c r="D1042" i="2"/>
  <c r="D5152" i="2"/>
  <c r="D4058" i="2"/>
  <c r="D3153" i="2"/>
  <c r="D2921" i="2"/>
  <c r="D3146" i="2"/>
  <c r="D1597" i="2"/>
  <c r="D624" i="2"/>
  <c r="D1702" i="2"/>
  <c r="D4434" i="2"/>
  <c r="D4429" i="2"/>
  <c r="D2645" i="2"/>
  <c r="D2312" i="2"/>
  <c r="D1248" i="2"/>
  <c r="D5214" i="2"/>
  <c r="D2063" i="2"/>
  <c r="D784" i="2"/>
  <c r="D4829" i="2"/>
  <c r="D824" i="2"/>
  <c r="D3418" i="2"/>
  <c r="D3931" i="2"/>
  <c r="D5561" i="2"/>
  <c r="D5338" i="2"/>
  <c r="D4490" i="2"/>
  <c r="D1843" i="2"/>
  <c r="D2006" i="2"/>
  <c r="D3920" i="2"/>
  <c r="D1647" i="2"/>
  <c r="D2129" i="2"/>
  <c r="D3416" i="2"/>
  <c r="D3106" i="2"/>
  <c r="D3288" i="2"/>
  <c r="D3966" i="2"/>
  <c r="D1268" i="2"/>
  <c r="D5270" i="2"/>
  <c r="D1704" i="2"/>
  <c r="D4432" i="2"/>
  <c r="D3600" i="2"/>
  <c r="D2359" i="2"/>
  <c r="D1602" i="2"/>
  <c r="D4413" i="2"/>
  <c r="D1221" i="2"/>
  <c r="D1099" i="2"/>
  <c r="D716" i="2"/>
  <c r="D553" i="2"/>
  <c r="D4401" i="2"/>
  <c r="D5007" i="2"/>
  <c r="D4733" i="2"/>
  <c r="D5636" i="2"/>
  <c r="D3747" i="2"/>
  <c r="D1294" i="2"/>
  <c r="D3988" i="2"/>
  <c r="D1019" i="2"/>
  <c r="D5730" i="2"/>
  <c r="D1736" i="2"/>
  <c r="D4242" i="2"/>
  <c r="D3483" i="2"/>
  <c r="D676" i="2"/>
  <c r="D1088" i="2"/>
  <c r="D1120" i="2"/>
  <c r="D1855" i="2"/>
  <c r="D4466" i="2"/>
  <c r="D992" i="2"/>
  <c r="D2887" i="2"/>
  <c r="D1847" i="2"/>
  <c r="D347" i="2"/>
  <c r="D2183" i="2"/>
  <c r="D1825" i="2"/>
  <c r="D1438" i="2"/>
  <c r="D1590" i="2"/>
  <c r="D5390" i="2"/>
  <c r="D5376" i="2"/>
  <c r="D1689" i="2"/>
  <c r="D3508" i="2"/>
  <c r="D1085" i="2"/>
  <c r="D5555" i="2"/>
  <c r="D3830" i="2"/>
  <c r="D2225" i="2"/>
  <c r="D4349" i="2"/>
  <c r="D858" i="2"/>
  <c r="D2389" i="2"/>
  <c r="D2626" i="2"/>
  <c r="D1402" i="2"/>
  <c r="D933" i="2"/>
  <c r="D5489" i="2"/>
  <c r="D2503" i="2"/>
  <c r="D2311" i="2"/>
  <c r="D4803" i="2"/>
  <c r="D4809" i="2"/>
  <c r="D2983" i="2"/>
  <c r="D4465" i="2"/>
  <c r="D480" i="2"/>
  <c r="D4376" i="2"/>
  <c r="D120" i="2"/>
  <c r="D3274" i="2"/>
  <c r="D1553" i="2"/>
  <c r="D3401" i="2"/>
  <c r="D4129" i="2"/>
  <c r="D837" i="2"/>
  <c r="D5203" i="2"/>
  <c r="D3873" i="2"/>
  <c r="D1558" i="2"/>
  <c r="D473" i="2"/>
  <c r="D4399" i="2"/>
  <c r="D4898" i="2"/>
  <c r="D274" i="2"/>
  <c r="D794" i="2"/>
  <c r="D832" i="2"/>
  <c r="D4724" i="2"/>
  <c r="D4995" i="2"/>
  <c r="D2828" i="2"/>
  <c r="D3900" i="2"/>
  <c r="D4592" i="2"/>
  <c r="D4772" i="2"/>
  <c r="D2009" i="2"/>
  <c r="D3452" i="2"/>
  <c r="D1757" i="2"/>
  <c r="D1771" i="2"/>
  <c r="D3748" i="2"/>
  <c r="D3527" i="2"/>
  <c r="D520" i="2"/>
  <c r="D3645" i="2"/>
  <c r="D2285" i="2"/>
  <c r="D4583" i="2"/>
  <c r="D2153" i="2"/>
  <c r="D1474" i="2"/>
  <c r="D3646" i="2"/>
  <c r="D2098" i="2"/>
  <c r="D3236" i="2"/>
  <c r="D2356" i="2"/>
  <c r="D331" i="2"/>
  <c r="D2572" i="2"/>
  <c r="D3154" i="2"/>
  <c r="D3362" i="2"/>
  <c r="D1151" i="2"/>
  <c r="D885" i="2"/>
  <c r="D5519" i="2"/>
  <c r="D945" i="2"/>
  <c r="D1262" i="2"/>
  <c r="D1233" i="2"/>
  <c r="D4665" i="2"/>
  <c r="D857" i="2"/>
  <c r="D1094" i="2"/>
  <c r="D2041" i="2"/>
  <c r="D3160" i="2"/>
  <c r="D1431" i="2"/>
  <c r="D4411" i="2"/>
  <c r="D2177" i="2"/>
  <c r="D1960" i="2"/>
  <c r="D3123" i="2"/>
  <c r="D5188" i="2"/>
  <c r="D5615" i="2"/>
  <c r="D3798" i="2"/>
  <c r="D5018" i="2"/>
  <c r="D1550" i="2"/>
  <c r="D3865" i="2"/>
  <c r="D5792" i="2"/>
  <c r="D1876" i="2"/>
  <c r="D2181" i="2"/>
  <c r="D3542" i="2"/>
  <c r="D3844" i="2"/>
  <c r="D159" i="2"/>
  <c r="D5830" i="2"/>
  <c r="D5773" i="2"/>
  <c r="D1166" i="2"/>
  <c r="D409" i="2"/>
  <c r="D4781" i="2"/>
  <c r="D1364" i="2"/>
  <c r="D4291" i="2"/>
  <c r="D136" i="2"/>
  <c r="D1515" i="2"/>
  <c r="D4678" i="2"/>
  <c r="D4901" i="2"/>
  <c r="D5419" i="2"/>
  <c r="D55" i="2"/>
  <c r="D5909" i="2"/>
  <c r="D5880" i="2"/>
  <c r="D5836" i="2"/>
  <c r="D4194" i="2"/>
  <c r="D613" i="2"/>
  <c r="D4152" i="2"/>
  <c r="D1914" i="2"/>
  <c r="D5623" i="2"/>
  <c r="D5072" i="2"/>
  <c r="D1487" i="2"/>
  <c r="D5175" i="2"/>
  <c r="D5795" i="2"/>
  <c r="D5201" i="2"/>
  <c r="D1271" i="2"/>
  <c r="D5580" i="2"/>
  <c r="D4835" i="2"/>
  <c r="D3728" i="2"/>
  <c r="D3975" i="2"/>
  <c r="D4333" i="2"/>
  <c r="D5473" i="2"/>
  <c r="D4669" i="2"/>
  <c r="D2370" i="2"/>
  <c r="D421" i="2"/>
  <c r="D5510" i="2"/>
  <c r="D2889" i="2"/>
  <c r="D996" i="2"/>
  <c r="D3167" i="2"/>
  <c r="D301" i="2"/>
  <c r="D4188" i="2"/>
  <c r="D5552" i="2"/>
  <c r="D2857" i="2"/>
  <c r="D1598" i="2"/>
  <c r="D4381" i="2"/>
  <c r="D3235" i="2"/>
  <c r="D655" i="2"/>
  <c r="D2086" i="2"/>
  <c r="D2747" i="2"/>
  <c r="D1693" i="2"/>
  <c r="D5271" i="2"/>
  <c r="D1524" i="2"/>
  <c r="D1628" i="2"/>
  <c r="D5204" i="2"/>
  <c r="D4701" i="2"/>
  <c r="D2110" i="2"/>
  <c r="D5575" i="2"/>
  <c r="D226" i="2"/>
  <c r="D1466" i="2"/>
  <c r="D3271" i="2"/>
  <c r="D1339" i="2"/>
  <c r="D235" i="2"/>
  <c r="D4810" i="2"/>
  <c r="D819" i="2"/>
  <c r="D4946" i="2"/>
  <c r="D4331" i="2"/>
  <c r="D1242" i="2"/>
  <c r="D2957" i="2"/>
  <c r="D1939" i="2"/>
  <c r="D4169" i="2"/>
  <c r="D5170" i="2"/>
  <c r="D4387" i="2"/>
  <c r="D4342" i="2"/>
  <c r="D1012" i="2"/>
  <c r="D5186" i="2"/>
  <c r="D3453" i="2"/>
  <c r="D2152" i="2"/>
  <c r="D942" i="2"/>
  <c r="D5162" i="2"/>
  <c r="D683" i="2"/>
  <c r="D2557" i="2"/>
  <c r="D1866" i="2"/>
  <c r="D5008" i="2"/>
  <c r="D32" i="2"/>
  <c r="D2814" i="2"/>
  <c r="D4708" i="2"/>
  <c r="D460" i="2"/>
  <c r="D2199" i="2"/>
  <c r="D986" i="2"/>
  <c r="D3541" i="2"/>
  <c r="D2570" i="2"/>
  <c r="D2492" i="2"/>
  <c r="D1585" i="2"/>
  <c r="D1603" i="2"/>
  <c r="D4861" i="2"/>
  <c r="D4277" i="2"/>
  <c r="D810" i="2"/>
  <c r="D431" i="2"/>
  <c r="D2476" i="2"/>
  <c r="D5241" i="2"/>
  <c r="D3544" i="2"/>
  <c r="D3266" i="2"/>
  <c r="D1468" i="2"/>
  <c r="D939" i="2"/>
  <c r="D1868" i="2"/>
  <c r="D5250" i="2"/>
  <c r="D1943" i="2"/>
  <c r="D3402" i="2"/>
  <c r="D2329" i="2"/>
  <c r="D4746" i="2"/>
  <c r="D4557" i="2"/>
  <c r="D4389" i="2"/>
  <c r="D998" i="2"/>
  <c r="D1143" i="2"/>
  <c r="D4600" i="2"/>
  <c r="D2437" i="2"/>
  <c r="D4357" i="2"/>
  <c r="D5442" i="2"/>
  <c r="D5169" i="2"/>
  <c r="D1823" i="2"/>
  <c r="D2820" i="2"/>
  <c r="D2759" i="2"/>
  <c r="D2543" i="2"/>
  <c r="D142" i="2"/>
  <c r="D3099" i="2"/>
  <c r="D5106" i="2"/>
  <c r="D1804" i="2"/>
  <c r="D1395" i="2"/>
  <c r="D313" i="2"/>
  <c r="D1340" i="2"/>
  <c r="D4777" i="2"/>
  <c r="D3277" i="2"/>
  <c r="D4347" i="2"/>
  <c r="D4334" i="2"/>
  <c r="D681" i="2"/>
  <c r="D1418" i="2"/>
  <c r="D805" i="2"/>
  <c r="D437" i="2"/>
  <c r="D1296" i="2"/>
  <c r="D4686" i="2"/>
  <c r="D573" i="2"/>
  <c r="D368" i="2"/>
  <c r="D4472" i="2"/>
  <c r="D2635" i="2"/>
  <c r="D1562" i="2"/>
  <c r="D3462" i="2"/>
  <c r="D4512" i="2"/>
  <c r="D5439" i="2"/>
  <c r="D896" i="2"/>
  <c r="D704" i="2"/>
  <c r="D4905" i="2"/>
  <c r="D5485" i="2"/>
  <c r="D2271" i="2"/>
  <c r="D2877" i="2"/>
  <c r="D1100" i="2"/>
  <c r="D1518" i="2"/>
  <c r="D1604" i="2"/>
  <c r="D1373" i="2"/>
  <c r="D4509" i="2"/>
  <c r="D4213" i="2"/>
  <c r="D4477" i="2"/>
  <c r="D5417" i="2"/>
  <c r="D635" i="2"/>
  <c r="D2630" i="2"/>
  <c r="D5237" i="2"/>
  <c r="D256" i="2"/>
  <c r="D1074" i="2"/>
  <c r="D4140" i="2"/>
  <c r="D3885" i="2"/>
  <c r="D4442" i="2"/>
  <c r="D5396" i="2"/>
  <c r="D2385" i="2"/>
  <c r="D1488" i="2"/>
  <c r="D5569" i="2"/>
  <c r="D5314" i="2"/>
  <c r="D2785" i="2"/>
  <c r="D2223" i="2"/>
  <c r="D511" i="2"/>
  <c r="D2904" i="2"/>
  <c r="D1203" i="2"/>
  <c r="D5315" i="2"/>
  <c r="D1407" i="2"/>
  <c r="D3109" i="2"/>
  <c r="D242" i="2"/>
  <c r="D5451" i="2"/>
  <c r="D2817" i="2"/>
  <c r="D5592" i="2"/>
  <c r="D1983" i="2"/>
  <c r="D1712" i="2"/>
  <c r="D617" i="2"/>
  <c r="D429" i="2"/>
  <c r="D5631" i="2"/>
  <c r="D629" i="2"/>
  <c r="D5538" i="2"/>
  <c r="D2137" i="2"/>
  <c r="D3303" i="2"/>
  <c r="D5612" i="2"/>
  <c r="D4634" i="2"/>
  <c r="D4071" i="2"/>
  <c r="D4981" i="2"/>
  <c r="D1235" i="2"/>
  <c r="D260" i="2"/>
  <c r="D5531" i="2"/>
  <c r="D4164" i="2"/>
  <c r="D555" i="2"/>
  <c r="D1068" i="2"/>
  <c r="D2922" i="2"/>
  <c r="D5594" i="2"/>
  <c r="D1370" i="2"/>
  <c r="D252" i="2"/>
  <c r="D2068" i="2"/>
  <c r="D4270" i="2"/>
  <c r="D4174" i="2"/>
  <c r="D5789" i="2"/>
  <c r="D4924" i="2"/>
  <c r="D406" i="2"/>
  <c r="D4075" i="2"/>
  <c r="D3338" i="2"/>
  <c r="D3283" i="2"/>
  <c r="D2485" i="2"/>
  <c r="D5283" i="2"/>
  <c r="D5280" i="2"/>
  <c r="D459" i="2"/>
  <c r="D2539" i="2"/>
  <c r="D4146" i="2"/>
  <c r="D1846" i="2"/>
  <c r="D3568" i="2"/>
  <c r="D3339" i="2"/>
  <c r="D3280" i="2"/>
  <c r="D2375" i="2"/>
  <c r="D3577" i="2"/>
  <c r="D1530" i="2"/>
  <c r="D4360" i="2"/>
  <c r="D2257" i="2"/>
  <c r="D1244" i="2"/>
  <c r="D5137" i="2"/>
  <c r="D2313" i="2"/>
  <c r="D565" i="2"/>
  <c r="D3299" i="2"/>
  <c r="D440" i="2"/>
  <c r="D5624" i="2"/>
  <c r="D5009" i="2"/>
  <c r="D89" i="2"/>
  <c r="D4691" i="2"/>
  <c r="D4435" i="2"/>
  <c r="D2097" i="2"/>
  <c r="D1698" i="2"/>
  <c r="D5620" i="2"/>
  <c r="D3766" i="2"/>
  <c r="D1853" i="2"/>
  <c r="D1672" i="2"/>
  <c r="D367" i="2"/>
  <c r="D1774" i="2"/>
  <c r="D2530" i="2"/>
  <c r="D709" i="2"/>
  <c r="D1552" i="2"/>
  <c r="D2874" i="2"/>
  <c r="D2374" i="2"/>
  <c r="D5591" i="2"/>
  <c r="D611" i="2"/>
  <c r="D4199" i="2"/>
  <c r="D2112" i="2"/>
  <c r="D5212" i="2"/>
  <c r="D5458" i="2"/>
  <c r="D3232" i="2"/>
  <c r="D2681" i="2"/>
  <c r="D2761" i="2"/>
  <c r="D2197" i="2"/>
  <c r="D1197" i="2"/>
  <c r="D5877" i="2"/>
  <c r="D2456" i="2"/>
  <c r="D5556" i="2"/>
  <c r="D3959" i="2"/>
  <c r="D3836" i="2"/>
  <c r="D936" i="2"/>
  <c r="D1477" i="2"/>
  <c r="D3822" i="2"/>
  <c r="D1726" i="2"/>
  <c r="D1813" i="2"/>
  <c r="D5603" i="2"/>
  <c r="D1306" i="2"/>
  <c r="D1024" i="2"/>
  <c r="D3520" i="2"/>
  <c r="D626" i="2"/>
  <c r="D3590" i="2"/>
  <c r="D74" i="2"/>
  <c r="D1044" i="2"/>
  <c r="D5215" i="2"/>
  <c r="D844" i="2"/>
  <c r="D5091" i="2"/>
  <c r="D5749" i="2"/>
  <c r="D5120" i="2"/>
  <c r="D526" i="2"/>
  <c r="D4624" i="2"/>
  <c r="D4876" i="2"/>
  <c r="D261" i="2"/>
  <c r="D1347" i="2"/>
  <c r="D5297" i="2"/>
  <c r="D141" i="2"/>
  <c r="D2135" i="2"/>
  <c r="D5754" i="2"/>
  <c r="D5325" i="2"/>
  <c r="D363" i="2"/>
  <c r="D5291" i="2"/>
  <c r="D5815" i="2"/>
  <c r="D4911" i="2"/>
  <c r="D2262" i="2"/>
  <c r="D2296" i="2"/>
  <c r="D3150" i="2"/>
  <c r="D707" i="2"/>
  <c r="D5898" i="2"/>
  <c r="D2226" i="2"/>
  <c r="D5416" i="2"/>
  <c r="D3488" i="2"/>
  <c r="D2706" i="2"/>
  <c r="D1980" i="2"/>
  <c r="D412" i="2"/>
  <c r="D2333" i="2"/>
  <c r="D5133" i="2"/>
  <c r="D5515" i="2"/>
  <c r="D2246" i="2"/>
  <c r="D5450" i="2"/>
  <c r="D4507" i="2"/>
  <c r="D587" i="2"/>
  <c r="D214" i="2"/>
  <c r="D4240" i="2"/>
  <c r="D264" i="2"/>
  <c r="D1076" i="2"/>
  <c r="D961" i="2"/>
  <c r="D5527" i="2"/>
  <c r="D2060" i="2"/>
  <c r="D2424" i="2"/>
  <c r="D2268" i="2"/>
  <c r="D190" i="2"/>
  <c r="D5860" i="2"/>
  <c r="D207" i="2"/>
  <c r="D5688" i="2"/>
  <c r="D1130" i="2"/>
  <c r="D645" i="2"/>
  <c r="D1840" i="2"/>
  <c r="D296" i="2"/>
  <c r="D3539" i="2"/>
  <c r="D4335" i="2"/>
  <c r="D5703" i="2"/>
  <c r="D52" i="2"/>
  <c r="D958" i="2"/>
  <c r="D1056" i="2"/>
  <c r="D2453" i="2"/>
  <c r="D1707" i="2"/>
  <c r="D369" i="2"/>
  <c r="D5401" i="2"/>
  <c r="D3005" i="2"/>
  <c r="D3999" i="2"/>
  <c r="D2612" i="2"/>
  <c r="D1174" i="2"/>
  <c r="D1319" i="2"/>
  <c r="D862" i="2"/>
  <c r="D357" i="2"/>
  <c r="D1595" i="2"/>
  <c r="D1467" i="2"/>
  <c r="D4799" i="2"/>
  <c r="D3872" i="2"/>
  <c r="D5857" i="2"/>
  <c r="D2093" i="2"/>
  <c r="D5316" i="2"/>
  <c r="D5168" i="2"/>
  <c r="D3330" i="2"/>
  <c r="D3915" i="2"/>
  <c r="D2107" i="2"/>
  <c r="D5843" i="2"/>
  <c r="D2334" i="2"/>
  <c r="D359" i="2"/>
  <c r="D1291" i="2"/>
  <c r="D4168" i="2"/>
  <c r="D2582" i="2"/>
  <c r="D5368" i="2"/>
  <c r="D3587" i="2"/>
  <c r="D1629" i="2"/>
  <c r="D4003" i="2"/>
  <c r="D1316" i="2"/>
  <c r="D5744" i="2"/>
  <c r="D4498" i="2"/>
  <c r="D85" i="2"/>
  <c r="D1961" i="2"/>
  <c r="D5357" i="2"/>
  <c r="D795" i="2"/>
  <c r="D4584" i="2"/>
  <c r="D1806" i="2"/>
  <c r="D5681" i="2"/>
  <c r="D2487" i="2"/>
  <c r="D471" i="2"/>
  <c r="D1288" i="2"/>
  <c r="D5185" i="2"/>
  <c r="D304" i="2"/>
  <c r="D5808" i="2"/>
  <c r="D5455" i="2"/>
  <c r="D2763" i="2"/>
  <c r="D5144" i="2"/>
  <c r="D5249" i="2"/>
  <c r="D4759" i="2"/>
  <c r="D4341" i="2"/>
  <c r="D5487" i="2"/>
  <c r="D5686" i="2"/>
  <c r="D2410" i="2"/>
  <c r="D1680" i="2"/>
  <c r="D1669" i="2"/>
  <c r="D970" i="2"/>
  <c r="D1047" i="2"/>
  <c r="D2340" i="2"/>
  <c r="D1060" i="2"/>
  <c r="D2085" i="2"/>
  <c r="D138" i="2"/>
  <c r="D5440" i="2"/>
  <c r="D5449" i="2"/>
  <c r="D4224" i="2"/>
  <c r="D2584" i="2"/>
  <c r="D2593" i="2"/>
  <c r="D5743" i="2"/>
  <c r="D371" i="2"/>
  <c r="D5513" i="2"/>
  <c r="D3208" i="2"/>
  <c r="D275" i="2"/>
  <c r="D2955" i="2"/>
  <c r="D3345" i="2"/>
  <c r="D2735" i="2"/>
  <c r="D4200" i="2"/>
  <c r="D5662" i="2"/>
  <c r="D3802" i="2"/>
  <c r="D3489" i="2"/>
  <c r="D847" i="2"/>
  <c r="D442" i="2"/>
  <c r="D594" i="2"/>
  <c r="D5700" i="2"/>
  <c r="D678" i="2"/>
  <c r="D5021" i="2"/>
  <c r="D5474" i="2"/>
  <c r="D4800" i="2"/>
  <c r="D812" i="2"/>
  <c r="D5272" i="2"/>
  <c r="D1480" i="2"/>
  <c r="D2297" i="2"/>
  <c r="D5495" i="2"/>
  <c r="D457" i="2"/>
  <c r="D436" i="2"/>
  <c r="D1661" i="2"/>
  <c r="D5307" i="2"/>
  <c r="D1504" i="2"/>
  <c r="D5101" i="2"/>
  <c r="D1583" i="2"/>
  <c r="D5901" i="2"/>
  <c r="D5689" i="2"/>
  <c r="D5774" i="2"/>
  <c r="D475" i="2"/>
  <c r="D200" i="2"/>
  <c r="D4207" i="2"/>
  <c r="D633" i="2"/>
  <c r="D925" i="2"/>
  <c r="D1499" i="2"/>
  <c r="D5136" i="2"/>
  <c r="D2064" i="2"/>
  <c r="D3884" i="2"/>
  <c r="D1299" i="2"/>
  <c r="D213" i="2"/>
  <c r="D4209" i="2"/>
  <c r="D4755" i="2"/>
  <c r="D30" i="2"/>
  <c r="D557" i="2"/>
  <c r="D5614" i="2"/>
  <c r="D3100" i="2"/>
  <c r="D177" i="2"/>
  <c r="D3940" i="2"/>
  <c r="D2394" i="2"/>
  <c r="D4795" i="2"/>
  <c r="D102" i="2"/>
  <c r="D3510" i="2"/>
  <c r="D5200" i="2"/>
  <c r="D4601" i="2"/>
  <c r="D725" i="2"/>
  <c r="D5294" i="2"/>
  <c r="D630" i="2"/>
  <c r="D5827" i="2"/>
  <c r="D4885" i="2"/>
  <c r="D4687" i="2"/>
  <c r="D1830" i="2"/>
  <c r="D4528" i="2"/>
  <c r="D4516" i="2"/>
  <c r="D5213" i="2"/>
  <c r="D1217" i="2"/>
  <c r="D4662" i="2"/>
  <c r="D2432" i="2"/>
  <c r="D376" i="2"/>
  <c r="D5802" i="2"/>
  <c r="D23" i="2"/>
  <c r="D45" i="2"/>
  <c r="D2727" i="2"/>
  <c r="D623" i="2"/>
  <c r="D2826" i="2"/>
  <c r="D3431" i="2"/>
  <c r="D2540" i="2"/>
  <c r="D1263" i="2"/>
  <c r="D5658" i="2"/>
  <c r="D1050" i="2"/>
  <c r="D267" i="2"/>
  <c r="D96" i="2"/>
  <c r="D2749" i="2"/>
  <c r="D4567" i="2"/>
  <c r="D2895" i="2"/>
  <c r="D2160" i="2"/>
  <c r="D5346" i="2"/>
  <c r="D1917" i="2"/>
  <c r="D4108" i="2"/>
  <c r="D607" i="2"/>
  <c r="D3655" i="2"/>
  <c r="D3193" i="2"/>
  <c r="D3756" i="2"/>
  <c r="D1683" i="2"/>
  <c r="D3168" i="2"/>
  <c r="D4110" i="2"/>
  <c r="D1181" i="2"/>
  <c r="D449" i="2"/>
  <c r="D5767" i="2"/>
  <c r="D3017" i="2"/>
  <c r="D5195" i="2"/>
  <c r="D4930" i="2"/>
  <c r="D1106" i="2"/>
  <c r="D229" i="2"/>
  <c r="D1382" i="2"/>
  <c r="D3925" i="2"/>
  <c r="D2336" i="2"/>
  <c r="D1798" i="2"/>
  <c r="D3726" i="2"/>
  <c r="D1270" i="2"/>
  <c r="D5699" i="2"/>
  <c r="D2078" i="2"/>
  <c r="D5709" i="2"/>
  <c r="D5574" i="2"/>
  <c r="D872" i="2"/>
  <c r="D514" i="2"/>
  <c r="D3389" i="2"/>
  <c r="D5564" i="2"/>
  <c r="D5251" i="2"/>
  <c r="D435" i="2"/>
  <c r="D2206" i="2"/>
  <c r="D5340" i="2"/>
  <c r="D5295" i="2"/>
  <c r="D84" i="2"/>
  <c r="D432" i="2"/>
  <c r="D1415" i="2"/>
  <c r="D2345" i="2"/>
  <c r="D4653" i="2"/>
  <c r="D1479" i="2"/>
  <c r="D1259" i="2"/>
  <c r="D834" i="2"/>
  <c r="D1929" i="2"/>
  <c r="D4699" i="2"/>
  <c r="D4248" i="2"/>
  <c r="D2544" i="2"/>
  <c r="D3992" i="2"/>
  <c r="D4329" i="2"/>
  <c r="D2495" i="2"/>
  <c r="D2355" i="2"/>
  <c r="D2496" i="2"/>
  <c r="D2884" i="2"/>
  <c r="D4350" i="2"/>
  <c r="D5566" i="2"/>
  <c r="D5129" i="2"/>
  <c r="D1202" i="2"/>
  <c r="D1925" i="2"/>
  <c r="D1523" i="2"/>
  <c r="D4337" i="2"/>
  <c r="D5610" i="2"/>
  <c r="D1101" i="2"/>
  <c r="D3566" i="2"/>
  <c r="D299" i="2"/>
  <c r="D302" i="2"/>
  <c r="D3172" i="2"/>
  <c r="D751" i="2"/>
  <c r="D447" i="2"/>
  <c r="D2721" i="2"/>
  <c r="D3159" i="2"/>
  <c r="D3995" i="2"/>
  <c r="D4985" i="2"/>
  <c r="D156" i="2"/>
  <c r="D5761" i="2"/>
  <c r="D5059" i="2"/>
  <c r="D1639" i="2"/>
  <c r="D4220" i="2"/>
  <c r="D1543" i="2"/>
  <c r="D1156" i="2"/>
  <c r="D3903" i="2"/>
  <c r="D2961" i="2"/>
  <c r="D5349" i="2"/>
  <c r="D811" i="2"/>
  <c r="D3121" i="2"/>
  <c r="D3694" i="2"/>
  <c r="D1209" i="2"/>
  <c r="D1350" i="2"/>
  <c r="D1367" i="2"/>
  <c r="D2860" i="2"/>
  <c r="D665" i="2"/>
  <c r="D4041" i="2"/>
  <c r="D131" i="2"/>
  <c r="D2332" i="2"/>
  <c r="D5069" i="2"/>
  <c r="D1321" i="2"/>
  <c r="D984" i="2"/>
  <c r="D841" i="2"/>
  <c r="D80" i="2"/>
  <c r="D4718" i="2"/>
  <c r="D2559" i="2"/>
  <c r="D3126" i="2"/>
  <c r="D3424" i="2"/>
  <c r="D2136" i="2"/>
  <c r="D2505" i="2"/>
  <c r="D4482" i="2"/>
  <c r="D5672" i="2"/>
  <c r="D2975" i="2"/>
  <c r="D5769" i="2"/>
  <c r="D2018" i="2"/>
  <c r="D5263" i="2"/>
  <c r="D201" i="2"/>
  <c r="D2450" i="2"/>
  <c r="D5335" i="2"/>
  <c r="D954" i="2"/>
  <c r="D5883" i="2"/>
  <c r="D240" i="2"/>
  <c r="D2227" i="2"/>
  <c r="D206" i="2"/>
  <c r="D194" i="2"/>
  <c r="D3628" i="2"/>
  <c r="D5383" i="2"/>
  <c r="D4461" i="2"/>
  <c r="D966" i="2"/>
  <c r="D1097" i="2"/>
  <c r="D861" i="2"/>
  <c r="D4221" i="2"/>
  <c r="D5716" i="2"/>
  <c r="D5715" i="2"/>
  <c r="D3018" i="2"/>
  <c r="D5039" i="2"/>
  <c r="D4116" i="2"/>
  <c r="D4589" i="2"/>
  <c r="D768" i="2"/>
  <c r="D2868" i="2"/>
  <c r="D5343" i="2"/>
  <c r="D2217" i="2"/>
  <c r="D4916" i="2"/>
  <c r="D867" i="2"/>
  <c r="D756" i="2"/>
  <c r="D5206" i="2"/>
  <c r="D250" i="2"/>
  <c r="D5667" i="2"/>
  <c r="D5512" i="2"/>
  <c r="D875" i="2"/>
  <c r="D2701" i="2"/>
  <c r="D622" i="2"/>
  <c r="D1705" i="2"/>
  <c r="D2469" i="2"/>
  <c r="D322" i="2"/>
  <c r="D4847" i="2"/>
  <c r="D2044" i="2"/>
  <c r="D444" i="2"/>
  <c r="D1111" i="2"/>
  <c r="D2309" i="2"/>
  <c r="D3348" i="2"/>
  <c r="D293" i="2"/>
  <c r="D4616" i="2"/>
  <c r="D1606" i="2"/>
  <c r="D994" i="2"/>
  <c r="D3113" i="2"/>
  <c r="D3547" i="2"/>
  <c r="D1930" i="2"/>
  <c r="D3114" i="2"/>
  <c r="D4641" i="2"/>
  <c r="D1277" i="2"/>
  <c r="D2474" i="2"/>
  <c r="D904" i="2"/>
  <c r="D2003" i="2"/>
  <c r="D5210" i="2"/>
  <c r="D4769" i="2"/>
  <c r="D3157" i="2"/>
  <c r="D2823" i="2"/>
  <c r="D1529" i="2"/>
  <c r="D5395" i="2"/>
  <c r="D5187" i="2"/>
  <c r="D4149" i="2"/>
  <c r="D4414" i="2"/>
  <c r="D1021" i="2"/>
  <c r="D3272" i="2"/>
  <c r="D692" i="2"/>
  <c r="D1049" i="2"/>
  <c r="D3856" i="2"/>
  <c r="D5003" i="2"/>
  <c r="D4904" i="2"/>
  <c r="D1064" i="2"/>
  <c r="D2846" i="2"/>
  <c r="D3812" i="2"/>
  <c r="D1280" i="2"/>
  <c r="D2843" i="2"/>
  <c r="D5142" i="2"/>
  <c r="D5557" i="2"/>
  <c r="D3750" i="2"/>
  <c r="D4572" i="2"/>
  <c r="D2176" i="2"/>
  <c r="D1091" i="2"/>
  <c r="D5117" i="2"/>
  <c r="D2198" i="2"/>
  <c r="D2249" i="2"/>
  <c r="D3267" i="2"/>
  <c r="D2786" i="2"/>
  <c r="D3412" i="2"/>
  <c r="D2537" i="2"/>
  <c r="D1587" i="2"/>
  <c r="D5725" i="2"/>
  <c r="D563" i="2"/>
  <c r="D2145" i="2"/>
  <c r="D1916" i="2"/>
  <c r="D4765" i="2"/>
  <c r="D2031" i="2"/>
  <c r="D2712" i="2"/>
  <c r="D4228" i="2"/>
  <c r="D1664" i="2"/>
  <c r="D5579" i="2"/>
  <c r="D1029" i="2"/>
  <c r="D1379" i="2"/>
  <c r="D5329" i="2"/>
  <c r="D4459" i="2"/>
  <c r="D4517" i="2"/>
  <c r="D4212" i="2"/>
  <c r="D3002" i="2"/>
  <c r="D3129" i="2"/>
  <c r="D3128" i="2"/>
  <c r="D2039" i="2"/>
  <c r="D3936" i="2"/>
  <c r="D3382" i="2"/>
  <c r="D2438" i="2"/>
  <c r="D3606" i="2"/>
  <c r="D2987" i="2"/>
  <c r="D3862" i="2"/>
  <c r="D5426" i="2"/>
  <c r="D793" i="2"/>
  <c r="D3573" i="2"/>
  <c r="D5729" i="2"/>
  <c r="D5092" i="2"/>
  <c r="D1424" i="2"/>
  <c r="D361" i="2"/>
  <c r="D5425" i="2"/>
  <c r="D5176" i="2"/>
  <c r="D5738" i="2"/>
  <c r="D5404" i="2"/>
  <c r="D1434" i="2"/>
  <c r="D3470" i="2"/>
  <c r="D1656" i="2"/>
  <c r="D1366" i="2"/>
  <c r="D1836" i="2"/>
  <c r="D509" i="2"/>
  <c r="D685" i="2"/>
  <c r="D171" i="2"/>
  <c r="D5609" i="2"/>
  <c r="D5227" i="2"/>
  <c r="D2834" i="2"/>
  <c r="D3525" i="2"/>
  <c r="D931" i="2"/>
  <c r="D37" i="2"/>
  <c r="D2803" i="2"/>
  <c r="D1187" i="2"/>
  <c r="D498" i="2"/>
  <c r="D5745" i="2"/>
  <c r="D1218" i="2"/>
  <c r="D527" i="2"/>
  <c r="D474" i="2"/>
  <c r="D4575" i="2"/>
  <c r="D4493" i="2"/>
  <c r="D4515" i="2"/>
  <c r="D161" i="2"/>
  <c r="D4848" i="2"/>
  <c r="D5577" i="2"/>
  <c r="D5517" i="2"/>
  <c r="D2214" i="2"/>
  <c r="D5244" i="2"/>
  <c r="D3460" i="2"/>
  <c r="D3943" i="2"/>
  <c r="D618" i="2"/>
  <c r="D18" i="2"/>
  <c r="D1517" i="2"/>
  <c r="D2856" i="2"/>
  <c r="D3579" i="2"/>
  <c r="D1496" i="2"/>
  <c r="D5138" i="2"/>
  <c r="D3667" i="2"/>
  <c r="D60" i="2"/>
  <c r="D65" i="2"/>
  <c r="D1911" i="2"/>
  <c r="D1051" i="2"/>
  <c r="D5900" i="2"/>
  <c r="D2337" i="2"/>
  <c r="D88" i="2"/>
  <c r="D283" i="2"/>
  <c r="D5864" i="2"/>
  <c r="D5858" i="2"/>
  <c r="D636" i="2"/>
  <c r="D3219" i="2"/>
  <c r="D1102" i="2"/>
  <c r="D4298" i="2"/>
  <c r="D5560" i="2"/>
  <c r="D547" i="2"/>
  <c r="D5832" i="2"/>
  <c r="D4977" i="2"/>
  <c r="D1741" i="2"/>
  <c r="D947" i="2"/>
  <c r="D672" i="2"/>
  <c r="D5784" i="2"/>
  <c r="D5910" i="2"/>
  <c r="D5882" i="2"/>
  <c r="D3430" i="2"/>
  <c r="D5423" i="2"/>
  <c r="D4272" i="2"/>
  <c r="D3550" i="2"/>
  <c r="D1546" i="2"/>
  <c r="D3302" i="2"/>
  <c r="D616" i="2"/>
  <c r="D1469" i="2"/>
  <c r="D5543" i="2"/>
  <c r="D5571" i="2"/>
  <c r="D4697" i="2"/>
  <c r="D115" i="2"/>
  <c r="D155" i="2"/>
  <c r="D2074" i="2"/>
  <c r="D3698" i="2"/>
  <c r="D4775" i="2"/>
  <c r="D604" i="2"/>
  <c r="D2175" i="2"/>
  <c r="D601" i="2"/>
  <c r="D2830" i="2"/>
  <c r="D448" i="2"/>
  <c r="D3391" i="2"/>
  <c r="D5588" i="2"/>
  <c r="D4458" i="2"/>
  <c r="D781" i="2"/>
  <c r="D494" i="2"/>
  <c r="D1357" i="2"/>
  <c r="D254" i="2"/>
  <c r="D4425" i="2"/>
  <c r="D5824" i="2"/>
  <c r="D3807" i="2"/>
  <c r="D4540" i="2"/>
  <c r="D1638" i="2"/>
  <c r="D3095" i="2"/>
  <c r="D2320" i="2"/>
  <c r="D351" i="2"/>
  <c r="D4939" i="2"/>
  <c r="D2711" i="2"/>
  <c r="D4832" i="2"/>
  <c r="D4631" i="2"/>
  <c r="D4722" i="2"/>
  <c r="D3907" i="2"/>
  <c r="D3335" i="2"/>
  <c r="D3717" i="2"/>
  <c r="D5814" i="2"/>
  <c r="D4818" i="2"/>
  <c r="D542" i="2"/>
  <c r="D3388" i="2"/>
  <c r="D3293" i="2"/>
  <c r="D2147" i="2"/>
  <c r="D2804" i="2"/>
  <c r="D4449" i="2"/>
  <c r="D1295" i="2"/>
  <c r="D2527" i="2"/>
  <c r="D4564" i="2"/>
  <c r="D4790" i="2"/>
  <c r="D1645" i="2"/>
  <c r="D813" i="2"/>
  <c r="D1301" i="2"/>
  <c r="D1038" i="2"/>
  <c r="D4379" i="2"/>
  <c r="D5835" i="2"/>
  <c r="D4740" i="2"/>
  <c r="D1476" i="2"/>
  <c r="D181" i="2"/>
  <c r="D4364" i="2"/>
  <c r="D1384" i="2"/>
  <c r="D4384" i="2"/>
  <c r="D2644" i="2"/>
  <c r="D1199" i="2"/>
  <c r="D2903" i="2"/>
  <c r="D2914" i="2"/>
  <c r="D3201" i="2"/>
  <c r="D3125" i="2"/>
  <c r="D4535" i="2"/>
  <c r="D1386" i="2"/>
  <c r="D3950" i="2"/>
  <c r="D424" i="2"/>
  <c r="D2211" i="2"/>
  <c r="D2808" i="2"/>
  <c r="D5479" i="2"/>
  <c r="D5752" i="2"/>
  <c r="D3967" i="2"/>
  <c r="D5483" i="2"/>
  <c r="D3334" i="2"/>
  <c r="D5080" i="2"/>
  <c r="D1643" i="2"/>
  <c r="D2439" i="2"/>
  <c r="D2050" i="2"/>
  <c r="D5230" i="2"/>
  <c r="D1560" i="2"/>
  <c r="D5293" i="2"/>
  <c r="D736" i="2"/>
  <c r="D5427" i="2"/>
  <c r="D3306" i="2"/>
  <c r="D452" i="2"/>
  <c r="D481" i="2"/>
  <c r="D1596" i="2"/>
  <c r="D3295" i="2"/>
  <c r="D591" i="2"/>
  <c r="D697" i="2"/>
  <c r="D309" i="2"/>
  <c r="D1815" i="2"/>
  <c r="D400" i="2"/>
  <c r="D4351" i="2"/>
  <c r="D545" i="2"/>
  <c r="D5482" i="2"/>
  <c r="D4748" i="2"/>
  <c r="D5585" i="2"/>
  <c r="D4501" i="2"/>
  <c r="D1997" i="2"/>
  <c r="D4704" i="2"/>
  <c r="D3252" i="2"/>
  <c r="D1131" i="2"/>
  <c r="D4597" i="2"/>
  <c r="D2304" i="2"/>
  <c r="D1112" i="2"/>
  <c r="D4611" i="2"/>
  <c r="D4127" i="2"/>
  <c r="D2554" i="2"/>
  <c r="D5369" i="2"/>
  <c r="D3969" i="2"/>
  <c r="D3758" i="2"/>
  <c r="D3291" i="2"/>
  <c r="D479" i="2"/>
  <c r="D1460" i="2"/>
  <c r="D1856" i="2"/>
  <c r="D1421" i="2"/>
  <c r="D1684" i="2"/>
  <c r="D3422" i="2"/>
  <c r="D2994" i="2"/>
  <c r="D4596" i="2"/>
  <c r="D1773" i="2"/>
  <c r="D272" i="2"/>
  <c r="D4134" i="2"/>
  <c r="D4094" i="2"/>
  <c r="D1058" i="2"/>
  <c r="D4551" i="2"/>
  <c r="D4996" i="2"/>
  <c r="D848" i="2"/>
  <c r="D5189" i="2"/>
  <c r="D3158" i="2"/>
  <c r="D4366" i="2"/>
  <c r="D3102" i="2"/>
  <c r="D3471" i="2"/>
  <c r="D2769" i="2"/>
  <c r="D1920" i="2"/>
  <c r="D4943" i="2"/>
  <c r="D3560" i="2"/>
  <c r="D1514" i="2"/>
  <c r="D1236" i="2"/>
  <c r="D5370" i="2"/>
  <c r="D929" i="2"/>
  <c r="D2787" i="2"/>
  <c r="D5484" i="2"/>
  <c r="D2383" i="2"/>
  <c r="D227" i="2"/>
  <c r="D1276" i="2"/>
  <c r="D4448" i="2"/>
  <c r="D4344" i="2"/>
  <c r="D3635" i="2"/>
  <c r="D2089" i="2"/>
  <c r="D3827" i="2"/>
  <c r="D2866" i="2"/>
  <c r="D4801" i="2"/>
  <c r="D4055" i="2"/>
  <c r="D1880" i="2"/>
  <c r="D2752" i="2"/>
  <c r="D2275" i="2"/>
  <c r="D2516" i="2"/>
  <c r="D68" i="2"/>
  <c r="D1372" i="2"/>
  <c r="D1706" i="2"/>
  <c r="D495" i="2"/>
  <c r="D1115" i="2"/>
  <c r="D661" i="2"/>
  <c r="D4391" i="2"/>
  <c r="D5437" i="2"/>
  <c r="D5286" i="2"/>
  <c r="D5410" i="2"/>
  <c r="D4239" i="2"/>
  <c r="D5240" i="2"/>
  <c r="D962" i="2"/>
  <c r="D1852" i="2"/>
  <c r="D169" i="2"/>
  <c r="D988" i="2"/>
  <c r="D1816" i="2"/>
  <c r="D2609" i="2"/>
  <c r="D3956" i="2"/>
  <c r="D4900" i="2"/>
  <c r="D1195" i="2"/>
  <c r="D3821" i="2"/>
  <c r="D4045" i="2"/>
  <c r="D1126" i="2"/>
  <c r="D4854" i="2"/>
  <c r="D2261" i="2"/>
  <c r="D1860" i="2"/>
  <c r="D2430" i="2"/>
  <c r="D4316" i="2"/>
  <c r="D2825" i="2"/>
  <c r="D3122" i="2"/>
  <c r="D2782" i="2"/>
  <c r="D2925" i="2"/>
  <c r="D533" i="2"/>
  <c r="D5302" i="2"/>
  <c r="D4642" i="2"/>
  <c r="D4544" i="2"/>
  <c r="D2755" i="2"/>
  <c r="D758" i="2"/>
  <c r="D4214" i="2"/>
  <c r="D4893" i="2"/>
  <c r="D4880" i="2"/>
  <c r="D1542" i="2"/>
  <c r="D1040" i="2"/>
  <c r="D3375" i="2"/>
  <c r="D2208" i="2"/>
  <c r="D3961" i="2"/>
  <c r="D1006" i="2"/>
  <c r="D2791" i="2"/>
  <c r="D652" i="2"/>
  <c r="D1359" i="2"/>
  <c r="D4603" i="2"/>
  <c r="D609" i="2"/>
  <c r="D1013" i="2"/>
  <c r="D4918" i="2"/>
  <c r="D1194" i="2"/>
  <c r="D2445" i="2"/>
  <c r="D5229" i="2"/>
  <c r="D3450" i="2"/>
  <c r="D4303" i="2"/>
  <c r="D710" i="2"/>
  <c r="D3870" i="2"/>
  <c r="D4301" i="2"/>
  <c r="D2568" i="2"/>
  <c r="D3210" i="2"/>
  <c r="D2185" i="2"/>
  <c r="D4676" i="2"/>
  <c r="D5422" i="2"/>
  <c r="D2507" i="2"/>
  <c r="D809" i="2"/>
  <c r="D4771" i="2"/>
  <c r="D2036" i="2"/>
  <c r="D3788" i="2"/>
  <c r="D3356" i="2"/>
  <c r="D3612" i="2"/>
  <c r="D276" i="2"/>
  <c r="D1767" i="2"/>
  <c r="D3944" i="2"/>
  <c r="D650" i="2"/>
  <c r="D556" i="2"/>
  <c r="D1293" i="2"/>
  <c r="D5333" i="2"/>
  <c r="D4867" i="2"/>
  <c r="D4782" i="2"/>
  <c r="D5760" i="2"/>
  <c r="D314" i="2"/>
  <c r="D5027" i="2"/>
  <c r="D2902" i="2"/>
  <c r="D4570" i="2"/>
  <c r="D3927" i="2"/>
  <c r="D3897" i="2"/>
  <c r="D1614" i="2"/>
  <c r="D2986" i="2"/>
  <c r="D2481" i="2"/>
  <c r="D4587" i="2"/>
  <c r="D5380" i="2"/>
  <c r="D5606" i="2"/>
  <c r="D5356" i="2"/>
  <c r="D2067" i="2"/>
  <c r="D1551" i="2"/>
  <c r="D146" i="2"/>
  <c r="D4422" i="2"/>
  <c r="D2113" i="2"/>
  <c r="D5064" i="2"/>
  <c r="D5537" i="2"/>
  <c r="D3410" i="2"/>
  <c r="D2414" i="2"/>
  <c r="D3147" i="2"/>
  <c r="D1910" i="2"/>
  <c r="D4189" i="2"/>
  <c r="D2224" i="2"/>
  <c r="D3490" i="2"/>
  <c r="D3444" i="2"/>
  <c r="D1104" i="2"/>
  <c r="D2442" i="2"/>
  <c r="D4205" i="2"/>
  <c r="D938" i="2"/>
  <c r="D294" i="2"/>
  <c r="D1437" i="2"/>
  <c r="D5655" i="2"/>
  <c r="D5903" i="2"/>
  <c r="D48" i="2"/>
  <c r="D4368" i="2"/>
  <c r="D2004" i="2"/>
  <c r="D870" i="2"/>
  <c r="D2165" i="2"/>
  <c r="D578" i="2"/>
  <c r="D2991" i="2"/>
  <c r="D5509" i="2"/>
  <c r="D928" i="2"/>
  <c r="D2670" i="2"/>
  <c r="D5279" i="2"/>
  <c r="D3828" i="2"/>
  <c r="D605" i="2"/>
  <c r="D549" i="2"/>
  <c r="D4577" i="2"/>
  <c r="D5219" i="2"/>
  <c r="D916" i="2"/>
  <c r="D2400" i="2"/>
  <c r="D1605" i="2"/>
  <c r="D2372" i="2"/>
  <c r="D532" i="2"/>
  <c r="D2783" i="2"/>
  <c r="D2811" i="2"/>
  <c r="D1164" i="2"/>
  <c r="D708" i="2"/>
  <c r="D4931" i="2"/>
  <c r="D3651" i="2"/>
  <c r="D123" i="2"/>
  <c r="D2316" i="2"/>
  <c r="D1986" i="2"/>
  <c r="D4103" i="2"/>
  <c r="D4510" i="2"/>
  <c r="D791" i="2"/>
  <c r="D967" i="2"/>
  <c r="D1898" i="2"/>
  <c r="D4254" i="2"/>
  <c r="D4374" i="2"/>
  <c r="D5110" i="2"/>
  <c r="D4774" i="2"/>
  <c r="D287" i="2"/>
  <c r="D1782" i="2"/>
  <c r="D750" i="2"/>
  <c r="D320" i="2"/>
  <c r="D2497" i="2"/>
  <c r="D1175" i="2"/>
  <c r="D5311" i="2"/>
  <c r="D1033" i="2"/>
  <c r="D2461" i="2"/>
  <c r="D827" i="2"/>
  <c r="D5430" i="2"/>
  <c r="D5861" i="2"/>
  <c r="D3428" i="2"/>
  <c r="D2353" i="2"/>
  <c r="D1945" i="2"/>
  <c r="D1556" i="2"/>
  <c r="D3818" i="2"/>
  <c r="D354" i="2"/>
  <c r="D5545" i="2"/>
  <c r="D5597" i="2"/>
  <c r="D405" i="2"/>
  <c r="D2434" i="2"/>
  <c r="D4338" i="2"/>
  <c r="D2270" i="2"/>
  <c r="D567" i="2"/>
  <c r="D1388" i="2"/>
  <c r="D2491" i="2"/>
  <c r="D4048" i="2"/>
  <c r="D1426" i="2"/>
  <c r="D3705" i="2"/>
  <c r="D3985" i="2"/>
  <c r="D1136" i="2"/>
  <c r="D2722" i="2"/>
  <c r="D4666" i="2"/>
  <c r="D5192" i="2"/>
  <c r="D1008" i="2"/>
  <c r="D263" i="2"/>
  <c r="D2235" i="2"/>
  <c r="D4944" i="2"/>
  <c r="D901" i="2"/>
  <c r="D4233" i="2"/>
  <c r="D1228" i="2"/>
  <c r="D5491" i="2"/>
  <c r="D2519" i="2"/>
  <c r="D386" i="2"/>
  <c r="D415" i="2"/>
  <c r="D820" i="2"/>
  <c r="D4092" i="2"/>
  <c r="D221" i="2"/>
  <c r="D3119" i="2"/>
  <c r="D2352" i="2"/>
  <c r="D3960" i="2"/>
  <c r="D4022" i="2"/>
  <c r="D4604" i="2"/>
  <c r="D1041" i="2"/>
  <c r="D1891" i="2"/>
  <c r="D407" i="2"/>
  <c r="D4420" i="2"/>
  <c r="D1915" i="2"/>
  <c r="D3928" i="2"/>
  <c r="D3372" i="2"/>
  <c r="D1526" i="2"/>
  <c r="D411" i="2"/>
  <c r="D3257" i="2"/>
  <c r="D5081" i="2"/>
  <c r="D1302" i="2"/>
  <c r="D5697" i="2"/>
  <c r="D2421" i="2"/>
  <c r="D3098" i="2"/>
  <c r="D5811" i="2"/>
  <c r="D339" i="2"/>
  <c r="D935" i="2"/>
  <c r="D3846" i="2"/>
  <c r="D5478" i="2"/>
  <c r="D5682" i="2"/>
  <c r="D2780" i="2"/>
  <c r="D4457" i="2"/>
  <c r="D4637" i="2"/>
  <c r="D3243" i="2"/>
  <c r="D3289" i="2"/>
  <c r="D4562" i="2"/>
  <c r="D2878" i="2"/>
  <c r="D3436" i="2"/>
  <c r="D466" i="2"/>
  <c r="D5732" i="2"/>
  <c r="D5494" i="2"/>
  <c r="D3199" i="2"/>
  <c r="D3305" i="2"/>
  <c r="D425" i="2"/>
  <c r="D4243" i="2"/>
  <c r="D5518" i="2"/>
  <c r="D1924" i="2"/>
  <c r="D5829" i="2"/>
  <c r="D2522" i="2"/>
  <c r="D5364" i="2"/>
  <c r="D579" i="2"/>
  <c r="D5493" i="2"/>
  <c r="D1003" i="2"/>
  <c r="D5448" i="2"/>
  <c r="D5140" i="2"/>
  <c r="D5501" i="2"/>
  <c r="D516" i="2"/>
  <c r="D2354" i="2"/>
  <c r="D2024" i="2"/>
  <c r="D4591" i="2"/>
  <c r="D215" i="2"/>
  <c r="D3415" i="2"/>
  <c r="D1577" i="2"/>
  <c r="D1198" i="2"/>
  <c r="D5868" i="2"/>
  <c r="D1408" i="2"/>
  <c r="D1646" i="2"/>
  <c r="D4858" i="2"/>
  <c r="D3738" i="2"/>
  <c r="D4537" i="2"/>
  <c r="D3344" i="2"/>
  <c r="D2827" i="2"/>
  <c r="D3136" i="2"/>
  <c r="D953" i="2"/>
  <c r="D195" i="2"/>
  <c r="D5308" i="2"/>
  <c r="D5305" i="2"/>
  <c r="D4670" i="2"/>
  <c r="D2800" i="2"/>
  <c r="D1809" i="2"/>
  <c r="D1149" i="2"/>
  <c r="D2027" i="2"/>
  <c r="D3706" i="2"/>
  <c r="D3815" i="2"/>
  <c r="D2489" i="2"/>
  <c r="D2026" i="2"/>
  <c r="D1486" i="2"/>
  <c r="D2237" i="2"/>
  <c r="D5718" i="2"/>
  <c r="D3231" i="2"/>
  <c r="D4222" i="2"/>
  <c r="D4696" i="2"/>
  <c r="D3893" i="2"/>
  <c r="D2560" i="2"/>
  <c r="D5006" i="2"/>
  <c r="D4920" i="2"/>
  <c r="D3912" i="2"/>
  <c r="D2319" i="2"/>
  <c r="D4523" i="2"/>
  <c r="D3780" i="2"/>
  <c r="D1332" i="2"/>
  <c r="D3197" i="2"/>
  <c r="D1215" i="2"/>
  <c r="D5156" i="2"/>
  <c r="D4105" i="2"/>
  <c r="D151" i="2"/>
  <c r="D5058" i="2"/>
  <c r="D4622" i="2"/>
  <c r="D4028" i="2"/>
  <c r="D1416" i="2"/>
  <c r="D364" i="2"/>
  <c r="D3515" i="2"/>
  <c r="D2566" i="2"/>
  <c r="D487" i="2"/>
  <c r="D1717" i="2"/>
  <c r="D4844" i="2"/>
  <c r="D450" i="2"/>
  <c r="D4742" i="2"/>
  <c r="D4095" i="2"/>
  <c r="D5526" i="2"/>
  <c r="D2191" i="2"/>
  <c r="D4405" i="2"/>
  <c r="D2742" i="2"/>
  <c r="D1599" i="2"/>
  <c r="D2816" i="2"/>
  <c r="D3202" i="2"/>
  <c r="D3809" i="2"/>
  <c r="D4180" i="2"/>
  <c r="D4609" i="2"/>
  <c r="D3881" i="2"/>
  <c r="D799" i="2"/>
  <c r="D2627" i="2"/>
  <c r="D1409" i="2"/>
  <c r="D5468" i="2"/>
  <c r="D3298" i="2"/>
  <c r="D5097" i="2"/>
  <c r="D4976" i="2"/>
  <c r="D3134" i="2"/>
  <c r="D5352" i="2"/>
  <c r="D4117" i="2"/>
  <c r="D113" i="2"/>
  <c r="D987" i="2"/>
  <c r="D4244" i="2"/>
  <c r="D876" i="2"/>
  <c r="D79" i="2"/>
  <c r="D1626" i="2"/>
  <c r="D1565" i="2"/>
  <c r="D4319" i="2"/>
  <c r="D2728" i="2"/>
  <c r="D5418" i="2"/>
  <c r="D4145" i="2"/>
  <c r="D5218" i="2"/>
  <c r="D3409" i="2"/>
  <c r="D2758" i="2"/>
  <c r="D4935" i="2"/>
  <c r="D2678" i="2"/>
  <c r="D5687" i="2"/>
  <c r="D3211" i="2"/>
  <c r="D1207" i="2"/>
  <c r="D2871" i="2"/>
  <c r="D551" i="2"/>
  <c r="D5498" i="2"/>
  <c r="D1201" i="2"/>
  <c r="D764" i="2"/>
  <c r="D374" i="2"/>
  <c r="D2149" i="2"/>
  <c r="D3971" i="2"/>
  <c r="D919" i="2"/>
  <c r="D739" i="2"/>
  <c r="D2696" i="2"/>
  <c r="D489" i="2"/>
  <c r="D4218" i="2"/>
  <c r="D1946" i="2"/>
  <c r="D570" i="2"/>
  <c r="D1475" i="2"/>
  <c r="D1794" i="2"/>
  <c r="D268" i="2"/>
  <c r="D4403" i="2"/>
  <c r="D5444" i="2"/>
  <c r="D814" i="2"/>
  <c r="D1134" i="2"/>
  <c r="D4906" i="2"/>
  <c r="D5702" i="2"/>
  <c r="D1269" i="2"/>
  <c r="D4919" i="2"/>
  <c r="D231" i="2"/>
  <c r="D1520" i="2"/>
  <c r="D2122" i="2"/>
  <c r="D3584" i="2"/>
  <c r="D311" i="2"/>
  <c r="D1503" i="2"/>
  <c r="D3116" i="2"/>
  <c r="D4036" i="2"/>
  <c r="D5226" i="2"/>
  <c r="D2773" i="2"/>
  <c r="D562" i="2"/>
  <c r="D2524" i="2"/>
  <c r="D2342" i="2"/>
  <c r="D2854" i="2"/>
  <c r="D4345" i="2"/>
  <c r="D900" i="2"/>
  <c r="D2300" i="2"/>
  <c r="D3557" i="2"/>
  <c r="D3923" i="2"/>
  <c r="D1591" i="2"/>
  <c r="D4005" i="2"/>
  <c r="D3244" i="2"/>
  <c r="D1298" i="2"/>
  <c r="D5336" i="2"/>
  <c r="D930" i="2"/>
  <c r="D4163" i="2"/>
  <c r="D4658" i="2"/>
  <c r="D5050" i="2"/>
  <c r="D1344" i="2"/>
  <c r="D1505" i="2"/>
  <c r="D2762" i="2"/>
  <c r="D3214" i="2"/>
  <c r="D1171" i="2"/>
  <c r="D3164" i="2"/>
  <c r="D2956" i="2"/>
  <c r="D3534" i="2"/>
  <c r="D3374" i="2"/>
  <c r="D4962" i="2"/>
  <c r="D2595" i="2"/>
  <c r="D46" i="2"/>
  <c r="D3613" i="2"/>
  <c r="D3531" i="2"/>
  <c r="D5698" i="2"/>
  <c r="D5049" i="2"/>
  <c r="D5607" i="2"/>
  <c r="D4882" i="2"/>
  <c r="D2656" i="2"/>
  <c r="D1170" i="2"/>
  <c r="D4679" i="2"/>
  <c r="D4011" i="2"/>
  <c r="D110" i="2"/>
  <c r="D1886" i="2"/>
  <c r="D2330" i="2"/>
  <c r="D3477" i="2"/>
  <c r="D4651" i="2"/>
  <c r="D1848" i="2"/>
  <c r="D1881" i="2"/>
  <c r="D4176" i="2"/>
  <c r="D3307" i="2"/>
  <c r="D5816" i="2"/>
  <c r="D3226" i="2"/>
  <c r="D4550" i="2"/>
  <c r="D3001" i="2"/>
  <c r="D4548" i="2"/>
  <c r="D5292" i="2"/>
  <c r="D3899" i="2"/>
  <c r="D2553" i="2"/>
  <c r="D2019" i="2"/>
  <c r="D3729" i="2"/>
  <c r="D5599" i="2"/>
  <c r="D2125" i="2"/>
  <c r="D4004" i="2"/>
  <c r="D1536" i="2"/>
  <c r="D1420" i="2"/>
  <c r="D5821" i="2"/>
  <c r="D5675" i="2"/>
  <c r="D4865" i="2"/>
  <c r="D829" i="2"/>
  <c r="D5102" i="2"/>
  <c r="D3414" i="2"/>
  <c r="D572" i="2"/>
  <c r="D2638" i="2"/>
  <c r="D2624" i="2"/>
  <c r="D4753" i="2"/>
  <c r="D5327" i="2"/>
  <c r="D5665" i="2"/>
  <c r="D1650" i="2"/>
  <c r="D1507" i="2"/>
  <c r="D47" i="2"/>
  <c r="D499" i="2"/>
  <c r="D3497" i="2"/>
  <c r="D4873" i="2"/>
  <c r="D792" i="2"/>
  <c r="D1124" i="2"/>
  <c r="D1609" i="2"/>
  <c r="D4148" i="2"/>
  <c r="D5414" i="2"/>
  <c r="D1422" i="2"/>
  <c r="D2118" i="2"/>
  <c r="D1755" i="2"/>
  <c r="D4852" i="2"/>
  <c r="D1157" i="2"/>
  <c r="D395" i="2"/>
  <c r="D883" i="2"/>
  <c r="D1273" i="2"/>
  <c r="D5781" i="2"/>
  <c r="D5107" i="2"/>
  <c r="D4474" i="2"/>
  <c r="D1516" i="2"/>
  <c r="D4217" i="2"/>
  <c r="D3585" i="2"/>
  <c r="D3512" i="2"/>
  <c r="D1461" i="2"/>
  <c r="D3968" i="2"/>
  <c r="D5820" i="2"/>
  <c r="D3693" i="2"/>
  <c r="D1989" i="2"/>
  <c r="D271" i="2"/>
  <c r="D4974" i="2"/>
  <c r="D5818" i="2"/>
  <c r="D210" i="2"/>
  <c r="D1805" i="2"/>
  <c r="D666" i="2"/>
  <c r="D38" i="2"/>
  <c r="D5809" i="2"/>
  <c r="D4887" i="2"/>
  <c r="D3351" i="2"/>
  <c r="D3974" i="2"/>
  <c r="D1165" i="2"/>
  <c r="D4983" i="2"/>
  <c r="D4648" i="2"/>
  <c r="D2932" i="2"/>
  <c r="D5238" i="2"/>
  <c r="D990" i="2"/>
  <c r="D2875" i="2"/>
  <c r="D3137" i="2"/>
  <c r="D4143" i="2"/>
  <c r="D4703" i="2"/>
  <c r="D3373" i="2"/>
  <c r="D631" i="2"/>
  <c r="D2399" i="2"/>
  <c r="D4371" i="2"/>
  <c r="D2920" i="2"/>
  <c r="D5768" i="2"/>
  <c r="D4816" i="2"/>
  <c r="D3132" i="2"/>
  <c r="D3888" i="2"/>
  <c r="D744" i="2"/>
  <c r="D4712" i="2"/>
  <c r="D5332" i="2"/>
  <c r="D5089" i="2"/>
  <c r="D2545" i="2"/>
  <c r="D767" i="2"/>
  <c r="D5464" i="2"/>
  <c r="D3482" i="2"/>
  <c r="D461" i="2"/>
  <c r="D3890" i="2"/>
  <c r="D4758" i="2"/>
  <c r="D4290" i="2"/>
  <c r="D2698" i="2"/>
  <c r="D941" i="2"/>
  <c r="D2151" i="2"/>
  <c r="D504" i="2"/>
  <c r="D4636" i="2"/>
  <c r="D649" i="2"/>
  <c r="D4120" i="2"/>
  <c r="D4198" i="2"/>
  <c r="D3672" i="2"/>
  <c r="D4369" i="2"/>
  <c r="D2238" i="2"/>
  <c r="D3771" i="2"/>
  <c r="D428" i="2"/>
  <c r="D559" i="2"/>
  <c r="D1653" i="2"/>
  <c r="D3850" i="2"/>
  <c r="D4088" i="2"/>
  <c r="D4538" i="2"/>
  <c r="D3478" i="2"/>
  <c r="D2021" i="2"/>
  <c r="D2602" i="2"/>
  <c r="D519" i="2"/>
  <c r="D2506" i="2"/>
  <c r="D2341" i="2"/>
  <c r="D3615" i="2"/>
  <c r="D4751" i="2"/>
  <c r="D1648" i="2"/>
  <c r="D3894" i="2"/>
  <c r="D1284" i="2"/>
  <c r="D33" i="2"/>
  <c r="D5803" i="2"/>
  <c r="D2715" i="2"/>
  <c r="D3200" i="2"/>
  <c r="D730" i="2"/>
  <c r="D2967" i="2"/>
  <c r="D2617" i="2"/>
  <c r="D3007" i="2"/>
  <c r="D973" i="2"/>
  <c r="D1326" i="2"/>
  <c r="D603" i="2"/>
  <c r="D2163" i="2"/>
  <c r="D4824" i="2"/>
  <c r="D926" i="2"/>
  <c r="D1893" i="2"/>
  <c r="D3826" i="2"/>
  <c r="D1768" i="2"/>
  <c r="D2279" i="2"/>
  <c r="D3860" i="2"/>
  <c r="D1137" i="2"/>
  <c r="D5354" i="2"/>
  <c r="D3581" i="2"/>
  <c r="D5147" i="2"/>
  <c r="D5637" i="2"/>
  <c r="D507" i="2"/>
  <c r="D801" i="2"/>
  <c r="D5630" i="2"/>
  <c r="D596" i="2"/>
  <c r="D1792" i="2"/>
  <c r="D486" i="2"/>
  <c r="D1362" i="2"/>
  <c r="D3241" i="2"/>
  <c r="D2597" i="2"/>
  <c r="D4628" i="2"/>
  <c r="D1127" i="2"/>
  <c r="D539" i="2"/>
  <c r="D401" i="2"/>
  <c r="D674" i="2"/>
  <c r="D871" i="2"/>
  <c r="D743" i="2"/>
  <c r="D2756" i="2"/>
  <c r="D3949" i="2"/>
  <c r="D4355" i="2"/>
  <c r="D3696" i="2"/>
  <c r="D1377" i="2"/>
  <c r="D1919" i="2"/>
  <c r="D2502" i="2"/>
  <c r="D427" i="2"/>
  <c r="D5589" i="2"/>
  <c r="D5475" i="2"/>
  <c r="D5548" i="2"/>
  <c r="D860" i="2"/>
  <c r="D4492" i="2"/>
  <c r="D1028" i="2"/>
  <c r="D285" i="2"/>
  <c r="D4363" i="2"/>
  <c r="D5604" i="2"/>
  <c r="D865" i="2"/>
  <c r="D353" i="2"/>
  <c r="D5079" i="2"/>
  <c r="D5093" i="2"/>
  <c r="D2636" i="2"/>
  <c r="D2473" i="2"/>
  <c r="D2648" i="2"/>
  <c r="D4386" i="2"/>
  <c r="D1055" i="2"/>
  <c r="D3580" i="2"/>
  <c r="D5111" i="2"/>
  <c r="D1353" i="2"/>
  <c r="D1118" i="2"/>
  <c r="D5239" i="2"/>
  <c r="D593" i="2"/>
  <c r="D4006" i="2"/>
  <c r="D2689" i="2"/>
  <c r="D4101" i="2"/>
  <c r="D1759" i="2"/>
  <c r="D2950" i="2"/>
  <c r="D1957" i="2"/>
  <c r="D4165" i="2"/>
  <c r="D2842" i="2"/>
  <c r="D4385" i="2"/>
  <c r="D694" i="2"/>
  <c r="D4635" i="2"/>
  <c r="D5232" i="2"/>
  <c r="D714" i="2"/>
  <c r="D922" i="2"/>
  <c r="D468" i="2"/>
  <c r="D3731" i="2"/>
  <c r="D3142" i="2"/>
  <c r="D5071" i="2"/>
  <c r="D3111" i="2"/>
  <c r="D1061" i="2"/>
  <c r="D186" i="2"/>
  <c r="D2215" i="2"/>
  <c r="D4868" i="2"/>
  <c r="D5010" i="2"/>
  <c r="D2793" i="2"/>
  <c r="D3632" i="2"/>
  <c r="D2794" i="2"/>
  <c r="D4780" i="2"/>
  <c r="D3752" i="2"/>
  <c r="D4322" i="2"/>
  <c r="D35" i="2"/>
  <c r="D196" i="2"/>
  <c r="D373" i="2"/>
  <c r="D2552" i="2"/>
  <c r="D5098" i="2"/>
  <c r="D5563" i="2"/>
  <c r="D5400" i="2"/>
  <c r="D2876" i="2"/>
  <c r="D5337" i="2"/>
  <c r="D4954" i="2"/>
  <c r="D4951" i="2"/>
  <c r="D4124" i="2"/>
  <c r="D5381" i="2"/>
  <c r="D1511" i="2"/>
  <c r="D1640" i="2"/>
  <c r="D1890" i="2"/>
  <c r="D1436" i="2"/>
  <c r="D2623" i="2"/>
  <c r="D525" i="2"/>
  <c r="D5549" i="2"/>
  <c r="D167" i="2"/>
  <c r="D310" i="2"/>
  <c r="D496" i="2"/>
  <c r="D4346" i="2"/>
  <c r="D1800" i="2"/>
  <c r="D5676" i="2"/>
  <c r="D4563" i="2"/>
  <c r="D4764" i="2"/>
  <c r="D4961" i="2"/>
  <c r="D3692" i="2"/>
  <c r="D4100" i="2"/>
  <c r="D1080" i="2"/>
  <c r="D1623" i="2"/>
  <c r="D348" i="2"/>
  <c r="D3472" i="2"/>
  <c r="D769" i="2"/>
  <c r="D4807" i="2"/>
  <c r="D3721" i="2"/>
  <c r="D2393" i="2"/>
  <c r="D4027" i="2"/>
  <c r="D671" i="2"/>
  <c r="D3127" i="2"/>
  <c r="D2005" i="2"/>
  <c r="D3233" i="2"/>
  <c r="D1114" i="2"/>
  <c r="D3261" i="2"/>
  <c r="D5812" i="2"/>
  <c r="D770" i="2"/>
  <c r="D2799" i="2"/>
  <c r="D568" i="2"/>
  <c r="D1052" i="2"/>
  <c r="D2419" i="2"/>
  <c r="D1992" i="2"/>
  <c r="D3304" i="2"/>
  <c r="D2667" i="2"/>
  <c r="D826" i="2"/>
  <c r="D3883" i="2"/>
  <c r="D4177" i="2"/>
  <c r="D4208" i="2"/>
  <c r="D4256" i="2"/>
  <c r="D774" i="2"/>
  <c r="D403" i="2"/>
  <c r="D5680" i="2"/>
  <c r="D2663" i="2"/>
  <c r="D4857" i="2"/>
  <c r="D3130" i="2"/>
  <c r="D1968" i="2"/>
  <c r="D2867" i="2"/>
  <c r="D1686" i="2"/>
  <c r="D3133" i="2"/>
  <c r="D2788" i="2"/>
  <c r="D2030" i="2"/>
  <c r="D1985" i="2"/>
  <c r="D5256" i="2"/>
  <c r="D1999" i="2"/>
  <c r="D4580" i="2"/>
  <c r="D2753" i="2"/>
  <c r="D2447" i="2"/>
  <c r="D3355" i="2"/>
  <c r="D898" i="2"/>
  <c r="D1232" i="2"/>
  <c r="D236" i="2"/>
  <c r="D5578" i="2"/>
  <c r="D4097" i="2"/>
  <c r="D5375" i="2"/>
  <c r="D3446" i="2"/>
  <c r="D8" i="2"/>
  <c r="D3839" i="2"/>
  <c r="D5638" i="2"/>
  <c r="D1849" i="2"/>
  <c r="D2699" i="2"/>
  <c r="D5174" i="2"/>
  <c r="D389" i="2"/>
  <c r="D3191" i="2"/>
  <c r="D234" i="2"/>
  <c r="D2562" i="2"/>
  <c r="D1905" i="2"/>
  <c r="D59" i="2"/>
  <c r="D1234" i="2"/>
  <c r="D4307" i="2"/>
  <c r="D1947" i="2"/>
  <c r="D1750" i="2"/>
  <c r="D1129" i="2"/>
  <c r="D1343" i="2"/>
  <c r="D3104" i="2"/>
  <c r="D1900" i="2"/>
  <c r="D5099" i="2"/>
  <c r="D1545" i="2"/>
  <c r="D4473" i="2"/>
  <c r="D2913" i="2"/>
  <c r="D1561" i="2"/>
  <c r="D2603" i="2"/>
  <c r="D5025" i="2"/>
  <c r="D1601" i="2"/>
  <c r="D4370" i="2"/>
  <c r="D3762" i="2"/>
  <c r="D2266" i="2"/>
  <c r="D740" i="2"/>
  <c r="D3019" i="2"/>
  <c r="D5407" i="2"/>
  <c r="D5324" i="2"/>
  <c r="D2940" i="2"/>
  <c r="D488" i="2"/>
  <c r="D3238" i="2"/>
  <c r="D1581" i="2"/>
  <c r="D620" i="2"/>
  <c r="D548" i="2"/>
  <c r="D3736" i="2"/>
  <c r="D2066" i="2"/>
  <c r="D5780" i="2"/>
  <c r="D3517" i="2"/>
  <c r="D4817" i="2"/>
  <c r="D5132" i="2"/>
  <c r="D208" i="2"/>
  <c r="D4325" i="2"/>
  <c r="D908" i="2"/>
  <c r="D4252" i="2"/>
  <c r="D5796" i="2"/>
  <c r="D5755" i="2"/>
  <c r="D1205" i="2"/>
  <c r="D3405" i="2"/>
  <c r="D2589" i="2"/>
  <c r="D1257" i="2"/>
  <c r="D3294" i="2"/>
  <c r="D1449" i="2"/>
  <c r="D438" i="2"/>
  <c r="D192" i="2"/>
  <c r="D753" i="2"/>
  <c r="D4324" i="2"/>
  <c r="D150" i="2"/>
  <c r="D205" i="2"/>
  <c r="D670" i="2"/>
  <c r="D3397" i="2"/>
  <c r="D687" i="2"/>
  <c r="D2150" i="2"/>
  <c r="D157" i="2"/>
  <c r="D5852" i="2"/>
  <c r="D4090" i="2"/>
  <c r="D5068" i="2"/>
  <c r="D5017" i="2"/>
  <c r="D1167" i="2"/>
  <c r="D2988" i="2"/>
  <c r="D1735" i="2"/>
  <c r="D2976" i="2"/>
  <c r="D3657" i="2"/>
  <c r="D1043" i="2"/>
  <c r="D840" i="2"/>
  <c r="D393" i="2"/>
  <c r="D3601" i="2"/>
  <c r="D121" i="2"/>
  <c r="D3906" i="2"/>
  <c r="D5611" i="2"/>
  <c r="D344" i="2"/>
  <c r="D5534" i="2"/>
  <c r="D1066" i="2"/>
  <c r="D5885" i="2"/>
  <c r="D1375" i="2"/>
  <c r="D5358" i="2"/>
  <c r="D441" i="2"/>
  <c r="D1620" i="2"/>
  <c r="D845" i="2"/>
  <c r="D2658" i="2"/>
  <c r="D2585" i="2"/>
  <c r="D5181" i="2"/>
  <c r="D849" i="2"/>
  <c r="D4296" i="2"/>
  <c r="D91" i="2"/>
  <c r="D771" i="2"/>
  <c r="D5704" i="2"/>
  <c r="D172" i="2"/>
  <c r="D1481" i="2"/>
  <c r="D5362" i="2"/>
  <c r="D5771" i="2"/>
  <c r="D20" i="2"/>
  <c r="D493" i="2"/>
  <c r="D1589" i="2"/>
  <c r="D187" i="2"/>
  <c r="D1398" i="2"/>
  <c r="D2673" i="2"/>
  <c r="D39" i="2"/>
  <c r="D5470" i="2"/>
  <c r="D1624" i="2"/>
  <c r="D1765" i="2"/>
  <c r="D874" i="2"/>
  <c r="D4365" i="2"/>
  <c r="D1345" i="2"/>
  <c r="D4408" i="2"/>
  <c r="D2212" i="2"/>
  <c r="D924" i="2"/>
  <c r="D3869" i="2"/>
  <c r="D5045" i="2"/>
  <c r="D4689" i="2"/>
  <c r="D2092" i="2"/>
  <c r="D1769" i="2"/>
  <c r="D5863" i="2"/>
  <c r="D1123" i="2"/>
  <c r="D856" i="2"/>
  <c r="D202" i="2"/>
  <c r="D27" i="2"/>
  <c r="D99" i="2"/>
  <c r="D1594" i="2"/>
  <c r="D3713" i="2"/>
  <c r="D5488" i="2"/>
  <c r="D724" i="2"/>
  <c r="D3151" i="2"/>
  <c r="D4952" i="2"/>
  <c r="D422" i="2"/>
  <c r="D1470" i="2"/>
  <c r="D843" i="2"/>
  <c r="D3652" i="2"/>
  <c r="D959" i="2"/>
  <c r="D1784" i="2"/>
  <c r="D3598" i="2"/>
  <c r="D4902" i="2"/>
  <c r="D642" i="2"/>
  <c r="D469" i="2"/>
  <c r="D3454" i="2"/>
  <c r="D396" i="2"/>
  <c r="D5216" i="2"/>
  <c r="D5581" i="2"/>
  <c r="D1261" i="2"/>
  <c r="D4820" i="2"/>
  <c r="D4590" i="2"/>
  <c r="D5850" i="2"/>
  <c r="D5328" i="2"/>
  <c r="D3365" i="2"/>
  <c r="D3863" i="2"/>
  <c r="D3250" i="2"/>
  <c r="D4672" i="2"/>
  <c r="D3595" i="2"/>
  <c r="D1819" i="2"/>
  <c r="D4192" i="2"/>
  <c r="D4729" i="2"/>
  <c r="D5712" i="2"/>
  <c r="D198" i="2"/>
  <c r="D3321" i="2"/>
  <c r="D5775" i="2"/>
  <c r="D72" i="2"/>
  <c r="D2498" i="2"/>
  <c r="D1083" i="2"/>
  <c r="D913" i="2"/>
  <c r="D2484" i="2"/>
  <c r="D4664" i="2"/>
  <c r="D5310" i="2"/>
  <c r="D54" i="2"/>
  <c r="D5847" i="2"/>
  <c r="D5677" i="2"/>
  <c r="D5917" i="2"/>
  <c r="D561" i="2"/>
  <c r="D5701" i="2"/>
  <c r="D3318" i="2"/>
  <c r="D4029" i="2"/>
  <c r="D727" i="2"/>
  <c r="D5105" i="2"/>
  <c r="D821" i="2"/>
  <c r="D2328" i="2"/>
  <c r="D349" i="2"/>
  <c r="D1365" i="2"/>
  <c r="D5096" i="2"/>
  <c r="D5724" i="2"/>
  <c r="D2357" i="2"/>
  <c r="D950" i="2"/>
  <c r="D1554" i="2"/>
  <c r="D384" i="2"/>
  <c r="D2274" i="2"/>
  <c r="D2379" i="2"/>
  <c r="D1652" i="2"/>
  <c r="D5124" i="2"/>
  <c r="D4014" i="2"/>
  <c r="D5657" i="2"/>
  <c r="D78" i="2"/>
  <c r="D4300" i="2"/>
  <c r="D2315" i="2"/>
  <c r="D673" i="2"/>
  <c r="D5163" i="2"/>
  <c r="D4915" i="2"/>
  <c r="D2946" i="2"/>
  <c r="D5065" i="2"/>
  <c r="D4232" i="2"/>
  <c r="D4888" i="2"/>
  <c r="D133" i="2"/>
  <c r="D4605" i="2"/>
  <c r="D4155" i="2"/>
  <c r="D5287" i="2"/>
  <c r="D3886" i="2"/>
  <c r="D3020" i="2"/>
  <c r="D3548" i="2"/>
  <c r="D4175" i="2"/>
  <c r="D2709" i="2"/>
  <c r="D3877" i="2"/>
  <c r="D5873" i="2"/>
  <c r="D5320" i="2"/>
  <c r="D4856" i="2"/>
  <c r="D2521" i="2"/>
  <c r="D529" i="2"/>
  <c r="D4410" i="2"/>
  <c r="D3311" i="2"/>
  <c r="D2100" i="2"/>
  <c r="D1303" i="2"/>
  <c r="D5793" i="2"/>
  <c r="D445" i="2"/>
  <c r="D2892" i="2"/>
  <c r="D3342" i="2"/>
  <c r="D5135" i="2"/>
  <c r="D51" i="2"/>
  <c r="D5762" i="2"/>
  <c r="D5590" i="2"/>
  <c r="D5886" i="2"/>
  <c r="D3787" i="2"/>
  <c r="D22" i="2"/>
  <c r="D1425" i="2"/>
  <c r="D1274" i="2"/>
  <c r="D5342" i="2"/>
  <c r="D5905" i="2"/>
  <c r="D63" i="2"/>
  <c r="D1617" i="2"/>
  <c r="D5841" i="2"/>
  <c r="D5856" i="2"/>
  <c r="D5867" i="2"/>
  <c r="D5866" i="2"/>
  <c r="D5719" i="2"/>
  <c r="D3629" i="2"/>
  <c r="D2344" i="2"/>
  <c r="D4104" i="2"/>
  <c r="D4707" i="2"/>
  <c r="D1330" i="2"/>
  <c r="D803" i="2"/>
  <c r="D833" i="2"/>
  <c r="D4426" i="2"/>
  <c r="D4620" i="2"/>
  <c r="D5651" i="2"/>
  <c r="D2790" i="2"/>
  <c r="D4373" i="2"/>
  <c r="D3744" i="2"/>
  <c r="D3396" i="2"/>
  <c r="D1827" i="2"/>
  <c r="D1642" i="2"/>
  <c r="D3845" i="2"/>
  <c r="D3623" i="2"/>
  <c r="D5104" i="2"/>
  <c r="D3149" i="2"/>
  <c r="D703" i="2"/>
  <c r="D5645" i="2"/>
  <c r="D383" i="2"/>
  <c r="D2220" i="2"/>
  <c r="D4063" i="2"/>
  <c r="D3773" i="2"/>
  <c r="D3421" i="2"/>
  <c r="D2020" i="2"/>
  <c r="D3461" i="2"/>
  <c r="D866" i="2"/>
  <c r="D5895" i="2"/>
  <c r="D2033" i="2"/>
  <c r="D5598" i="2"/>
  <c r="D906" i="2"/>
  <c r="D2801" i="2"/>
  <c r="D1057" i="2"/>
  <c r="D3545" i="2"/>
  <c r="D2403" i="2"/>
  <c r="D2840" i="2"/>
  <c r="D1457" i="2"/>
  <c r="D1116" i="2"/>
  <c r="D2062" i="2"/>
  <c r="D1139" i="2"/>
  <c r="D170" i="2"/>
  <c r="D1336" i="2"/>
  <c r="D610" i="2"/>
  <c r="D4040" i="2"/>
  <c r="D1310" i="2"/>
  <c r="D83" i="2"/>
  <c r="D2927" i="2"/>
  <c r="D1107" i="2"/>
  <c r="D863" i="2"/>
  <c r="D216" i="2"/>
  <c r="D5825" i="2"/>
  <c r="D4956" i="2"/>
  <c r="D3021" i="2"/>
  <c r="D823" i="2"/>
  <c r="D2676" i="2"/>
  <c r="D1534" i="2"/>
  <c r="D5646" i="2"/>
  <c r="D634" i="2"/>
  <c r="D1928" i="2"/>
  <c r="D5457" i="2"/>
  <c r="D5785" i="2"/>
  <c r="D5902" i="2"/>
  <c r="D4226" i="2"/>
  <c r="D5379" i="2"/>
  <c r="D944" i="2"/>
  <c r="D5893" i="2"/>
  <c r="D5382" i="2"/>
  <c r="D4839" i="2"/>
  <c r="D3000" i="2"/>
  <c r="D1967" i="2"/>
  <c r="D4015" i="2"/>
  <c r="D5233" i="2"/>
  <c r="D1607" i="2"/>
  <c r="D1675" i="2"/>
  <c r="D5173" i="2"/>
  <c r="D382" i="2"/>
  <c r="D2919" i="2"/>
  <c r="D3851" i="2"/>
  <c r="D2360" i="2"/>
  <c r="D1990" i="2"/>
  <c r="D2040" i="2"/>
  <c r="D5149" i="2"/>
  <c r="D5454" i="2"/>
  <c r="D515" i="2"/>
  <c r="D713" i="2"/>
  <c r="D3666" i="2"/>
  <c r="D1070" i="2"/>
  <c r="D3196" i="2"/>
  <c r="D2978" i="2"/>
  <c r="D2169" i="2"/>
  <c r="D3919" i="2"/>
  <c r="D1390" i="2"/>
  <c r="D3677" i="2"/>
  <c r="D4684" i="2"/>
  <c r="D4138" i="2"/>
  <c r="D338" i="2"/>
  <c r="D5276" i="2"/>
  <c r="D4695" i="2"/>
  <c r="D5778" i="2"/>
  <c r="D4415" i="2"/>
  <c r="D3320" i="2"/>
  <c r="D1730" i="2"/>
  <c r="D3799" i="2"/>
  <c r="D571" i="2"/>
  <c r="D1430" i="2"/>
  <c r="D1214" i="2"/>
  <c r="D1641" i="2"/>
  <c r="D4359" i="2"/>
  <c r="D4062" i="2"/>
  <c r="D4074" i="2"/>
  <c r="D669" i="2"/>
  <c r="D907" i="2"/>
  <c r="D2859" i="2"/>
  <c r="D2949" i="2"/>
  <c r="D5022" i="2"/>
  <c r="D4264" i="2"/>
  <c r="D183" i="2"/>
  <c r="D3343" i="2"/>
  <c r="D3217" i="2"/>
  <c r="D2809" i="2"/>
  <c r="D3793" i="2"/>
  <c r="D4719" i="2"/>
  <c r="D3426" i="2"/>
  <c r="D684" i="2"/>
  <c r="D1122" i="2"/>
  <c r="D1799" i="2"/>
  <c r="D3204" i="2"/>
  <c r="D4615" i="2"/>
  <c r="D4287" i="2"/>
  <c r="D153" i="2"/>
  <c r="D366" i="2"/>
  <c r="D5757" i="2"/>
  <c r="D1770" i="2"/>
  <c r="D5499" i="2"/>
  <c r="D4395" i="2"/>
  <c r="D2142" i="2"/>
  <c r="D217" i="2"/>
  <c r="D4849" i="2"/>
  <c r="D5664" i="2"/>
  <c r="D2055" i="2"/>
  <c r="D111" i="2"/>
  <c r="D5432" i="2"/>
  <c r="D5890" i="2"/>
  <c r="D34" i="2"/>
  <c r="D3819" i="2"/>
  <c r="D166" i="2"/>
  <c r="D114" i="2"/>
  <c r="D5759" i="2"/>
  <c r="D5551" i="2"/>
  <c r="D5799" i="2"/>
  <c r="D3685" i="2"/>
  <c r="D3022" i="2"/>
  <c r="D2007" i="2"/>
  <c r="D3794" i="2"/>
  <c r="D3108" i="2"/>
  <c r="D5619" i="2"/>
  <c r="D175" i="2"/>
  <c r="D5899" i="2"/>
  <c r="D4416" i="2"/>
  <c r="D728" i="2"/>
  <c r="D470" i="2"/>
  <c r="D5904" i="2"/>
  <c r="D42" i="2"/>
  <c r="D28" i="2"/>
  <c r="D5348" i="2"/>
  <c r="D17" i="2"/>
  <c r="D246" i="2"/>
  <c r="D1002" i="2"/>
  <c r="D44" i="2"/>
  <c r="D5915" i="2"/>
  <c r="D1979" i="2"/>
  <c r="D5862" i="2"/>
  <c r="D2928" i="2"/>
  <c r="D5005" i="2"/>
  <c r="D5547" i="2"/>
  <c r="D5728" i="2"/>
  <c r="D5063" i="2"/>
  <c r="D5661" i="2"/>
  <c r="D5826" i="2"/>
  <c r="D262" i="2"/>
  <c r="D31" i="2"/>
  <c r="D2679" i="2"/>
  <c r="D2501" i="2"/>
  <c r="D2618" i="2"/>
  <c r="D225" i="2"/>
  <c r="D3156" i="2"/>
  <c r="D997" i="2"/>
  <c r="D5130" i="2"/>
  <c r="D75" i="2"/>
  <c r="D119" i="2"/>
  <c r="D1766" i="2"/>
  <c r="D729" i="2"/>
  <c r="D4539" i="2"/>
  <c r="D4356" i="2"/>
  <c r="D606" i="2"/>
  <c r="D5047" i="2"/>
  <c r="D3689" i="2"/>
  <c r="D2115" i="2"/>
  <c r="D2998" i="2"/>
  <c r="D2918" i="2"/>
  <c r="D4530" i="2"/>
  <c r="D1734" i="2"/>
  <c r="D1484" i="2"/>
  <c r="D3804" i="2"/>
  <c r="D4556" i="2"/>
  <c r="D4581" i="2"/>
  <c r="D1987" i="2"/>
  <c r="D2480" i="2"/>
  <c r="D1695" i="2"/>
  <c r="D4970" i="2"/>
  <c r="D2420" i="2"/>
  <c r="D4073" i="2"/>
  <c r="D3023" i="2"/>
  <c r="D2070" i="2"/>
  <c r="D3115" i="2"/>
  <c r="D2479" i="2"/>
  <c r="D4398" i="2"/>
  <c r="D149" i="2"/>
  <c r="D5896" i="2"/>
  <c r="D5653" i="2"/>
  <c r="D1498" i="2"/>
  <c r="D4694" i="2"/>
  <c r="D4161" i="2"/>
  <c r="D5678" i="2"/>
  <c r="D53" i="2"/>
  <c r="D698" i="2"/>
  <c r="D5317" i="2"/>
  <c r="D490" i="2"/>
  <c r="D5913" i="2"/>
  <c r="D10" i="2"/>
  <c r="D108" i="2"/>
  <c r="D3796" i="2"/>
  <c r="D50" i="2"/>
  <c r="D5625" i="2"/>
  <c r="D2494" i="2"/>
  <c r="D5596" i="2"/>
  <c r="D3496" i="2"/>
  <c r="D1761" i="2"/>
  <c r="D5373" i="2"/>
  <c r="D165" i="2"/>
  <c r="D5521" i="2"/>
  <c r="D350" i="2"/>
  <c r="D3404" i="2"/>
  <c r="D5848" i="2"/>
  <c r="D4167" i="2"/>
  <c r="D375" i="2"/>
  <c r="D5565" i="2"/>
  <c r="D191" i="2"/>
  <c r="D5669" i="2"/>
  <c r="D2954" i="2"/>
  <c r="D197" i="2"/>
  <c r="D806" i="2"/>
  <c r="D5222" i="2"/>
  <c r="D686" i="2"/>
  <c r="D3669" i="2"/>
  <c r="D4894" i="2"/>
  <c r="D4033" i="2"/>
  <c r="D2995" i="2"/>
  <c r="D733" i="2"/>
  <c r="D2515" i="2"/>
  <c r="D5428" i="2"/>
  <c r="D1077" i="2"/>
  <c r="D3636" i="2"/>
  <c r="D3938" i="2"/>
  <c r="D3609" i="2"/>
  <c r="D4032" i="2"/>
  <c r="D1571" i="2"/>
  <c r="D4128" i="2"/>
  <c r="D1053" i="2"/>
  <c r="D1901" i="2"/>
  <c r="D4797" i="2"/>
  <c r="D1612" i="2"/>
  <c r="D2057" i="2"/>
  <c r="D2737" i="2"/>
  <c r="D4932" i="2"/>
  <c r="D2517" i="2"/>
  <c r="D1222" i="2"/>
  <c r="D5155" i="2"/>
  <c r="D5884" i="2"/>
  <c r="D1801" i="2"/>
  <c r="D140" i="2"/>
  <c r="D1739" i="2"/>
  <c r="D777" i="2"/>
  <c r="D343" i="2"/>
  <c r="D762" i="2"/>
  <c r="D5032" i="2"/>
  <c r="D757" i="2"/>
  <c r="D394" i="2"/>
  <c r="D5720" i="2"/>
  <c r="D188" i="2"/>
  <c r="D4877" i="2"/>
  <c r="D2938" i="2"/>
  <c r="D4223" i="2"/>
  <c r="D5727" i="2"/>
  <c r="D745" i="2"/>
  <c r="D2416" i="2"/>
  <c r="D4481" i="2"/>
  <c r="D1635" i="2"/>
  <c r="D4437" i="2"/>
  <c r="D1082" i="2"/>
  <c r="D1247" i="2"/>
  <c r="D948" i="2"/>
  <c r="D3437" i="2"/>
  <c r="D2528" i="2"/>
  <c r="D4173" i="2"/>
  <c r="D1318" i="2"/>
  <c r="D1444" i="2"/>
  <c r="D1073" i="2"/>
  <c r="D3117" i="2"/>
  <c r="D2979" i="2"/>
  <c r="D390" i="2"/>
  <c r="D5617" i="2"/>
  <c r="D3213" i="2"/>
  <c r="D1608" i="2"/>
  <c r="D4798" i="2"/>
  <c r="D4269" i="2"/>
  <c r="D5223" i="2"/>
  <c r="D2468" i="2"/>
  <c r="D3278" i="2"/>
  <c r="D5391" i="2"/>
  <c r="D4039" i="2"/>
  <c r="D416" i="2"/>
  <c r="D4982" i="2"/>
  <c r="D4469" i="2"/>
  <c r="D239" i="2"/>
  <c r="D5273" i="2"/>
  <c r="D2186" i="2"/>
  <c r="D1335" i="2"/>
  <c r="D4735" i="2"/>
  <c r="D5262" i="2"/>
  <c r="D4137" i="2"/>
  <c r="D86" i="2"/>
  <c r="D1812" i="2"/>
  <c r="D4607" i="2"/>
  <c r="D1328" i="2"/>
  <c r="D3565" i="2"/>
  <c r="D2775" i="2"/>
  <c r="D1713" i="2"/>
  <c r="D3506" i="2"/>
  <c r="D2977" i="2"/>
  <c r="D2143" i="2"/>
  <c r="D2900" i="2"/>
  <c r="D3834" i="2"/>
  <c r="D247" i="2"/>
  <c r="D2298" i="2"/>
  <c r="D530" i="2"/>
  <c r="D4621" i="2"/>
  <c r="D1173" i="2"/>
  <c r="D5159" i="2"/>
  <c r="D5659" i="2"/>
  <c r="D3707" i="2"/>
  <c r="D3511" i="2"/>
  <c r="D458" i="2"/>
  <c r="D2071" i="2"/>
  <c r="D5300" i="2"/>
  <c r="D4133" i="2"/>
  <c r="D2053" i="2"/>
  <c r="D1117" i="2"/>
  <c r="D5445" i="2"/>
  <c r="D1433" i="2"/>
  <c r="D512" i="2"/>
  <c r="D5463" i="2"/>
  <c r="D5103" i="2"/>
  <c r="D3926" i="2"/>
  <c r="D1445" i="2"/>
  <c r="D3935" i="2"/>
  <c r="D1356" i="2"/>
  <c r="D911" i="2"/>
  <c r="D3760" i="2"/>
  <c r="D289" i="2"/>
  <c r="D295" i="2"/>
  <c r="D1417" i="2"/>
  <c r="D5736" i="2"/>
  <c r="D1744" i="2"/>
  <c r="D546" i="2"/>
  <c r="D917" i="2"/>
  <c r="D508" i="2"/>
  <c r="D3120" i="2"/>
  <c r="D1014" i="2"/>
  <c r="D3945" i="2"/>
  <c r="D244" i="2"/>
  <c r="D889" i="2"/>
  <c r="D4644" i="2"/>
  <c r="D2580" i="2"/>
  <c r="D4749" i="2"/>
  <c r="D3370" i="2"/>
  <c r="D588" i="2"/>
  <c r="D5095" i="2"/>
  <c r="D61" i="2"/>
  <c r="D5782" i="2"/>
  <c r="D103" i="2"/>
  <c r="D5908" i="2"/>
  <c r="D5536" i="2"/>
  <c r="D5690" i="2"/>
  <c r="D1746" i="2"/>
  <c r="D2962" i="2"/>
  <c r="D3354" i="2"/>
  <c r="D5748" i="2"/>
  <c r="D3808" i="2"/>
  <c r="D4086" i="2"/>
  <c r="D5823" i="2"/>
  <c r="D2792" i="2"/>
  <c r="D951" i="2"/>
  <c r="D4543" i="2"/>
  <c r="D3734" i="2"/>
  <c r="D4260" i="2"/>
  <c r="D4840" i="2"/>
  <c r="D92" i="2"/>
  <c r="D4080" i="2"/>
  <c r="D4717" i="2"/>
  <c r="D4958" i="2"/>
  <c r="D4730" i="2"/>
  <c r="D3329" i="2"/>
  <c r="D4096" i="2"/>
  <c r="D3751" i="2"/>
  <c r="D853" i="2"/>
  <c r="D2482" i="2"/>
  <c r="D5042" i="2"/>
  <c r="D3327" i="2"/>
  <c r="D4881" i="2"/>
  <c r="D2193" i="2"/>
  <c r="D522" i="2"/>
  <c r="D1285" i="2"/>
  <c r="D9" i="2"/>
  <c r="D5476" i="2"/>
  <c r="D1352" i="2"/>
  <c r="D2844" i="2"/>
  <c r="D4990" i="2"/>
  <c r="D5694" i="2"/>
  <c r="D3229" i="2"/>
  <c r="D1192" i="2"/>
  <c r="D2990" i="2"/>
  <c r="D1933" i="2"/>
  <c r="D836" i="2"/>
  <c r="D977" i="2"/>
  <c r="D3529" i="2"/>
  <c r="D3237" i="2"/>
  <c r="D2594" i="2"/>
  <c r="D3528" i="2"/>
  <c r="D5002" i="2"/>
  <c r="D859" i="2"/>
  <c r="D4594" i="2"/>
  <c r="D2655" i="2"/>
  <c r="D1492" i="2"/>
  <c r="D1072" i="2"/>
  <c r="D2367" i="2"/>
  <c r="D2837" i="2"/>
  <c r="D2202" i="2"/>
  <c r="D5721" i="2"/>
  <c r="D4443" i="2"/>
  <c r="D1059" i="2"/>
  <c r="D2912" i="2"/>
  <c r="D2435" i="2"/>
  <c r="D891" i="2"/>
  <c r="D2520" i="2"/>
  <c r="D3570" i="2"/>
  <c r="D2766" i="2"/>
  <c r="D775" i="2"/>
  <c r="D5465" i="2"/>
  <c r="D379" i="2"/>
  <c r="D1668" i="2"/>
  <c r="D5770" i="2"/>
  <c r="D5274" i="2"/>
  <c r="D3634" i="2"/>
  <c r="D1743" i="2"/>
  <c r="D780" i="2"/>
  <c r="D3161" i="2"/>
  <c r="D1889" i="2"/>
  <c r="D4430" i="2"/>
  <c r="D2615" i="2"/>
  <c r="D2911" i="2"/>
  <c r="D1230" i="2"/>
  <c r="D1512" i="2"/>
  <c r="D3867" i="2"/>
  <c r="D132" i="2"/>
  <c r="D2556" i="2"/>
  <c r="D4533" i="2"/>
  <c r="D1255" i="2"/>
  <c r="D2011" i="2"/>
  <c r="D1859" i="2"/>
  <c r="D1105" i="2"/>
  <c r="D4569" i="2"/>
  <c r="D4034" i="2"/>
  <c r="D4190" i="2"/>
  <c r="D3746" i="2"/>
  <c r="D3246" i="2"/>
  <c r="D5139" i="2"/>
  <c r="D3777" i="2"/>
  <c r="D2158" i="2"/>
  <c r="D3673" i="2"/>
  <c r="D4623" i="2"/>
  <c r="D1459" i="2"/>
  <c r="D2599" i="2"/>
  <c r="D3930" i="2"/>
  <c r="D956" i="2"/>
  <c r="D3165" i="2"/>
  <c r="D2455" i="2"/>
  <c r="D1862" i="2"/>
  <c r="D4068" i="2"/>
  <c r="D3420" i="2"/>
  <c r="D3524" i="2"/>
  <c r="D1537" i="2"/>
  <c r="D4069" i="2"/>
  <c r="D3699" i="2"/>
  <c r="D2739" i="2"/>
  <c r="D1455" i="2"/>
  <c r="D2172" i="2"/>
  <c r="D2102" i="2"/>
  <c r="D3427" i="2"/>
  <c r="D2625" i="2"/>
  <c r="D946" i="2"/>
  <c r="D1329" i="2"/>
  <c r="D4565" i="2"/>
  <c r="D1649" i="2"/>
  <c r="D2371" i="2"/>
  <c r="D2184" i="2"/>
  <c r="D3394" i="2"/>
  <c r="D2611" i="2"/>
  <c r="D1557" i="2"/>
  <c r="D582" i="2"/>
  <c r="D4320" i="2"/>
  <c r="D4154" i="2"/>
  <c r="D5220" i="2"/>
  <c r="D5405" i="2"/>
  <c r="D4652" i="2"/>
  <c r="D3024" i="2"/>
  <c r="D3124" i="2"/>
  <c r="D3300" i="2"/>
  <c r="D463" i="2"/>
  <c r="D1223" i="2"/>
  <c r="D3586" i="2"/>
  <c r="D797" i="2"/>
  <c r="D1988" i="2"/>
  <c r="D3025" i="2"/>
  <c r="D995" i="2"/>
  <c r="D1733" i="2"/>
  <c r="D4650" i="2"/>
  <c r="D93" i="2"/>
  <c r="D4460" i="2"/>
  <c r="D1272" i="2"/>
  <c r="D1918" i="2"/>
  <c r="D1048" i="2"/>
  <c r="D5462" i="2"/>
  <c r="D2845" i="2"/>
  <c r="D1510" i="2"/>
  <c r="D1952" i="2"/>
  <c r="D1527" i="2"/>
  <c r="D3910" i="2"/>
  <c r="D5054" i="2"/>
  <c r="D715" i="2"/>
  <c r="D3764" i="2"/>
  <c r="D4162" i="2"/>
  <c r="D5253" i="2"/>
  <c r="D1969" i="2"/>
  <c r="D1818" i="2"/>
  <c r="D2654" i="2"/>
  <c r="D4151" i="2"/>
  <c r="D5535" i="2"/>
  <c r="D265" i="2"/>
  <c r="D4573" i="2"/>
  <c r="D3324" i="2"/>
  <c r="D1087" i="2"/>
  <c r="D2936" i="2"/>
  <c r="D281" i="2"/>
  <c r="D2363" i="2"/>
  <c r="D5723" i="2"/>
  <c r="D1226" i="2"/>
  <c r="D2606" i="2"/>
  <c r="D184" i="2"/>
  <c r="D352" i="2"/>
  <c r="D4942" i="2"/>
  <c r="D5878" i="2"/>
  <c r="D251" i="2"/>
  <c r="D15" i="2"/>
  <c r="D5916" i="2"/>
  <c r="D3026" i="2"/>
  <c r="D3027" i="2"/>
  <c r="D5505" i="2"/>
  <c r="D137" i="2"/>
  <c r="D3028" i="2"/>
  <c r="D2930" i="2"/>
  <c r="D3723" i="2"/>
  <c r="D134" i="2"/>
  <c r="D1478" i="2"/>
  <c r="D3674" i="2"/>
  <c r="D1970" i="2"/>
  <c r="D4141" i="2"/>
  <c r="D5871" i="2"/>
  <c r="D5897" i="2"/>
  <c r="D5692" i="2"/>
  <c r="D500" i="2"/>
  <c r="D5502" i="2"/>
  <c r="D5641" i="2"/>
  <c r="D2029" i="2"/>
  <c r="D5854" i="2"/>
  <c r="D1391" i="2"/>
  <c r="D1351" i="2"/>
  <c r="D2863" i="2"/>
  <c r="D2146" i="2"/>
  <c r="D851" i="2"/>
  <c r="D3588" i="2"/>
  <c r="D2213" i="2"/>
  <c r="D399" i="2"/>
  <c r="D3171" i="2"/>
  <c r="D5191" i="2"/>
  <c r="D1331" i="2"/>
  <c r="D3487" i="2"/>
  <c r="D1936" i="2"/>
  <c r="D4869" i="2"/>
  <c r="D586" i="2"/>
  <c r="D2299" i="2"/>
  <c r="D5367" i="2"/>
  <c r="D5084" i="2"/>
  <c r="D5472" i="2"/>
  <c r="D3393" i="2"/>
  <c r="D1566" i="2"/>
  <c r="D1783" i="2"/>
  <c r="D4936" i="2"/>
  <c r="D3552" i="2"/>
  <c r="D5570" i="2"/>
  <c r="D4294" i="2"/>
  <c r="D97" i="2"/>
  <c r="D5881" i="2"/>
  <c r="D1176" i="2"/>
  <c r="D3533" i="2"/>
  <c r="D4424" i="2"/>
  <c r="D1522" i="2"/>
  <c r="D1745" i="2"/>
  <c r="D3349" i="2"/>
  <c r="D3463" i="2"/>
  <c r="D1592" i="2"/>
  <c r="D3170" i="2"/>
  <c r="D4016" i="2"/>
  <c r="D712" i="2"/>
  <c r="D4286" i="2"/>
  <c r="D5234" i="2"/>
  <c r="D5290" i="2"/>
  <c r="D4860" i="2"/>
  <c r="D1787" i="2"/>
  <c r="D4833" i="2"/>
  <c r="D589" i="2"/>
  <c r="D1753" i="2"/>
  <c r="D2953" i="2"/>
  <c r="D2350" i="2"/>
  <c r="D2095" i="2"/>
  <c r="D4883" i="2"/>
  <c r="D1844" i="2"/>
  <c r="D3978" i="2"/>
  <c r="D5057" i="2"/>
  <c r="D3247" i="2"/>
  <c r="D1803" i="2"/>
  <c r="D4418" i="2"/>
  <c r="D3861" i="2"/>
  <c r="D4348" i="2"/>
  <c r="D5446" i="2"/>
  <c r="D5429" i="2"/>
  <c r="D29" i="2"/>
  <c r="D372" i="2"/>
  <c r="D67" i="2"/>
  <c r="D1380" i="2"/>
  <c r="D319" i="2"/>
  <c r="D5036" i="2"/>
  <c r="D899" i="2"/>
  <c r="D3501" i="2"/>
  <c r="D3665" i="2"/>
  <c r="D855" i="2"/>
  <c r="D3546" i="2"/>
  <c r="D1451" i="2"/>
  <c r="D583" i="2"/>
  <c r="D5415" i="2"/>
  <c r="D3379" i="2"/>
  <c r="D2577" i="2"/>
  <c r="D1289" i="2"/>
  <c r="D5224" i="2"/>
  <c r="D3939" i="2"/>
  <c r="D2798" i="2"/>
  <c r="D3276" i="2"/>
  <c r="D4314" i="2"/>
  <c r="D1658" i="2"/>
  <c r="D597" i="2"/>
  <c r="D1249" i="2"/>
  <c r="D817" i="2"/>
  <c r="D3189" i="2"/>
  <c r="D772" i="2"/>
  <c r="D3346" i="2"/>
  <c r="D4625" i="2"/>
  <c r="D1940" i="2"/>
  <c r="D4529" i="2"/>
  <c r="D1392" i="2"/>
  <c r="D720" i="2"/>
  <c r="D1634" i="2"/>
  <c r="D5371" i="2"/>
  <c r="D2346" i="2"/>
  <c r="D575" i="2"/>
  <c r="D3353" i="2"/>
  <c r="D1834" i="2"/>
  <c r="D4037" i="2"/>
  <c r="D2331" i="2"/>
  <c r="D4478" i="2"/>
  <c r="D5258" i="2"/>
  <c r="D637" i="2"/>
  <c r="D286" i="2"/>
  <c r="D5522" i="2"/>
  <c r="D537" i="2"/>
  <c r="D2483" i="2"/>
  <c r="D510" i="2"/>
  <c r="D779" i="2"/>
  <c r="D4438" i="2"/>
  <c r="D2244" i="2"/>
  <c r="D1719" i="2"/>
  <c r="D2647" i="2"/>
  <c r="D3670" i="2"/>
  <c r="D1483" i="2"/>
  <c r="D5026" i="2"/>
  <c r="D4579" i="2"/>
  <c r="D3964" i="2"/>
  <c r="D969" i="2"/>
  <c r="D2508" i="2"/>
  <c r="D991" i="2"/>
  <c r="D3029" i="2"/>
  <c r="D318" i="2"/>
  <c r="D199" i="2"/>
  <c r="D5806" i="2"/>
  <c r="D4683" i="2"/>
  <c r="D5165" i="2"/>
  <c r="D2228" i="2"/>
  <c r="D4875" i="2"/>
  <c r="D2460" i="2"/>
  <c r="D1875" i="2"/>
  <c r="D3475" i="2"/>
  <c r="D5568" i="2"/>
  <c r="D327" i="2"/>
  <c r="D3775" i="2"/>
  <c r="D3377" i="2"/>
  <c r="D3473" i="2"/>
  <c r="D5756" i="2"/>
  <c r="D5016" i="2"/>
  <c r="D1297" i="2"/>
  <c r="D760" i="2"/>
  <c r="D2427" i="2"/>
  <c r="D1441" i="2"/>
  <c r="D632" i="2"/>
  <c r="D5691" i="2"/>
  <c r="D3469" i="2"/>
  <c r="D446" i="2"/>
  <c r="D292" i="2"/>
  <c r="D1023" i="2"/>
  <c r="D5845" i="2"/>
  <c r="D5087" i="2"/>
  <c r="D3675" i="2"/>
  <c r="D1802" i="2"/>
  <c r="D2598" i="2"/>
  <c r="D2124" i="2"/>
  <c r="D3030" i="2"/>
  <c r="D1414" i="2"/>
  <c r="D1932" i="2"/>
  <c r="D2686" i="2"/>
  <c r="D1168" i="2"/>
  <c r="D1229" i="2"/>
  <c r="D2294" i="2"/>
  <c r="D3385" i="2"/>
  <c r="D4949" i="2"/>
  <c r="D3254" i="2"/>
  <c r="D2301" i="2"/>
  <c r="D209" i="2"/>
  <c r="D3449" i="2"/>
  <c r="D4980" i="2"/>
  <c r="D2236" i="2"/>
  <c r="D1413" i="2"/>
  <c r="D1888" i="2"/>
  <c r="D4649" i="2"/>
  <c r="D1404" i="2"/>
  <c r="D691" i="2"/>
  <c r="D5386" i="2"/>
  <c r="D2072" i="2"/>
  <c r="D1912" i="2"/>
  <c r="D2368" i="2"/>
  <c r="D5497" i="2"/>
  <c r="D517" i="2"/>
  <c r="D5112" i="2"/>
  <c r="D2619" i="2"/>
  <c r="D2012" i="2"/>
  <c r="D2514" i="2"/>
  <c r="D1286" i="2"/>
  <c r="D4407" i="2"/>
  <c r="D3031" i="2"/>
  <c r="D2054" i="2"/>
  <c r="D365" i="2"/>
  <c r="D5693" i="2"/>
  <c r="D3398" i="2"/>
  <c r="D3340" i="2"/>
  <c r="D212" i="2"/>
  <c r="D378" i="2"/>
  <c r="D162" i="2"/>
  <c r="D3366" i="2"/>
  <c r="D3868" i="2"/>
  <c r="D2974" i="2"/>
  <c r="D5817" i="2"/>
  <c r="D1015" i="2"/>
  <c r="D554" i="2"/>
  <c r="D5011" i="2"/>
  <c r="D940" i="2"/>
  <c r="D2529" i="2"/>
  <c r="D738" i="2"/>
  <c r="D2295" i="2"/>
  <c r="D3616" i="2"/>
  <c r="D321" i="2"/>
  <c r="D4779" i="2"/>
  <c r="D1264" i="2"/>
  <c r="D3963" i="2"/>
  <c r="D3737" i="2"/>
  <c r="D897" i="2"/>
  <c r="D100" i="2"/>
  <c r="D4851" i="2"/>
  <c r="D4452" i="2"/>
  <c r="D3767" i="2"/>
  <c r="D2968" i="2"/>
  <c r="D1252" i="2"/>
  <c r="D3941" i="2"/>
  <c r="D2248" i="2"/>
  <c r="D2821" i="2"/>
  <c r="D5160" i="2"/>
  <c r="D882" i="2"/>
  <c r="D3230" i="2"/>
  <c r="D1098" i="2"/>
  <c r="D4470" i="2"/>
  <c r="D1090" i="2"/>
  <c r="D5265" i="2"/>
  <c r="D5374" i="2"/>
  <c r="D2885" i="2"/>
  <c r="D552" i="2"/>
  <c r="D1660" i="2"/>
  <c r="D2051" i="2"/>
  <c r="D5236" i="2"/>
  <c r="D2964" i="2"/>
  <c r="D2305" i="2"/>
  <c r="D5231" i="2"/>
  <c r="D1399" i="2"/>
  <c r="D818" i="2"/>
  <c r="D1188" i="2"/>
  <c r="D4979" i="2"/>
  <c r="D1110" i="2"/>
  <c r="D2289" i="2"/>
  <c r="D3234" i="2"/>
  <c r="D1169" i="2"/>
  <c r="D4404" i="2"/>
  <c r="D4241" i="2"/>
  <c r="D387" i="2"/>
  <c r="D3973" i="2"/>
  <c r="D1185" i="2"/>
  <c r="D5731" i="2"/>
  <c r="D5480" i="2"/>
  <c r="D4728" i="2"/>
  <c r="D4204" i="2"/>
  <c r="D2431" i="2"/>
  <c r="D3032" i="2"/>
  <c r="D3816" i="2"/>
  <c r="D2308" i="2"/>
  <c r="D2429" i="2"/>
  <c r="D3874" i="2"/>
  <c r="D2881" i="2"/>
  <c r="D3033" i="2"/>
  <c r="D4838" i="2"/>
  <c r="D1253" i="2"/>
  <c r="D3034" i="2"/>
  <c r="D3035" i="2"/>
  <c r="D3036" i="2"/>
  <c r="D4261" i="2"/>
  <c r="D2250" i="2"/>
  <c r="D2671" i="2"/>
  <c r="D796" i="2"/>
  <c r="D5284" i="2"/>
  <c r="D2966" i="2"/>
  <c r="D2965" i="2"/>
  <c r="D3383" i="2"/>
  <c r="D3514" i="2"/>
  <c r="D2736" i="2"/>
  <c r="D1948" i="2"/>
  <c r="D154" i="2"/>
  <c r="D1720" i="2"/>
  <c r="D269" i="2"/>
  <c r="D830" i="2"/>
  <c r="D4126" i="2"/>
  <c r="D2504" i="2"/>
  <c r="D5148" i="2"/>
  <c r="D280" i="2"/>
  <c r="D3336" i="2"/>
  <c r="D5411" i="2"/>
  <c r="D4231" i="2"/>
  <c r="D1465" i="2"/>
  <c r="D1411" i="2"/>
  <c r="D3037" i="2"/>
  <c r="D3880" i="2"/>
  <c r="D3411" i="2"/>
  <c r="D4553" i="2"/>
  <c r="D330" i="2"/>
  <c r="D5706" i="2"/>
  <c r="D2578" i="2"/>
  <c r="D3038" i="2"/>
  <c r="D3480" i="2"/>
  <c r="D2643" i="2"/>
  <c r="D2314" i="2"/>
  <c r="D1410" i="2"/>
  <c r="D2958" i="2"/>
  <c r="D1317" i="2"/>
  <c r="D1148" i="2"/>
  <c r="D1833" i="2"/>
  <c r="D4026" i="2"/>
  <c r="D4203" i="2"/>
  <c r="D5406" i="2"/>
  <c r="D5013" i="2"/>
  <c r="D189" i="2"/>
  <c r="D2705" i="2"/>
  <c r="D160" i="2"/>
  <c r="D643" i="2"/>
  <c r="D646" i="2"/>
  <c r="D1568" i="2"/>
  <c r="D1555" i="2"/>
  <c r="D3521" i="2"/>
  <c r="D3519" i="2"/>
  <c r="D1495" i="2"/>
  <c r="D3262" i="2"/>
  <c r="D4850" i="2"/>
  <c r="D4021" i="2"/>
  <c r="D1944" i="2"/>
  <c r="D179" i="2"/>
  <c r="D5842" i="2"/>
  <c r="D4402" i="2"/>
  <c r="D815" i="2"/>
  <c r="D3753" i="2"/>
  <c r="D5028" i="2"/>
  <c r="D3039" i="2"/>
  <c r="D3357" i="2"/>
  <c r="D1667" i="2"/>
  <c r="D4153" i="2"/>
  <c r="D3440" i="2"/>
  <c r="D2774" i="2"/>
  <c r="D4147" i="2"/>
  <c r="D2025" i="2"/>
  <c r="D3040" i="2"/>
  <c r="D3439" i="2"/>
  <c r="D3041" i="2"/>
  <c r="D3593" i="2"/>
  <c r="D2680" i="2"/>
  <c r="D2538" i="2"/>
  <c r="D3255" i="2"/>
  <c r="D1824" i="2"/>
  <c r="D5051" i="2"/>
  <c r="D49" i="2"/>
  <c r="D1906" i="2"/>
  <c r="D1096" i="2"/>
  <c r="D524" i="2"/>
  <c r="D4541" i="2"/>
  <c r="D846" i="2"/>
  <c r="D602" i="2"/>
  <c r="D3042" i="2"/>
  <c r="D4447" i="2"/>
  <c r="D1567" i="2"/>
  <c r="D4255" i="2"/>
  <c r="D2080" i="2"/>
  <c r="D4030" i="2"/>
  <c r="D1921" i="2"/>
  <c r="D5228" i="2"/>
  <c r="D3043" i="2"/>
  <c r="D3044" i="2"/>
  <c r="D2838" i="2"/>
  <c r="D1572" i="2"/>
  <c r="D1208" i="2"/>
  <c r="D4186" i="2"/>
  <c r="D2733" i="2"/>
  <c r="D5350" i="2"/>
  <c r="D890" i="2"/>
  <c r="D5708" i="2"/>
  <c r="D5164" i="2"/>
  <c r="D105" i="2"/>
  <c r="D3563" i="2"/>
  <c r="D2404" i="2"/>
  <c r="D3187" i="2"/>
  <c r="D4863" i="2"/>
  <c r="D1747" i="2"/>
  <c r="D3045" i="2"/>
  <c r="D3722" i="2"/>
  <c r="D3285" i="2"/>
  <c r="D1266" i="2"/>
  <c r="D5648" i="2"/>
  <c r="D1282" i="2"/>
  <c r="D4612" i="2"/>
  <c r="D1519" i="2"/>
  <c r="D5640" i="2"/>
  <c r="D5318" i="2"/>
  <c r="D4922" i="2"/>
  <c r="D3456" i="2"/>
  <c r="D4052" i="2"/>
  <c r="D3177" i="2"/>
  <c r="D5486" i="2"/>
  <c r="D4024" i="2"/>
  <c r="D73" i="2"/>
  <c r="D4811" i="2"/>
  <c r="D2440" i="2"/>
  <c r="D2364" i="2"/>
  <c r="D3273" i="2"/>
  <c r="D1324" i="2"/>
  <c r="D4986" i="2"/>
  <c r="D4392" i="2"/>
  <c r="D1991" i="2"/>
  <c r="D3178" i="2"/>
  <c r="D4720" i="2"/>
  <c r="D4044" i="2"/>
  <c r="D1748" i="2"/>
  <c r="D4375" i="2"/>
  <c r="D3769" i="2"/>
  <c r="D3265" i="2"/>
  <c r="D2073" i="2"/>
  <c r="D3369" i="2"/>
  <c r="D2380" i="2"/>
  <c r="D2292" i="2"/>
  <c r="D3617" i="2"/>
  <c r="D1993" i="2"/>
  <c r="D1155" i="2"/>
  <c r="D2114" i="2"/>
  <c r="D3538" i="2"/>
  <c r="D2850" i="2"/>
  <c r="D4274" i="2"/>
  <c r="D3626" i="2"/>
  <c r="D4497" i="2"/>
  <c r="D5157" i="2"/>
  <c r="D3367" i="2"/>
  <c r="D3264" i="2"/>
  <c r="D3173" i="2"/>
  <c r="D3263" i="2"/>
  <c r="D2948" i="2"/>
  <c r="D2523" i="2"/>
  <c r="D3174" i="2"/>
  <c r="D3763" i="2"/>
  <c r="D5076" i="2"/>
  <c r="D718" i="2"/>
  <c r="D3176" i="2"/>
  <c r="D3175" i="2"/>
  <c r="D2446" i="2"/>
  <c r="D3451" i="2"/>
  <c r="D233" i="2"/>
  <c r="D2660" i="2"/>
  <c r="D3459" i="2"/>
  <c r="D2848" i="2"/>
  <c r="D3046" i="2"/>
  <c r="D3047" i="2"/>
  <c r="D5171" i="2"/>
  <c r="D955" i="2"/>
  <c r="D3048" i="2"/>
  <c r="D2358" i="2"/>
  <c r="D1494" i="2"/>
  <c r="D5384" i="2"/>
  <c r="D4195" i="2"/>
  <c r="D3982" i="2"/>
  <c r="D2853" i="2"/>
  <c r="D957" i="2"/>
  <c r="D2849" i="2"/>
  <c r="D3049" i="2"/>
  <c r="D2941" i="2"/>
  <c r="D3458" i="2"/>
  <c r="D4726" i="2"/>
  <c r="D2664" i="2"/>
  <c r="D4059" i="2"/>
  <c r="D3269" i="2"/>
  <c r="D2852" i="2"/>
  <c r="D2288" i="2"/>
  <c r="D3921" i="2"/>
  <c r="D735" i="2"/>
  <c r="D864" i="2"/>
  <c r="D787" i="2"/>
  <c r="D682" i="2"/>
  <c r="D2240" i="2"/>
  <c r="D776" i="2"/>
  <c r="D585" i="2"/>
  <c r="D3916" i="2"/>
  <c r="D5628" i="2"/>
  <c r="D3387" i="2"/>
  <c r="D1837" i="2"/>
  <c r="D888" i="2"/>
  <c r="D4940" i="2"/>
  <c r="D2131" i="2"/>
  <c r="D3896" i="2"/>
  <c r="D3813" i="2"/>
  <c r="D1387" i="2"/>
  <c r="D5746" i="2"/>
  <c r="D2081" i="2"/>
  <c r="D3803" i="2"/>
  <c r="D408" i="2"/>
  <c r="D1440" i="2"/>
  <c r="D3668" i="2"/>
  <c r="D2126" i="2"/>
  <c r="D4135" i="2"/>
  <c r="D24" i="2"/>
  <c r="D5911" i="2"/>
  <c r="D3891" i="2"/>
  <c r="D4582" i="2"/>
  <c r="D4253" i="2"/>
  <c r="D4855" i="2"/>
  <c r="D5471" i="2"/>
  <c r="D4144" i="2"/>
  <c r="D1401" i="2"/>
  <c r="D1154" i="2"/>
  <c r="D2935" i="2"/>
  <c r="D4714" i="2"/>
  <c r="D1237" i="2"/>
  <c r="D2934" i="2"/>
  <c r="D4487" i="2"/>
  <c r="D5742" i="2"/>
  <c r="D4843" i="2"/>
  <c r="D307" i="2"/>
  <c r="D423" i="2"/>
  <c r="D3640" i="2"/>
  <c r="D2841" i="2"/>
  <c r="D2569" i="2"/>
  <c r="D3183" i="2"/>
  <c r="D3050" i="2"/>
  <c r="D2649" i="2"/>
  <c r="D3284" i="2"/>
  <c r="D3051" i="2"/>
  <c r="D3185" i="2"/>
  <c r="D3184" i="2"/>
  <c r="D2839" i="2"/>
  <c r="D3641" i="2"/>
  <c r="D1011" i="2"/>
  <c r="D3650" i="2"/>
  <c r="D4106" i="2"/>
  <c r="D4098" i="2"/>
  <c r="D4896" i="2"/>
  <c r="D1701" i="2"/>
  <c r="D5490" i="2"/>
  <c r="D4001" i="2"/>
  <c r="D2657" i="2"/>
  <c r="D3997" i="2"/>
  <c r="D3275" i="2"/>
  <c r="D2659" i="2"/>
  <c r="D3378" i="2"/>
  <c r="D3630" i="2"/>
  <c r="D3180" i="2"/>
  <c r="D2281" i="2"/>
  <c r="D1826" i="2"/>
  <c r="D4518" i="2"/>
  <c r="D2280" i="2"/>
  <c r="D4638" i="2"/>
  <c r="D164" i="2"/>
  <c r="D658" i="2"/>
  <c r="D5461" i="2"/>
  <c r="D3052" i="2"/>
  <c r="D802" i="2"/>
  <c r="D2931" i="2"/>
  <c r="D4383" i="2"/>
  <c r="D5753" i="2"/>
  <c r="D4993" i="2"/>
  <c r="D5078" i="2"/>
  <c r="D2665" i="2"/>
  <c r="D3053" i="2"/>
  <c r="D2943" i="2"/>
  <c r="D3532" i="2"/>
  <c r="D2666" i="2"/>
  <c r="D3268" i="2"/>
  <c r="D3620" i="2"/>
  <c r="D2512" i="2"/>
  <c r="D2945" i="2"/>
  <c r="D3054" i="2"/>
  <c r="D3055" i="2"/>
  <c r="D2944" i="2"/>
  <c r="D3056" i="2"/>
  <c r="D4491" i="2"/>
  <c r="D3057" i="2"/>
  <c r="D5751" i="2"/>
  <c r="D4619" i="2"/>
  <c r="D5378" i="2"/>
  <c r="D3509" i="2"/>
  <c r="D3058" i="2"/>
  <c r="D26" i="2"/>
  <c r="D5605" i="2"/>
  <c r="D5567" i="2"/>
  <c r="D3805" i="2"/>
  <c r="D4654" i="2"/>
  <c r="D4744" i="2"/>
  <c r="D2687" i="2"/>
  <c r="D2259" i="2"/>
  <c r="D2188" i="2"/>
  <c r="D2685" i="2"/>
  <c r="D1588" i="2"/>
  <c r="D418" i="2"/>
  <c r="D2600" i="2"/>
  <c r="D5822" i="2"/>
  <c r="D808" i="2"/>
  <c r="D3742" i="2"/>
  <c r="D2245" i="2"/>
  <c r="D168" i="2"/>
  <c r="D4787" i="2"/>
  <c r="D2303" i="2"/>
  <c r="D1869" i="2"/>
  <c r="D3059" i="2"/>
  <c r="D1861" i="2"/>
  <c r="D4488" i="2"/>
  <c r="D1007" i="2"/>
  <c r="D5334" i="2"/>
  <c r="D3608" i="2"/>
  <c r="D1998" i="2"/>
  <c r="D5282" i="2"/>
  <c r="D1814" i="2"/>
  <c r="D3447" i="2"/>
  <c r="D1140" i="2"/>
  <c r="D1125" i="2"/>
  <c r="D2754" i="2"/>
  <c r="D1509" i="2"/>
  <c r="D1093" i="2"/>
  <c r="D1894" i="2"/>
  <c r="D2104" i="2"/>
  <c r="D2493" i="2"/>
  <c r="D3380" i="2"/>
  <c r="D1882" i="2"/>
  <c r="D2574" i="2"/>
  <c r="D3060" i="2"/>
  <c r="D3061" i="2"/>
  <c r="D1811" i="2"/>
  <c r="D2738" i="2"/>
  <c r="D3559" i="2"/>
  <c r="D3795" i="2"/>
  <c r="D3182" i="2"/>
  <c r="D3062" i="2"/>
  <c r="D3063" i="2"/>
  <c r="D2255" i="2"/>
  <c r="D2413" i="2"/>
  <c r="D2933" i="2"/>
  <c r="D4555" i="2"/>
  <c r="D2338" i="2"/>
  <c r="D57" i="2"/>
  <c r="D329" i="2"/>
  <c r="D782" i="2"/>
  <c r="D288" i="2"/>
  <c r="D5766" i="2"/>
  <c r="D3195" i="2"/>
  <c r="D2622" i="2"/>
  <c r="D3502" i="2"/>
  <c r="D5523" i="2"/>
  <c r="D789" i="2"/>
  <c r="D5360" i="2"/>
  <c r="D3759" i="2"/>
  <c r="D5532" i="2"/>
  <c r="D5650" i="2"/>
  <c r="D1671" i="2"/>
  <c r="D4682" i="2"/>
  <c r="D4941" i="2"/>
  <c r="D4892" i="2"/>
  <c r="D362" i="2"/>
  <c r="D2324" i="2"/>
  <c r="D3879" i="2"/>
  <c r="D2157" i="2"/>
  <c r="D1497" i="2"/>
  <c r="D5141" i="2"/>
  <c r="D2243" i="2"/>
  <c r="D3064" i="2"/>
  <c r="D3065" i="2"/>
  <c r="D1854" i="2"/>
  <c r="D4959" i="2"/>
  <c r="D1355" i="2"/>
  <c r="D4578" i="2"/>
  <c r="D2835" i="2"/>
  <c r="D3958" i="2"/>
  <c r="D1036" i="2"/>
  <c r="D4185" i="2"/>
  <c r="D5024" i="2"/>
  <c r="D4018" i="2"/>
  <c r="D2090" i="2"/>
  <c r="D5424" i="2"/>
  <c r="D1393" i="2"/>
  <c r="D868" i="2"/>
  <c r="D3286" i="2"/>
  <c r="D2327" i="2"/>
  <c r="D1069" i="2"/>
  <c r="D5001" i="2"/>
  <c r="D920" i="2"/>
  <c r="D2832" i="2"/>
  <c r="D4514" i="2"/>
  <c r="D5309" i="2"/>
  <c r="D1574" i="2"/>
  <c r="D2561" i="2"/>
  <c r="D3186" i="2"/>
  <c r="D237" i="2"/>
  <c r="D2052" i="2"/>
  <c r="D1211" i="2"/>
  <c r="D4427" i="2"/>
  <c r="D5777" i="2"/>
  <c r="D4999" i="2"/>
  <c r="D62" i="2"/>
  <c r="D3066" i="2"/>
  <c r="D248" i="2"/>
  <c r="D640" i="2"/>
  <c r="D711" i="2"/>
  <c r="D2608" i="2"/>
  <c r="D1178" i="2"/>
  <c r="D2510" i="2"/>
  <c r="D3622" i="2"/>
  <c r="D2242" i="2"/>
  <c r="D3624" i="2"/>
  <c r="D972" i="2"/>
  <c r="D4311" i="2"/>
  <c r="D2601" i="2"/>
  <c r="D1964" i="2"/>
  <c r="D1246" i="2"/>
  <c r="D3317" i="2"/>
  <c r="D3987" i="2"/>
  <c r="D3715" i="2"/>
  <c r="D3712" i="2"/>
  <c r="D4659" i="2"/>
  <c r="D965" i="2"/>
  <c r="D4150" i="2"/>
  <c r="D4312" i="2"/>
  <c r="D3198" i="2"/>
  <c r="D1256" i="2"/>
  <c r="D656" i="2"/>
  <c r="D4251" i="2"/>
  <c r="D4545" i="2"/>
  <c r="D2117" i="2"/>
  <c r="D1513" i="2"/>
  <c r="D3433" i="2"/>
  <c r="D144" i="2"/>
  <c r="D2677" i="2"/>
  <c r="D1749" i="2"/>
  <c r="D2174" i="2"/>
  <c r="D3660" i="2"/>
  <c r="D3757" i="2"/>
  <c r="D3555" i="2"/>
  <c r="D2180" i="2"/>
  <c r="D4202" i="2"/>
  <c r="D2909" i="2"/>
  <c r="D3551" i="2"/>
  <c r="D1183" i="2"/>
  <c r="D1103" i="2"/>
  <c r="D4617" i="2"/>
  <c r="D3333" i="2"/>
  <c r="D2387" i="2"/>
  <c r="D902" i="2"/>
  <c r="D5779" i="2"/>
  <c r="D3442" i="2"/>
  <c r="D2391" i="2"/>
  <c r="D3067" i="2"/>
  <c r="D1535" i="2"/>
  <c r="D2472" i="2"/>
  <c r="D3068" i="2"/>
  <c r="D3761" i="2"/>
  <c r="D4297" i="2"/>
  <c r="D306" i="2"/>
  <c r="D5643" i="2"/>
  <c r="D477" i="2"/>
  <c r="D290" i="2"/>
  <c r="D1931" i="2"/>
  <c r="D5533" i="2"/>
  <c r="D4236" i="2"/>
  <c r="D3209" i="2"/>
  <c r="D14" i="2"/>
  <c r="D879" i="2"/>
  <c r="D3937" i="2"/>
  <c r="D4227" i="2"/>
  <c r="D3811" i="2"/>
  <c r="D2772" i="2"/>
  <c r="D4574" i="2"/>
  <c r="D993" i="2"/>
  <c r="D4406" i="2"/>
  <c r="D5851" i="2"/>
  <c r="D21" i="2"/>
  <c r="D3069" i="2"/>
  <c r="D1857" i="2"/>
  <c r="D1378" i="2"/>
  <c r="D2042" i="2"/>
  <c r="D4626" i="2"/>
  <c r="D2049" i="2"/>
  <c r="D4950" i="2"/>
  <c r="D592" i="2"/>
  <c r="D5211" i="2"/>
  <c r="D3070" i="2"/>
  <c r="D1304" i="2"/>
  <c r="D3500" i="2"/>
  <c r="D2283" i="2"/>
  <c r="D2748" i="2"/>
  <c r="D4830" i="2"/>
  <c r="D3222" i="2"/>
  <c r="D4061" i="2"/>
  <c r="D3951" i="2"/>
  <c r="D2633" i="2"/>
  <c r="D3221" i="2"/>
  <c r="D2402" i="2"/>
  <c r="D3835" i="2"/>
  <c r="D4763" i="2"/>
  <c r="D5255" i="2"/>
  <c r="D3363" i="2"/>
  <c r="D4655" i="2"/>
  <c r="D5420" i="2"/>
  <c r="D1584" i="2"/>
  <c r="D2210" i="2"/>
  <c r="D943" i="2"/>
  <c r="D346" i="2"/>
  <c r="D3071" i="2"/>
  <c r="D4049" i="2"/>
  <c r="D3072" i="2"/>
  <c r="D2173" i="2"/>
  <c r="D4046" i="2"/>
  <c r="D1189" i="2"/>
  <c r="D335" i="2"/>
  <c r="D564" i="2"/>
  <c r="D1724" i="2"/>
  <c r="D3644" i="2"/>
  <c r="D4671" i="2"/>
  <c r="D4485" i="2"/>
  <c r="D4913" i="2"/>
  <c r="D2273" i="2"/>
  <c r="D4903" i="2"/>
  <c r="D2038" i="2"/>
  <c r="D4711" i="2"/>
  <c r="D2284" i="2"/>
  <c r="D2154" i="2"/>
  <c r="D2034" i="2"/>
  <c r="D4179" i="2"/>
  <c r="D4072" i="2"/>
  <c r="D4361" i="2"/>
  <c r="D3073" i="2"/>
  <c r="D2397" i="2"/>
  <c r="D2891" i="2"/>
  <c r="D4705" i="2"/>
  <c r="D4056" i="2"/>
  <c r="D3074" i="2"/>
  <c r="D1764" i="2"/>
  <c r="D1172" i="2"/>
  <c r="D4275" i="2"/>
  <c r="D5109" i="2"/>
  <c r="D2634" i="2"/>
  <c r="D4681" i="2"/>
  <c r="D2178" i="2"/>
  <c r="D4677" i="2"/>
  <c r="D2409" i="2"/>
  <c r="D4332" i="2"/>
  <c r="D2411" i="2"/>
  <c r="D3075" i="2"/>
  <c r="D2897" i="2"/>
  <c r="D4235" i="2"/>
  <c r="D413" i="2"/>
  <c r="D5540" i="2"/>
  <c r="D699" i="2"/>
  <c r="D4051" i="2"/>
  <c r="D2637" i="2"/>
  <c r="D2894" i="2"/>
  <c r="D3220" i="2"/>
  <c r="D1954" i="2"/>
  <c r="D2056" i="2"/>
  <c r="D2628" i="2"/>
  <c r="D1935" i="2"/>
  <c r="D3076" i="2"/>
  <c r="D3225" i="2"/>
  <c r="D3224" i="2"/>
  <c r="D3838" i="2"/>
  <c r="D1037" i="2"/>
  <c r="D3077" i="2"/>
  <c r="D4547" i="2"/>
  <c r="D5056" i="2"/>
  <c r="D4520" i="2"/>
  <c r="D3078" i="2"/>
  <c r="D1613" i="2"/>
  <c r="D3493" i="2"/>
  <c r="D4928" i="2"/>
  <c r="D1865" i="2"/>
  <c r="D1958" i="2"/>
  <c r="D3079" i="2"/>
  <c r="D3619" i="2"/>
  <c r="D2760" i="2"/>
  <c r="D3080" i="2"/>
  <c r="D1951" i="2"/>
  <c r="D1941" i="2"/>
  <c r="D3732" i="2"/>
  <c r="D1938" i="2"/>
  <c r="D5153" i="2"/>
  <c r="D3081" i="2"/>
  <c r="D3727" i="2"/>
  <c r="D2293" i="2"/>
  <c r="D2893" i="2"/>
  <c r="D1241" i="2"/>
  <c r="D786" i="2"/>
  <c r="D4467" i="2"/>
  <c r="D3082" i="2"/>
  <c r="D5208" i="2"/>
  <c r="D4879" i="2"/>
  <c r="D543" i="2"/>
  <c r="D702" i="2"/>
  <c r="D4377" i="2"/>
  <c r="D4639" i="2"/>
  <c r="D2156" i="2"/>
  <c r="D5840" i="2"/>
  <c r="D3083" i="2"/>
  <c r="D2525" i="2"/>
  <c r="D127" i="2"/>
  <c r="D5288" i="2"/>
  <c r="D1674" i="2"/>
  <c r="D5313" i="2"/>
  <c r="D4247" i="2"/>
  <c r="D5355" i="2"/>
  <c r="D3361" i="2"/>
  <c r="D3603" i="2"/>
  <c r="D3084" i="2"/>
  <c r="D3085" i="2"/>
  <c r="D927" i="2"/>
  <c r="D5023" i="2"/>
  <c r="D1281" i="2"/>
  <c r="D2899" i="2"/>
  <c r="D3086" i="2"/>
  <c r="D4909" i="2"/>
  <c r="D1715" i="2"/>
  <c r="D3215" i="2"/>
  <c r="D4230" i="2"/>
  <c r="D4020" i="2"/>
  <c r="D3358" i="2"/>
  <c r="D2205" i="2"/>
  <c r="D983" i="2"/>
  <c r="D3087" i="2"/>
  <c r="D4031" i="2"/>
  <c r="D4323" i="2"/>
  <c r="D2200" i="2"/>
  <c r="D2770" i="2"/>
  <c r="D5431" i="2"/>
  <c r="D355" i="2"/>
  <c r="D4330" i="2"/>
  <c r="D4734" i="2"/>
  <c r="D2534" i="2"/>
  <c r="D2087" i="2"/>
  <c r="D3088" i="2"/>
  <c r="D4023" i="2"/>
  <c r="D1984" i="2"/>
  <c r="D1976" i="2"/>
  <c r="D4494" i="2"/>
  <c r="D3089" i="2"/>
  <c r="D5582" i="2"/>
  <c r="D2321" i="2"/>
  <c r="D358" i="2"/>
  <c r="D4326" i="2"/>
  <c r="D1342" i="2"/>
  <c r="D3090" i="2"/>
  <c r="D2898" i="2"/>
  <c r="D2076" i="2"/>
  <c r="D2896" i="2"/>
  <c r="D2765" i="2"/>
  <c r="D2518" i="2"/>
  <c r="D3719" i="2"/>
  <c r="D1533" i="2"/>
  <c r="D5264" i="2"/>
  <c r="D71" i="2"/>
  <c r="D5602" i="2"/>
  <c r="D3952" i="2"/>
  <c r="D3091" i="2"/>
  <c r="D3618" i="2"/>
  <c r="D1955" i="2"/>
  <c r="D4522" i="2"/>
  <c r="D3092" i="2"/>
  <c r="D1688" i="2"/>
  <c r="D1239" i="2"/>
  <c r="D3223" i="2"/>
  <c r="D825" i="2"/>
  <c r="D3228" i="2"/>
  <c r="D4785" i="2"/>
  <c r="D653" i="2"/>
  <c r="D5786" i="2"/>
  <c r="D5586" i="2"/>
  <c r="D5074" i="2"/>
  <c r="D245" i="2"/>
  <c r="D2065" i="2"/>
  <c r="D2631" i="2"/>
  <c r="D1452" i="2"/>
  <c r="D5546" i="2"/>
  <c r="D2406" i="2"/>
  <c r="D5772" i="2"/>
  <c r="D3596" i="2"/>
  <c r="D5621" i="2"/>
  <c r="D4862" i="2"/>
  <c r="D3466" i="2"/>
  <c r="D1760" i="2"/>
  <c r="D4599" i="2"/>
  <c r="D615" i="2"/>
  <c r="D69" i="2"/>
  <c r="D1327" i="2"/>
  <c r="D1463" i="2"/>
  <c r="D1305" i="2"/>
  <c r="D4454" i="2"/>
  <c r="H5556" i="4" l="1"/>
  <c r="H5564" i="4"/>
  <c r="H5884" i="4"/>
  <c r="H5628" i="4"/>
  <c r="H6004" i="4"/>
  <c r="H5940" i="4"/>
  <c r="H5876" i="4"/>
  <c r="H5812" i="4"/>
  <c r="H5748" i="4"/>
  <c r="H5684" i="4"/>
  <c r="H5620" i="4"/>
  <c r="H9" i="4"/>
  <c r="H17" i="4"/>
  <c r="H25" i="4"/>
  <c r="H33" i="4"/>
  <c r="H41" i="4"/>
  <c r="H49" i="4"/>
  <c r="H57" i="4"/>
  <c r="H65" i="4"/>
  <c r="H73" i="4"/>
  <c r="H81" i="4"/>
  <c r="H89" i="4"/>
  <c r="H97" i="4"/>
  <c r="H105" i="4"/>
  <c r="H113" i="4"/>
  <c r="H121" i="4"/>
  <c r="H129" i="4"/>
  <c r="H137" i="4"/>
  <c r="H145" i="4"/>
  <c r="H153" i="4"/>
  <c r="H161" i="4"/>
  <c r="H169" i="4"/>
  <c r="H177" i="4"/>
  <c r="H185" i="4"/>
  <c r="H193" i="4"/>
  <c r="H201" i="4"/>
  <c r="H209" i="4"/>
  <c r="H217" i="4"/>
  <c r="H225" i="4"/>
  <c r="H233" i="4"/>
  <c r="H241" i="4"/>
  <c r="H249" i="4"/>
  <c r="H257" i="4"/>
  <c r="H265" i="4"/>
  <c r="H273" i="4"/>
  <c r="H281" i="4"/>
  <c r="H289" i="4"/>
  <c r="H297" i="4"/>
  <c r="H305" i="4"/>
  <c r="H313" i="4"/>
  <c r="H321" i="4"/>
  <c r="H329" i="4"/>
  <c r="H337" i="4"/>
  <c r="H345" i="4"/>
  <c r="H353" i="4"/>
  <c r="H10" i="4"/>
  <c r="H11" i="4"/>
  <c r="H19" i="4"/>
  <c r="H27" i="4"/>
  <c r="H35" i="4"/>
  <c r="H43" i="4"/>
  <c r="H51" i="4"/>
  <c r="H59" i="4"/>
  <c r="H67" i="4"/>
  <c r="H75" i="4"/>
  <c r="H83" i="4"/>
  <c r="H91" i="4"/>
  <c r="H99" i="4"/>
  <c r="H107" i="4"/>
  <c r="H115" i="4"/>
  <c r="H123" i="4"/>
  <c r="H131" i="4"/>
  <c r="H139" i="4"/>
  <c r="H147" i="4"/>
  <c r="H155" i="4"/>
  <c r="H163" i="4"/>
  <c r="H171" i="4"/>
  <c r="H179" i="4"/>
  <c r="H187" i="4"/>
  <c r="H195" i="4"/>
  <c r="H203" i="4"/>
  <c r="H211" i="4"/>
  <c r="H219" i="4"/>
  <c r="H227" i="4"/>
  <c r="H235" i="4"/>
  <c r="H243" i="4"/>
  <c r="H251" i="4"/>
  <c r="H259" i="4"/>
  <c r="H267" i="4"/>
  <c r="H275" i="4"/>
  <c r="H283" i="4"/>
  <c r="H291" i="4"/>
  <c r="H299" i="4"/>
  <c r="H12" i="4"/>
  <c r="H20" i="4"/>
  <c r="H28" i="4"/>
  <c r="H36" i="4"/>
  <c r="H44" i="4"/>
  <c r="H52" i="4"/>
  <c r="H60" i="4"/>
  <c r="H68" i="4"/>
  <c r="H76" i="4"/>
  <c r="H84" i="4"/>
  <c r="H92" i="4"/>
  <c r="H100" i="4"/>
  <c r="H108" i="4"/>
  <c r="H116" i="4"/>
  <c r="H124" i="4"/>
  <c r="H132" i="4"/>
  <c r="H140" i="4"/>
  <c r="H148" i="4"/>
  <c r="H156" i="4"/>
  <c r="H164" i="4"/>
  <c r="H172" i="4"/>
  <c r="H180" i="4"/>
  <c r="H188" i="4"/>
  <c r="H196" i="4"/>
  <c r="H204" i="4"/>
  <c r="H212" i="4"/>
  <c r="H220" i="4"/>
  <c r="H228" i="4"/>
  <c r="H236" i="4"/>
  <c r="H244" i="4"/>
  <c r="H252" i="4"/>
  <c r="H260" i="4"/>
  <c r="H268" i="4"/>
  <c r="H276" i="4"/>
  <c r="H284" i="4"/>
  <c r="H292" i="4"/>
  <c r="H300" i="4"/>
  <c r="H308" i="4"/>
  <c r="H316" i="4"/>
  <c r="H324" i="4"/>
  <c r="H332" i="4"/>
  <c r="H340" i="4"/>
  <c r="H348" i="4"/>
  <c r="H356" i="4"/>
  <c r="H364" i="4"/>
  <c r="H372" i="4"/>
  <c r="H380" i="4"/>
  <c r="H388" i="4"/>
  <c r="H396" i="4"/>
  <c r="H404" i="4"/>
  <c r="H412" i="4"/>
  <c r="H420" i="4"/>
  <c r="H428" i="4"/>
  <c r="H436" i="4"/>
  <c r="H444" i="4"/>
  <c r="H452" i="4"/>
  <c r="H460" i="4"/>
  <c r="H468" i="4"/>
  <c r="H476" i="4"/>
  <c r="H484" i="4"/>
  <c r="H492" i="4"/>
  <c r="H500" i="4"/>
  <c r="H508" i="4"/>
  <c r="H516" i="4"/>
  <c r="H524" i="4"/>
  <c r="H532" i="4"/>
  <c r="H540" i="4"/>
  <c r="H548" i="4"/>
  <c r="H556" i="4"/>
  <c r="H564" i="4"/>
  <c r="H572" i="4"/>
  <c r="H580" i="4"/>
  <c r="H588" i="4"/>
  <c r="H596" i="4"/>
  <c r="H604" i="4"/>
  <c r="H612" i="4"/>
  <c r="H620" i="4"/>
  <c r="H628" i="4"/>
  <c r="H636" i="4"/>
  <c r="H644" i="4"/>
  <c r="H652" i="4"/>
  <c r="H660" i="4"/>
  <c r="H668" i="4"/>
  <c r="H676" i="4"/>
  <c r="H684" i="4"/>
  <c r="H13" i="4"/>
  <c r="H21" i="4"/>
  <c r="H14" i="4"/>
  <c r="H22" i="4"/>
  <c r="H30" i="4"/>
  <c r="H38" i="4"/>
  <c r="H46" i="4"/>
  <c r="H54" i="4"/>
  <c r="H62" i="4"/>
  <c r="H70" i="4"/>
  <c r="H78" i="4"/>
  <c r="H86" i="4"/>
  <c r="H94" i="4"/>
  <c r="H102" i="4"/>
  <c r="H110" i="4"/>
  <c r="H118" i="4"/>
  <c r="H126" i="4"/>
  <c r="H134" i="4"/>
  <c r="H142" i="4"/>
  <c r="H150" i="4"/>
  <c r="H158" i="4"/>
  <c r="H166" i="4"/>
  <c r="H174" i="4"/>
  <c r="H182" i="4"/>
  <c r="H190" i="4"/>
  <c r="H198" i="4"/>
  <c r="H206" i="4"/>
  <c r="H214" i="4"/>
  <c r="H222" i="4"/>
  <c r="H230" i="4"/>
  <c r="H238" i="4"/>
  <c r="H15" i="4"/>
  <c r="H23" i="4"/>
  <c r="H31" i="4"/>
  <c r="H39" i="4"/>
  <c r="H47" i="4"/>
  <c r="H55" i="4"/>
  <c r="H63" i="4"/>
  <c r="H71" i="4"/>
  <c r="H79" i="4"/>
  <c r="H87" i="4"/>
  <c r="H95" i="4"/>
  <c r="H103" i="4"/>
  <c r="H111" i="4"/>
  <c r="H119" i="4"/>
  <c r="H127" i="4"/>
  <c r="H135" i="4"/>
  <c r="H143" i="4"/>
  <c r="H151" i="4"/>
  <c r="H159" i="4"/>
  <c r="H167" i="4"/>
  <c r="H175" i="4"/>
  <c r="H183" i="4"/>
  <c r="H191" i="4"/>
  <c r="H199" i="4"/>
  <c r="H207" i="4"/>
  <c r="H215" i="4"/>
  <c r="H223" i="4"/>
  <c r="H231" i="4"/>
  <c r="H239" i="4"/>
  <c r="H247" i="4"/>
  <c r="H255" i="4"/>
  <c r="H263" i="4"/>
  <c r="H271" i="4"/>
  <c r="H279" i="4"/>
  <c r="H287" i="4"/>
  <c r="H295" i="4"/>
  <c r="H303" i="4"/>
  <c r="H311" i="4"/>
  <c r="H319" i="4"/>
  <c r="H327" i="4"/>
  <c r="H335" i="4"/>
  <c r="H343" i="4"/>
  <c r="H351" i="4"/>
  <c r="H359" i="4"/>
  <c r="H367" i="4"/>
  <c r="H375" i="4"/>
  <c r="H383" i="4"/>
  <c r="H391" i="4"/>
  <c r="H399" i="4"/>
  <c r="H407" i="4"/>
  <c r="H16" i="4"/>
  <c r="H18" i="4"/>
  <c r="H42" i="4"/>
  <c r="H64" i="4"/>
  <c r="H85" i="4"/>
  <c r="H106" i="4"/>
  <c r="H128" i="4"/>
  <c r="H149" i="4"/>
  <c r="H170" i="4"/>
  <c r="H192" i="4"/>
  <c r="H213" i="4"/>
  <c r="H234" i="4"/>
  <c r="H253" i="4"/>
  <c r="H269" i="4"/>
  <c r="H285" i="4"/>
  <c r="H301" i="4"/>
  <c r="H314" i="4"/>
  <c r="H326" i="4"/>
  <c r="H339" i="4"/>
  <c r="H352" i="4"/>
  <c r="H363" i="4"/>
  <c r="H374" i="4"/>
  <c r="H385" i="4"/>
  <c r="H395" i="4"/>
  <c r="H406" i="4"/>
  <c r="H416" i="4"/>
  <c r="H24" i="4"/>
  <c r="H45" i="4"/>
  <c r="H66" i="4"/>
  <c r="H88" i="4"/>
  <c r="H109" i="4"/>
  <c r="H130" i="4"/>
  <c r="H152" i="4"/>
  <c r="H173" i="4"/>
  <c r="H194" i="4"/>
  <c r="H216" i="4"/>
  <c r="H237" i="4"/>
  <c r="H254" i="4"/>
  <c r="H270" i="4"/>
  <c r="H286" i="4"/>
  <c r="H302" i="4"/>
  <c r="H315" i="4"/>
  <c r="H328" i="4"/>
  <c r="H341" i="4"/>
  <c r="H354" i="4"/>
  <c r="H365" i="4"/>
  <c r="H26" i="4"/>
  <c r="H48" i="4"/>
  <c r="H69" i="4"/>
  <c r="H90" i="4"/>
  <c r="H112" i="4"/>
  <c r="H133" i="4"/>
  <c r="H154" i="4"/>
  <c r="H176" i="4"/>
  <c r="H197" i="4"/>
  <c r="H218" i="4"/>
  <c r="H240" i="4"/>
  <c r="H256" i="4"/>
  <c r="H272" i="4"/>
  <c r="H288" i="4"/>
  <c r="H304" i="4"/>
  <c r="H317" i="4"/>
  <c r="H330" i="4"/>
  <c r="H342" i="4"/>
  <c r="H355" i="4"/>
  <c r="H366" i="4"/>
  <c r="H377" i="4"/>
  <c r="H387" i="4"/>
  <c r="H398" i="4"/>
  <c r="H409" i="4"/>
  <c r="H418" i="4"/>
  <c r="H427" i="4"/>
  <c r="H437" i="4"/>
  <c r="H446" i="4"/>
  <c r="H455" i="4"/>
  <c r="H464" i="4"/>
  <c r="H473" i="4"/>
  <c r="H482" i="4"/>
  <c r="H491" i="4"/>
  <c r="H501" i="4"/>
  <c r="H510" i="4"/>
  <c r="H519" i="4"/>
  <c r="H528" i="4"/>
  <c r="H537" i="4"/>
  <c r="H546" i="4"/>
  <c r="H555" i="4"/>
  <c r="H565" i="4"/>
  <c r="H574" i="4"/>
  <c r="H583" i="4"/>
  <c r="H592" i="4"/>
  <c r="H601" i="4"/>
  <c r="H610" i="4"/>
  <c r="H619" i="4"/>
  <c r="H629" i="4"/>
  <c r="H638" i="4"/>
  <c r="H647" i="4"/>
  <c r="H656" i="4"/>
  <c r="H665" i="4"/>
  <c r="H674" i="4"/>
  <c r="H683" i="4"/>
  <c r="H692" i="4"/>
  <c r="H700" i="4"/>
  <c r="H708" i="4"/>
  <c r="H716" i="4"/>
  <c r="H724" i="4"/>
  <c r="H732" i="4"/>
  <c r="H740" i="4"/>
  <c r="H748" i="4"/>
  <c r="H756" i="4"/>
  <c r="H764" i="4"/>
  <c r="H772" i="4"/>
  <c r="H780" i="4"/>
  <c r="H788" i="4"/>
  <c r="H796" i="4"/>
  <c r="H804" i="4"/>
  <c r="H812" i="4"/>
  <c r="H820" i="4"/>
  <c r="H828" i="4"/>
  <c r="H836" i="4"/>
  <c r="H844" i="4"/>
  <c r="H852" i="4"/>
  <c r="H860" i="4"/>
  <c r="H868" i="4"/>
  <c r="H876" i="4"/>
  <c r="H884" i="4"/>
  <c r="H892" i="4"/>
  <c r="H900" i="4"/>
  <c r="H908" i="4"/>
  <c r="H916" i="4"/>
  <c r="H924" i="4"/>
  <c r="H932" i="4"/>
  <c r="H29" i="4"/>
  <c r="H50" i="4"/>
  <c r="H72" i="4"/>
  <c r="H93" i="4"/>
  <c r="H114" i="4"/>
  <c r="H136" i="4"/>
  <c r="H157" i="4"/>
  <c r="H178" i="4"/>
  <c r="H200" i="4"/>
  <c r="H221" i="4"/>
  <c r="H242" i="4"/>
  <c r="H258" i="4"/>
  <c r="H274" i="4"/>
  <c r="H290" i="4"/>
  <c r="H306" i="4"/>
  <c r="H318" i="4"/>
  <c r="H331" i="4"/>
  <c r="H344" i="4"/>
  <c r="H357" i="4"/>
  <c r="H368" i="4"/>
  <c r="H378" i="4"/>
  <c r="H389" i="4"/>
  <c r="H400" i="4"/>
  <c r="H410" i="4"/>
  <c r="H419" i="4"/>
  <c r="H429" i="4"/>
  <c r="H438" i="4"/>
  <c r="H447" i="4"/>
  <c r="H456" i="4"/>
  <c r="H465" i="4"/>
  <c r="H474" i="4"/>
  <c r="H483" i="4"/>
  <c r="H493" i="4"/>
  <c r="H502" i="4"/>
  <c r="H511" i="4"/>
  <c r="H520" i="4"/>
  <c r="H529" i="4"/>
  <c r="H538" i="4"/>
  <c r="H547" i="4"/>
  <c r="H557" i="4"/>
  <c r="H566" i="4"/>
  <c r="H575" i="4"/>
  <c r="H584" i="4"/>
  <c r="H593" i="4"/>
  <c r="H602" i="4"/>
  <c r="H611" i="4"/>
  <c r="H621" i="4"/>
  <c r="H630" i="4"/>
  <c r="H639" i="4"/>
  <c r="H648" i="4"/>
  <c r="H657" i="4"/>
  <c r="H666" i="4"/>
  <c r="H675" i="4"/>
  <c r="H685" i="4"/>
  <c r="H693" i="4"/>
  <c r="H701" i="4"/>
  <c r="H709" i="4"/>
  <c r="H717" i="4"/>
  <c r="H725" i="4"/>
  <c r="H733" i="4"/>
  <c r="H741" i="4"/>
  <c r="H749" i="4"/>
  <c r="H757" i="4"/>
  <c r="H765" i="4"/>
  <c r="H773" i="4"/>
  <c r="H781" i="4"/>
  <c r="H789" i="4"/>
  <c r="H797" i="4"/>
  <c r="H805" i="4"/>
  <c r="H813" i="4"/>
  <c r="H821" i="4"/>
  <c r="H829" i="4"/>
  <c r="H837" i="4"/>
  <c r="H845" i="4"/>
  <c r="H853" i="4"/>
  <c r="H861" i="4"/>
  <c r="H869" i="4"/>
  <c r="H877" i="4"/>
  <c r="H885" i="4"/>
  <c r="H893" i="4"/>
  <c r="H901" i="4"/>
  <c r="H909" i="4"/>
  <c r="H917" i="4"/>
  <c r="H925" i="4"/>
  <c r="H933" i="4"/>
  <c r="H32" i="4"/>
  <c r="H53" i="4"/>
  <c r="H74" i="4"/>
  <c r="H96" i="4"/>
  <c r="H117" i="4"/>
  <c r="H138" i="4"/>
  <c r="H160" i="4"/>
  <c r="H181" i="4"/>
  <c r="H202" i="4"/>
  <c r="H224" i="4"/>
  <c r="H245" i="4"/>
  <c r="H261" i="4"/>
  <c r="H277" i="4"/>
  <c r="H293" i="4"/>
  <c r="H307" i="4"/>
  <c r="H320" i="4"/>
  <c r="H333" i="4"/>
  <c r="H346" i="4"/>
  <c r="H358" i="4"/>
  <c r="H369" i="4"/>
  <c r="H379" i="4"/>
  <c r="H390" i="4"/>
  <c r="H401" i="4"/>
  <c r="H411" i="4"/>
  <c r="H421" i="4"/>
  <c r="H430" i="4"/>
  <c r="H439" i="4"/>
  <c r="H448" i="4"/>
  <c r="H457" i="4"/>
  <c r="H466" i="4"/>
  <c r="H475" i="4"/>
  <c r="H485" i="4"/>
  <c r="H494" i="4"/>
  <c r="H503" i="4"/>
  <c r="H512" i="4"/>
  <c r="H521" i="4"/>
  <c r="H530" i="4"/>
  <c r="H539" i="4"/>
  <c r="H549" i="4"/>
  <c r="H558" i="4"/>
  <c r="H567" i="4"/>
  <c r="H576" i="4"/>
  <c r="H585" i="4"/>
  <c r="H594" i="4"/>
  <c r="H603" i="4"/>
  <c r="H613" i="4"/>
  <c r="H622" i="4"/>
  <c r="H631" i="4"/>
  <c r="H640" i="4"/>
  <c r="H649" i="4"/>
  <c r="H658" i="4"/>
  <c r="H667" i="4"/>
  <c r="H677" i="4"/>
  <c r="H686" i="4"/>
  <c r="H694" i="4"/>
  <c r="H702" i="4"/>
  <c r="H710" i="4"/>
  <c r="H718" i="4"/>
  <c r="H726" i="4"/>
  <c r="H734" i="4"/>
  <c r="H742" i="4"/>
  <c r="H750" i="4"/>
  <c r="H758" i="4"/>
  <c r="H766" i="4"/>
  <c r="H774" i="4"/>
  <c r="H782" i="4"/>
  <c r="H790" i="4"/>
  <c r="H798" i="4"/>
  <c r="H806" i="4"/>
  <c r="H814" i="4"/>
  <c r="H822" i="4"/>
  <c r="H830" i="4"/>
  <c r="H838" i="4"/>
  <c r="H846" i="4"/>
  <c r="H854" i="4"/>
  <c r="H862" i="4"/>
  <c r="H870" i="4"/>
  <c r="H878" i="4"/>
  <c r="H886" i="4"/>
  <c r="H894" i="4"/>
  <c r="H902" i="4"/>
  <c r="H910" i="4"/>
  <c r="H918" i="4"/>
  <c r="H926" i="4"/>
  <c r="H934" i="4"/>
  <c r="H34" i="4"/>
  <c r="H82" i="4"/>
  <c r="H144" i="4"/>
  <c r="H205" i="4"/>
  <c r="H250" i="4"/>
  <c r="H296" i="4"/>
  <c r="H334" i="4"/>
  <c r="H362" i="4"/>
  <c r="H386" i="4"/>
  <c r="H408" i="4"/>
  <c r="H425" i="4"/>
  <c r="H441" i="4"/>
  <c r="H454" i="4"/>
  <c r="H470" i="4"/>
  <c r="H486" i="4"/>
  <c r="H498" i="4"/>
  <c r="H514" i="4"/>
  <c r="H527" i="4"/>
  <c r="H543" i="4"/>
  <c r="H559" i="4"/>
  <c r="H571" i="4"/>
  <c r="H587" i="4"/>
  <c r="H600" i="4"/>
  <c r="H616" i="4"/>
  <c r="H632" i="4"/>
  <c r="H645" i="4"/>
  <c r="H661" i="4"/>
  <c r="H673" i="4"/>
  <c r="H689" i="4"/>
  <c r="H703" i="4"/>
  <c r="H714" i="4"/>
  <c r="H728" i="4"/>
  <c r="H739" i="4"/>
  <c r="H753" i="4"/>
  <c r="H767" i="4"/>
  <c r="H778" i="4"/>
  <c r="H792" i="4"/>
  <c r="H803" i="4"/>
  <c r="H817" i="4"/>
  <c r="H831" i="4"/>
  <c r="H842" i="4"/>
  <c r="H856" i="4"/>
  <c r="H867" i="4"/>
  <c r="H881" i="4"/>
  <c r="H895" i="4"/>
  <c r="H906" i="4"/>
  <c r="H920" i="4"/>
  <c r="H931" i="4"/>
  <c r="H942" i="4"/>
  <c r="H950" i="4"/>
  <c r="H958" i="4"/>
  <c r="H966" i="4"/>
  <c r="H974" i="4"/>
  <c r="H982" i="4"/>
  <c r="H990" i="4"/>
  <c r="H998" i="4"/>
  <c r="H1006" i="4"/>
  <c r="H1014" i="4"/>
  <c r="H1022" i="4"/>
  <c r="H1030" i="4"/>
  <c r="H1038" i="4"/>
  <c r="H1046" i="4"/>
  <c r="H1054" i="4"/>
  <c r="H1062" i="4"/>
  <c r="H1070" i="4"/>
  <c r="H1078" i="4"/>
  <c r="H1086" i="4"/>
  <c r="H1094" i="4"/>
  <c r="H1102" i="4"/>
  <c r="H1110" i="4"/>
  <c r="H1118" i="4"/>
  <c r="H1126" i="4"/>
  <c r="H1134" i="4"/>
  <c r="H1142" i="4"/>
  <c r="H1150" i="4"/>
  <c r="H1158" i="4"/>
  <c r="H1166" i="4"/>
  <c r="H1174" i="4"/>
  <c r="H1182" i="4"/>
  <c r="H1190" i="4"/>
  <c r="H1198" i="4"/>
  <c r="H1206" i="4"/>
  <c r="H1214" i="4"/>
  <c r="H1222" i="4"/>
  <c r="H1230" i="4"/>
  <c r="H40" i="4"/>
  <c r="H101" i="4"/>
  <c r="H162" i="4"/>
  <c r="H210" i="4"/>
  <c r="H264" i="4"/>
  <c r="H309" i="4"/>
  <c r="H338" i="4"/>
  <c r="H371" i="4"/>
  <c r="H393" i="4"/>
  <c r="H414" i="4"/>
  <c r="H431" i="4"/>
  <c r="H443" i="4"/>
  <c r="H459" i="4"/>
  <c r="H472" i="4"/>
  <c r="H488" i="4"/>
  <c r="H504" i="4"/>
  <c r="H517" i="4"/>
  <c r="H533" i="4"/>
  <c r="H545" i="4"/>
  <c r="H561" i="4"/>
  <c r="H577" i="4"/>
  <c r="H590" i="4"/>
  <c r="H606" i="4"/>
  <c r="H618" i="4"/>
  <c r="H634" i="4"/>
  <c r="H650" i="4"/>
  <c r="H663" i="4"/>
  <c r="H679" i="4"/>
  <c r="H691" i="4"/>
  <c r="H705" i="4"/>
  <c r="H719" i="4"/>
  <c r="H730" i="4"/>
  <c r="H744" i="4"/>
  <c r="H755" i="4"/>
  <c r="H769" i="4"/>
  <c r="H783" i="4"/>
  <c r="H794" i="4"/>
  <c r="H808" i="4"/>
  <c r="H819" i="4"/>
  <c r="H833" i="4"/>
  <c r="H847" i="4"/>
  <c r="H858" i="4"/>
  <c r="H872" i="4"/>
  <c r="H883" i="4"/>
  <c r="H897" i="4"/>
  <c r="H911" i="4"/>
  <c r="H922" i="4"/>
  <c r="H936" i="4"/>
  <c r="H944" i="4"/>
  <c r="H952" i="4"/>
  <c r="H960" i="4"/>
  <c r="H968" i="4"/>
  <c r="H976" i="4"/>
  <c r="H984" i="4"/>
  <c r="H992" i="4"/>
  <c r="H1000" i="4"/>
  <c r="H1008" i="4"/>
  <c r="H1016" i="4"/>
  <c r="H1024" i="4"/>
  <c r="H1032" i="4"/>
  <c r="H1040" i="4"/>
  <c r="H1048" i="4"/>
  <c r="H1056" i="4"/>
  <c r="H1064" i="4"/>
  <c r="H1072" i="4"/>
  <c r="H1080" i="4"/>
  <c r="H1088" i="4"/>
  <c r="H1096" i="4"/>
  <c r="H1104" i="4"/>
  <c r="H1112" i="4"/>
  <c r="H1120" i="4"/>
  <c r="H1128" i="4"/>
  <c r="H1136" i="4"/>
  <c r="H1144" i="4"/>
  <c r="H1152" i="4"/>
  <c r="H1160" i="4"/>
  <c r="H1168" i="4"/>
  <c r="H1176" i="4"/>
  <c r="H1184" i="4"/>
  <c r="H1192" i="4"/>
  <c r="H1200" i="4"/>
  <c r="H1208" i="4"/>
  <c r="H1216" i="4"/>
  <c r="H1224" i="4"/>
  <c r="H1232" i="4"/>
  <c r="H1240" i="4"/>
  <c r="H1248" i="4"/>
  <c r="H1256" i="4"/>
  <c r="H1264" i="4"/>
  <c r="H1272" i="4"/>
  <c r="H1280" i="4"/>
  <c r="H1288" i="4"/>
  <c r="H1296" i="4"/>
  <c r="H1304" i="4"/>
  <c r="H1312" i="4"/>
  <c r="H1320" i="4"/>
  <c r="H1328" i="4"/>
  <c r="H1336" i="4"/>
  <c r="H1344" i="4"/>
  <c r="H1352" i="4"/>
  <c r="H1360" i="4"/>
  <c r="H1368" i="4"/>
  <c r="H1376" i="4"/>
  <c r="H1384" i="4"/>
  <c r="H1392" i="4"/>
  <c r="H1400" i="4"/>
  <c r="H1408" i="4"/>
  <c r="H1416" i="4"/>
  <c r="H1424" i="4"/>
  <c r="H56" i="4"/>
  <c r="H104" i="4"/>
  <c r="H165" i="4"/>
  <c r="H226" i="4"/>
  <c r="H266" i="4"/>
  <c r="H310" i="4"/>
  <c r="H347" i="4"/>
  <c r="H373" i="4"/>
  <c r="H394" i="4"/>
  <c r="H415" i="4"/>
  <c r="H432" i="4"/>
  <c r="H445" i="4"/>
  <c r="H461" i="4"/>
  <c r="H477" i="4"/>
  <c r="H489" i="4"/>
  <c r="H505" i="4"/>
  <c r="H518" i="4"/>
  <c r="H534" i="4"/>
  <c r="H550" i="4"/>
  <c r="H562" i="4"/>
  <c r="H578" i="4"/>
  <c r="H591" i="4"/>
  <c r="H607" i="4"/>
  <c r="H623" i="4"/>
  <c r="H635" i="4"/>
  <c r="H651" i="4"/>
  <c r="H664" i="4"/>
  <c r="H680" i="4"/>
  <c r="H695" i="4"/>
  <c r="H706" i="4"/>
  <c r="H720" i="4"/>
  <c r="H731" i="4"/>
  <c r="H745" i="4"/>
  <c r="H759" i="4"/>
  <c r="H770" i="4"/>
  <c r="H784" i="4"/>
  <c r="H795" i="4"/>
  <c r="H809" i="4"/>
  <c r="H823" i="4"/>
  <c r="H834" i="4"/>
  <c r="H848" i="4"/>
  <c r="H859" i="4"/>
  <c r="H873" i="4"/>
  <c r="H887" i="4"/>
  <c r="H898" i="4"/>
  <c r="H912" i="4"/>
  <c r="H923" i="4"/>
  <c r="H937" i="4"/>
  <c r="H945" i="4"/>
  <c r="H953" i="4"/>
  <c r="H961" i="4"/>
  <c r="H969" i="4"/>
  <c r="H977" i="4"/>
  <c r="H985" i="4"/>
  <c r="H993" i="4"/>
  <c r="H1001" i="4"/>
  <c r="H1009" i="4"/>
  <c r="H1017" i="4"/>
  <c r="H1025" i="4"/>
  <c r="H1033" i="4"/>
  <c r="H1041" i="4"/>
  <c r="H1049" i="4"/>
  <c r="H1057" i="4"/>
  <c r="H1065" i="4"/>
  <c r="H1073" i="4"/>
  <c r="H1081" i="4"/>
  <c r="H1089" i="4"/>
  <c r="H1097" i="4"/>
  <c r="H1105" i="4"/>
  <c r="H1113" i="4"/>
  <c r="H1121" i="4"/>
  <c r="H1129" i="4"/>
  <c r="H1137" i="4"/>
  <c r="H1145" i="4"/>
  <c r="H1153" i="4"/>
  <c r="H1161" i="4"/>
  <c r="H1169" i="4"/>
  <c r="H1177" i="4"/>
  <c r="H1185" i="4"/>
  <c r="H1193" i="4"/>
  <c r="H1201" i="4"/>
  <c r="H58" i="4"/>
  <c r="H120" i="4"/>
  <c r="H168" i="4"/>
  <c r="H229" i="4"/>
  <c r="H278" i="4"/>
  <c r="H312" i="4"/>
  <c r="H349" i="4"/>
  <c r="H376" i="4"/>
  <c r="H397" i="4"/>
  <c r="H417" i="4"/>
  <c r="H433" i="4"/>
  <c r="H449" i="4"/>
  <c r="H462" i="4"/>
  <c r="H478" i="4"/>
  <c r="H490" i="4"/>
  <c r="H506" i="4"/>
  <c r="H522" i="4"/>
  <c r="H535" i="4"/>
  <c r="H551" i="4"/>
  <c r="H563" i="4"/>
  <c r="H579" i="4"/>
  <c r="H595" i="4"/>
  <c r="H608" i="4"/>
  <c r="H624" i="4"/>
  <c r="H637" i="4"/>
  <c r="H653" i="4"/>
  <c r="H669" i="4"/>
  <c r="H681" i="4"/>
  <c r="H696" i="4"/>
  <c r="H707" i="4"/>
  <c r="H721" i="4"/>
  <c r="H735" i="4"/>
  <c r="H746" i="4"/>
  <c r="H760" i="4"/>
  <c r="H771" i="4"/>
  <c r="H785" i="4"/>
  <c r="H799" i="4"/>
  <c r="H810" i="4"/>
  <c r="H824" i="4"/>
  <c r="H835" i="4"/>
  <c r="H849" i="4"/>
  <c r="H863" i="4"/>
  <c r="H874" i="4"/>
  <c r="H888" i="4"/>
  <c r="H899" i="4"/>
  <c r="H913" i="4"/>
  <c r="H927" i="4"/>
  <c r="H938" i="4"/>
  <c r="H946" i="4"/>
  <c r="H954" i="4"/>
  <c r="H962" i="4"/>
  <c r="H970" i="4"/>
  <c r="H978" i="4"/>
  <c r="H986" i="4"/>
  <c r="H994" i="4"/>
  <c r="H1002" i="4"/>
  <c r="H1010" i="4"/>
  <c r="H1018" i="4"/>
  <c r="H1026" i="4"/>
  <c r="H1034" i="4"/>
  <c r="H1042" i="4"/>
  <c r="H1050" i="4"/>
  <c r="H1058" i="4"/>
  <c r="H1066" i="4"/>
  <c r="H1074" i="4"/>
  <c r="H1082" i="4"/>
  <c r="H1090" i="4"/>
  <c r="H1098" i="4"/>
  <c r="H1106" i="4"/>
  <c r="H1114" i="4"/>
  <c r="H1122" i="4"/>
  <c r="H1130" i="4"/>
  <c r="H1138" i="4"/>
  <c r="H1146" i="4"/>
  <c r="H1154" i="4"/>
  <c r="H1162" i="4"/>
  <c r="H1170" i="4"/>
  <c r="H1178" i="4"/>
  <c r="H1186" i="4"/>
  <c r="H1194" i="4"/>
  <c r="H1202" i="4"/>
  <c r="H1210" i="4"/>
  <c r="H1218" i="4"/>
  <c r="H1226" i="4"/>
  <c r="H1234" i="4"/>
  <c r="H61" i="4"/>
  <c r="H122" i="4"/>
  <c r="H184" i="4"/>
  <c r="H232" i="4"/>
  <c r="H280" i="4"/>
  <c r="H322" i="4"/>
  <c r="H350" i="4"/>
  <c r="H381" i="4"/>
  <c r="H402" i="4"/>
  <c r="H422" i="4"/>
  <c r="H434" i="4"/>
  <c r="H450" i="4"/>
  <c r="H463" i="4"/>
  <c r="H479" i="4"/>
  <c r="H495" i="4"/>
  <c r="H507" i="4"/>
  <c r="H523" i="4"/>
  <c r="H536" i="4"/>
  <c r="H552" i="4"/>
  <c r="H568" i="4"/>
  <c r="H581" i="4"/>
  <c r="H597" i="4"/>
  <c r="H609" i="4"/>
  <c r="H625" i="4"/>
  <c r="H641" i="4"/>
  <c r="H654" i="4"/>
  <c r="H670" i="4"/>
  <c r="H682" i="4"/>
  <c r="H697" i="4"/>
  <c r="H711" i="4"/>
  <c r="H722" i="4"/>
  <c r="H736" i="4"/>
  <c r="H747" i="4"/>
  <c r="H761" i="4"/>
  <c r="H775" i="4"/>
  <c r="H786" i="4"/>
  <c r="H800" i="4"/>
  <c r="H811" i="4"/>
  <c r="H825" i="4"/>
  <c r="H839" i="4"/>
  <c r="H850" i="4"/>
  <c r="H864" i="4"/>
  <c r="H875" i="4"/>
  <c r="H889" i="4"/>
  <c r="H903" i="4"/>
  <c r="H914" i="4"/>
  <c r="H928" i="4"/>
  <c r="H939" i="4"/>
  <c r="H947" i="4"/>
  <c r="H955" i="4"/>
  <c r="H963" i="4"/>
  <c r="H971" i="4"/>
  <c r="H979" i="4"/>
  <c r="H987" i="4"/>
  <c r="H995" i="4"/>
  <c r="H1003" i="4"/>
  <c r="H1011" i="4"/>
  <c r="H1019" i="4"/>
  <c r="H1027" i="4"/>
  <c r="H1035" i="4"/>
  <c r="H1043" i="4"/>
  <c r="H1051" i="4"/>
  <c r="H1059" i="4"/>
  <c r="H1067" i="4"/>
  <c r="H1075" i="4"/>
  <c r="H1083" i="4"/>
  <c r="H1091" i="4"/>
  <c r="H1099" i="4"/>
  <c r="H1107" i="4"/>
  <c r="H1115" i="4"/>
  <c r="H1123" i="4"/>
  <c r="H1131" i="4"/>
  <c r="H1139" i="4"/>
  <c r="H1147" i="4"/>
  <c r="H1155" i="4"/>
  <c r="H1163" i="4"/>
  <c r="H1171" i="4"/>
  <c r="H1179" i="4"/>
  <c r="H1187" i="4"/>
  <c r="H1195" i="4"/>
  <c r="H1203" i="4"/>
  <c r="H37" i="4"/>
  <c r="H189" i="4"/>
  <c r="H323" i="4"/>
  <c r="H392" i="4"/>
  <c r="H440" i="4"/>
  <c r="H480" i="4"/>
  <c r="H515" i="4"/>
  <c r="H554" i="4"/>
  <c r="H598" i="4"/>
  <c r="H633" i="4"/>
  <c r="H672" i="4"/>
  <c r="H712" i="4"/>
  <c r="H743" i="4"/>
  <c r="H777" i="4"/>
  <c r="H815" i="4"/>
  <c r="H843" i="4"/>
  <c r="H880" i="4"/>
  <c r="H915" i="4"/>
  <c r="H943" i="4"/>
  <c r="H965" i="4"/>
  <c r="H988" i="4"/>
  <c r="H1007" i="4"/>
  <c r="H1029" i="4"/>
  <c r="H1052" i="4"/>
  <c r="H1071" i="4"/>
  <c r="H1093" i="4"/>
  <c r="H1116" i="4"/>
  <c r="H1135" i="4"/>
  <c r="H1157" i="4"/>
  <c r="H1180" i="4"/>
  <c r="H1199" i="4"/>
  <c r="H1215" i="4"/>
  <c r="H1228" i="4"/>
  <c r="H1239" i="4"/>
  <c r="H1249" i="4"/>
  <c r="H1258" i="4"/>
  <c r="H1267" i="4"/>
  <c r="H1276" i="4"/>
  <c r="H1285" i="4"/>
  <c r="H1294" i="4"/>
  <c r="H1303" i="4"/>
  <c r="H1313" i="4"/>
  <c r="H1322" i="4"/>
  <c r="H1331" i="4"/>
  <c r="H1340" i="4"/>
  <c r="H1349" i="4"/>
  <c r="H1358" i="4"/>
  <c r="H1367" i="4"/>
  <c r="H1377" i="4"/>
  <c r="H1386" i="4"/>
  <c r="H1395" i="4"/>
  <c r="H1404" i="4"/>
  <c r="H1413" i="4"/>
  <c r="H1422" i="4"/>
  <c r="H1431" i="4"/>
  <c r="H1439" i="4"/>
  <c r="H1447" i="4"/>
  <c r="H1455" i="4"/>
  <c r="H1463" i="4"/>
  <c r="H1471" i="4"/>
  <c r="H1479" i="4"/>
  <c r="H1487" i="4"/>
  <c r="H1495" i="4"/>
  <c r="H1503" i="4"/>
  <c r="H1511" i="4"/>
  <c r="H1519" i="4"/>
  <c r="H1527" i="4"/>
  <c r="H1535" i="4"/>
  <c r="H1543" i="4"/>
  <c r="H1551" i="4"/>
  <c r="H1559" i="4"/>
  <c r="H1567" i="4"/>
  <c r="H1575" i="4"/>
  <c r="H1583" i="4"/>
  <c r="H1591" i="4"/>
  <c r="H1599" i="4"/>
  <c r="H1607" i="4"/>
  <c r="H1615" i="4"/>
  <c r="H1623" i="4"/>
  <c r="H1631" i="4"/>
  <c r="H1639" i="4"/>
  <c r="H1647" i="4"/>
  <c r="H1655" i="4"/>
  <c r="H1663" i="4"/>
  <c r="H1671" i="4"/>
  <c r="H1679" i="4"/>
  <c r="H1687" i="4"/>
  <c r="H1695" i="4"/>
  <c r="H1703" i="4"/>
  <c r="H1711" i="4"/>
  <c r="H1719" i="4"/>
  <c r="H1727" i="4"/>
  <c r="H1735" i="4"/>
  <c r="H1743" i="4"/>
  <c r="H1751" i="4"/>
  <c r="H1759" i="4"/>
  <c r="H1767" i="4"/>
  <c r="H1775" i="4"/>
  <c r="H1783" i="4"/>
  <c r="H1791" i="4"/>
  <c r="H1799" i="4"/>
  <c r="H1807" i="4"/>
  <c r="H1815" i="4"/>
  <c r="H1823" i="4"/>
  <c r="H1831" i="4"/>
  <c r="H1839" i="4"/>
  <c r="H1847" i="4"/>
  <c r="H1855" i="4"/>
  <c r="H1863" i="4"/>
  <c r="H1871" i="4"/>
  <c r="H1879" i="4"/>
  <c r="H1887" i="4"/>
  <c r="H1895" i="4"/>
  <c r="H1903" i="4"/>
  <c r="H1911" i="4"/>
  <c r="H1919" i="4"/>
  <c r="H1927" i="4"/>
  <c r="H1935" i="4"/>
  <c r="H1943" i="4"/>
  <c r="H1951" i="4"/>
  <c r="H1959" i="4"/>
  <c r="H1967" i="4"/>
  <c r="H1975" i="4"/>
  <c r="H1983" i="4"/>
  <c r="H1991" i="4"/>
  <c r="H1999" i="4"/>
  <c r="H2007" i="4"/>
  <c r="H2015" i="4"/>
  <c r="H2023" i="4"/>
  <c r="H2031" i="4"/>
  <c r="H2039" i="4"/>
  <c r="H2047" i="4"/>
  <c r="H2055" i="4"/>
  <c r="H2063" i="4"/>
  <c r="H2071" i="4"/>
  <c r="H2079" i="4"/>
  <c r="H2087" i="4"/>
  <c r="H2095" i="4"/>
  <c r="H2103" i="4"/>
  <c r="H2111" i="4"/>
  <c r="H2119" i="4"/>
  <c r="H2127" i="4"/>
  <c r="H2135" i="4"/>
  <c r="H2143" i="4"/>
  <c r="H2151" i="4"/>
  <c r="H2159" i="4"/>
  <c r="H2167" i="4"/>
  <c r="H2175" i="4"/>
  <c r="H2183" i="4"/>
  <c r="H2191" i="4"/>
  <c r="H2199" i="4"/>
  <c r="H2207" i="4"/>
  <c r="H2215" i="4"/>
  <c r="H2223" i="4"/>
  <c r="H2231" i="4"/>
  <c r="H2239" i="4"/>
  <c r="H2247" i="4"/>
  <c r="H77" i="4"/>
  <c r="H208" i="4"/>
  <c r="H325" i="4"/>
  <c r="H403" i="4"/>
  <c r="H442" i="4"/>
  <c r="H481" i="4"/>
  <c r="H525" i="4"/>
  <c r="H560" i="4"/>
  <c r="H599" i="4"/>
  <c r="H642" i="4"/>
  <c r="H678" i="4"/>
  <c r="H713" i="4"/>
  <c r="H751" i="4"/>
  <c r="H779" i="4"/>
  <c r="H816" i="4"/>
  <c r="H851" i="4"/>
  <c r="H882" i="4"/>
  <c r="H919" i="4"/>
  <c r="H948" i="4"/>
  <c r="H967" i="4"/>
  <c r="H989" i="4"/>
  <c r="H1012" i="4"/>
  <c r="H1031" i="4"/>
  <c r="H1053" i="4"/>
  <c r="H1076" i="4"/>
  <c r="H1095" i="4"/>
  <c r="H1117" i="4"/>
  <c r="H1140" i="4"/>
  <c r="H1159" i="4"/>
  <c r="H1181" i="4"/>
  <c r="H1204" i="4"/>
  <c r="H1217" i="4"/>
  <c r="H1229" i="4"/>
  <c r="H1241" i="4"/>
  <c r="H1250" i="4"/>
  <c r="H1259" i="4"/>
  <c r="H1268" i="4"/>
  <c r="H1277" i="4"/>
  <c r="H1286" i="4"/>
  <c r="H1295" i="4"/>
  <c r="H1305" i="4"/>
  <c r="H1314" i="4"/>
  <c r="H1323" i="4"/>
  <c r="H1332" i="4"/>
  <c r="H1341" i="4"/>
  <c r="H1350" i="4"/>
  <c r="H1359" i="4"/>
  <c r="H1369" i="4"/>
  <c r="H1378" i="4"/>
  <c r="H1387" i="4"/>
  <c r="H1396" i="4"/>
  <c r="H1405" i="4"/>
  <c r="H1414" i="4"/>
  <c r="H1423" i="4"/>
  <c r="H1432" i="4"/>
  <c r="H1440" i="4"/>
  <c r="H1448" i="4"/>
  <c r="H1456" i="4"/>
  <c r="H1464" i="4"/>
  <c r="H1472" i="4"/>
  <c r="H1480" i="4"/>
  <c r="H1488" i="4"/>
  <c r="H1496" i="4"/>
  <c r="H1504" i="4"/>
  <c r="H1512" i="4"/>
  <c r="H1520" i="4"/>
  <c r="H1528" i="4"/>
  <c r="H80" i="4"/>
  <c r="H246" i="4"/>
  <c r="H336" i="4"/>
  <c r="H405" i="4"/>
  <c r="H451" i="4"/>
  <c r="H487" i="4"/>
  <c r="H526" i="4"/>
  <c r="H569" i="4"/>
  <c r="H605" i="4"/>
  <c r="H643" i="4"/>
  <c r="H687" i="4"/>
  <c r="H715" i="4"/>
  <c r="H752" i="4"/>
  <c r="H787" i="4"/>
  <c r="H818" i="4"/>
  <c r="H855" i="4"/>
  <c r="H890" i="4"/>
  <c r="H921" i="4"/>
  <c r="H949" i="4"/>
  <c r="H972" i="4"/>
  <c r="H991" i="4"/>
  <c r="H1013" i="4"/>
  <c r="H1036" i="4"/>
  <c r="H1055" i="4"/>
  <c r="H1077" i="4"/>
  <c r="H1100" i="4"/>
  <c r="H1119" i="4"/>
  <c r="H1141" i="4"/>
  <c r="H1164" i="4"/>
  <c r="H1183" i="4"/>
  <c r="H1205" i="4"/>
  <c r="H1219" i="4"/>
  <c r="H1231" i="4"/>
  <c r="H1242" i="4"/>
  <c r="H1251" i="4"/>
  <c r="H1260" i="4"/>
  <c r="H1269" i="4"/>
  <c r="H1278" i="4"/>
  <c r="H1287" i="4"/>
  <c r="H1297" i="4"/>
  <c r="H1306" i="4"/>
  <c r="H1315" i="4"/>
  <c r="H1324" i="4"/>
  <c r="H1333" i="4"/>
  <c r="H1342" i="4"/>
  <c r="H1351" i="4"/>
  <c r="H1361" i="4"/>
  <c r="H1370" i="4"/>
  <c r="H1379" i="4"/>
  <c r="H1388" i="4"/>
  <c r="H1397" i="4"/>
  <c r="H1406" i="4"/>
  <c r="H1415" i="4"/>
  <c r="H1425" i="4"/>
  <c r="H1433" i="4"/>
  <c r="H1441" i="4"/>
  <c r="H1449" i="4"/>
  <c r="H1457" i="4"/>
  <c r="H1465" i="4"/>
  <c r="H1473" i="4"/>
  <c r="H1481" i="4"/>
  <c r="H1489" i="4"/>
  <c r="H1497" i="4"/>
  <c r="H1505" i="4"/>
  <c r="H1513" i="4"/>
  <c r="H1521" i="4"/>
  <c r="H1529" i="4"/>
  <c r="H1537" i="4"/>
  <c r="H1545" i="4"/>
  <c r="H1553" i="4"/>
  <c r="H1561" i="4"/>
  <c r="H1569" i="4"/>
  <c r="H1577" i="4"/>
  <c r="H1585" i="4"/>
  <c r="H1593" i="4"/>
  <c r="H1601" i="4"/>
  <c r="H1609" i="4"/>
  <c r="H1617" i="4"/>
  <c r="H1625" i="4"/>
  <c r="H1633" i="4"/>
  <c r="H1641" i="4"/>
  <c r="H1649" i="4"/>
  <c r="H1657" i="4"/>
  <c r="H1665" i="4"/>
  <c r="H1673" i="4"/>
  <c r="H1681" i="4"/>
  <c r="H1689" i="4"/>
  <c r="H1697" i="4"/>
  <c r="H1705" i="4"/>
  <c r="H1713" i="4"/>
  <c r="H1721" i="4"/>
  <c r="H1729" i="4"/>
  <c r="H1737" i="4"/>
  <c r="H1745" i="4"/>
  <c r="H1753" i="4"/>
  <c r="H1761" i="4"/>
  <c r="H1769" i="4"/>
  <c r="H1777" i="4"/>
  <c r="H1785" i="4"/>
  <c r="H1793" i="4"/>
  <c r="H1801" i="4"/>
  <c r="H1809" i="4"/>
  <c r="H98" i="4"/>
  <c r="H248" i="4"/>
  <c r="H360" i="4"/>
  <c r="H413" i="4"/>
  <c r="H453" i="4"/>
  <c r="H496" i="4"/>
  <c r="H531" i="4"/>
  <c r="H570" i="4"/>
  <c r="H614" i="4"/>
  <c r="H646" i="4"/>
  <c r="H688" i="4"/>
  <c r="H723" i="4"/>
  <c r="H754" i="4"/>
  <c r="H791" i="4"/>
  <c r="H826" i="4"/>
  <c r="H857" i="4"/>
  <c r="H891" i="4"/>
  <c r="H929" i="4"/>
  <c r="H951" i="4"/>
  <c r="H973" i="4"/>
  <c r="H996" i="4"/>
  <c r="H1015" i="4"/>
  <c r="H1037" i="4"/>
  <c r="H1060" i="4"/>
  <c r="H1079" i="4"/>
  <c r="H1101" i="4"/>
  <c r="H1124" i="4"/>
  <c r="H1143" i="4"/>
  <c r="H1165" i="4"/>
  <c r="H1188" i="4"/>
  <c r="H1207" i="4"/>
  <c r="H1220" i="4"/>
  <c r="H1233" i="4"/>
  <c r="H1243" i="4"/>
  <c r="H1252" i="4"/>
  <c r="H1261" i="4"/>
  <c r="H1270" i="4"/>
  <c r="H1279" i="4"/>
  <c r="H1289" i="4"/>
  <c r="H1298" i="4"/>
  <c r="H1307" i="4"/>
  <c r="H1316" i="4"/>
  <c r="H1325" i="4"/>
  <c r="H1334" i="4"/>
  <c r="H1343" i="4"/>
  <c r="H1353" i="4"/>
  <c r="H1362" i="4"/>
  <c r="H1371" i="4"/>
  <c r="H1380" i="4"/>
  <c r="H1389" i="4"/>
  <c r="H1398" i="4"/>
  <c r="H1407" i="4"/>
  <c r="H1417" i="4"/>
  <c r="H1426" i="4"/>
  <c r="H1434" i="4"/>
  <c r="H1442" i="4"/>
  <c r="H1450" i="4"/>
  <c r="H1458" i="4"/>
  <c r="H1466" i="4"/>
  <c r="H1474" i="4"/>
  <c r="H1482" i="4"/>
  <c r="H1490" i="4"/>
  <c r="H1498" i="4"/>
  <c r="H1506" i="4"/>
  <c r="H1514" i="4"/>
  <c r="H1522" i="4"/>
  <c r="H1530" i="4"/>
  <c r="H1538" i="4"/>
  <c r="H1546" i="4"/>
  <c r="H1554" i="4"/>
  <c r="H1562" i="4"/>
  <c r="H1570" i="4"/>
  <c r="H1578" i="4"/>
  <c r="H1586" i="4"/>
  <c r="H1594" i="4"/>
  <c r="H1602" i="4"/>
  <c r="H1610" i="4"/>
  <c r="H1618" i="4"/>
  <c r="H1626" i="4"/>
  <c r="H1634" i="4"/>
  <c r="H1642" i="4"/>
  <c r="H1650" i="4"/>
  <c r="H1658" i="4"/>
  <c r="H1666" i="4"/>
  <c r="H1674" i="4"/>
  <c r="H1682" i="4"/>
  <c r="H1690" i="4"/>
  <c r="H1698" i="4"/>
  <c r="H1706" i="4"/>
  <c r="H1714" i="4"/>
  <c r="H1722" i="4"/>
  <c r="H1730" i="4"/>
  <c r="H1738" i="4"/>
  <c r="H1746" i="4"/>
  <c r="H1754" i="4"/>
  <c r="H1762" i="4"/>
  <c r="H1770" i="4"/>
  <c r="H1778" i="4"/>
  <c r="H1786" i="4"/>
  <c r="H1794" i="4"/>
  <c r="H1802" i="4"/>
  <c r="H1810" i="4"/>
  <c r="H1818" i="4"/>
  <c r="H1826" i="4"/>
  <c r="H1834" i="4"/>
  <c r="H1842" i="4"/>
  <c r="H1850" i="4"/>
  <c r="H1858" i="4"/>
  <c r="H125" i="4"/>
  <c r="H262" i="4"/>
  <c r="H361" i="4"/>
  <c r="H423" i="4"/>
  <c r="H458" i="4"/>
  <c r="H497" i="4"/>
  <c r="H541" i="4"/>
  <c r="H573" i="4"/>
  <c r="H615" i="4"/>
  <c r="H655" i="4"/>
  <c r="H690" i="4"/>
  <c r="H727" i="4"/>
  <c r="H762" i="4"/>
  <c r="H793" i="4"/>
  <c r="H827" i="4"/>
  <c r="H865" i="4"/>
  <c r="H896" i="4"/>
  <c r="H930" i="4"/>
  <c r="H956" i="4"/>
  <c r="H975" i="4"/>
  <c r="H997" i="4"/>
  <c r="H1020" i="4"/>
  <c r="H1039" i="4"/>
  <c r="H1061" i="4"/>
  <c r="H1084" i="4"/>
  <c r="H1103" i="4"/>
  <c r="H1125" i="4"/>
  <c r="H1148" i="4"/>
  <c r="H1167" i="4"/>
  <c r="H1189" i="4"/>
  <c r="H1209" i="4"/>
  <c r="H1221" i="4"/>
  <c r="H1235" i="4"/>
  <c r="H1244" i="4"/>
  <c r="H1253" i="4"/>
  <c r="H1262" i="4"/>
  <c r="H1271" i="4"/>
  <c r="H1281" i="4"/>
  <c r="H1290" i="4"/>
  <c r="H1299" i="4"/>
  <c r="H1308" i="4"/>
  <c r="H1317" i="4"/>
  <c r="H1326" i="4"/>
  <c r="H1335" i="4"/>
  <c r="H1345" i="4"/>
  <c r="H1354" i="4"/>
  <c r="H1363" i="4"/>
  <c r="H1372" i="4"/>
  <c r="H1381" i="4"/>
  <c r="H1390" i="4"/>
  <c r="H1399" i="4"/>
  <c r="H1409" i="4"/>
  <c r="H1418" i="4"/>
  <c r="H1427" i="4"/>
  <c r="H1435" i="4"/>
  <c r="H1443" i="4"/>
  <c r="H1451" i="4"/>
  <c r="H1459" i="4"/>
  <c r="H1467" i="4"/>
  <c r="H1475" i="4"/>
  <c r="H1483" i="4"/>
  <c r="H1491" i="4"/>
  <c r="H1499" i="4"/>
  <c r="H1507" i="4"/>
  <c r="H1515" i="4"/>
  <c r="H1523" i="4"/>
  <c r="H1531" i="4"/>
  <c r="H1539" i="4"/>
  <c r="H1547" i="4"/>
  <c r="H1555" i="4"/>
  <c r="H1563" i="4"/>
  <c r="H1571" i="4"/>
  <c r="H1579" i="4"/>
  <c r="H1587" i="4"/>
  <c r="H1595" i="4"/>
  <c r="H1603" i="4"/>
  <c r="H1611" i="4"/>
  <c r="H1619" i="4"/>
  <c r="H1627" i="4"/>
  <c r="H1635" i="4"/>
  <c r="H1643" i="4"/>
  <c r="H1651" i="4"/>
  <c r="H1659" i="4"/>
  <c r="H1667" i="4"/>
  <c r="H1675" i="4"/>
  <c r="H141" i="4"/>
  <c r="H282" i="4"/>
  <c r="H370" i="4"/>
  <c r="H424" i="4"/>
  <c r="H467" i="4"/>
  <c r="H499" i="4"/>
  <c r="H542" i="4"/>
  <c r="H582" i="4"/>
  <c r="H617" i="4"/>
  <c r="H659" i="4"/>
  <c r="H698" i="4"/>
  <c r="H729" i="4"/>
  <c r="H763" i="4"/>
  <c r="H801" i="4"/>
  <c r="H832" i="4"/>
  <c r="H866" i="4"/>
  <c r="H904" i="4"/>
  <c r="H935" i="4"/>
  <c r="H957" i="4"/>
  <c r="H980" i="4"/>
  <c r="H999" i="4"/>
  <c r="H1021" i="4"/>
  <c r="H1044" i="4"/>
  <c r="H1063" i="4"/>
  <c r="H1085" i="4"/>
  <c r="H1108" i="4"/>
  <c r="H1127" i="4"/>
  <c r="H1149" i="4"/>
  <c r="H1172" i="4"/>
  <c r="H1191" i="4"/>
  <c r="H1211" i="4"/>
  <c r="H1223" i="4"/>
  <c r="H1236" i="4"/>
  <c r="H1245" i="4"/>
  <c r="H1254" i="4"/>
  <c r="H1263" i="4"/>
  <c r="H1273" i="4"/>
  <c r="H1282" i="4"/>
  <c r="H1291" i="4"/>
  <c r="H1300" i="4"/>
  <c r="H1309" i="4"/>
  <c r="H1318" i="4"/>
  <c r="H1327" i="4"/>
  <c r="H1337" i="4"/>
  <c r="H1346" i="4"/>
  <c r="H1355" i="4"/>
  <c r="H1364" i="4"/>
  <c r="H1373" i="4"/>
  <c r="H1382" i="4"/>
  <c r="H1391" i="4"/>
  <c r="H1401" i="4"/>
  <c r="H1410" i="4"/>
  <c r="H1419" i="4"/>
  <c r="H1428" i="4"/>
  <c r="H1436" i="4"/>
  <c r="H1444" i="4"/>
  <c r="H1452" i="4"/>
  <c r="H146" i="4"/>
  <c r="H294" i="4"/>
  <c r="H382" i="4"/>
  <c r="H426" i="4"/>
  <c r="H469" i="4"/>
  <c r="H509" i="4"/>
  <c r="H544" i="4"/>
  <c r="H586" i="4"/>
  <c r="H626" i="4"/>
  <c r="H662" i="4"/>
  <c r="H699" i="4"/>
  <c r="H737" i="4"/>
  <c r="H768" i="4"/>
  <c r="H802" i="4"/>
  <c r="H840" i="4"/>
  <c r="H871" i="4"/>
  <c r="H905" i="4"/>
  <c r="H940" i="4"/>
  <c r="H959" i="4"/>
  <c r="H981" i="4"/>
  <c r="H1004" i="4"/>
  <c r="H1023" i="4"/>
  <c r="H1045" i="4"/>
  <c r="H1068" i="4"/>
  <c r="H186" i="4"/>
  <c r="H627" i="4"/>
  <c r="H907" i="4"/>
  <c r="H1087" i="4"/>
  <c r="H1173" i="4"/>
  <c r="H1237" i="4"/>
  <c r="H1274" i="4"/>
  <c r="H1310" i="4"/>
  <c r="H1347" i="4"/>
  <c r="H1383" i="4"/>
  <c r="H1420" i="4"/>
  <c r="H1453" i="4"/>
  <c r="H1476" i="4"/>
  <c r="H1494" i="4"/>
  <c r="H1517" i="4"/>
  <c r="H1536" i="4"/>
  <c r="H1552" i="4"/>
  <c r="H1568" i="4"/>
  <c r="H1584" i="4"/>
  <c r="H1600" i="4"/>
  <c r="H1616" i="4"/>
  <c r="H1632" i="4"/>
  <c r="H1648" i="4"/>
  <c r="H1664" i="4"/>
  <c r="H1680" i="4"/>
  <c r="H1693" i="4"/>
  <c r="H1707" i="4"/>
  <c r="H1718" i="4"/>
  <c r="H1732" i="4"/>
  <c r="H1744" i="4"/>
  <c r="H1757" i="4"/>
  <c r="H1771" i="4"/>
  <c r="H1782" i="4"/>
  <c r="H1796" i="4"/>
  <c r="H1808" i="4"/>
  <c r="H1820" i="4"/>
  <c r="H1830" i="4"/>
  <c r="H1841" i="4"/>
  <c r="H1852" i="4"/>
  <c r="H1862" i="4"/>
  <c r="H1872" i="4"/>
  <c r="H1881" i="4"/>
  <c r="H1890" i="4"/>
  <c r="H1899" i="4"/>
  <c r="H1908" i="4"/>
  <c r="H1917" i="4"/>
  <c r="H1926" i="4"/>
  <c r="H1936" i="4"/>
  <c r="H1945" i="4"/>
  <c r="H1954" i="4"/>
  <c r="H1963" i="4"/>
  <c r="H1972" i="4"/>
  <c r="H1981" i="4"/>
  <c r="H1990" i="4"/>
  <c r="H2000" i="4"/>
  <c r="H2009" i="4"/>
  <c r="H2018" i="4"/>
  <c r="H2027" i="4"/>
  <c r="H2036" i="4"/>
  <c r="H2045" i="4"/>
  <c r="H2054" i="4"/>
  <c r="H2064" i="4"/>
  <c r="H2073" i="4"/>
  <c r="H2082" i="4"/>
  <c r="H2091" i="4"/>
  <c r="H2100" i="4"/>
  <c r="H2109" i="4"/>
  <c r="H2118" i="4"/>
  <c r="H2128" i="4"/>
  <c r="H2137" i="4"/>
  <c r="H2146" i="4"/>
  <c r="H2155" i="4"/>
  <c r="H2164" i="4"/>
  <c r="H2173" i="4"/>
  <c r="H2182" i="4"/>
  <c r="H2192" i="4"/>
  <c r="H2201" i="4"/>
  <c r="H2210" i="4"/>
  <c r="H2219" i="4"/>
  <c r="H2228" i="4"/>
  <c r="H2237" i="4"/>
  <c r="H2246" i="4"/>
  <c r="H2255" i="4"/>
  <c r="H2263" i="4"/>
  <c r="H2271" i="4"/>
  <c r="H2279" i="4"/>
  <c r="H2287" i="4"/>
  <c r="H2295" i="4"/>
  <c r="H2303" i="4"/>
  <c r="H2311" i="4"/>
  <c r="H2319" i="4"/>
  <c r="H2327" i="4"/>
  <c r="H2335" i="4"/>
  <c r="H2343" i="4"/>
  <c r="H2351" i="4"/>
  <c r="H2359" i="4"/>
  <c r="H2367" i="4"/>
  <c r="H2375" i="4"/>
  <c r="H2383" i="4"/>
  <c r="H2391" i="4"/>
  <c r="H2399" i="4"/>
  <c r="H2407" i="4"/>
  <c r="H2415" i="4"/>
  <c r="H2423" i="4"/>
  <c r="H2431" i="4"/>
  <c r="H2439" i="4"/>
  <c r="H2447" i="4"/>
  <c r="H2455" i="4"/>
  <c r="H2463" i="4"/>
  <c r="H2471" i="4"/>
  <c r="H2479" i="4"/>
  <c r="H2487" i="4"/>
  <c r="H2495" i="4"/>
  <c r="H2503" i="4"/>
  <c r="H2511" i="4"/>
  <c r="H2519" i="4"/>
  <c r="H2527" i="4"/>
  <c r="H2535" i="4"/>
  <c r="H2543" i="4"/>
  <c r="H2551" i="4"/>
  <c r="H298" i="4"/>
  <c r="H671" i="4"/>
  <c r="H941" i="4"/>
  <c r="H1092" i="4"/>
  <c r="H1175" i="4"/>
  <c r="H1238" i="4"/>
  <c r="H1275" i="4"/>
  <c r="H1311" i="4"/>
  <c r="H1348" i="4"/>
  <c r="H1385" i="4"/>
  <c r="H1421" i="4"/>
  <c r="H1454" i="4"/>
  <c r="H1477" i="4"/>
  <c r="H1500" i="4"/>
  <c r="H1518" i="4"/>
  <c r="H1540" i="4"/>
  <c r="H1556" i="4"/>
  <c r="H1572" i="4"/>
  <c r="H1588" i="4"/>
  <c r="H1604" i="4"/>
  <c r="H1620" i="4"/>
  <c r="H1636" i="4"/>
  <c r="H1652" i="4"/>
  <c r="H1668" i="4"/>
  <c r="H1683" i="4"/>
  <c r="H1694" i="4"/>
  <c r="H1708" i="4"/>
  <c r="H1720" i="4"/>
  <c r="H1733" i="4"/>
  <c r="H1747" i="4"/>
  <c r="H1758" i="4"/>
  <c r="H1772" i="4"/>
  <c r="H1784" i="4"/>
  <c r="H1797" i="4"/>
  <c r="H1811" i="4"/>
  <c r="H1821" i="4"/>
  <c r="H1832" i="4"/>
  <c r="H1843" i="4"/>
  <c r="H1853" i="4"/>
  <c r="H1864" i="4"/>
  <c r="H1873" i="4"/>
  <c r="H1882" i="4"/>
  <c r="H1891" i="4"/>
  <c r="H1900" i="4"/>
  <c r="H1909" i="4"/>
  <c r="H1918" i="4"/>
  <c r="H1928" i="4"/>
  <c r="H1937" i="4"/>
  <c r="H1946" i="4"/>
  <c r="H1955" i="4"/>
  <c r="H1964" i="4"/>
  <c r="H1973" i="4"/>
  <c r="H1982" i="4"/>
  <c r="H1992" i="4"/>
  <c r="H2001" i="4"/>
  <c r="H2010" i="4"/>
  <c r="H2019" i="4"/>
  <c r="H2028" i="4"/>
  <c r="H2037" i="4"/>
  <c r="H2046" i="4"/>
  <c r="H2056" i="4"/>
  <c r="H2065" i="4"/>
  <c r="H2074" i="4"/>
  <c r="H2083" i="4"/>
  <c r="H2092" i="4"/>
  <c r="H2101" i="4"/>
  <c r="H2110" i="4"/>
  <c r="H2120" i="4"/>
  <c r="H2129" i="4"/>
  <c r="H2138" i="4"/>
  <c r="H2147" i="4"/>
  <c r="H2156" i="4"/>
  <c r="H2165" i="4"/>
  <c r="H2174" i="4"/>
  <c r="H2184" i="4"/>
  <c r="H2193" i="4"/>
  <c r="H2202" i="4"/>
  <c r="H2211" i="4"/>
  <c r="H2220" i="4"/>
  <c r="H2229" i="4"/>
  <c r="H2238" i="4"/>
  <c r="H2248" i="4"/>
  <c r="H2256" i="4"/>
  <c r="H2264" i="4"/>
  <c r="H2272" i="4"/>
  <c r="H384" i="4"/>
  <c r="H704" i="4"/>
  <c r="H964" i="4"/>
  <c r="H1109" i="4"/>
  <c r="H1196" i="4"/>
  <c r="H1246" i="4"/>
  <c r="H1283" i="4"/>
  <c r="H1319" i="4"/>
  <c r="H1356" i="4"/>
  <c r="H1393" i="4"/>
  <c r="H1429" i="4"/>
  <c r="H1460" i="4"/>
  <c r="H1478" i="4"/>
  <c r="H1501" i="4"/>
  <c r="H1524" i="4"/>
  <c r="H1541" i="4"/>
  <c r="H1557" i="4"/>
  <c r="H1573" i="4"/>
  <c r="H1589" i="4"/>
  <c r="H1605" i="4"/>
  <c r="H1621" i="4"/>
  <c r="H1637" i="4"/>
  <c r="H1653" i="4"/>
  <c r="H1669" i="4"/>
  <c r="H1684" i="4"/>
  <c r="H1696" i="4"/>
  <c r="H1709" i="4"/>
  <c r="H1723" i="4"/>
  <c r="H1734" i="4"/>
  <c r="H1748" i="4"/>
  <c r="H1760" i="4"/>
  <c r="H1773" i="4"/>
  <c r="H1787" i="4"/>
  <c r="H1798" i="4"/>
  <c r="H1812" i="4"/>
  <c r="H1822" i="4"/>
  <c r="H1833" i="4"/>
  <c r="H1844" i="4"/>
  <c r="H1854" i="4"/>
  <c r="H1865" i="4"/>
  <c r="H1874" i="4"/>
  <c r="H1883" i="4"/>
  <c r="H1892" i="4"/>
  <c r="H1901" i="4"/>
  <c r="H1910" i="4"/>
  <c r="H1920" i="4"/>
  <c r="H1929" i="4"/>
  <c r="H1938" i="4"/>
  <c r="H1947" i="4"/>
  <c r="H1956" i="4"/>
  <c r="H1965" i="4"/>
  <c r="H1974" i="4"/>
  <c r="H1984" i="4"/>
  <c r="H1993" i="4"/>
  <c r="H2002" i="4"/>
  <c r="H2011" i="4"/>
  <c r="H2020" i="4"/>
  <c r="H2029" i="4"/>
  <c r="H2038" i="4"/>
  <c r="H2048" i="4"/>
  <c r="H2057" i="4"/>
  <c r="H2066" i="4"/>
  <c r="H2075" i="4"/>
  <c r="H2084" i="4"/>
  <c r="H2093" i="4"/>
  <c r="H2102" i="4"/>
  <c r="H2112" i="4"/>
  <c r="H2121" i="4"/>
  <c r="H2130" i="4"/>
  <c r="H2139" i="4"/>
  <c r="H2148" i="4"/>
  <c r="H2157" i="4"/>
  <c r="H2166" i="4"/>
  <c r="H2176" i="4"/>
  <c r="H2185" i="4"/>
  <c r="H2194" i="4"/>
  <c r="H2203" i="4"/>
  <c r="H2212" i="4"/>
  <c r="H2221" i="4"/>
  <c r="H2230" i="4"/>
  <c r="H2240" i="4"/>
  <c r="H2249" i="4"/>
  <c r="H2257" i="4"/>
  <c r="H2265" i="4"/>
  <c r="H2273" i="4"/>
  <c r="H2281" i="4"/>
  <c r="H2289" i="4"/>
  <c r="H2297" i="4"/>
  <c r="H2305" i="4"/>
  <c r="H2313" i="4"/>
  <c r="H2321" i="4"/>
  <c r="H2329" i="4"/>
  <c r="H2337" i="4"/>
  <c r="H435" i="4"/>
  <c r="H738" i="4"/>
  <c r="H983" i="4"/>
  <c r="H1111" i="4"/>
  <c r="H1197" i="4"/>
  <c r="H1247" i="4"/>
  <c r="H1284" i="4"/>
  <c r="H1321" i="4"/>
  <c r="H1357" i="4"/>
  <c r="H1394" i="4"/>
  <c r="H1430" i="4"/>
  <c r="H1461" i="4"/>
  <c r="H1484" i="4"/>
  <c r="H1502" i="4"/>
  <c r="H1525" i="4"/>
  <c r="H1542" i="4"/>
  <c r="H1558" i="4"/>
  <c r="H1574" i="4"/>
  <c r="H1590" i="4"/>
  <c r="H1606" i="4"/>
  <c r="H1622" i="4"/>
  <c r="H1638" i="4"/>
  <c r="H1654" i="4"/>
  <c r="H1670" i="4"/>
  <c r="H1685" i="4"/>
  <c r="H1699" i="4"/>
  <c r="H1710" i="4"/>
  <c r="H1724" i="4"/>
  <c r="H1736" i="4"/>
  <c r="H1749" i="4"/>
  <c r="H1763" i="4"/>
  <c r="H1774" i="4"/>
  <c r="H1788" i="4"/>
  <c r="H1800" i="4"/>
  <c r="H1813" i="4"/>
  <c r="H1824" i="4"/>
  <c r="H1835" i="4"/>
  <c r="H1845" i="4"/>
  <c r="H1856" i="4"/>
  <c r="H1866" i="4"/>
  <c r="H1875" i="4"/>
  <c r="H1884" i="4"/>
  <c r="H1893" i="4"/>
  <c r="H1902" i="4"/>
  <c r="H1912" i="4"/>
  <c r="H1921" i="4"/>
  <c r="H1930" i="4"/>
  <c r="H1939" i="4"/>
  <c r="H1948" i="4"/>
  <c r="H1957" i="4"/>
  <c r="H1966" i="4"/>
  <c r="H1976" i="4"/>
  <c r="H1985" i="4"/>
  <c r="H1994" i="4"/>
  <c r="H2003" i="4"/>
  <c r="H2012" i="4"/>
  <c r="H2021" i="4"/>
  <c r="H2030" i="4"/>
  <c r="H2040" i="4"/>
  <c r="H2049" i="4"/>
  <c r="H2058" i="4"/>
  <c r="H2067" i="4"/>
  <c r="H2076" i="4"/>
  <c r="H2085" i="4"/>
  <c r="H2094" i="4"/>
  <c r="H2104" i="4"/>
  <c r="H2113" i="4"/>
  <c r="H2122" i="4"/>
  <c r="H2131" i="4"/>
  <c r="H2140" i="4"/>
  <c r="H2149" i="4"/>
  <c r="H2158" i="4"/>
  <c r="H2168" i="4"/>
  <c r="H2177" i="4"/>
  <c r="H471" i="4"/>
  <c r="H776" i="4"/>
  <c r="H1005" i="4"/>
  <c r="H1132" i="4"/>
  <c r="H1212" i="4"/>
  <c r="H1255" i="4"/>
  <c r="H1292" i="4"/>
  <c r="H1329" i="4"/>
  <c r="H1365" i="4"/>
  <c r="H1402" i="4"/>
  <c r="H1437" i="4"/>
  <c r="H1462" i="4"/>
  <c r="H1485" i="4"/>
  <c r="H1508" i="4"/>
  <c r="H1526" i="4"/>
  <c r="H1544" i="4"/>
  <c r="H1560" i="4"/>
  <c r="H1576" i="4"/>
  <c r="H1592" i="4"/>
  <c r="H1608" i="4"/>
  <c r="H1624" i="4"/>
  <c r="H1640" i="4"/>
  <c r="H1656" i="4"/>
  <c r="H1672" i="4"/>
  <c r="H1686" i="4"/>
  <c r="H1700" i="4"/>
  <c r="H1712" i="4"/>
  <c r="H1725" i="4"/>
  <c r="H1739" i="4"/>
  <c r="H1750" i="4"/>
  <c r="H1764" i="4"/>
  <c r="H1776" i="4"/>
  <c r="H1789" i="4"/>
  <c r="H1803" i="4"/>
  <c r="H1814" i="4"/>
  <c r="H1825" i="4"/>
  <c r="H1836" i="4"/>
  <c r="H1846" i="4"/>
  <c r="H1857" i="4"/>
  <c r="H1867" i="4"/>
  <c r="H1876" i="4"/>
  <c r="H1885" i="4"/>
  <c r="H1894" i="4"/>
  <c r="H1904" i="4"/>
  <c r="H1913" i="4"/>
  <c r="H1922" i="4"/>
  <c r="H1931" i="4"/>
  <c r="H1940" i="4"/>
  <c r="H1949" i="4"/>
  <c r="H1958" i="4"/>
  <c r="H1968" i="4"/>
  <c r="H1977" i="4"/>
  <c r="H1986" i="4"/>
  <c r="H1995" i="4"/>
  <c r="H2004" i="4"/>
  <c r="H2013" i="4"/>
  <c r="H2022" i="4"/>
  <c r="H2032" i="4"/>
  <c r="H2041" i="4"/>
  <c r="H2050" i="4"/>
  <c r="H2059" i="4"/>
  <c r="H2068" i="4"/>
  <c r="H2077" i="4"/>
  <c r="H2086" i="4"/>
  <c r="H2096" i="4"/>
  <c r="H2105" i="4"/>
  <c r="H2114" i="4"/>
  <c r="H2123" i="4"/>
  <c r="H2132" i="4"/>
  <c r="H2141" i="4"/>
  <c r="H2150" i="4"/>
  <c r="H2160" i="4"/>
  <c r="H2169" i="4"/>
  <c r="H2178" i="4"/>
  <c r="H2187" i="4"/>
  <c r="H2196" i="4"/>
  <c r="H2205" i="4"/>
  <c r="H2214" i="4"/>
  <c r="H2224" i="4"/>
  <c r="H2233" i="4"/>
  <c r="H2242" i="4"/>
  <c r="H2251" i="4"/>
  <c r="H2259" i="4"/>
  <c r="H2267" i="4"/>
  <c r="H2275" i="4"/>
  <c r="H2283" i="4"/>
  <c r="H2291" i="4"/>
  <c r="H2299" i="4"/>
  <c r="H2307" i="4"/>
  <c r="H2315" i="4"/>
  <c r="H2323" i="4"/>
  <c r="H2331" i="4"/>
  <c r="H2339" i="4"/>
  <c r="H2347" i="4"/>
  <c r="H2355" i="4"/>
  <c r="H2363" i="4"/>
  <c r="H2371" i="4"/>
  <c r="H2379" i="4"/>
  <c r="H2387" i="4"/>
  <c r="H2395" i="4"/>
  <c r="H2403" i="4"/>
  <c r="H2411" i="4"/>
  <c r="H2419" i="4"/>
  <c r="H513" i="4"/>
  <c r="H807" i="4"/>
  <c r="H1028" i="4"/>
  <c r="H1133" i="4"/>
  <c r="H1213" i="4"/>
  <c r="H1257" i="4"/>
  <c r="H1293" i="4"/>
  <c r="H1330" i="4"/>
  <c r="H1366" i="4"/>
  <c r="H1403" i="4"/>
  <c r="H1438" i="4"/>
  <c r="H553" i="4"/>
  <c r="H1225" i="4"/>
  <c r="H1374" i="4"/>
  <c r="H1470" i="4"/>
  <c r="H1533" i="4"/>
  <c r="H1580" i="4"/>
  <c r="H1614" i="4"/>
  <c r="H1661" i="4"/>
  <c r="H1701" i="4"/>
  <c r="H1731" i="4"/>
  <c r="H1766" i="4"/>
  <c r="H1804" i="4"/>
  <c r="H1829" i="4"/>
  <c r="H1860" i="4"/>
  <c r="H1886" i="4"/>
  <c r="H1907" i="4"/>
  <c r="H1933" i="4"/>
  <c r="H1960" i="4"/>
  <c r="H1980" i="4"/>
  <c r="H2006" i="4"/>
  <c r="H2033" i="4"/>
  <c r="H2053" i="4"/>
  <c r="H2080" i="4"/>
  <c r="H2106" i="4"/>
  <c r="H2126" i="4"/>
  <c r="H2153" i="4"/>
  <c r="H2179" i="4"/>
  <c r="H2197" i="4"/>
  <c r="H2216" i="4"/>
  <c r="H2234" i="4"/>
  <c r="H2252" i="4"/>
  <c r="H2268" i="4"/>
  <c r="H2282" i="4"/>
  <c r="H2294" i="4"/>
  <c r="H2308" i="4"/>
  <c r="H2320" i="4"/>
  <c r="H2333" i="4"/>
  <c r="H2345" i="4"/>
  <c r="H2356" i="4"/>
  <c r="H2366" i="4"/>
  <c r="H2377" i="4"/>
  <c r="H2388" i="4"/>
  <c r="H2398" i="4"/>
  <c r="H2409" i="4"/>
  <c r="H2420" i="4"/>
  <c r="H2429" i="4"/>
  <c r="H2438" i="4"/>
  <c r="H2448" i="4"/>
  <c r="H2457" i="4"/>
  <c r="H2466" i="4"/>
  <c r="H2475" i="4"/>
  <c r="H2484" i="4"/>
  <c r="H2493" i="4"/>
  <c r="H2502" i="4"/>
  <c r="H2512" i="4"/>
  <c r="H2521" i="4"/>
  <c r="H2530" i="4"/>
  <c r="H2539" i="4"/>
  <c r="H2548" i="4"/>
  <c r="H2557" i="4"/>
  <c r="H2565" i="4"/>
  <c r="H2573" i="4"/>
  <c r="H2581" i="4"/>
  <c r="H2589" i="4"/>
  <c r="H2597" i="4"/>
  <c r="H2605" i="4"/>
  <c r="H2613" i="4"/>
  <c r="H2621" i="4"/>
  <c r="H2629" i="4"/>
  <c r="H2637" i="4"/>
  <c r="H2645" i="4"/>
  <c r="H2653" i="4"/>
  <c r="H2661" i="4"/>
  <c r="H2669" i="4"/>
  <c r="H2677" i="4"/>
  <c r="H2685" i="4"/>
  <c r="H2693" i="4"/>
  <c r="H2701" i="4"/>
  <c r="H2709" i="4"/>
  <c r="H2717" i="4"/>
  <c r="H2725" i="4"/>
  <c r="H2733" i="4"/>
  <c r="H2741" i="4"/>
  <c r="H2749" i="4"/>
  <c r="H2757" i="4"/>
  <c r="H2765" i="4"/>
  <c r="H2773" i="4"/>
  <c r="H2781" i="4"/>
  <c r="H2789" i="4"/>
  <c r="H2797" i="4"/>
  <c r="H2805" i="4"/>
  <c r="H2813" i="4"/>
  <c r="H2821" i="4"/>
  <c r="H2829" i="4"/>
  <c r="H2837" i="4"/>
  <c r="H2845" i="4"/>
  <c r="H2853" i="4"/>
  <c r="H2861" i="4"/>
  <c r="H2869" i="4"/>
  <c r="H2877" i="4"/>
  <c r="H2885" i="4"/>
  <c r="H2893" i="4"/>
  <c r="H2901" i="4"/>
  <c r="H2909" i="4"/>
  <c r="H2917" i="4"/>
  <c r="H2925" i="4"/>
  <c r="H2933" i="4"/>
  <c r="H2941" i="4"/>
  <c r="H2949" i="4"/>
  <c r="H2957" i="4"/>
  <c r="H2965" i="4"/>
  <c r="H2973" i="4"/>
  <c r="H2981" i="4"/>
  <c r="H2989" i="4"/>
  <c r="H2997" i="4"/>
  <c r="H3005" i="4"/>
  <c r="H3013" i="4"/>
  <c r="H3021" i="4"/>
  <c r="H3029" i="4"/>
  <c r="H3037" i="4"/>
  <c r="H3045" i="4"/>
  <c r="H3053" i="4"/>
  <c r="H589" i="4"/>
  <c r="H1227" i="4"/>
  <c r="H1375" i="4"/>
  <c r="H1486" i="4"/>
  <c r="H1534" i="4"/>
  <c r="H1581" i="4"/>
  <c r="H1628" i="4"/>
  <c r="H1662" i="4"/>
  <c r="H1702" i="4"/>
  <c r="H1740" i="4"/>
  <c r="H1768" i="4"/>
  <c r="H1805" i="4"/>
  <c r="H1837" i="4"/>
  <c r="H1861" i="4"/>
  <c r="H1888" i="4"/>
  <c r="H1914" i="4"/>
  <c r="H1934" i="4"/>
  <c r="H1961" i="4"/>
  <c r="H1987" i="4"/>
  <c r="H2008" i="4"/>
  <c r="H2034" i="4"/>
  <c r="H2060" i="4"/>
  <c r="H2081" i="4"/>
  <c r="H2107" i="4"/>
  <c r="H2133" i="4"/>
  <c r="H2154" i="4"/>
  <c r="H2180" i="4"/>
  <c r="H2198" i="4"/>
  <c r="H2217" i="4"/>
  <c r="H2235" i="4"/>
  <c r="H2253" i="4"/>
  <c r="H2269" i="4"/>
  <c r="H2284" i="4"/>
  <c r="H2296" i="4"/>
  <c r="H2309" i="4"/>
  <c r="H2322" i="4"/>
  <c r="H2334" i="4"/>
  <c r="H2346" i="4"/>
  <c r="H2357" i="4"/>
  <c r="H2368" i="4"/>
  <c r="H2378" i="4"/>
  <c r="H2389" i="4"/>
  <c r="H2400" i="4"/>
  <c r="H2410" i="4"/>
  <c r="H2421" i="4"/>
  <c r="H2430" i="4"/>
  <c r="H2440" i="4"/>
  <c r="H2449" i="4"/>
  <c r="H2458" i="4"/>
  <c r="H2467" i="4"/>
  <c r="H2476" i="4"/>
  <c r="H2485" i="4"/>
  <c r="H2494" i="4"/>
  <c r="H2504" i="4"/>
  <c r="H2513" i="4"/>
  <c r="H2522" i="4"/>
  <c r="H2531" i="4"/>
  <c r="H2540" i="4"/>
  <c r="H2549" i="4"/>
  <c r="H2558" i="4"/>
  <c r="H2566" i="4"/>
  <c r="H2574" i="4"/>
  <c r="H2582" i="4"/>
  <c r="H2590" i="4"/>
  <c r="H2598" i="4"/>
  <c r="H2606" i="4"/>
  <c r="H2614" i="4"/>
  <c r="H2622" i="4"/>
  <c r="H2630" i="4"/>
  <c r="H2638" i="4"/>
  <c r="H2646" i="4"/>
  <c r="H2654" i="4"/>
  <c r="H2662" i="4"/>
  <c r="H2670" i="4"/>
  <c r="H2678" i="4"/>
  <c r="H2686" i="4"/>
  <c r="H2694" i="4"/>
  <c r="H2702" i="4"/>
  <c r="H2710" i="4"/>
  <c r="H2718" i="4"/>
  <c r="H2726" i="4"/>
  <c r="H2734" i="4"/>
  <c r="H2742" i="4"/>
  <c r="H2750" i="4"/>
  <c r="H2758" i="4"/>
  <c r="H2766" i="4"/>
  <c r="H2774" i="4"/>
  <c r="H2782" i="4"/>
  <c r="H2790" i="4"/>
  <c r="H2798" i="4"/>
  <c r="H2806" i="4"/>
  <c r="H2814" i="4"/>
  <c r="H2822" i="4"/>
  <c r="H2830" i="4"/>
  <c r="H2838" i="4"/>
  <c r="H2846" i="4"/>
  <c r="H2854" i="4"/>
  <c r="H2862" i="4"/>
  <c r="H2870" i="4"/>
  <c r="H2878" i="4"/>
  <c r="H2886" i="4"/>
  <c r="H2894" i="4"/>
  <c r="H2902" i="4"/>
  <c r="H2910" i="4"/>
  <c r="H2918" i="4"/>
  <c r="H2926" i="4"/>
  <c r="H2934" i="4"/>
  <c r="H2942" i="4"/>
  <c r="H2950" i="4"/>
  <c r="H2958" i="4"/>
  <c r="H2966" i="4"/>
  <c r="H2974" i="4"/>
  <c r="H2982" i="4"/>
  <c r="H2990" i="4"/>
  <c r="H2998" i="4"/>
  <c r="H3006" i="4"/>
  <c r="H3014" i="4"/>
  <c r="H3022" i="4"/>
  <c r="H3030" i="4"/>
  <c r="H3038" i="4"/>
  <c r="H3046" i="4"/>
  <c r="H3054" i="4"/>
  <c r="H3062" i="4"/>
  <c r="H3070" i="4"/>
  <c r="H3078" i="4"/>
  <c r="H3086" i="4"/>
  <c r="H3094" i="4"/>
  <c r="H3102" i="4"/>
  <c r="H3110" i="4"/>
  <c r="H3118" i="4"/>
  <c r="H3126" i="4"/>
  <c r="H3134" i="4"/>
  <c r="H3142" i="4"/>
  <c r="H3150" i="4"/>
  <c r="H3158" i="4"/>
  <c r="H3166" i="4"/>
  <c r="H3174" i="4"/>
  <c r="H3182" i="4"/>
  <c r="H3190" i="4"/>
  <c r="H3198" i="4"/>
  <c r="H3206" i="4"/>
  <c r="H3214" i="4"/>
  <c r="H3222" i="4"/>
  <c r="H3230" i="4"/>
  <c r="H3238" i="4"/>
  <c r="H3246" i="4"/>
  <c r="H3254" i="4"/>
  <c r="H3262" i="4"/>
  <c r="H3270" i="4"/>
  <c r="H3278" i="4"/>
  <c r="H3286" i="4"/>
  <c r="H3294" i="4"/>
  <c r="H3302" i="4"/>
  <c r="H3310" i="4"/>
  <c r="H3318" i="4"/>
  <c r="H3326" i="4"/>
  <c r="H3334" i="4"/>
  <c r="H3342" i="4"/>
  <c r="H3350" i="4"/>
  <c r="H3358" i="4"/>
  <c r="H3366" i="4"/>
  <c r="H3374" i="4"/>
  <c r="H3382" i="4"/>
  <c r="H3390" i="4"/>
  <c r="H3398" i="4"/>
  <c r="H841" i="4"/>
  <c r="H1265" i="4"/>
  <c r="H1411" i="4"/>
  <c r="H1492" i="4"/>
  <c r="H1548" i="4"/>
  <c r="H1582" i="4"/>
  <c r="H1629" i="4"/>
  <c r="H1676" i="4"/>
  <c r="H1704" i="4"/>
  <c r="H1741" i="4"/>
  <c r="H1779" i="4"/>
  <c r="H1806" i="4"/>
  <c r="H1838" i="4"/>
  <c r="H1868" i="4"/>
  <c r="H1889" i="4"/>
  <c r="H1915" i="4"/>
  <c r="H1941" i="4"/>
  <c r="H1962" i="4"/>
  <c r="H1988" i="4"/>
  <c r="H2014" i="4"/>
  <c r="H2035" i="4"/>
  <c r="H2061" i="4"/>
  <c r="H2088" i="4"/>
  <c r="H2108" i="4"/>
  <c r="H2134" i="4"/>
  <c r="H2161" i="4"/>
  <c r="H2181" i="4"/>
  <c r="H2200" i="4"/>
  <c r="H2218" i="4"/>
  <c r="H2236" i="4"/>
  <c r="H2254" i="4"/>
  <c r="H2270" i="4"/>
  <c r="H2285" i="4"/>
  <c r="H2298" i="4"/>
  <c r="H2310" i="4"/>
  <c r="H2324" i="4"/>
  <c r="H2336" i="4"/>
  <c r="H2348" i="4"/>
  <c r="H2358" i="4"/>
  <c r="H2369" i="4"/>
  <c r="H2380" i="4"/>
  <c r="H2390" i="4"/>
  <c r="H2401" i="4"/>
  <c r="H2412" i="4"/>
  <c r="H2422" i="4"/>
  <c r="H2432" i="4"/>
  <c r="H2441" i="4"/>
  <c r="H2450" i="4"/>
  <c r="H2459" i="4"/>
  <c r="H2468" i="4"/>
  <c r="H2477" i="4"/>
  <c r="H2486" i="4"/>
  <c r="H2496" i="4"/>
  <c r="H2505" i="4"/>
  <c r="H2514" i="4"/>
  <c r="H2523" i="4"/>
  <c r="H2532" i="4"/>
  <c r="H2541" i="4"/>
  <c r="H2550" i="4"/>
  <c r="H2559" i="4"/>
  <c r="H2567" i="4"/>
  <c r="H2575" i="4"/>
  <c r="H2583" i="4"/>
  <c r="H2591" i="4"/>
  <c r="H2599" i="4"/>
  <c r="H2607" i="4"/>
  <c r="H2615" i="4"/>
  <c r="H2623" i="4"/>
  <c r="H2631" i="4"/>
  <c r="H2639" i="4"/>
  <c r="H2647" i="4"/>
  <c r="H2655" i="4"/>
  <c r="H2663" i="4"/>
  <c r="H2671" i="4"/>
  <c r="H2679" i="4"/>
  <c r="H2687" i="4"/>
  <c r="H2695" i="4"/>
  <c r="H2703" i="4"/>
  <c r="H2711" i="4"/>
  <c r="H2719" i="4"/>
  <c r="H2727" i="4"/>
  <c r="H2735" i="4"/>
  <c r="H2743" i="4"/>
  <c r="H2751" i="4"/>
  <c r="H2759" i="4"/>
  <c r="H2767" i="4"/>
  <c r="H2775" i="4"/>
  <c r="H2783" i="4"/>
  <c r="H2791" i="4"/>
  <c r="H2799" i="4"/>
  <c r="H2807" i="4"/>
  <c r="H2815" i="4"/>
  <c r="H2823" i="4"/>
  <c r="H2831" i="4"/>
  <c r="H2839" i="4"/>
  <c r="H2847" i="4"/>
  <c r="H2855" i="4"/>
  <c r="H2863" i="4"/>
  <c r="H2871" i="4"/>
  <c r="H2879" i="4"/>
  <c r="H2887" i="4"/>
  <c r="H2895" i="4"/>
  <c r="H2903" i="4"/>
  <c r="H2911" i="4"/>
  <c r="H2919" i="4"/>
  <c r="H2927" i="4"/>
  <c r="H2935" i="4"/>
  <c r="H2943" i="4"/>
  <c r="H2951" i="4"/>
  <c r="H2959" i="4"/>
  <c r="H2967" i="4"/>
  <c r="H2975" i="4"/>
  <c r="H2983" i="4"/>
  <c r="H2991" i="4"/>
  <c r="H2999" i="4"/>
  <c r="H3007" i="4"/>
  <c r="H3015" i="4"/>
  <c r="H3023" i="4"/>
  <c r="H3031" i="4"/>
  <c r="H3039" i="4"/>
  <c r="H3047" i="4"/>
  <c r="H3055" i="4"/>
  <c r="H3063" i="4"/>
  <c r="H3071" i="4"/>
  <c r="H3079" i="4"/>
  <c r="H3087" i="4"/>
  <c r="H3095" i="4"/>
  <c r="H3103" i="4"/>
  <c r="H3111" i="4"/>
  <c r="H3119" i="4"/>
  <c r="H3127" i="4"/>
  <c r="H3135" i="4"/>
  <c r="H3143" i="4"/>
  <c r="H3151" i="4"/>
  <c r="H3159" i="4"/>
  <c r="H3167" i="4"/>
  <c r="H3175" i="4"/>
  <c r="H3183" i="4"/>
  <c r="H3191" i="4"/>
  <c r="H3199" i="4"/>
  <c r="H3207" i="4"/>
  <c r="H3215" i="4"/>
  <c r="H3223" i="4"/>
  <c r="H3231" i="4"/>
  <c r="H3239" i="4"/>
  <c r="H3247" i="4"/>
  <c r="H3255" i="4"/>
  <c r="H3263" i="4"/>
  <c r="H3271" i="4"/>
  <c r="H3279" i="4"/>
  <c r="H3287" i="4"/>
  <c r="H3295" i="4"/>
  <c r="H3303" i="4"/>
  <c r="H3311" i="4"/>
  <c r="H3319" i="4"/>
  <c r="H3327" i="4"/>
  <c r="H3335" i="4"/>
  <c r="H3343" i="4"/>
  <c r="H3351" i="4"/>
  <c r="H3359" i="4"/>
  <c r="H3367" i="4"/>
  <c r="H3375" i="4"/>
  <c r="H3383" i="4"/>
  <c r="H3391" i="4"/>
  <c r="H3399" i="4"/>
  <c r="H3407" i="4"/>
  <c r="H3415" i="4"/>
  <c r="H3423" i="4"/>
  <c r="H3431" i="4"/>
  <c r="H3439" i="4"/>
  <c r="H879" i="4"/>
  <c r="H1266" i="4"/>
  <c r="H1412" i="4"/>
  <c r="H1493" i="4"/>
  <c r="H1549" i="4"/>
  <c r="H1596" i="4"/>
  <c r="H1630" i="4"/>
  <c r="H1677" i="4"/>
  <c r="H1715" i="4"/>
  <c r="H1742" i="4"/>
  <c r="H1780" i="4"/>
  <c r="H1816" i="4"/>
  <c r="H1840" i="4"/>
  <c r="H1869" i="4"/>
  <c r="H1896" i="4"/>
  <c r="H1916" i="4"/>
  <c r="H1942" i="4"/>
  <c r="H1969" i="4"/>
  <c r="H1989" i="4"/>
  <c r="H2016" i="4"/>
  <c r="H2042" i="4"/>
  <c r="H2062" i="4"/>
  <c r="H2089" i="4"/>
  <c r="H2115" i="4"/>
  <c r="H2136" i="4"/>
  <c r="H2162" i="4"/>
  <c r="H2186" i="4"/>
  <c r="H2204" i="4"/>
  <c r="H2222" i="4"/>
  <c r="H2241" i="4"/>
  <c r="H2258" i="4"/>
  <c r="H2274" i="4"/>
  <c r="H2286" i="4"/>
  <c r="H2300" i="4"/>
  <c r="H2312" i="4"/>
  <c r="H2325" i="4"/>
  <c r="H2338" i="4"/>
  <c r="H2349" i="4"/>
  <c r="H2360" i="4"/>
  <c r="H2370" i="4"/>
  <c r="H2381" i="4"/>
  <c r="H2392" i="4"/>
  <c r="H2402" i="4"/>
  <c r="H2413" i="4"/>
  <c r="H2424" i="4"/>
  <c r="H2433" i="4"/>
  <c r="H2442" i="4"/>
  <c r="H2451" i="4"/>
  <c r="H2460" i="4"/>
  <c r="H2469" i="4"/>
  <c r="H2478" i="4"/>
  <c r="H2488" i="4"/>
  <c r="H2497" i="4"/>
  <c r="H2506" i="4"/>
  <c r="H2515" i="4"/>
  <c r="H2524" i="4"/>
  <c r="H2533" i="4"/>
  <c r="H2542" i="4"/>
  <c r="H2552" i="4"/>
  <c r="H2560" i="4"/>
  <c r="H2568" i="4"/>
  <c r="H2576" i="4"/>
  <c r="H2584" i="4"/>
  <c r="H2592" i="4"/>
  <c r="H2600" i="4"/>
  <c r="H2608" i="4"/>
  <c r="H2616" i="4"/>
  <c r="H2624" i="4"/>
  <c r="H2632" i="4"/>
  <c r="H2640" i="4"/>
  <c r="H2648" i="4"/>
  <c r="H2656" i="4"/>
  <c r="H2664" i="4"/>
  <c r="H2672" i="4"/>
  <c r="H2680" i="4"/>
  <c r="H2688" i="4"/>
  <c r="H2696" i="4"/>
  <c r="H2704" i="4"/>
  <c r="H2712" i="4"/>
  <c r="H2720" i="4"/>
  <c r="H2728" i="4"/>
  <c r="H2736" i="4"/>
  <c r="H2744" i="4"/>
  <c r="H2752" i="4"/>
  <c r="H2760" i="4"/>
  <c r="H2768" i="4"/>
  <c r="H2776" i="4"/>
  <c r="H2784" i="4"/>
  <c r="H2792" i="4"/>
  <c r="H2800" i="4"/>
  <c r="H2808" i="4"/>
  <c r="H2816" i="4"/>
  <c r="H2824" i="4"/>
  <c r="H2832" i="4"/>
  <c r="H2840" i="4"/>
  <c r="H2848" i="4"/>
  <c r="H2856" i="4"/>
  <c r="H2864" i="4"/>
  <c r="H2872" i="4"/>
  <c r="H2880" i="4"/>
  <c r="H2888" i="4"/>
  <c r="H2896" i="4"/>
  <c r="H2904" i="4"/>
  <c r="H2912" i="4"/>
  <c r="H2920" i="4"/>
  <c r="H2928" i="4"/>
  <c r="H2936" i="4"/>
  <c r="H2944" i="4"/>
  <c r="H2952" i="4"/>
  <c r="H2960" i="4"/>
  <c r="H2968" i="4"/>
  <c r="H2976" i="4"/>
  <c r="H2984" i="4"/>
  <c r="H2992" i="4"/>
  <c r="H3000" i="4"/>
  <c r="H3008" i="4"/>
  <c r="H3016" i="4"/>
  <c r="H3024" i="4"/>
  <c r="H3032" i="4"/>
  <c r="H3040" i="4"/>
  <c r="H3048" i="4"/>
  <c r="H3056" i="4"/>
  <c r="H3064" i="4"/>
  <c r="H3072" i="4"/>
  <c r="H3080" i="4"/>
  <c r="H3088" i="4"/>
  <c r="H3096" i="4"/>
  <c r="H3104" i="4"/>
  <c r="H3112" i="4"/>
  <c r="H3120" i="4"/>
  <c r="H3128" i="4"/>
  <c r="H3136" i="4"/>
  <c r="H3144" i="4"/>
  <c r="H3152" i="4"/>
  <c r="H3160" i="4"/>
  <c r="H3168" i="4"/>
  <c r="H1047" i="4"/>
  <c r="H1301" i="4"/>
  <c r="H1445" i="4"/>
  <c r="H1509" i="4"/>
  <c r="H1550" i="4"/>
  <c r="H1597" i="4"/>
  <c r="H1644" i="4"/>
  <c r="H1678" i="4"/>
  <c r="H1716" i="4"/>
  <c r="H1752" i="4"/>
  <c r="H1781" i="4"/>
  <c r="H1817" i="4"/>
  <c r="H1848" i="4"/>
  <c r="H1870" i="4"/>
  <c r="H1897" i="4"/>
  <c r="H1923" i="4"/>
  <c r="H1944" i="4"/>
  <c r="H1970" i="4"/>
  <c r="H1996" i="4"/>
  <c r="H2017" i="4"/>
  <c r="H2043" i="4"/>
  <c r="H2069" i="4"/>
  <c r="H2090" i="4"/>
  <c r="H2116" i="4"/>
  <c r="H2142" i="4"/>
  <c r="H2163" i="4"/>
  <c r="H2188" i="4"/>
  <c r="H2206" i="4"/>
  <c r="H2225" i="4"/>
  <c r="H2243" i="4"/>
  <c r="H2260" i="4"/>
  <c r="H2276" i="4"/>
  <c r="H2288" i="4"/>
  <c r="H2301" i="4"/>
  <c r="H2314" i="4"/>
  <c r="H2326" i="4"/>
  <c r="H2340" i="4"/>
  <c r="H2350" i="4"/>
  <c r="H2361" i="4"/>
  <c r="H2372" i="4"/>
  <c r="H2382" i="4"/>
  <c r="H2393" i="4"/>
  <c r="H2404" i="4"/>
  <c r="H2414" i="4"/>
  <c r="H2425" i="4"/>
  <c r="H2434" i="4"/>
  <c r="H2443" i="4"/>
  <c r="H2452" i="4"/>
  <c r="H2461" i="4"/>
  <c r="H2470" i="4"/>
  <c r="H2480" i="4"/>
  <c r="H2489" i="4"/>
  <c r="H2498" i="4"/>
  <c r="H2507" i="4"/>
  <c r="H2516" i="4"/>
  <c r="H2525" i="4"/>
  <c r="H2534" i="4"/>
  <c r="H2544" i="4"/>
  <c r="H2553" i="4"/>
  <c r="H2561" i="4"/>
  <c r="H2569" i="4"/>
  <c r="H2577" i="4"/>
  <c r="H2585" i="4"/>
  <c r="H2593" i="4"/>
  <c r="H2601" i="4"/>
  <c r="H2609" i="4"/>
  <c r="H2617" i="4"/>
  <c r="H2625" i="4"/>
  <c r="H2633" i="4"/>
  <c r="H2641" i="4"/>
  <c r="H2649" i="4"/>
  <c r="H2657" i="4"/>
  <c r="H2665" i="4"/>
  <c r="H2673" i="4"/>
  <c r="H2681" i="4"/>
  <c r="H2689" i="4"/>
  <c r="H2697" i="4"/>
  <c r="H2705" i="4"/>
  <c r="H2713" i="4"/>
  <c r="H2721" i="4"/>
  <c r="H2729" i="4"/>
  <c r="H2737" i="4"/>
  <c r="H2745" i="4"/>
  <c r="H2753" i="4"/>
  <c r="H2761" i="4"/>
  <c r="H2769" i="4"/>
  <c r="H2777" i="4"/>
  <c r="H2785" i="4"/>
  <c r="H2793" i="4"/>
  <c r="H2801" i="4"/>
  <c r="H2809" i="4"/>
  <c r="H2817" i="4"/>
  <c r="H2825" i="4"/>
  <c r="H2833" i="4"/>
  <c r="H2841" i="4"/>
  <c r="H2849" i="4"/>
  <c r="H2857" i="4"/>
  <c r="H2865" i="4"/>
  <c r="H2873" i="4"/>
  <c r="H2881" i="4"/>
  <c r="H2889" i="4"/>
  <c r="H2897" i="4"/>
  <c r="H2905" i="4"/>
  <c r="H2913" i="4"/>
  <c r="H2921" i="4"/>
  <c r="H2929" i="4"/>
  <c r="H2937" i="4"/>
  <c r="H2945" i="4"/>
  <c r="H2953" i="4"/>
  <c r="H2961" i="4"/>
  <c r="H2969" i="4"/>
  <c r="H2977" i="4"/>
  <c r="H2985" i="4"/>
  <c r="H2993" i="4"/>
  <c r="H3001" i="4"/>
  <c r="H3009" i="4"/>
  <c r="H3017" i="4"/>
  <c r="H3025" i="4"/>
  <c r="H3033" i="4"/>
  <c r="H3041" i="4"/>
  <c r="H3049" i="4"/>
  <c r="H3057" i="4"/>
  <c r="H3065" i="4"/>
  <c r="H3073" i="4"/>
  <c r="H3081" i="4"/>
  <c r="H3089" i="4"/>
  <c r="H3097" i="4"/>
  <c r="H3105" i="4"/>
  <c r="H3113" i="4"/>
  <c r="H3121" i="4"/>
  <c r="H3129" i="4"/>
  <c r="H3137" i="4"/>
  <c r="H3145" i="4"/>
  <c r="H3153" i="4"/>
  <c r="H3161" i="4"/>
  <c r="H3169" i="4"/>
  <c r="H1069" i="4"/>
  <c r="H1302" i="4"/>
  <c r="H1446" i="4"/>
  <c r="H1510" i="4"/>
  <c r="H1564" i="4"/>
  <c r="H1598" i="4"/>
  <c r="H1645" i="4"/>
  <c r="H1688" i="4"/>
  <c r="H1717" i="4"/>
  <c r="H1755" i="4"/>
  <c r="H1790" i="4"/>
  <c r="H1819" i="4"/>
  <c r="H1849" i="4"/>
  <c r="H1877" i="4"/>
  <c r="H1898" i="4"/>
  <c r="H1924" i="4"/>
  <c r="H1950" i="4"/>
  <c r="H1971" i="4"/>
  <c r="H1997" i="4"/>
  <c r="H2024" i="4"/>
  <c r="H2044" i="4"/>
  <c r="H2070" i="4"/>
  <c r="H2097" i="4"/>
  <c r="H2117" i="4"/>
  <c r="H2144" i="4"/>
  <c r="H2170" i="4"/>
  <c r="H2189" i="4"/>
  <c r="H2208" i="4"/>
  <c r="H2226" i="4"/>
  <c r="H2244" i="4"/>
  <c r="H2261" i="4"/>
  <c r="H2277" i="4"/>
  <c r="H2290" i="4"/>
  <c r="H2302" i="4"/>
  <c r="H2316" i="4"/>
  <c r="H2328" i="4"/>
  <c r="H2341" i="4"/>
  <c r="H2352" i="4"/>
  <c r="H2362" i="4"/>
  <c r="H2373" i="4"/>
  <c r="H2384" i="4"/>
  <c r="H2394" i="4"/>
  <c r="H2405" i="4"/>
  <c r="H2416" i="4"/>
  <c r="H2426" i="4"/>
  <c r="H2435" i="4"/>
  <c r="H2444" i="4"/>
  <c r="H2453" i="4"/>
  <c r="H2462" i="4"/>
  <c r="H2472" i="4"/>
  <c r="H2481" i="4"/>
  <c r="H2490" i="4"/>
  <c r="H2499" i="4"/>
  <c r="H2508" i="4"/>
  <c r="H2517" i="4"/>
  <c r="H2526" i="4"/>
  <c r="H2536" i="4"/>
  <c r="H2545" i="4"/>
  <c r="H2554" i="4"/>
  <c r="H2562" i="4"/>
  <c r="H2570" i="4"/>
  <c r="H2578" i="4"/>
  <c r="H2586" i="4"/>
  <c r="H2594" i="4"/>
  <c r="H2602" i="4"/>
  <c r="H2610" i="4"/>
  <c r="H2618" i="4"/>
  <c r="H2626" i="4"/>
  <c r="H2634" i="4"/>
  <c r="H2642" i="4"/>
  <c r="H2650" i="4"/>
  <c r="H2658" i="4"/>
  <c r="H1151" i="4"/>
  <c r="H1338" i="4"/>
  <c r="H1468" i="4"/>
  <c r="H1156" i="4"/>
  <c r="H1613" i="4"/>
  <c r="H1765" i="4"/>
  <c r="H1880" i="4"/>
  <c r="H1979" i="4"/>
  <c r="H2078" i="4"/>
  <c r="H2172" i="4"/>
  <c r="H2250" i="4"/>
  <c r="H2306" i="4"/>
  <c r="H2354" i="4"/>
  <c r="H2397" i="4"/>
  <c r="H2437" i="4"/>
  <c r="H2474" i="4"/>
  <c r="H2510" i="4"/>
  <c r="H2547" i="4"/>
  <c r="H2580" i="4"/>
  <c r="H2612" i="4"/>
  <c r="H2644" i="4"/>
  <c r="H2674" i="4"/>
  <c r="H2692" i="4"/>
  <c r="H2715" i="4"/>
  <c r="H2738" i="4"/>
  <c r="H2756" i="4"/>
  <c r="H2779" i="4"/>
  <c r="H2802" i="4"/>
  <c r="H2820" i="4"/>
  <c r="H2843" i="4"/>
  <c r="H2866" i="4"/>
  <c r="H2884" i="4"/>
  <c r="H2907" i="4"/>
  <c r="H2930" i="4"/>
  <c r="H2948" i="4"/>
  <c r="H2971" i="4"/>
  <c r="H2994" i="4"/>
  <c r="H3012" i="4"/>
  <c r="H3035" i="4"/>
  <c r="H3058" i="4"/>
  <c r="H3074" i="4"/>
  <c r="H3090" i="4"/>
  <c r="H3106" i="4"/>
  <c r="H3122" i="4"/>
  <c r="H3138" i="4"/>
  <c r="H3154" i="4"/>
  <c r="H3170" i="4"/>
  <c r="H3180" i="4"/>
  <c r="H3192" i="4"/>
  <c r="H3202" i="4"/>
  <c r="H3212" i="4"/>
  <c r="H3224" i="4"/>
  <c r="H3234" i="4"/>
  <c r="H3244" i="4"/>
  <c r="H3256" i="4"/>
  <c r="H3266" i="4"/>
  <c r="H3276" i="4"/>
  <c r="H3288" i="4"/>
  <c r="H3298" i="4"/>
  <c r="H3308" i="4"/>
  <c r="H3320" i="4"/>
  <c r="H3330" i="4"/>
  <c r="H3340" i="4"/>
  <c r="H3352" i="4"/>
  <c r="H3362" i="4"/>
  <c r="H3372" i="4"/>
  <c r="H3384" i="4"/>
  <c r="H3394" i="4"/>
  <c r="H3404" i="4"/>
  <c r="H3413" i="4"/>
  <c r="H3422" i="4"/>
  <c r="H3432" i="4"/>
  <c r="H3441" i="4"/>
  <c r="H3449" i="4"/>
  <c r="H3457" i="4"/>
  <c r="H3465" i="4"/>
  <c r="H3473" i="4"/>
  <c r="H3481" i="4"/>
  <c r="H3489" i="4"/>
  <c r="H3497" i="4"/>
  <c r="H3505" i="4"/>
  <c r="H3513" i="4"/>
  <c r="H3521" i="4"/>
  <c r="H3529" i="4"/>
  <c r="H3537" i="4"/>
  <c r="H3545" i="4"/>
  <c r="H3553" i="4"/>
  <c r="H3561" i="4"/>
  <c r="H3569" i="4"/>
  <c r="H3577" i="4"/>
  <c r="H3585" i="4"/>
  <c r="H3593" i="4"/>
  <c r="H3601" i="4"/>
  <c r="H3609" i="4"/>
  <c r="H3617" i="4"/>
  <c r="H3625" i="4"/>
  <c r="H3633" i="4"/>
  <c r="H3641" i="4"/>
  <c r="H3649" i="4"/>
  <c r="H3657" i="4"/>
  <c r="H3665" i="4"/>
  <c r="H3673" i="4"/>
  <c r="H3681" i="4"/>
  <c r="H3689" i="4"/>
  <c r="H3697" i="4"/>
  <c r="H3705" i="4"/>
  <c r="H3713" i="4"/>
  <c r="H3721" i="4"/>
  <c r="H3729" i="4"/>
  <c r="H3737" i="4"/>
  <c r="H3745" i="4"/>
  <c r="H3753" i="4"/>
  <c r="H3761" i="4"/>
  <c r="H3769" i="4"/>
  <c r="H3777" i="4"/>
  <c r="H3785" i="4"/>
  <c r="H3793" i="4"/>
  <c r="H3801" i="4"/>
  <c r="H3809" i="4"/>
  <c r="H3817" i="4"/>
  <c r="H3825" i="4"/>
  <c r="H3833" i="4"/>
  <c r="H3841" i="4"/>
  <c r="H3849" i="4"/>
  <c r="H3857" i="4"/>
  <c r="H3865" i="4"/>
  <c r="H3873" i="4"/>
  <c r="H3881" i="4"/>
  <c r="H3889" i="4"/>
  <c r="H3897" i="4"/>
  <c r="H3905" i="4"/>
  <c r="H3913" i="4"/>
  <c r="H3921" i="4"/>
  <c r="H3929" i="4"/>
  <c r="H3937" i="4"/>
  <c r="H3945" i="4"/>
  <c r="H1339" i="4"/>
  <c r="H1646" i="4"/>
  <c r="H1792" i="4"/>
  <c r="H1905" i="4"/>
  <c r="H1998" i="4"/>
  <c r="H2098" i="4"/>
  <c r="H2190" i="4"/>
  <c r="H2262" i="4"/>
  <c r="H2317" i="4"/>
  <c r="H2364" i="4"/>
  <c r="H2406" i="4"/>
  <c r="H2445" i="4"/>
  <c r="H2482" i="4"/>
  <c r="H2518" i="4"/>
  <c r="H2555" i="4"/>
  <c r="H2587" i="4"/>
  <c r="H2619" i="4"/>
  <c r="H2651" i="4"/>
  <c r="H2675" i="4"/>
  <c r="H2698" i="4"/>
  <c r="H2716" i="4"/>
  <c r="H2739" i="4"/>
  <c r="H2762" i="4"/>
  <c r="H2780" i="4"/>
  <c r="H2803" i="4"/>
  <c r="H2826" i="4"/>
  <c r="H2844" i="4"/>
  <c r="H2867" i="4"/>
  <c r="H2890" i="4"/>
  <c r="H2908" i="4"/>
  <c r="H2931" i="4"/>
  <c r="H2954" i="4"/>
  <c r="H2972" i="4"/>
  <c r="H2995" i="4"/>
  <c r="H3018" i="4"/>
  <c r="H3036" i="4"/>
  <c r="H3059" i="4"/>
  <c r="H3075" i="4"/>
  <c r="H3091" i="4"/>
  <c r="H3107" i="4"/>
  <c r="H3123" i="4"/>
  <c r="H3139" i="4"/>
  <c r="H3155" i="4"/>
  <c r="H3171" i="4"/>
  <c r="H3181" i="4"/>
  <c r="H3193" i="4"/>
  <c r="H3203" i="4"/>
  <c r="H3213" i="4"/>
  <c r="H3225" i="4"/>
  <c r="H3235" i="4"/>
  <c r="H3245" i="4"/>
  <c r="H3257" i="4"/>
  <c r="H3267" i="4"/>
  <c r="H3277" i="4"/>
  <c r="H3289" i="4"/>
  <c r="H3299" i="4"/>
  <c r="H3309" i="4"/>
  <c r="H3321" i="4"/>
  <c r="H3331" i="4"/>
  <c r="H3341" i="4"/>
  <c r="H3353" i="4"/>
  <c r="H3363" i="4"/>
  <c r="H3373" i="4"/>
  <c r="H3385" i="4"/>
  <c r="H3395" i="4"/>
  <c r="H3405" i="4"/>
  <c r="H3414" i="4"/>
  <c r="H3424" i="4"/>
  <c r="H3433" i="4"/>
  <c r="H3442" i="4"/>
  <c r="H3450" i="4"/>
  <c r="H3458" i="4"/>
  <c r="H3466" i="4"/>
  <c r="H3474" i="4"/>
  <c r="H3482" i="4"/>
  <c r="H3490" i="4"/>
  <c r="H3498" i="4"/>
  <c r="H3506" i="4"/>
  <c r="H3514" i="4"/>
  <c r="H3522" i="4"/>
  <c r="H3530" i="4"/>
  <c r="H3538" i="4"/>
  <c r="H3546" i="4"/>
  <c r="H3554" i="4"/>
  <c r="H3562" i="4"/>
  <c r="H3570" i="4"/>
  <c r="H3578" i="4"/>
  <c r="H3586" i="4"/>
  <c r="H3594" i="4"/>
  <c r="H3602" i="4"/>
  <c r="H3610" i="4"/>
  <c r="H3618" i="4"/>
  <c r="H3626" i="4"/>
  <c r="H3634" i="4"/>
  <c r="H3642" i="4"/>
  <c r="H1469" i="4"/>
  <c r="H1660" i="4"/>
  <c r="H1795" i="4"/>
  <c r="H1906" i="4"/>
  <c r="H2005" i="4"/>
  <c r="H2099" i="4"/>
  <c r="H2195" i="4"/>
  <c r="H2266" i="4"/>
  <c r="H2318" i="4"/>
  <c r="H2365" i="4"/>
  <c r="H2408" i="4"/>
  <c r="H2446" i="4"/>
  <c r="H2483" i="4"/>
  <c r="H2520" i="4"/>
  <c r="H2556" i="4"/>
  <c r="H2588" i="4"/>
  <c r="H2620" i="4"/>
  <c r="H2652" i="4"/>
  <c r="H2676" i="4"/>
  <c r="H2699" i="4"/>
  <c r="H2722" i="4"/>
  <c r="H2740" i="4"/>
  <c r="H2763" i="4"/>
  <c r="H2786" i="4"/>
  <c r="H2804" i="4"/>
  <c r="H2827" i="4"/>
  <c r="H2850" i="4"/>
  <c r="H2868" i="4"/>
  <c r="H2891" i="4"/>
  <c r="H2914" i="4"/>
  <c r="H2932" i="4"/>
  <c r="H2955" i="4"/>
  <c r="H2978" i="4"/>
  <c r="H2996" i="4"/>
  <c r="H3019" i="4"/>
  <c r="H3042" i="4"/>
  <c r="H3060" i="4"/>
  <c r="H3076" i="4"/>
  <c r="H3092" i="4"/>
  <c r="H3108" i="4"/>
  <c r="H3124" i="4"/>
  <c r="H3140" i="4"/>
  <c r="H3156" i="4"/>
  <c r="H3172" i="4"/>
  <c r="H3184" i="4"/>
  <c r="H3194" i="4"/>
  <c r="H3204" i="4"/>
  <c r="H3216" i="4"/>
  <c r="H3226" i="4"/>
  <c r="H3236" i="4"/>
  <c r="H3248" i="4"/>
  <c r="H3258" i="4"/>
  <c r="H3268" i="4"/>
  <c r="H3280" i="4"/>
  <c r="H3290" i="4"/>
  <c r="H3300" i="4"/>
  <c r="H3312" i="4"/>
  <c r="H3322" i="4"/>
  <c r="H3332" i="4"/>
  <c r="H3344" i="4"/>
  <c r="H3354" i="4"/>
  <c r="H3364" i="4"/>
  <c r="H3376" i="4"/>
  <c r="H3386" i="4"/>
  <c r="H3396" i="4"/>
  <c r="H3406" i="4"/>
  <c r="H3416" i="4"/>
  <c r="H3425" i="4"/>
  <c r="H3434" i="4"/>
  <c r="H3443" i="4"/>
  <c r="H3451" i="4"/>
  <c r="H3459" i="4"/>
  <c r="H3467" i="4"/>
  <c r="H3475" i="4"/>
  <c r="H3483" i="4"/>
  <c r="H3491" i="4"/>
  <c r="H3499" i="4"/>
  <c r="H3507" i="4"/>
  <c r="H3515" i="4"/>
  <c r="H3523" i="4"/>
  <c r="H3531" i="4"/>
  <c r="H3539" i="4"/>
  <c r="H3547" i="4"/>
  <c r="H3555" i="4"/>
  <c r="H3563" i="4"/>
  <c r="H3571" i="4"/>
  <c r="H3579" i="4"/>
  <c r="H3587" i="4"/>
  <c r="H3595" i="4"/>
  <c r="H3603" i="4"/>
  <c r="H3611" i="4"/>
  <c r="H3619" i="4"/>
  <c r="H3627" i="4"/>
  <c r="H3635" i="4"/>
  <c r="H3643" i="4"/>
  <c r="H3651" i="4"/>
  <c r="H3659" i="4"/>
  <c r="H3667" i="4"/>
  <c r="H3675" i="4"/>
  <c r="H3683" i="4"/>
  <c r="H3691" i="4"/>
  <c r="H3699" i="4"/>
  <c r="H3707" i="4"/>
  <c r="H3715" i="4"/>
  <c r="H3723" i="4"/>
  <c r="H3731" i="4"/>
  <c r="H3739" i="4"/>
  <c r="H3747" i="4"/>
  <c r="H3755" i="4"/>
  <c r="H3763" i="4"/>
  <c r="H3771" i="4"/>
  <c r="H3779" i="4"/>
  <c r="H3787" i="4"/>
  <c r="H3795" i="4"/>
  <c r="H3803" i="4"/>
  <c r="H3811" i="4"/>
  <c r="H3819" i="4"/>
  <c r="H3827" i="4"/>
  <c r="H3835" i="4"/>
  <c r="H3843" i="4"/>
  <c r="H3851" i="4"/>
  <c r="H1516" i="4"/>
  <c r="H1691" i="4"/>
  <c r="H1827" i="4"/>
  <c r="H1925" i="4"/>
  <c r="H2025" i="4"/>
  <c r="H2124" i="4"/>
  <c r="H2209" i="4"/>
  <c r="H2278" i="4"/>
  <c r="H2330" i="4"/>
  <c r="H2374" i="4"/>
  <c r="H2417" i="4"/>
  <c r="H2454" i="4"/>
  <c r="H2491" i="4"/>
  <c r="H2528" i="4"/>
  <c r="H2563" i="4"/>
  <c r="H2595" i="4"/>
  <c r="H2627" i="4"/>
  <c r="H2659" i="4"/>
  <c r="H2682" i="4"/>
  <c r="H2700" i="4"/>
  <c r="H2723" i="4"/>
  <c r="H2746" i="4"/>
  <c r="H2764" i="4"/>
  <c r="H2787" i="4"/>
  <c r="H2810" i="4"/>
  <c r="H2828" i="4"/>
  <c r="H2851" i="4"/>
  <c r="H2874" i="4"/>
  <c r="H2892" i="4"/>
  <c r="H2915" i="4"/>
  <c r="H2938" i="4"/>
  <c r="H2956" i="4"/>
  <c r="H2979" i="4"/>
  <c r="H3002" i="4"/>
  <c r="H3020" i="4"/>
  <c r="H3043" i="4"/>
  <c r="H3061" i="4"/>
  <c r="H3077" i="4"/>
  <c r="H3093" i="4"/>
  <c r="H3109" i="4"/>
  <c r="H3125" i="4"/>
  <c r="H3141" i="4"/>
  <c r="H3157" i="4"/>
  <c r="H3173" i="4"/>
  <c r="H3185" i="4"/>
  <c r="H3195" i="4"/>
  <c r="H3205" i="4"/>
  <c r="H3217" i="4"/>
  <c r="H3227" i="4"/>
  <c r="H3237" i="4"/>
  <c r="H3249" i="4"/>
  <c r="H3259" i="4"/>
  <c r="H3269" i="4"/>
  <c r="H3281" i="4"/>
  <c r="H3291" i="4"/>
  <c r="H3301" i="4"/>
  <c r="H3313" i="4"/>
  <c r="H3323" i="4"/>
  <c r="H3333" i="4"/>
  <c r="H3345" i="4"/>
  <c r="H3355" i="4"/>
  <c r="H3365" i="4"/>
  <c r="H3377" i="4"/>
  <c r="H3387" i="4"/>
  <c r="H3397" i="4"/>
  <c r="H3408" i="4"/>
  <c r="H3417" i="4"/>
  <c r="H3426" i="4"/>
  <c r="H3435" i="4"/>
  <c r="H3444" i="4"/>
  <c r="H3452" i="4"/>
  <c r="H3460" i="4"/>
  <c r="H3468" i="4"/>
  <c r="H3476" i="4"/>
  <c r="H3484" i="4"/>
  <c r="H3492" i="4"/>
  <c r="H3500" i="4"/>
  <c r="H3508" i="4"/>
  <c r="H3516" i="4"/>
  <c r="H3524" i="4"/>
  <c r="H3532" i="4"/>
  <c r="H3540" i="4"/>
  <c r="H3548" i="4"/>
  <c r="H3556" i="4"/>
  <c r="H3564" i="4"/>
  <c r="H3572" i="4"/>
  <c r="H3580" i="4"/>
  <c r="H3588" i="4"/>
  <c r="H3596" i="4"/>
  <c r="H3604" i="4"/>
  <c r="H3612" i="4"/>
  <c r="H3620" i="4"/>
  <c r="H3628" i="4"/>
  <c r="H3636" i="4"/>
  <c r="H3644" i="4"/>
  <c r="H3652" i="4"/>
  <c r="H3660" i="4"/>
  <c r="H3668" i="4"/>
  <c r="H3676" i="4"/>
  <c r="H3684" i="4"/>
  <c r="H3692" i="4"/>
  <c r="H3700" i="4"/>
  <c r="H3708" i="4"/>
  <c r="H3716" i="4"/>
  <c r="H3724" i="4"/>
  <c r="H3732" i="4"/>
  <c r="H3740" i="4"/>
  <c r="H3748" i="4"/>
  <c r="H3756" i="4"/>
  <c r="H3764" i="4"/>
  <c r="H3772" i="4"/>
  <c r="H3780" i="4"/>
  <c r="H3788" i="4"/>
  <c r="H3796" i="4"/>
  <c r="H3804" i="4"/>
  <c r="H3812" i="4"/>
  <c r="H3820" i="4"/>
  <c r="H3828" i="4"/>
  <c r="H3836" i="4"/>
  <c r="H3844" i="4"/>
  <c r="H3852" i="4"/>
  <c r="H3860" i="4"/>
  <c r="H3868" i="4"/>
  <c r="H3876" i="4"/>
  <c r="H3884" i="4"/>
  <c r="H3892" i="4"/>
  <c r="H3900" i="4"/>
  <c r="H3908" i="4"/>
  <c r="H3916" i="4"/>
  <c r="H3924" i="4"/>
  <c r="H3932" i="4"/>
  <c r="H1532" i="4"/>
  <c r="H1692" i="4"/>
  <c r="H1828" i="4"/>
  <c r="H1932" i="4"/>
  <c r="H2026" i="4"/>
  <c r="H2125" i="4"/>
  <c r="H2213" i="4"/>
  <c r="H2280" i="4"/>
  <c r="H2332" i="4"/>
  <c r="H2376" i="4"/>
  <c r="H2418" i="4"/>
  <c r="H2456" i="4"/>
  <c r="H2492" i="4"/>
  <c r="H2529" i="4"/>
  <c r="H2564" i="4"/>
  <c r="H2596" i="4"/>
  <c r="H2628" i="4"/>
  <c r="H2660" i="4"/>
  <c r="H2683" i="4"/>
  <c r="H2706" i="4"/>
  <c r="H2724" i="4"/>
  <c r="H2747" i="4"/>
  <c r="H2770" i="4"/>
  <c r="H2788" i="4"/>
  <c r="H2811" i="4"/>
  <c r="H2834" i="4"/>
  <c r="H2852" i="4"/>
  <c r="H2875" i="4"/>
  <c r="H2898" i="4"/>
  <c r="H2916" i="4"/>
  <c r="H2939" i="4"/>
  <c r="H2962" i="4"/>
  <c r="H2980" i="4"/>
  <c r="H3003" i="4"/>
  <c r="H3026" i="4"/>
  <c r="H3044" i="4"/>
  <c r="H3066" i="4"/>
  <c r="H3082" i="4"/>
  <c r="H3098" i="4"/>
  <c r="H3114" i="4"/>
  <c r="H3130" i="4"/>
  <c r="H3146" i="4"/>
  <c r="H3162" i="4"/>
  <c r="H3176" i="4"/>
  <c r="H3186" i="4"/>
  <c r="H3196" i="4"/>
  <c r="H3208" i="4"/>
  <c r="H3218" i="4"/>
  <c r="H3228" i="4"/>
  <c r="H3240" i="4"/>
  <c r="H3250" i="4"/>
  <c r="H3260" i="4"/>
  <c r="H3272" i="4"/>
  <c r="H1565" i="4"/>
  <c r="H1726" i="4"/>
  <c r="H1851" i="4"/>
  <c r="H1952" i="4"/>
  <c r="H2051" i="4"/>
  <c r="H2145" i="4"/>
  <c r="H2227" i="4"/>
  <c r="H2292" i="4"/>
  <c r="H2342" i="4"/>
  <c r="H2385" i="4"/>
  <c r="H2427" i="4"/>
  <c r="H2464" i="4"/>
  <c r="H2500" i="4"/>
  <c r="H2537" i="4"/>
  <c r="H2571" i="4"/>
  <c r="H2603" i="4"/>
  <c r="H2635" i="4"/>
  <c r="H2666" i="4"/>
  <c r="H2684" i="4"/>
  <c r="H2707" i="4"/>
  <c r="H2730" i="4"/>
  <c r="H2748" i="4"/>
  <c r="H2771" i="4"/>
  <c r="H2794" i="4"/>
  <c r="H2812" i="4"/>
  <c r="H2835" i="4"/>
  <c r="H2858" i="4"/>
  <c r="H2876" i="4"/>
  <c r="H2899" i="4"/>
  <c r="H2922" i="4"/>
  <c r="H2940" i="4"/>
  <c r="H2963" i="4"/>
  <c r="H2986" i="4"/>
  <c r="H3004" i="4"/>
  <c r="H3027" i="4"/>
  <c r="H3050" i="4"/>
  <c r="H3067" i="4"/>
  <c r="H3083" i="4"/>
  <c r="H3099" i="4"/>
  <c r="H3115" i="4"/>
  <c r="H3131" i="4"/>
  <c r="H3147" i="4"/>
  <c r="H3163" i="4"/>
  <c r="H3177" i="4"/>
  <c r="H3187" i="4"/>
  <c r="H3197" i="4"/>
  <c r="H3209" i="4"/>
  <c r="H3219" i="4"/>
  <c r="H3229" i="4"/>
  <c r="H3241" i="4"/>
  <c r="H3251" i="4"/>
  <c r="H3261" i="4"/>
  <c r="H3273" i="4"/>
  <c r="H3283" i="4"/>
  <c r="H3293" i="4"/>
  <c r="H3305" i="4"/>
  <c r="H3315" i="4"/>
  <c r="H3325" i="4"/>
  <c r="H3337" i="4"/>
  <c r="H3347" i="4"/>
  <c r="H3357" i="4"/>
  <c r="H3369" i="4"/>
  <c r="H3379" i="4"/>
  <c r="H3389" i="4"/>
  <c r="H3401" i="4"/>
  <c r="H3410" i="4"/>
  <c r="H3419" i="4"/>
  <c r="H3428" i="4"/>
  <c r="H3437" i="4"/>
  <c r="H3446" i="4"/>
  <c r="H3454" i="4"/>
  <c r="H3462" i="4"/>
  <c r="H3470" i="4"/>
  <c r="H3478" i="4"/>
  <c r="H3486" i="4"/>
  <c r="H3494" i="4"/>
  <c r="H3502" i="4"/>
  <c r="H3510" i="4"/>
  <c r="H3518" i="4"/>
  <c r="H3526" i="4"/>
  <c r="H3534" i="4"/>
  <c r="H3542" i="4"/>
  <c r="H3550" i="4"/>
  <c r="H3558" i="4"/>
  <c r="H3566" i="4"/>
  <c r="H1566" i="4"/>
  <c r="H1728" i="4"/>
  <c r="H1859" i="4"/>
  <c r="H1953" i="4"/>
  <c r="H2052" i="4"/>
  <c r="H2152" i="4"/>
  <c r="H2232" i="4"/>
  <c r="H2293" i="4"/>
  <c r="H2344" i="4"/>
  <c r="H2386" i="4"/>
  <c r="H2428" i="4"/>
  <c r="H2465" i="4"/>
  <c r="H2501" i="4"/>
  <c r="H2538" i="4"/>
  <c r="H2572" i="4"/>
  <c r="H2604" i="4"/>
  <c r="H2636" i="4"/>
  <c r="H2667" i="4"/>
  <c r="H2690" i="4"/>
  <c r="H2708" i="4"/>
  <c r="H2731" i="4"/>
  <c r="H2754" i="4"/>
  <c r="H2772" i="4"/>
  <c r="H2795" i="4"/>
  <c r="H2818" i="4"/>
  <c r="H2836" i="4"/>
  <c r="H2859" i="4"/>
  <c r="H2882" i="4"/>
  <c r="H2900" i="4"/>
  <c r="H2923" i="4"/>
  <c r="H2946" i="4"/>
  <c r="H2964" i="4"/>
  <c r="H2987" i="4"/>
  <c r="H3010" i="4"/>
  <c r="H3028" i="4"/>
  <c r="H3051" i="4"/>
  <c r="H3068" i="4"/>
  <c r="H3084" i="4"/>
  <c r="H1612" i="4"/>
  <c r="H2353" i="4"/>
  <c r="H2643" i="4"/>
  <c r="H2819" i="4"/>
  <c r="H2988" i="4"/>
  <c r="H3116" i="4"/>
  <c r="H3178" i="4"/>
  <c r="H3220" i="4"/>
  <c r="H3264" i="4"/>
  <c r="H3296" i="4"/>
  <c r="H3324" i="4"/>
  <c r="H3349" i="4"/>
  <c r="H3380" i="4"/>
  <c r="H3409" i="4"/>
  <c r="H3430" i="4"/>
  <c r="H3455" i="4"/>
  <c r="H3477" i="4"/>
  <c r="H3496" i="4"/>
  <c r="H3519" i="4"/>
  <c r="H3541" i="4"/>
  <c r="H3560" i="4"/>
  <c r="H3581" i="4"/>
  <c r="H3597" i="4"/>
  <c r="H3613" i="4"/>
  <c r="H3629" i="4"/>
  <c r="H3645" i="4"/>
  <c r="H3656" i="4"/>
  <c r="H3670" i="4"/>
  <c r="H3682" i="4"/>
  <c r="H3695" i="4"/>
  <c r="H3709" i="4"/>
  <c r="H3720" i="4"/>
  <c r="H3734" i="4"/>
  <c r="H3746" i="4"/>
  <c r="H3759" i="4"/>
  <c r="H3773" i="4"/>
  <c r="H3784" i="4"/>
  <c r="H3798" i="4"/>
  <c r="H3810" i="4"/>
  <c r="H3823" i="4"/>
  <c r="H3837" i="4"/>
  <c r="H3848" i="4"/>
  <c r="H3861" i="4"/>
  <c r="H3871" i="4"/>
  <c r="H3882" i="4"/>
  <c r="H3893" i="4"/>
  <c r="H3903" i="4"/>
  <c r="H3914" i="4"/>
  <c r="H3925" i="4"/>
  <c r="H3935" i="4"/>
  <c r="H3944" i="4"/>
  <c r="H3953" i="4"/>
  <c r="H3961" i="4"/>
  <c r="H3969" i="4"/>
  <c r="H3977" i="4"/>
  <c r="H3985" i="4"/>
  <c r="H3993" i="4"/>
  <c r="H4001" i="4"/>
  <c r="H4009" i="4"/>
  <c r="H4017" i="4"/>
  <c r="H4025" i="4"/>
  <c r="H4033" i="4"/>
  <c r="H4041" i="4"/>
  <c r="H4049" i="4"/>
  <c r="H4057" i="4"/>
  <c r="H4065" i="4"/>
  <c r="H1756" i="4"/>
  <c r="H2396" i="4"/>
  <c r="H2668" i="4"/>
  <c r="H2842" i="4"/>
  <c r="H3011" i="4"/>
  <c r="H3117" i="4"/>
  <c r="H3179" i="4"/>
  <c r="H3221" i="4"/>
  <c r="H3265" i="4"/>
  <c r="H3297" i="4"/>
  <c r="H3328" i="4"/>
  <c r="H3356" i="4"/>
  <c r="H3381" i="4"/>
  <c r="H3411" i="4"/>
  <c r="H3436" i="4"/>
  <c r="H3456" i="4"/>
  <c r="H3479" i="4"/>
  <c r="H3501" i="4"/>
  <c r="H3520" i="4"/>
  <c r="H3543" i="4"/>
  <c r="H3565" i="4"/>
  <c r="H3582" i="4"/>
  <c r="H3598" i="4"/>
  <c r="H3614" i="4"/>
  <c r="H3630" i="4"/>
  <c r="H3646" i="4"/>
  <c r="H3658" i="4"/>
  <c r="H3671" i="4"/>
  <c r="H3685" i="4"/>
  <c r="H3696" i="4"/>
  <c r="H3710" i="4"/>
  <c r="H3722" i="4"/>
  <c r="H3735" i="4"/>
  <c r="H3749" i="4"/>
  <c r="H3760" i="4"/>
  <c r="H3774" i="4"/>
  <c r="H3786" i="4"/>
  <c r="H3799" i="4"/>
  <c r="H3813" i="4"/>
  <c r="H3824" i="4"/>
  <c r="H3838" i="4"/>
  <c r="H3850" i="4"/>
  <c r="H3862" i="4"/>
  <c r="H3872" i="4"/>
  <c r="H3883" i="4"/>
  <c r="H3894" i="4"/>
  <c r="H3904" i="4"/>
  <c r="H3915" i="4"/>
  <c r="H3926" i="4"/>
  <c r="H3936" i="4"/>
  <c r="H3946" i="4"/>
  <c r="H3954" i="4"/>
  <c r="H3962" i="4"/>
  <c r="H3970" i="4"/>
  <c r="H3978" i="4"/>
  <c r="H3986" i="4"/>
  <c r="H3994" i="4"/>
  <c r="H4002" i="4"/>
  <c r="H4010" i="4"/>
  <c r="H4018" i="4"/>
  <c r="H4026" i="4"/>
  <c r="H4034" i="4"/>
  <c r="H4042" i="4"/>
  <c r="H4050" i="4"/>
  <c r="H4058" i="4"/>
  <c r="H4066" i="4"/>
  <c r="H4074" i="4"/>
  <c r="H4082" i="4"/>
  <c r="H4090" i="4"/>
  <c r="H4098" i="4"/>
  <c r="H4106" i="4"/>
  <c r="H4114" i="4"/>
  <c r="H4122" i="4"/>
  <c r="H4130" i="4"/>
  <c r="H4138" i="4"/>
  <c r="H4146" i="4"/>
  <c r="H4154" i="4"/>
  <c r="H4162" i="4"/>
  <c r="H4170" i="4"/>
  <c r="H4178" i="4"/>
  <c r="H4186" i="4"/>
  <c r="H4194" i="4"/>
  <c r="H4202" i="4"/>
  <c r="H4210" i="4"/>
  <c r="H4218" i="4"/>
  <c r="H4226" i="4"/>
  <c r="H4234" i="4"/>
  <c r="H4242" i="4"/>
  <c r="H4250" i="4"/>
  <c r="H4258" i="4"/>
  <c r="H4266" i="4"/>
  <c r="H4274" i="4"/>
  <c r="H4282" i="4"/>
  <c r="H4290" i="4"/>
  <c r="H4298" i="4"/>
  <c r="H4306" i="4"/>
  <c r="H4314" i="4"/>
  <c r="H4322" i="4"/>
  <c r="H4330" i="4"/>
  <c r="H4338" i="4"/>
  <c r="H4346" i="4"/>
  <c r="H4354" i="4"/>
  <c r="H4362" i="4"/>
  <c r="H4370" i="4"/>
  <c r="H4378" i="4"/>
  <c r="H4386" i="4"/>
  <c r="H4394" i="4"/>
  <c r="H4402" i="4"/>
  <c r="H4410" i="4"/>
  <c r="H4418" i="4"/>
  <c r="H4426" i="4"/>
  <c r="H4434" i="4"/>
  <c r="H4442" i="4"/>
  <c r="H4450" i="4"/>
  <c r="H4458" i="4"/>
  <c r="H4466" i="4"/>
  <c r="H4474" i="4"/>
  <c r="H4482" i="4"/>
  <c r="H4490" i="4"/>
  <c r="H4498" i="4"/>
  <c r="H4506" i="4"/>
  <c r="H4514" i="4"/>
  <c r="H4522" i="4"/>
  <c r="H4530" i="4"/>
  <c r="H4538" i="4"/>
  <c r="H4546" i="4"/>
  <c r="H4554" i="4"/>
  <c r="H4562" i="4"/>
  <c r="H4570" i="4"/>
  <c r="H4578" i="4"/>
  <c r="H4586" i="4"/>
  <c r="H4594" i="4"/>
  <c r="H4602" i="4"/>
  <c r="H4610" i="4"/>
  <c r="H4618" i="4"/>
  <c r="H4626" i="4"/>
  <c r="H4634" i="4"/>
  <c r="H4642" i="4"/>
  <c r="H4650" i="4"/>
  <c r="H4658" i="4"/>
  <c r="H4666" i="4"/>
  <c r="H4674" i="4"/>
  <c r="H4682" i="4"/>
  <c r="H4690" i="4"/>
  <c r="H4698" i="4"/>
  <c r="H4706" i="4"/>
  <c r="H4714" i="4"/>
  <c r="H4722" i="4"/>
  <c r="H4730" i="4"/>
  <c r="H4738" i="4"/>
  <c r="H4746" i="4"/>
  <c r="H4754" i="4"/>
  <c r="H4762" i="4"/>
  <c r="H4770" i="4"/>
  <c r="H4778" i="4"/>
  <c r="H4786" i="4"/>
  <c r="H4794" i="4"/>
  <c r="H4802" i="4"/>
  <c r="H4810" i="4"/>
  <c r="H4818" i="4"/>
  <c r="H4826" i="4"/>
  <c r="H4834" i="4"/>
  <c r="H4842" i="4"/>
  <c r="H4850" i="4"/>
  <c r="H4858" i="4"/>
  <c r="H4866" i="4"/>
  <c r="H4874" i="4"/>
  <c r="H4882" i="4"/>
  <c r="H4890" i="4"/>
  <c r="H4898" i="4"/>
  <c r="H1878" i="4"/>
  <c r="H2436" i="4"/>
  <c r="H2691" i="4"/>
  <c r="H2860" i="4"/>
  <c r="H3034" i="4"/>
  <c r="H3132" i="4"/>
  <c r="H3188" i="4"/>
  <c r="H3232" i="4"/>
  <c r="H3274" i="4"/>
  <c r="H3304" i="4"/>
  <c r="H3329" i="4"/>
  <c r="H3360" i="4"/>
  <c r="H3388" i="4"/>
  <c r="H3412" i="4"/>
  <c r="H3438" i="4"/>
  <c r="H3461" i="4"/>
  <c r="H3480" i="4"/>
  <c r="H3503" i="4"/>
  <c r="H3525" i="4"/>
  <c r="H3544" i="4"/>
  <c r="H3567" i="4"/>
  <c r="H3583" i="4"/>
  <c r="H3599" i="4"/>
  <c r="H3615" i="4"/>
  <c r="H3631" i="4"/>
  <c r="H3647" i="4"/>
  <c r="H3661" i="4"/>
  <c r="H3672" i="4"/>
  <c r="H3686" i="4"/>
  <c r="H3698" i="4"/>
  <c r="H3711" i="4"/>
  <c r="H3725" i="4"/>
  <c r="H3736" i="4"/>
  <c r="H3750" i="4"/>
  <c r="H3762" i="4"/>
  <c r="H3775" i="4"/>
  <c r="H3789" i="4"/>
  <c r="H3800" i="4"/>
  <c r="H3814" i="4"/>
  <c r="H3826" i="4"/>
  <c r="H3839" i="4"/>
  <c r="H3853" i="4"/>
  <c r="H3863" i="4"/>
  <c r="H3874" i="4"/>
  <c r="H3885" i="4"/>
  <c r="H3895" i="4"/>
  <c r="H3906" i="4"/>
  <c r="H3917" i="4"/>
  <c r="H3927" i="4"/>
  <c r="H3938" i="4"/>
  <c r="H3947" i="4"/>
  <c r="H3955" i="4"/>
  <c r="H3963" i="4"/>
  <c r="H3971" i="4"/>
  <c r="H3979" i="4"/>
  <c r="H3987" i="4"/>
  <c r="H3995" i="4"/>
  <c r="H4003" i="4"/>
  <c r="H4011" i="4"/>
  <c r="H4019" i="4"/>
  <c r="H4027" i="4"/>
  <c r="H4035" i="4"/>
  <c r="H4043" i="4"/>
  <c r="H4051" i="4"/>
  <c r="H4059" i="4"/>
  <c r="H4067" i="4"/>
  <c r="H4075" i="4"/>
  <c r="H4083" i="4"/>
  <c r="H4091" i="4"/>
  <c r="H4099" i="4"/>
  <c r="H4107" i="4"/>
  <c r="H4115" i="4"/>
  <c r="H4123" i="4"/>
  <c r="H4131" i="4"/>
  <c r="H4139" i="4"/>
  <c r="H4147" i="4"/>
  <c r="H4155" i="4"/>
  <c r="H4163" i="4"/>
  <c r="H4171" i="4"/>
  <c r="H4179" i="4"/>
  <c r="H4187" i="4"/>
  <c r="H4195" i="4"/>
  <c r="H4203" i="4"/>
  <c r="H4211" i="4"/>
  <c r="H4219" i="4"/>
  <c r="H4227" i="4"/>
  <c r="H4235" i="4"/>
  <c r="H4243" i="4"/>
  <c r="H4251" i="4"/>
  <c r="H4259" i="4"/>
  <c r="H4267" i="4"/>
  <c r="H4275" i="4"/>
  <c r="H4283" i="4"/>
  <c r="H4291" i="4"/>
  <c r="H4299" i="4"/>
  <c r="H4307" i="4"/>
  <c r="H4315" i="4"/>
  <c r="H4323" i="4"/>
  <c r="H4331" i="4"/>
  <c r="H4339" i="4"/>
  <c r="H4347" i="4"/>
  <c r="H4355" i="4"/>
  <c r="H4363" i="4"/>
  <c r="H4371" i="4"/>
  <c r="H4379" i="4"/>
  <c r="H4387" i="4"/>
  <c r="H4395" i="4"/>
  <c r="H4403" i="4"/>
  <c r="H4411" i="4"/>
  <c r="H4419" i="4"/>
  <c r="H4427" i="4"/>
  <c r="H4435" i="4"/>
  <c r="H4443" i="4"/>
  <c r="H4451" i="4"/>
  <c r="H4459" i="4"/>
  <c r="H4467" i="4"/>
  <c r="H4475" i="4"/>
  <c r="H4483" i="4"/>
  <c r="H4491" i="4"/>
  <c r="H4499" i="4"/>
  <c r="H4507" i="4"/>
  <c r="H4515" i="4"/>
  <c r="H4523" i="4"/>
  <c r="H4531" i="4"/>
  <c r="H4539" i="4"/>
  <c r="H4547" i="4"/>
  <c r="H4555" i="4"/>
  <c r="H4563" i="4"/>
  <c r="H4571" i="4"/>
  <c r="H4579" i="4"/>
  <c r="H4587" i="4"/>
  <c r="H4595" i="4"/>
  <c r="H4603" i="4"/>
  <c r="H4611" i="4"/>
  <c r="H4619" i="4"/>
  <c r="H4627" i="4"/>
  <c r="H4635" i="4"/>
  <c r="H4643" i="4"/>
  <c r="H4651" i="4"/>
  <c r="H4659" i="4"/>
  <c r="H4667" i="4"/>
  <c r="H4675" i="4"/>
  <c r="H4683" i="4"/>
  <c r="H4691" i="4"/>
  <c r="H4699" i="4"/>
  <c r="H4707" i="4"/>
  <c r="H4715" i="4"/>
  <c r="H4723" i="4"/>
  <c r="H4731" i="4"/>
  <c r="H4739" i="4"/>
  <c r="H4747" i="4"/>
  <c r="H4755" i="4"/>
  <c r="H4763" i="4"/>
  <c r="H4771" i="4"/>
  <c r="H4779" i="4"/>
  <c r="H4787" i="4"/>
  <c r="H4795" i="4"/>
  <c r="H4803" i="4"/>
  <c r="H4811" i="4"/>
  <c r="H4819" i="4"/>
  <c r="H4827" i="4"/>
  <c r="H4835" i="4"/>
  <c r="H4843" i="4"/>
  <c r="H4851" i="4"/>
  <c r="H4859" i="4"/>
  <c r="H1978" i="4"/>
  <c r="H2473" i="4"/>
  <c r="H2714" i="4"/>
  <c r="H2883" i="4"/>
  <c r="H3052" i="4"/>
  <c r="H3133" i="4"/>
  <c r="H3189" i="4"/>
  <c r="H3233" i="4"/>
  <c r="H3275" i="4"/>
  <c r="H3306" i="4"/>
  <c r="H3336" i="4"/>
  <c r="H3361" i="4"/>
  <c r="H3392" i="4"/>
  <c r="H3418" i="4"/>
  <c r="H3440" i="4"/>
  <c r="H3463" i="4"/>
  <c r="H3485" i="4"/>
  <c r="H3504" i="4"/>
  <c r="H3527" i="4"/>
  <c r="H3549" i="4"/>
  <c r="H3568" i="4"/>
  <c r="H3584" i="4"/>
  <c r="H3600" i="4"/>
  <c r="H3616" i="4"/>
  <c r="H3632" i="4"/>
  <c r="H3648" i="4"/>
  <c r="H3662" i="4"/>
  <c r="H3674" i="4"/>
  <c r="H3687" i="4"/>
  <c r="H3701" i="4"/>
  <c r="H3712" i="4"/>
  <c r="H3726" i="4"/>
  <c r="H3738" i="4"/>
  <c r="H3751" i="4"/>
  <c r="H3765" i="4"/>
  <c r="H3776" i="4"/>
  <c r="H3790" i="4"/>
  <c r="H3802" i="4"/>
  <c r="H3815" i="4"/>
  <c r="H3829" i="4"/>
  <c r="H3840" i="4"/>
  <c r="H3854" i="4"/>
  <c r="H3864" i="4"/>
  <c r="H3875" i="4"/>
  <c r="H3886" i="4"/>
  <c r="H3896" i="4"/>
  <c r="H3907" i="4"/>
  <c r="H3918" i="4"/>
  <c r="H3928" i="4"/>
  <c r="H3939" i="4"/>
  <c r="H3948" i="4"/>
  <c r="H3956" i="4"/>
  <c r="H3964" i="4"/>
  <c r="H3972" i="4"/>
  <c r="H3980" i="4"/>
  <c r="H3988" i="4"/>
  <c r="H3996" i="4"/>
  <c r="H4004" i="4"/>
  <c r="H4012" i="4"/>
  <c r="H4020" i="4"/>
  <c r="H4028" i="4"/>
  <c r="H4036" i="4"/>
  <c r="H4044" i="4"/>
  <c r="H4052" i="4"/>
  <c r="H4060" i="4"/>
  <c r="H4068" i="4"/>
  <c r="H4076" i="4"/>
  <c r="H4084" i="4"/>
  <c r="H4092" i="4"/>
  <c r="H4100" i="4"/>
  <c r="H4108" i="4"/>
  <c r="H4116" i="4"/>
  <c r="H4124" i="4"/>
  <c r="H4132" i="4"/>
  <c r="H4140" i="4"/>
  <c r="H4148" i="4"/>
  <c r="H4156" i="4"/>
  <c r="H4164" i="4"/>
  <c r="H4172" i="4"/>
  <c r="H4180" i="4"/>
  <c r="H4188" i="4"/>
  <c r="H4196" i="4"/>
  <c r="H4204" i="4"/>
  <c r="H4212" i="4"/>
  <c r="H4220" i="4"/>
  <c r="H4228" i="4"/>
  <c r="H4236" i="4"/>
  <c r="H4244" i="4"/>
  <c r="H4252" i="4"/>
  <c r="H4260" i="4"/>
  <c r="H4268" i="4"/>
  <c r="H4276" i="4"/>
  <c r="H4284" i="4"/>
  <c r="H4292" i="4"/>
  <c r="H4300" i="4"/>
  <c r="H4308" i="4"/>
  <c r="H4316" i="4"/>
  <c r="H4324" i="4"/>
  <c r="H4332" i="4"/>
  <c r="H4340" i="4"/>
  <c r="H4348" i="4"/>
  <c r="H4356" i="4"/>
  <c r="H4364" i="4"/>
  <c r="H2072" i="4"/>
  <c r="H2509" i="4"/>
  <c r="H2732" i="4"/>
  <c r="H2906" i="4"/>
  <c r="H3069" i="4"/>
  <c r="H3148" i="4"/>
  <c r="H3200" i="4"/>
  <c r="H3242" i="4"/>
  <c r="H3282" i="4"/>
  <c r="H3307" i="4"/>
  <c r="H3338" i="4"/>
  <c r="H3368" i="4"/>
  <c r="H3393" i="4"/>
  <c r="H3420" i="4"/>
  <c r="H3445" i="4"/>
  <c r="H3464" i="4"/>
  <c r="H3487" i="4"/>
  <c r="H3509" i="4"/>
  <c r="H3528" i="4"/>
  <c r="H3551" i="4"/>
  <c r="H3573" i="4"/>
  <c r="H3589" i="4"/>
  <c r="H3605" i="4"/>
  <c r="H3621" i="4"/>
  <c r="H3637" i="4"/>
  <c r="H3650" i="4"/>
  <c r="H3663" i="4"/>
  <c r="H3677" i="4"/>
  <c r="H3688" i="4"/>
  <c r="H3702" i="4"/>
  <c r="H3714" i="4"/>
  <c r="H3727" i="4"/>
  <c r="H3741" i="4"/>
  <c r="H3752" i="4"/>
  <c r="H3766" i="4"/>
  <c r="H3778" i="4"/>
  <c r="H3791" i="4"/>
  <c r="H3805" i="4"/>
  <c r="H3816" i="4"/>
  <c r="H3830" i="4"/>
  <c r="H3842" i="4"/>
  <c r="H3855" i="4"/>
  <c r="H3866" i="4"/>
  <c r="H3877" i="4"/>
  <c r="H3887" i="4"/>
  <c r="H3898" i="4"/>
  <c r="H3909" i="4"/>
  <c r="H3919" i="4"/>
  <c r="H3930" i="4"/>
  <c r="H3940" i="4"/>
  <c r="H3949" i="4"/>
  <c r="H3957" i="4"/>
  <c r="H3965" i="4"/>
  <c r="H3973" i="4"/>
  <c r="H3981" i="4"/>
  <c r="H3989" i="4"/>
  <c r="H3997" i="4"/>
  <c r="H4005" i="4"/>
  <c r="H4013" i="4"/>
  <c r="H4021" i="4"/>
  <c r="H4029" i="4"/>
  <c r="H4037" i="4"/>
  <c r="H4045" i="4"/>
  <c r="H4053" i="4"/>
  <c r="H4061" i="4"/>
  <c r="H4069" i="4"/>
  <c r="H4077" i="4"/>
  <c r="H4085" i="4"/>
  <c r="H4093" i="4"/>
  <c r="H4101" i="4"/>
  <c r="H4109" i="4"/>
  <c r="H4117" i="4"/>
  <c r="H4125" i="4"/>
  <c r="H4133" i="4"/>
  <c r="H4141" i="4"/>
  <c r="H4149" i="4"/>
  <c r="H4157" i="4"/>
  <c r="H2171" i="4"/>
  <c r="H2546" i="4"/>
  <c r="H2755" i="4"/>
  <c r="H2924" i="4"/>
  <c r="H3085" i="4"/>
  <c r="H3149" i="4"/>
  <c r="H3201" i="4"/>
  <c r="H3243" i="4"/>
  <c r="H3284" i="4"/>
  <c r="H3314" i="4"/>
  <c r="H3339" i="4"/>
  <c r="H3370" i="4"/>
  <c r="H3400" i="4"/>
  <c r="H3421" i="4"/>
  <c r="H3447" i="4"/>
  <c r="H3469" i="4"/>
  <c r="H3488" i="4"/>
  <c r="H3511" i="4"/>
  <c r="H3533" i="4"/>
  <c r="H3552" i="4"/>
  <c r="H3574" i="4"/>
  <c r="H3590" i="4"/>
  <c r="H3606" i="4"/>
  <c r="H3622" i="4"/>
  <c r="H3638" i="4"/>
  <c r="H3653" i="4"/>
  <c r="H3664" i="4"/>
  <c r="H3678" i="4"/>
  <c r="H3690" i="4"/>
  <c r="H3703" i="4"/>
  <c r="H3717" i="4"/>
  <c r="H3728" i="4"/>
  <c r="H3742" i="4"/>
  <c r="H3754" i="4"/>
  <c r="H3767" i="4"/>
  <c r="H3781" i="4"/>
  <c r="H3792" i="4"/>
  <c r="H3806" i="4"/>
  <c r="H3818" i="4"/>
  <c r="H3831" i="4"/>
  <c r="H3845" i="4"/>
  <c r="H3856" i="4"/>
  <c r="H3867" i="4"/>
  <c r="H3878" i="4"/>
  <c r="H3888" i="4"/>
  <c r="H3899" i="4"/>
  <c r="H3910" i="4"/>
  <c r="H3920" i="4"/>
  <c r="H3931" i="4"/>
  <c r="H3941" i="4"/>
  <c r="H3950" i="4"/>
  <c r="H3958" i="4"/>
  <c r="H3966" i="4"/>
  <c r="H3974" i="4"/>
  <c r="H3982" i="4"/>
  <c r="H3990" i="4"/>
  <c r="H3998" i="4"/>
  <c r="H4006" i="4"/>
  <c r="H4014" i="4"/>
  <c r="H4022" i="4"/>
  <c r="H4030" i="4"/>
  <c r="H4038" i="4"/>
  <c r="H4046" i="4"/>
  <c r="H4054" i="4"/>
  <c r="H4062" i="4"/>
  <c r="H4070" i="4"/>
  <c r="H4078" i="4"/>
  <c r="H4086" i="4"/>
  <c r="H4094" i="4"/>
  <c r="H4102" i="4"/>
  <c r="H4110" i="4"/>
  <c r="H4118" i="4"/>
  <c r="H4126" i="4"/>
  <c r="H4134" i="4"/>
  <c r="H4142" i="4"/>
  <c r="H4150" i="4"/>
  <c r="H4158" i="4"/>
  <c r="H4166" i="4"/>
  <c r="H4174" i="4"/>
  <c r="H4182" i="4"/>
  <c r="H4190" i="4"/>
  <c r="H4198" i="4"/>
  <c r="H4206" i="4"/>
  <c r="H4214" i="4"/>
  <c r="H4222" i="4"/>
  <c r="H4230" i="4"/>
  <c r="H4238" i="4"/>
  <c r="H4246" i="4"/>
  <c r="H4254" i="4"/>
  <c r="H4262" i="4"/>
  <c r="H4270" i="4"/>
  <c r="H2245" i="4"/>
  <c r="H3100" i="4"/>
  <c r="H3285" i="4"/>
  <c r="H3402" i="4"/>
  <c r="H3493" i="4"/>
  <c r="H3575" i="4"/>
  <c r="H3639" i="4"/>
  <c r="H3693" i="4"/>
  <c r="H3743" i="4"/>
  <c r="H3794" i="4"/>
  <c r="H3846" i="4"/>
  <c r="H3890" i="4"/>
  <c r="H3933" i="4"/>
  <c r="H3967" i="4"/>
  <c r="H3999" i="4"/>
  <c r="H4031" i="4"/>
  <c r="H4063" i="4"/>
  <c r="H4087" i="4"/>
  <c r="H4105" i="4"/>
  <c r="H4128" i="4"/>
  <c r="H4151" i="4"/>
  <c r="H4168" i="4"/>
  <c r="H4184" i="4"/>
  <c r="H4200" i="4"/>
  <c r="H4216" i="4"/>
  <c r="H4232" i="4"/>
  <c r="H4248" i="4"/>
  <c r="H4264" i="4"/>
  <c r="H4279" i="4"/>
  <c r="H4293" i="4"/>
  <c r="H4304" i="4"/>
  <c r="H4318" i="4"/>
  <c r="H4329" i="4"/>
  <c r="H4343" i="4"/>
  <c r="H4357" i="4"/>
  <c r="H4368" i="4"/>
  <c r="H4380" i="4"/>
  <c r="H4390" i="4"/>
  <c r="H4400" i="4"/>
  <c r="H4412" i="4"/>
  <c r="H4422" i="4"/>
  <c r="H4432" i="4"/>
  <c r="H4444" i="4"/>
  <c r="H4454" i="4"/>
  <c r="H4464" i="4"/>
  <c r="H4476" i="4"/>
  <c r="H4486" i="4"/>
  <c r="H4496" i="4"/>
  <c r="H4508" i="4"/>
  <c r="H4518" i="4"/>
  <c r="H4528" i="4"/>
  <c r="H4540" i="4"/>
  <c r="H4550" i="4"/>
  <c r="H4560" i="4"/>
  <c r="H4572" i="4"/>
  <c r="H4582" i="4"/>
  <c r="H4592" i="4"/>
  <c r="H4604" i="4"/>
  <c r="H4614" i="4"/>
  <c r="H4624" i="4"/>
  <c r="H4636" i="4"/>
  <c r="H4646" i="4"/>
  <c r="H4656" i="4"/>
  <c r="H4668" i="4"/>
  <c r="H4678" i="4"/>
  <c r="H4688" i="4"/>
  <c r="H4700" i="4"/>
  <c r="H4710" i="4"/>
  <c r="H4720" i="4"/>
  <c r="H4732" i="4"/>
  <c r="H4742" i="4"/>
  <c r="H4752" i="4"/>
  <c r="H4764" i="4"/>
  <c r="H4774" i="4"/>
  <c r="H4784" i="4"/>
  <c r="H4796" i="4"/>
  <c r="H4806" i="4"/>
  <c r="H4816" i="4"/>
  <c r="H4828" i="4"/>
  <c r="H4838" i="4"/>
  <c r="H4848" i="4"/>
  <c r="H4860" i="4"/>
  <c r="H4869" i="4"/>
  <c r="H4878" i="4"/>
  <c r="H4887" i="4"/>
  <c r="H4896" i="4"/>
  <c r="H4905" i="4"/>
  <c r="H4913" i="4"/>
  <c r="H4921" i="4"/>
  <c r="H4929" i="4"/>
  <c r="H4937" i="4"/>
  <c r="H4945" i="4"/>
  <c r="H4953" i="4"/>
  <c r="H4961" i="4"/>
  <c r="H4969" i="4"/>
  <c r="H4977" i="4"/>
  <c r="H4985" i="4"/>
  <c r="H2304" i="4"/>
  <c r="H3101" i="4"/>
  <c r="H3292" i="4"/>
  <c r="H3403" i="4"/>
  <c r="H3495" i="4"/>
  <c r="H3576" i="4"/>
  <c r="H3640" i="4"/>
  <c r="H3694" i="4"/>
  <c r="H3744" i="4"/>
  <c r="H3797" i="4"/>
  <c r="H3847" i="4"/>
  <c r="H3891" i="4"/>
  <c r="H3934" i="4"/>
  <c r="H3968" i="4"/>
  <c r="H4000" i="4"/>
  <c r="H4032" i="4"/>
  <c r="H4064" i="4"/>
  <c r="H4088" i="4"/>
  <c r="H4111" i="4"/>
  <c r="H4129" i="4"/>
  <c r="H4152" i="4"/>
  <c r="H4169" i="4"/>
  <c r="H4185" i="4"/>
  <c r="H4201" i="4"/>
  <c r="H4217" i="4"/>
  <c r="H4233" i="4"/>
  <c r="H4249" i="4"/>
  <c r="H4265" i="4"/>
  <c r="H4280" i="4"/>
  <c r="H4294" i="4"/>
  <c r="H4305" i="4"/>
  <c r="H4319" i="4"/>
  <c r="H4333" i="4"/>
  <c r="H4344" i="4"/>
  <c r="H4358" i="4"/>
  <c r="H4369" i="4"/>
  <c r="H4381" i="4"/>
  <c r="H4391" i="4"/>
  <c r="H4401" i="4"/>
  <c r="H4413" i="4"/>
  <c r="H4423" i="4"/>
  <c r="H4433" i="4"/>
  <c r="H4445" i="4"/>
  <c r="H4455" i="4"/>
  <c r="H4465" i="4"/>
  <c r="H4477" i="4"/>
  <c r="H4487" i="4"/>
  <c r="H4497" i="4"/>
  <c r="H4509" i="4"/>
  <c r="H4519" i="4"/>
  <c r="H4529" i="4"/>
  <c r="H4541" i="4"/>
  <c r="H4551" i="4"/>
  <c r="H4561" i="4"/>
  <c r="H4573" i="4"/>
  <c r="H4583" i="4"/>
  <c r="H4593" i="4"/>
  <c r="H4605" i="4"/>
  <c r="H4615" i="4"/>
  <c r="H4625" i="4"/>
  <c r="H4637" i="4"/>
  <c r="H4647" i="4"/>
  <c r="H4657" i="4"/>
  <c r="H4669" i="4"/>
  <c r="H4679" i="4"/>
  <c r="H4689" i="4"/>
  <c r="H4701" i="4"/>
  <c r="H4711" i="4"/>
  <c r="H4721" i="4"/>
  <c r="H4733" i="4"/>
  <c r="H4743" i="4"/>
  <c r="H4753" i="4"/>
  <c r="H4765" i="4"/>
  <c r="H4775" i="4"/>
  <c r="H4785" i="4"/>
  <c r="H4797" i="4"/>
  <c r="H4807" i="4"/>
  <c r="H4817" i="4"/>
  <c r="H4829" i="4"/>
  <c r="H4839" i="4"/>
  <c r="H4849" i="4"/>
  <c r="H4861" i="4"/>
  <c r="H4870" i="4"/>
  <c r="H4879" i="4"/>
  <c r="H4888" i="4"/>
  <c r="H4897" i="4"/>
  <c r="H4906" i="4"/>
  <c r="H4914" i="4"/>
  <c r="H4922" i="4"/>
  <c r="H4930" i="4"/>
  <c r="H4938" i="4"/>
  <c r="H4946" i="4"/>
  <c r="H4954" i="4"/>
  <c r="H4962" i="4"/>
  <c r="H4970" i="4"/>
  <c r="H4978" i="4"/>
  <c r="H4986" i="4"/>
  <c r="H2579" i="4"/>
  <c r="H3164" i="4"/>
  <c r="H3316" i="4"/>
  <c r="H3427" i="4"/>
  <c r="H3512" i="4"/>
  <c r="H3591" i="4"/>
  <c r="H3654" i="4"/>
  <c r="H3704" i="4"/>
  <c r="H3757" i="4"/>
  <c r="H3807" i="4"/>
  <c r="H3858" i="4"/>
  <c r="H3901" i="4"/>
  <c r="H3942" i="4"/>
  <c r="H3975" i="4"/>
  <c r="H4007" i="4"/>
  <c r="H4039" i="4"/>
  <c r="H4071" i="4"/>
  <c r="H4089" i="4"/>
  <c r="H4112" i="4"/>
  <c r="H4135" i="4"/>
  <c r="H4153" i="4"/>
  <c r="H4173" i="4"/>
  <c r="H4189" i="4"/>
  <c r="H4205" i="4"/>
  <c r="H4221" i="4"/>
  <c r="H4237" i="4"/>
  <c r="H4253" i="4"/>
  <c r="H4269" i="4"/>
  <c r="H4281" i="4"/>
  <c r="H4295" i="4"/>
  <c r="H4309" i="4"/>
  <c r="H4320" i="4"/>
  <c r="H4334" i="4"/>
  <c r="H4345" i="4"/>
  <c r="H4359" i="4"/>
  <c r="H4372" i="4"/>
  <c r="H4382" i="4"/>
  <c r="H4392" i="4"/>
  <c r="H4404" i="4"/>
  <c r="H4414" i="4"/>
  <c r="H4424" i="4"/>
  <c r="H4436" i="4"/>
  <c r="H4446" i="4"/>
  <c r="H4456" i="4"/>
  <c r="H4468" i="4"/>
  <c r="H4478" i="4"/>
  <c r="H4488" i="4"/>
  <c r="H4500" i="4"/>
  <c r="H4510" i="4"/>
  <c r="H4520" i="4"/>
  <c r="H4532" i="4"/>
  <c r="H4542" i="4"/>
  <c r="H4552" i="4"/>
  <c r="H4564" i="4"/>
  <c r="H4574" i="4"/>
  <c r="H4584" i="4"/>
  <c r="H4596" i="4"/>
  <c r="H4606" i="4"/>
  <c r="H4616" i="4"/>
  <c r="H4628" i="4"/>
  <c r="H4638" i="4"/>
  <c r="H4648" i="4"/>
  <c r="H4660" i="4"/>
  <c r="H4670" i="4"/>
  <c r="H4680" i="4"/>
  <c r="H4692" i="4"/>
  <c r="H4702" i="4"/>
  <c r="H4712" i="4"/>
  <c r="H4724" i="4"/>
  <c r="H4734" i="4"/>
  <c r="H4744" i="4"/>
  <c r="H4756" i="4"/>
  <c r="H4766" i="4"/>
  <c r="H4776" i="4"/>
  <c r="H4788" i="4"/>
  <c r="H4798" i="4"/>
  <c r="H2611" i="4"/>
  <c r="H3165" i="4"/>
  <c r="H3317" i="4"/>
  <c r="H3429" i="4"/>
  <c r="H3517" i="4"/>
  <c r="H3592" i="4"/>
  <c r="H3655" i="4"/>
  <c r="H3706" i="4"/>
  <c r="H3758" i="4"/>
  <c r="H3808" i="4"/>
  <c r="H3859" i="4"/>
  <c r="H3902" i="4"/>
  <c r="H3943" i="4"/>
  <c r="H3976" i="4"/>
  <c r="H4008" i="4"/>
  <c r="H4040" i="4"/>
  <c r="H4072" i="4"/>
  <c r="H4095" i="4"/>
  <c r="H4113" i="4"/>
  <c r="H4136" i="4"/>
  <c r="H4159" i="4"/>
  <c r="H4175" i="4"/>
  <c r="H4191" i="4"/>
  <c r="H4207" i="4"/>
  <c r="H4223" i="4"/>
  <c r="H4239" i="4"/>
  <c r="H4255" i="4"/>
  <c r="H4271" i="4"/>
  <c r="H4285" i="4"/>
  <c r="H4296" i="4"/>
  <c r="H4310" i="4"/>
  <c r="H4321" i="4"/>
  <c r="H4335" i="4"/>
  <c r="H4349" i="4"/>
  <c r="H4360" i="4"/>
  <c r="H4373" i="4"/>
  <c r="H4383" i="4"/>
  <c r="H4393" i="4"/>
  <c r="H4405" i="4"/>
  <c r="H4415" i="4"/>
  <c r="H4425" i="4"/>
  <c r="H4437" i="4"/>
  <c r="H4447" i="4"/>
  <c r="H4457" i="4"/>
  <c r="H4469" i="4"/>
  <c r="H4479" i="4"/>
  <c r="H4489" i="4"/>
  <c r="H4501" i="4"/>
  <c r="H4511" i="4"/>
  <c r="H4521" i="4"/>
  <c r="H4533" i="4"/>
  <c r="H4543" i="4"/>
  <c r="H4553" i="4"/>
  <c r="H4565" i="4"/>
  <c r="H4575" i="4"/>
  <c r="H4585" i="4"/>
  <c r="H4597" i="4"/>
  <c r="H4607" i="4"/>
  <c r="H4617" i="4"/>
  <c r="H4629" i="4"/>
  <c r="H4639" i="4"/>
  <c r="H4649" i="4"/>
  <c r="H4661" i="4"/>
  <c r="H4671" i="4"/>
  <c r="H4681" i="4"/>
  <c r="H4693" i="4"/>
  <c r="H4703" i="4"/>
  <c r="H4713" i="4"/>
  <c r="H4725" i="4"/>
  <c r="H4735" i="4"/>
  <c r="H4745" i="4"/>
  <c r="H4757" i="4"/>
  <c r="H4767" i="4"/>
  <c r="H4777" i="4"/>
  <c r="H4789" i="4"/>
  <c r="H4799" i="4"/>
  <c r="H4809" i="4"/>
  <c r="H4821" i="4"/>
  <c r="H4831" i="4"/>
  <c r="H4841" i="4"/>
  <c r="H4853" i="4"/>
  <c r="H4863" i="4"/>
  <c r="H4872" i="4"/>
  <c r="H4881" i="4"/>
  <c r="H4891" i="4"/>
  <c r="H4900" i="4"/>
  <c r="H4908" i="4"/>
  <c r="H4916" i="4"/>
  <c r="H4924" i="4"/>
  <c r="H4932" i="4"/>
  <c r="H4940" i="4"/>
  <c r="H4948" i="4"/>
  <c r="H4956" i="4"/>
  <c r="H4964" i="4"/>
  <c r="H4972" i="4"/>
  <c r="H4980" i="4"/>
  <c r="H4988" i="4"/>
  <c r="H4996" i="4"/>
  <c r="H5004" i="4"/>
  <c r="H5012" i="4"/>
  <c r="H5020" i="4"/>
  <c r="H5028" i="4"/>
  <c r="H5036" i="4"/>
  <c r="H5044" i="4"/>
  <c r="H5052" i="4"/>
  <c r="H5060" i="4"/>
  <c r="H5068" i="4"/>
  <c r="H2778" i="4"/>
  <c r="H3210" i="4"/>
  <c r="H3346" i="4"/>
  <c r="H3448" i="4"/>
  <c r="H3535" i="4"/>
  <c r="H3607" i="4"/>
  <c r="H3666" i="4"/>
  <c r="H3718" i="4"/>
  <c r="H3768" i="4"/>
  <c r="H3821" i="4"/>
  <c r="H3869" i="4"/>
  <c r="H3911" i="4"/>
  <c r="H3951" i="4"/>
  <c r="H3983" i="4"/>
  <c r="H4015" i="4"/>
  <c r="H4047" i="4"/>
  <c r="H4073" i="4"/>
  <c r="H4096" i="4"/>
  <c r="H4119" i="4"/>
  <c r="H4137" i="4"/>
  <c r="H4160" i="4"/>
  <c r="H4176" i="4"/>
  <c r="H4192" i="4"/>
  <c r="H4208" i="4"/>
  <c r="H4224" i="4"/>
  <c r="H4240" i="4"/>
  <c r="H4256" i="4"/>
  <c r="H4272" i="4"/>
  <c r="H4286" i="4"/>
  <c r="H4297" i="4"/>
  <c r="H4311" i="4"/>
  <c r="H4325" i="4"/>
  <c r="H4336" i="4"/>
  <c r="H4350" i="4"/>
  <c r="H4361" i="4"/>
  <c r="H4374" i="4"/>
  <c r="H4384" i="4"/>
  <c r="H4396" i="4"/>
  <c r="H4406" i="4"/>
  <c r="H4416" i="4"/>
  <c r="H4428" i="4"/>
  <c r="H4438" i="4"/>
  <c r="H4448" i="4"/>
  <c r="H4460" i="4"/>
  <c r="H4470" i="4"/>
  <c r="H4480" i="4"/>
  <c r="H4492" i="4"/>
  <c r="H4502" i="4"/>
  <c r="H4512" i="4"/>
  <c r="H4524" i="4"/>
  <c r="H4534" i="4"/>
  <c r="H4544" i="4"/>
  <c r="H4556" i="4"/>
  <c r="H4566" i="4"/>
  <c r="H4576" i="4"/>
  <c r="H4588" i="4"/>
  <c r="H4598" i="4"/>
  <c r="H4608" i="4"/>
  <c r="H4620" i="4"/>
  <c r="H4630" i="4"/>
  <c r="H4640" i="4"/>
  <c r="H4652" i="4"/>
  <c r="H4662" i="4"/>
  <c r="H4672" i="4"/>
  <c r="H4684" i="4"/>
  <c r="H4694" i="4"/>
  <c r="H4704" i="4"/>
  <c r="H4716" i="4"/>
  <c r="H4726" i="4"/>
  <c r="H4736" i="4"/>
  <c r="H4748" i="4"/>
  <c r="H4758" i="4"/>
  <c r="H4768" i="4"/>
  <c r="H4780" i="4"/>
  <c r="H4790" i="4"/>
  <c r="H4800" i="4"/>
  <c r="H4812" i="4"/>
  <c r="H4822" i="4"/>
  <c r="H2796" i="4"/>
  <c r="H3211" i="4"/>
  <c r="H3348" i="4"/>
  <c r="H3453" i="4"/>
  <c r="H3536" i="4"/>
  <c r="H3608" i="4"/>
  <c r="H3669" i="4"/>
  <c r="H3719" i="4"/>
  <c r="H3770" i="4"/>
  <c r="H3822" i="4"/>
  <c r="H3870" i="4"/>
  <c r="H3912" i="4"/>
  <c r="H3952" i="4"/>
  <c r="H3984" i="4"/>
  <c r="H4016" i="4"/>
  <c r="H4048" i="4"/>
  <c r="H4079" i="4"/>
  <c r="H4097" i="4"/>
  <c r="H4120" i="4"/>
  <c r="H4143" i="4"/>
  <c r="H4161" i="4"/>
  <c r="H4177" i="4"/>
  <c r="H4193" i="4"/>
  <c r="H4209" i="4"/>
  <c r="H4225" i="4"/>
  <c r="H4241" i="4"/>
  <c r="H4257" i="4"/>
  <c r="H4273" i="4"/>
  <c r="H4287" i="4"/>
  <c r="H4301" i="4"/>
  <c r="H4312" i="4"/>
  <c r="H4326" i="4"/>
  <c r="H4337" i="4"/>
  <c r="H4351" i="4"/>
  <c r="H4365" i="4"/>
  <c r="H4375" i="4"/>
  <c r="H4385" i="4"/>
  <c r="H4397" i="4"/>
  <c r="H4407" i="4"/>
  <c r="H4417" i="4"/>
  <c r="H4429" i="4"/>
  <c r="H4439" i="4"/>
  <c r="H4449" i="4"/>
  <c r="H4461" i="4"/>
  <c r="H4471" i="4"/>
  <c r="H4481" i="4"/>
  <c r="H4493" i="4"/>
  <c r="H4503" i="4"/>
  <c r="H4513" i="4"/>
  <c r="H4525" i="4"/>
  <c r="H4535" i="4"/>
  <c r="H4545" i="4"/>
  <c r="H4557" i="4"/>
  <c r="H4567" i="4"/>
  <c r="H4577" i="4"/>
  <c r="H4589" i="4"/>
  <c r="H4599" i="4"/>
  <c r="H4609" i="4"/>
  <c r="H4621" i="4"/>
  <c r="H4631" i="4"/>
  <c r="H4641" i="4"/>
  <c r="H4653" i="4"/>
  <c r="H4663" i="4"/>
  <c r="H4673" i="4"/>
  <c r="H2947" i="4"/>
  <c r="H3252" i="4"/>
  <c r="H3371" i="4"/>
  <c r="H3471" i="4"/>
  <c r="H3557" i="4"/>
  <c r="H3623" i="4"/>
  <c r="H3679" i="4"/>
  <c r="H3730" i="4"/>
  <c r="H3782" i="4"/>
  <c r="H3832" i="4"/>
  <c r="H3879" i="4"/>
  <c r="H3922" i="4"/>
  <c r="H3959" i="4"/>
  <c r="H3991" i="4"/>
  <c r="H4023" i="4"/>
  <c r="H4055" i="4"/>
  <c r="H4080" i="4"/>
  <c r="H4103" i="4"/>
  <c r="H4121" i="4"/>
  <c r="H4144" i="4"/>
  <c r="H4165" i="4"/>
  <c r="H4181" i="4"/>
  <c r="H4197" i="4"/>
  <c r="H4213" i="4"/>
  <c r="H4229" i="4"/>
  <c r="H4245" i="4"/>
  <c r="H4261" i="4"/>
  <c r="H4277" i="4"/>
  <c r="H4288" i="4"/>
  <c r="H4302" i="4"/>
  <c r="H4313" i="4"/>
  <c r="H4327" i="4"/>
  <c r="H4341" i="4"/>
  <c r="H4352" i="4"/>
  <c r="H4366" i="4"/>
  <c r="H4376" i="4"/>
  <c r="H4388" i="4"/>
  <c r="H4398" i="4"/>
  <c r="H4408" i="4"/>
  <c r="H4420" i="4"/>
  <c r="H4430" i="4"/>
  <c r="H4440" i="4"/>
  <c r="H4452" i="4"/>
  <c r="H4462" i="4"/>
  <c r="H4472" i="4"/>
  <c r="H4484" i="4"/>
  <c r="H4494" i="4"/>
  <c r="H4504" i="4"/>
  <c r="H4516" i="4"/>
  <c r="H4526" i="4"/>
  <c r="H4536" i="4"/>
  <c r="H4548" i="4"/>
  <c r="H4558" i="4"/>
  <c r="H4568" i="4"/>
  <c r="H4580" i="4"/>
  <c r="H4590" i="4"/>
  <c r="H4600" i="4"/>
  <c r="H4612" i="4"/>
  <c r="H4622" i="4"/>
  <c r="H4632" i="4"/>
  <c r="H4644" i="4"/>
  <c r="H4654" i="4"/>
  <c r="H4664" i="4"/>
  <c r="H4676" i="4"/>
  <c r="H4686" i="4"/>
  <c r="H4696" i="4"/>
  <c r="H4708" i="4"/>
  <c r="H4718" i="4"/>
  <c r="H4728" i="4"/>
  <c r="H4740" i="4"/>
  <c r="H4750" i="4"/>
  <c r="H4760" i="4"/>
  <c r="H4772" i="4"/>
  <c r="H4782" i="4"/>
  <c r="H4792" i="4"/>
  <c r="H4804" i="4"/>
  <c r="H4814" i="4"/>
  <c r="H4824" i="4"/>
  <c r="H4836" i="4"/>
  <c r="H4846" i="4"/>
  <c r="H4856" i="4"/>
  <c r="H4867" i="4"/>
  <c r="H4876" i="4"/>
  <c r="H4885" i="4"/>
  <c r="H4894" i="4"/>
  <c r="H2970" i="4"/>
  <c r="H3783" i="4"/>
  <c r="H4081" i="4"/>
  <c r="H4231" i="4"/>
  <c r="H4342" i="4"/>
  <c r="H4431" i="4"/>
  <c r="H4517" i="4"/>
  <c r="H4601" i="4"/>
  <c r="H4685" i="4"/>
  <c r="H4727" i="4"/>
  <c r="H4769" i="4"/>
  <c r="H4808" i="4"/>
  <c r="H4833" i="4"/>
  <c r="H4855" i="4"/>
  <c r="H4875" i="4"/>
  <c r="H4893" i="4"/>
  <c r="H4909" i="4"/>
  <c r="H4920" i="4"/>
  <c r="H4934" i="4"/>
  <c r="H4947" i="4"/>
  <c r="H4959" i="4"/>
  <c r="H4973" i="4"/>
  <c r="H4984" i="4"/>
  <c r="H4995" i="4"/>
  <c r="H5005" i="4"/>
  <c r="H5014" i="4"/>
  <c r="H5023" i="4"/>
  <c r="H5032" i="4"/>
  <c r="H5041" i="4"/>
  <c r="H5050" i="4"/>
  <c r="H5059" i="4"/>
  <c r="H5069" i="4"/>
  <c r="H5077" i="4"/>
  <c r="H5085" i="4"/>
  <c r="H5093" i="4"/>
  <c r="H5101" i="4"/>
  <c r="H5109" i="4"/>
  <c r="H5117" i="4"/>
  <c r="H5125" i="4"/>
  <c r="H5133" i="4"/>
  <c r="H5141" i="4"/>
  <c r="H5149" i="4"/>
  <c r="H5157" i="4"/>
  <c r="H5165" i="4"/>
  <c r="H5173" i="4"/>
  <c r="H5181" i="4"/>
  <c r="H5189" i="4"/>
  <c r="H5197" i="4"/>
  <c r="H5205" i="4"/>
  <c r="H5213" i="4"/>
  <c r="H5221" i="4"/>
  <c r="H5229" i="4"/>
  <c r="H5237" i="4"/>
  <c r="H5245" i="4"/>
  <c r="H5253" i="4"/>
  <c r="H5261" i="4"/>
  <c r="H5269" i="4"/>
  <c r="H5277" i="4"/>
  <c r="H5285" i="4"/>
  <c r="H5293" i="4"/>
  <c r="H5301" i="4"/>
  <c r="H5309" i="4"/>
  <c r="H5317" i="4"/>
  <c r="H5325" i="4"/>
  <c r="H5333" i="4"/>
  <c r="H5341" i="4"/>
  <c r="H5349" i="4"/>
  <c r="H5357" i="4"/>
  <c r="H5365" i="4"/>
  <c r="H5373" i="4"/>
  <c r="H5381" i="4"/>
  <c r="H5389" i="4"/>
  <c r="H5397" i="4"/>
  <c r="H5405" i="4"/>
  <c r="H5413" i="4"/>
  <c r="H5421" i="4"/>
  <c r="H5429" i="4"/>
  <c r="H5437" i="4"/>
  <c r="H5445" i="4"/>
  <c r="H5453" i="4"/>
  <c r="H5461" i="4"/>
  <c r="H5469" i="4"/>
  <c r="H5477" i="4"/>
  <c r="H5485" i="4"/>
  <c r="H5493" i="4"/>
  <c r="H5501" i="4"/>
  <c r="H5509" i="4"/>
  <c r="H5517" i="4"/>
  <c r="H5525" i="4"/>
  <c r="H5533" i="4"/>
  <c r="H5541" i="4"/>
  <c r="H5549" i="4"/>
  <c r="H5557" i="4"/>
  <c r="H5565" i="4"/>
  <c r="H5573" i="4"/>
  <c r="H5581" i="4"/>
  <c r="H5589" i="4"/>
  <c r="H5597" i="4"/>
  <c r="H5605" i="4"/>
  <c r="H5613" i="4"/>
  <c r="H5621" i="4"/>
  <c r="H5629" i="4"/>
  <c r="H5637" i="4"/>
  <c r="H5645" i="4"/>
  <c r="H5653" i="4"/>
  <c r="H5661" i="4"/>
  <c r="H5669" i="4"/>
  <c r="H5677" i="4"/>
  <c r="H5685" i="4"/>
  <c r="H5693" i="4"/>
  <c r="H5701" i="4"/>
  <c r="H5709" i="4"/>
  <c r="H5717" i="4"/>
  <c r="H5725" i="4"/>
  <c r="H5733" i="4"/>
  <c r="H5741" i="4"/>
  <c r="H5749" i="4"/>
  <c r="H5757" i="4"/>
  <c r="H5765" i="4"/>
  <c r="H5773" i="4"/>
  <c r="H5781" i="4"/>
  <c r="H5789" i="4"/>
  <c r="H5797" i="4"/>
  <c r="H5805" i="4"/>
  <c r="H5813" i="4"/>
  <c r="H5821" i="4"/>
  <c r="H5829" i="4"/>
  <c r="H5837" i="4"/>
  <c r="H5845" i="4"/>
  <c r="H5853" i="4"/>
  <c r="H5861" i="4"/>
  <c r="H5869" i="4"/>
  <c r="H5877" i="4"/>
  <c r="H5885" i="4"/>
  <c r="H5893" i="4"/>
  <c r="H5901" i="4"/>
  <c r="H5909" i="4"/>
  <c r="H5917" i="4"/>
  <c r="H5925" i="4"/>
  <c r="H5933" i="4"/>
  <c r="H5941" i="4"/>
  <c r="H5949" i="4"/>
  <c r="H5957" i="4"/>
  <c r="H5965" i="4"/>
  <c r="H5973" i="4"/>
  <c r="H5981" i="4"/>
  <c r="H5989" i="4"/>
  <c r="H5997" i="4"/>
  <c r="H6005" i="4"/>
  <c r="H3253" i="4"/>
  <c r="H3834" i="4"/>
  <c r="H4104" i="4"/>
  <c r="H4247" i="4"/>
  <c r="H4353" i="4"/>
  <c r="H4441" i="4"/>
  <c r="H4527" i="4"/>
  <c r="H4613" i="4"/>
  <c r="H4687" i="4"/>
  <c r="H4729" i="4"/>
  <c r="H4773" i="4"/>
  <c r="H4813" i="4"/>
  <c r="H4837" i="4"/>
  <c r="H4857" i="4"/>
  <c r="H4877" i="4"/>
  <c r="H4895" i="4"/>
  <c r="H4910" i="4"/>
  <c r="H4923" i="4"/>
  <c r="H4935" i="4"/>
  <c r="H4949" i="4"/>
  <c r="H4960" i="4"/>
  <c r="H4974" i="4"/>
  <c r="H4987" i="4"/>
  <c r="H4997" i="4"/>
  <c r="H5006" i="4"/>
  <c r="H5015" i="4"/>
  <c r="H5024" i="4"/>
  <c r="H5033" i="4"/>
  <c r="H5042" i="4"/>
  <c r="H5051" i="4"/>
  <c r="H5061" i="4"/>
  <c r="H5070" i="4"/>
  <c r="H5078" i="4"/>
  <c r="H5086" i="4"/>
  <c r="H5094" i="4"/>
  <c r="H5102" i="4"/>
  <c r="H5110" i="4"/>
  <c r="H5118" i="4"/>
  <c r="H5126" i="4"/>
  <c r="H5134" i="4"/>
  <c r="H5142" i="4"/>
  <c r="H5150" i="4"/>
  <c r="H5158" i="4"/>
  <c r="H5166" i="4"/>
  <c r="H5174" i="4"/>
  <c r="H5182" i="4"/>
  <c r="H5190" i="4"/>
  <c r="H5198" i="4"/>
  <c r="H5206" i="4"/>
  <c r="H5214" i="4"/>
  <c r="H5222" i="4"/>
  <c r="H5230" i="4"/>
  <c r="H5238" i="4"/>
  <c r="H5246" i="4"/>
  <c r="H5254" i="4"/>
  <c r="H5262" i="4"/>
  <c r="H5270" i="4"/>
  <c r="H5278" i="4"/>
  <c r="H5286" i="4"/>
  <c r="H5294" i="4"/>
  <c r="H5302" i="4"/>
  <c r="H5310" i="4"/>
  <c r="H5318" i="4"/>
  <c r="H5326" i="4"/>
  <c r="H5334" i="4"/>
  <c r="H5342" i="4"/>
  <c r="H5350" i="4"/>
  <c r="H5358" i="4"/>
  <c r="H5366" i="4"/>
  <c r="H5374" i="4"/>
  <c r="H5382" i="4"/>
  <c r="H5390" i="4"/>
  <c r="H5398" i="4"/>
  <c r="H5406" i="4"/>
  <c r="H5414" i="4"/>
  <c r="H5422" i="4"/>
  <c r="H5430" i="4"/>
  <c r="H5438" i="4"/>
  <c r="H5446" i="4"/>
  <c r="H5454" i="4"/>
  <c r="H5462" i="4"/>
  <c r="H5470" i="4"/>
  <c r="H5478" i="4"/>
  <c r="H5486" i="4"/>
  <c r="H5494" i="4"/>
  <c r="H5502" i="4"/>
  <c r="H5510" i="4"/>
  <c r="H5518" i="4"/>
  <c r="H5526" i="4"/>
  <c r="H5534" i="4"/>
  <c r="H5542" i="4"/>
  <c r="H5550" i="4"/>
  <c r="H5558" i="4"/>
  <c r="H5566" i="4"/>
  <c r="H5574" i="4"/>
  <c r="H5582" i="4"/>
  <c r="H5590" i="4"/>
  <c r="H5598" i="4"/>
  <c r="H5606" i="4"/>
  <c r="H5614" i="4"/>
  <c r="H5622" i="4"/>
  <c r="H5630" i="4"/>
  <c r="H5638" i="4"/>
  <c r="H5646" i="4"/>
  <c r="H5654" i="4"/>
  <c r="H5662" i="4"/>
  <c r="H5670" i="4"/>
  <c r="H5678" i="4"/>
  <c r="H5686" i="4"/>
  <c r="H5694" i="4"/>
  <c r="H5702" i="4"/>
  <c r="H5710" i="4"/>
  <c r="H5718" i="4"/>
  <c r="H5726" i="4"/>
  <c r="H5734" i="4"/>
  <c r="H5742" i="4"/>
  <c r="H5750" i="4"/>
  <c r="H5758" i="4"/>
  <c r="H5766" i="4"/>
  <c r="H5774" i="4"/>
  <c r="H5782" i="4"/>
  <c r="H5790" i="4"/>
  <c r="H5798" i="4"/>
  <c r="H5806" i="4"/>
  <c r="H5814" i="4"/>
  <c r="H5822" i="4"/>
  <c r="H5830" i="4"/>
  <c r="H5838" i="4"/>
  <c r="H5846" i="4"/>
  <c r="H5854" i="4"/>
  <c r="H5862" i="4"/>
  <c r="H5870" i="4"/>
  <c r="H5878" i="4"/>
  <c r="H5886" i="4"/>
  <c r="H5894" i="4"/>
  <c r="H5902" i="4"/>
  <c r="H5910" i="4"/>
  <c r="H5918" i="4"/>
  <c r="H5926" i="4"/>
  <c r="H5934" i="4"/>
  <c r="H5942" i="4"/>
  <c r="H5950" i="4"/>
  <c r="H5958" i="4"/>
  <c r="H5966" i="4"/>
  <c r="H5974" i="4"/>
  <c r="H5982" i="4"/>
  <c r="H5990" i="4"/>
  <c r="H5998" i="4"/>
  <c r="H6006" i="4"/>
  <c r="H3378" i="4"/>
  <c r="H3880" i="4"/>
  <c r="H4127" i="4"/>
  <c r="H4263" i="4"/>
  <c r="H4367" i="4"/>
  <c r="H4453" i="4"/>
  <c r="H4537" i="4"/>
  <c r="H4623" i="4"/>
  <c r="H4695" i="4"/>
  <c r="H4737" i="4"/>
  <c r="H4781" i="4"/>
  <c r="H4815" i="4"/>
  <c r="H4840" i="4"/>
  <c r="H4862" i="4"/>
  <c r="H4880" i="4"/>
  <c r="H4899" i="4"/>
  <c r="H4911" i="4"/>
  <c r="H4925" i="4"/>
  <c r="H4936" i="4"/>
  <c r="H4950" i="4"/>
  <c r="H4963" i="4"/>
  <c r="H4975" i="4"/>
  <c r="H4989" i="4"/>
  <c r="H4998" i="4"/>
  <c r="H5007" i="4"/>
  <c r="H5016" i="4"/>
  <c r="H5025" i="4"/>
  <c r="H5034" i="4"/>
  <c r="H5043" i="4"/>
  <c r="H5053" i="4"/>
  <c r="H5062" i="4"/>
  <c r="H5071" i="4"/>
  <c r="H5079" i="4"/>
  <c r="H5087" i="4"/>
  <c r="H5095" i="4"/>
  <c r="H5103" i="4"/>
  <c r="H5111" i="4"/>
  <c r="H5119" i="4"/>
  <c r="H5127" i="4"/>
  <c r="H5135" i="4"/>
  <c r="H5143" i="4"/>
  <c r="H5151" i="4"/>
  <c r="H5159" i="4"/>
  <c r="H5167" i="4"/>
  <c r="H5175" i="4"/>
  <c r="H5183" i="4"/>
  <c r="H5191" i="4"/>
  <c r="H5199" i="4"/>
  <c r="H5207" i="4"/>
  <c r="H5215" i="4"/>
  <c r="H5223" i="4"/>
  <c r="H5231" i="4"/>
  <c r="H5239" i="4"/>
  <c r="H5247" i="4"/>
  <c r="H5255" i="4"/>
  <c r="H5263" i="4"/>
  <c r="H5271" i="4"/>
  <c r="H5279" i="4"/>
  <c r="H5287" i="4"/>
  <c r="H5295" i="4"/>
  <c r="H5303" i="4"/>
  <c r="H5311" i="4"/>
  <c r="H5319" i="4"/>
  <c r="H5327" i="4"/>
  <c r="H5335" i="4"/>
  <c r="H5343" i="4"/>
  <c r="H5351" i="4"/>
  <c r="H5359" i="4"/>
  <c r="H5367" i="4"/>
  <c r="H5375" i="4"/>
  <c r="H5383" i="4"/>
  <c r="H5391" i="4"/>
  <c r="H5399" i="4"/>
  <c r="H5407" i="4"/>
  <c r="H5415" i="4"/>
  <c r="H5423" i="4"/>
  <c r="H5431" i="4"/>
  <c r="H5439" i="4"/>
  <c r="H5447" i="4"/>
  <c r="H5455" i="4"/>
  <c r="H5463" i="4"/>
  <c r="H5471" i="4"/>
  <c r="H5479" i="4"/>
  <c r="H5487" i="4"/>
  <c r="H5495" i="4"/>
  <c r="H5503" i="4"/>
  <c r="H5511" i="4"/>
  <c r="H5519" i="4"/>
  <c r="H5527" i="4"/>
  <c r="H5535" i="4"/>
  <c r="H5543" i="4"/>
  <c r="H5551" i="4"/>
  <c r="H5559" i="4"/>
  <c r="H5567" i="4"/>
  <c r="H5575" i="4"/>
  <c r="H5583" i="4"/>
  <c r="H5591" i="4"/>
  <c r="H5599" i="4"/>
  <c r="H5607" i="4"/>
  <c r="H5615" i="4"/>
  <c r="H5623" i="4"/>
  <c r="H5631" i="4"/>
  <c r="H5639" i="4"/>
  <c r="H5647" i="4"/>
  <c r="H5655" i="4"/>
  <c r="H5663" i="4"/>
  <c r="H5671" i="4"/>
  <c r="H5679" i="4"/>
  <c r="H5687" i="4"/>
  <c r="H5695" i="4"/>
  <c r="H5703" i="4"/>
  <c r="H5711" i="4"/>
  <c r="H5719" i="4"/>
  <c r="H5727" i="4"/>
  <c r="H5735" i="4"/>
  <c r="H5743" i="4"/>
  <c r="H5751" i="4"/>
  <c r="H5759" i="4"/>
  <c r="H5767" i="4"/>
  <c r="H5775" i="4"/>
  <c r="H5783" i="4"/>
  <c r="H5791" i="4"/>
  <c r="H5799" i="4"/>
  <c r="H5807" i="4"/>
  <c r="H5815" i="4"/>
  <c r="H5823" i="4"/>
  <c r="H5831" i="4"/>
  <c r="H5839" i="4"/>
  <c r="H5847" i="4"/>
  <c r="H5855" i="4"/>
  <c r="H5863" i="4"/>
  <c r="H5871" i="4"/>
  <c r="H5879" i="4"/>
  <c r="H5887" i="4"/>
  <c r="H5895" i="4"/>
  <c r="H5903" i="4"/>
  <c r="H5911" i="4"/>
  <c r="H5919" i="4"/>
  <c r="H5927" i="4"/>
  <c r="H5935" i="4"/>
  <c r="H5943" i="4"/>
  <c r="H5951" i="4"/>
  <c r="H5959" i="4"/>
  <c r="H5967" i="4"/>
  <c r="H5975" i="4"/>
  <c r="H5983" i="4"/>
  <c r="H5991" i="4"/>
  <c r="H5999" i="4"/>
  <c r="H6007" i="4"/>
  <c r="H3472" i="4"/>
  <c r="H3923" i="4"/>
  <c r="H4145" i="4"/>
  <c r="H4278" i="4"/>
  <c r="H4377" i="4"/>
  <c r="H4463" i="4"/>
  <c r="H4549" i="4"/>
  <c r="H4633" i="4"/>
  <c r="H4697" i="4"/>
  <c r="H4741" i="4"/>
  <c r="H4783" i="4"/>
  <c r="H4820" i="4"/>
  <c r="H4844" i="4"/>
  <c r="H4864" i="4"/>
  <c r="H4883" i="4"/>
  <c r="H4901" i="4"/>
  <c r="H4912" i="4"/>
  <c r="H4926" i="4"/>
  <c r="H4939" i="4"/>
  <c r="H4951" i="4"/>
  <c r="H4965" i="4"/>
  <c r="H4976" i="4"/>
  <c r="H4990" i="4"/>
  <c r="H4999" i="4"/>
  <c r="H5008" i="4"/>
  <c r="H5017" i="4"/>
  <c r="H5026" i="4"/>
  <c r="H5035" i="4"/>
  <c r="H5045" i="4"/>
  <c r="H5054" i="4"/>
  <c r="H5063" i="4"/>
  <c r="H5072" i="4"/>
  <c r="H5080" i="4"/>
  <c r="H5088" i="4"/>
  <c r="H5096" i="4"/>
  <c r="H5104" i="4"/>
  <c r="H5112" i="4"/>
  <c r="H5120" i="4"/>
  <c r="H5128" i="4"/>
  <c r="H5136" i="4"/>
  <c r="H5144" i="4"/>
  <c r="H5152" i="4"/>
  <c r="H5160" i="4"/>
  <c r="H5168" i="4"/>
  <c r="H5176" i="4"/>
  <c r="H5184" i="4"/>
  <c r="H5192" i="4"/>
  <c r="H5200" i="4"/>
  <c r="H5208" i="4"/>
  <c r="H5216" i="4"/>
  <c r="H5224" i="4"/>
  <c r="H5232" i="4"/>
  <c r="H5240" i="4"/>
  <c r="H5248" i="4"/>
  <c r="H5256" i="4"/>
  <c r="H5264" i="4"/>
  <c r="H5272" i="4"/>
  <c r="H5280" i="4"/>
  <c r="H5288" i="4"/>
  <c r="H5296" i="4"/>
  <c r="H5304" i="4"/>
  <c r="H5312" i="4"/>
  <c r="H5320" i="4"/>
  <c r="H5328" i="4"/>
  <c r="H5336" i="4"/>
  <c r="H5344" i="4"/>
  <c r="H5352" i="4"/>
  <c r="H5360" i="4"/>
  <c r="H5368" i="4"/>
  <c r="H5376" i="4"/>
  <c r="H5384" i="4"/>
  <c r="H5392" i="4"/>
  <c r="H5400" i="4"/>
  <c r="H5408" i="4"/>
  <c r="H5416" i="4"/>
  <c r="H5424" i="4"/>
  <c r="H5432" i="4"/>
  <c r="H5440" i="4"/>
  <c r="H5448" i="4"/>
  <c r="H5456" i="4"/>
  <c r="H5464" i="4"/>
  <c r="H5472" i="4"/>
  <c r="H5480" i="4"/>
  <c r="H5488" i="4"/>
  <c r="H5496" i="4"/>
  <c r="H5504" i="4"/>
  <c r="H5512" i="4"/>
  <c r="H5520" i="4"/>
  <c r="H5528" i="4"/>
  <c r="H5536" i="4"/>
  <c r="H5544" i="4"/>
  <c r="H5552" i="4"/>
  <c r="H5560" i="4"/>
  <c r="H5568" i="4"/>
  <c r="H5576" i="4"/>
  <c r="H5584" i="4"/>
  <c r="H5592" i="4"/>
  <c r="H5600" i="4"/>
  <c r="H5608" i="4"/>
  <c r="H5616" i="4"/>
  <c r="H5624" i="4"/>
  <c r="H5632" i="4"/>
  <c r="H5640" i="4"/>
  <c r="H5648" i="4"/>
  <c r="H5656" i="4"/>
  <c r="H5664" i="4"/>
  <c r="H5672" i="4"/>
  <c r="H5680" i="4"/>
  <c r="H5688" i="4"/>
  <c r="H5696" i="4"/>
  <c r="H5704" i="4"/>
  <c r="H5712" i="4"/>
  <c r="H5720" i="4"/>
  <c r="H5728" i="4"/>
  <c r="H5736" i="4"/>
  <c r="H5744" i="4"/>
  <c r="H5752" i="4"/>
  <c r="H5760" i="4"/>
  <c r="H5768" i="4"/>
  <c r="H5776" i="4"/>
  <c r="H5784" i="4"/>
  <c r="H5792" i="4"/>
  <c r="H5800" i="4"/>
  <c r="H5808" i="4"/>
  <c r="H5816" i="4"/>
  <c r="H5824" i="4"/>
  <c r="H5832" i="4"/>
  <c r="H5840" i="4"/>
  <c r="H5848" i="4"/>
  <c r="H5856" i="4"/>
  <c r="H5864" i="4"/>
  <c r="H5872" i="4"/>
  <c r="H5880" i="4"/>
  <c r="H5888" i="4"/>
  <c r="H5896" i="4"/>
  <c r="H5904" i="4"/>
  <c r="H5912" i="4"/>
  <c r="H5920" i="4"/>
  <c r="H5928" i="4"/>
  <c r="H5936" i="4"/>
  <c r="H5944" i="4"/>
  <c r="H5952" i="4"/>
  <c r="H5960" i="4"/>
  <c r="H5968" i="4"/>
  <c r="H5976" i="4"/>
  <c r="H5984" i="4"/>
  <c r="H5992" i="4"/>
  <c r="H6000" i="4"/>
  <c r="H8" i="4"/>
  <c r="H3559" i="4"/>
  <c r="H3960" i="4"/>
  <c r="H4167" i="4"/>
  <c r="H4289" i="4"/>
  <c r="H4389" i="4"/>
  <c r="H4473" i="4"/>
  <c r="H4559" i="4"/>
  <c r="H4645" i="4"/>
  <c r="H4705" i="4"/>
  <c r="H4749" i="4"/>
  <c r="H4791" i="4"/>
  <c r="H4823" i="4"/>
  <c r="H4845" i="4"/>
  <c r="H4865" i="4"/>
  <c r="H4884" i="4"/>
  <c r="H4902" i="4"/>
  <c r="H4915" i="4"/>
  <c r="H4927" i="4"/>
  <c r="H4941" i="4"/>
  <c r="H4952" i="4"/>
  <c r="H4966" i="4"/>
  <c r="H4979" i="4"/>
  <c r="H4991" i="4"/>
  <c r="H5000" i="4"/>
  <c r="H5009" i="4"/>
  <c r="H5018" i="4"/>
  <c r="H5027" i="4"/>
  <c r="H5037" i="4"/>
  <c r="H5046" i="4"/>
  <c r="H5055" i="4"/>
  <c r="H5064" i="4"/>
  <c r="H5073" i="4"/>
  <c r="H5081" i="4"/>
  <c r="H5089" i="4"/>
  <c r="H5097" i="4"/>
  <c r="H5105" i="4"/>
  <c r="H5113" i="4"/>
  <c r="H5121" i="4"/>
  <c r="H5129" i="4"/>
  <c r="H5137" i="4"/>
  <c r="H5145" i="4"/>
  <c r="H5153" i="4"/>
  <c r="H5161" i="4"/>
  <c r="H5169" i="4"/>
  <c r="H5177" i="4"/>
  <c r="H5185" i="4"/>
  <c r="H5193" i="4"/>
  <c r="H5201" i="4"/>
  <c r="H5209" i="4"/>
  <c r="H5217" i="4"/>
  <c r="H5225" i="4"/>
  <c r="H5233" i="4"/>
  <c r="H5241" i="4"/>
  <c r="H5249" i="4"/>
  <c r="H5257" i="4"/>
  <c r="H5265" i="4"/>
  <c r="H5273" i="4"/>
  <c r="H5281" i="4"/>
  <c r="H5289" i="4"/>
  <c r="H5297" i="4"/>
  <c r="H5305" i="4"/>
  <c r="H5313" i="4"/>
  <c r="H5321" i="4"/>
  <c r="H5329" i="4"/>
  <c r="H5337" i="4"/>
  <c r="H5345" i="4"/>
  <c r="H5353" i="4"/>
  <c r="H5361" i="4"/>
  <c r="H5369" i="4"/>
  <c r="H5377" i="4"/>
  <c r="H5385" i="4"/>
  <c r="H5393" i="4"/>
  <c r="H5401" i="4"/>
  <c r="H5409" i="4"/>
  <c r="H5417" i="4"/>
  <c r="H5425" i="4"/>
  <c r="H5433" i="4"/>
  <c r="H5441" i="4"/>
  <c r="H5449" i="4"/>
  <c r="H5457" i="4"/>
  <c r="H5465" i="4"/>
  <c r="H5473" i="4"/>
  <c r="H5481" i="4"/>
  <c r="H5489" i="4"/>
  <c r="H5497" i="4"/>
  <c r="H5505" i="4"/>
  <c r="H5513" i="4"/>
  <c r="H5521" i="4"/>
  <c r="H5529" i="4"/>
  <c r="H5537" i="4"/>
  <c r="H5545" i="4"/>
  <c r="H5553" i="4"/>
  <c r="H5561" i="4"/>
  <c r="H5569" i="4"/>
  <c r="H5577" i="4"/>
  <c r="H5585" i="4"/>
  <c r="H5593" i="4"/>
  <c r="H5601" i="4"/>
  <c r="H5609" i="4"/>
  <c r="H5617" i="4"/>
  <c r="H5625" i="4"/>
  <c r="H5633" i="4"/>
  <c r="H5641" i="4"/>
  <c r="H5649" i="4"/>
  <c r="H5657" i="4"/>
  <c r="H5665" i="4"/>
  <c r="H5673" i="4"/>
  <c r="H5681" i="4"/>
  <c r="H5689" i="4"/>
  <c r="H5697" i="4"/>
  <c r="H5705" i="4"/>
  <c r="H5713" i="4"/>
  <c r="H5721" i="4"/>
  <c r="H5729" i="4"/>
  <c r="H5737" i="4"/>
  <c r="H5745" i="4"/>
  <c r="H5753" i="4"/>
  <c r="H5761" i="4"/>
  <c r="H5769" i="4"/>
  <c r="H5777" i="4"/>
  <c r="H5785" i="4"/>
  <c r="H5793" i="4"/>
  <c r="H5801" i="4"/>
  <c r="H5809" i="4"/>
  <c r="H5817" i="4"/>
  <c r="H5825" i="4"/>
  <c r="H5833" i="4"/>
  <c r="H5841" i="4"/>
  <c r="H5849" i="4"/>
  <c r="H5857" i="4"/>
  <c r="H5865" i="4"/>
  <c r="H5873" i="4"/>
  <c r="H5881" i="4"/>
  <c r="H5889" i="4"/>
  <c r="H5897" i="4"/>
  <c r="H5905" i="4"/>
  <c r="H5913" i="4"/>
  <c r="H5921" i="4"/>
  <c r="H5929" i="4"/>
  <c r="H5937" i="4"/>
  <c r="H5945" i="4"/>
  <c r="H5953" i="4"/>
  <c r="H5961" i="4"/>
  <c r="H5969" i="4"/>
  <c r="H5977" i="4"/>
  <c r="H5985" i="4"/>
  <c r="H5993" i="4"/>
  <c r="H6001" i="4"/>
  <c r="H3624" i="4"/>
  <c r="H3992" i="4"/>
  <c r="H4183" i="4"/>
  <c r="H4303" i="4"/>
  <c r="H4399" i="4"/>
  <c r="H4485" i="4"/>
  <c r="H4569" i="4"/>
  <c r="H4655" i="4"/>
  <c r="H4709" i="4"/>
  <c r="H4751" i="4"/>
  <c r="H4793" i="4"/>
  <c r="H4825" i="4"/>
  <c r="H4847" i="4"/>
  <c r="H4868" i="4"/>
  <c r="H4886" i="4"/>
  <c r="H4903" i="4"/>
  <c r="H4917" i="4"/>
  <c r="H4928" i="4"/>
  <c r="H4942" i="4"/>
  <c r="H4955" i="4"/>
  <c r="H4967" i="4"/>
  <c r="H4981" i="4"/>
  <c r="H4992" i="4"/>
  <c r="H5001" i="4"/>
  <c r="H5010" i="4"/>
  <c r="H5019" i="4"/>
  <c r="H5029" i="4"/>
  <c r="H5038" i="4"/>
  <c r="H5047" i="4"/>
  <c r="H5056" i="4"/>
  <c r="H5065" i="4"/>
  <c r="H5074" i="4"/>
  <c r="H5082" i="4"/>
  <c r="H5090" i="4"/>
  <c r="H5098" i="4"/>
  <c r="H5106" i="4"/>
  <c r="H5114" i="4"/>
  <c r="H5122" i="4"/>
  <c r="H5130" i="4"/>
  <c r="H5138" i="4"/>
  <c r="H5146" i="4"/>
  <c r="H5154" i="4"/>
  <c r="H5162" i="4"/>
  <c r="H5170" i="4"/>
  <c r="H5178" i="4"/>
  <c r="H5186" i="4"/>
  <c r="H5194" i="4"/>
  <c r="H5202" i="4"/>
  <c r="H5210" i="4"/>
  <c r="H5218" i="4"/>
  <c r="H5226" i="4"/>
  <c r="H5234" i="4"/>
  <c r="H5242" i="4"/>
  <c r="H5250" i="4"/>
  <c r="H5258" i="4"/>
  <c r="H5266" i="4"/>
  <c r="H5274" i="4"/>
  <c r="H5282" i="4"/>
  <c r="H5290" i="4"/>
  <c r="H5298" i="4"/>
  <c r="H5306" i="4"/>
  <c r="H5314" i="4"/>
  <c r="H5322" i="4"/>
  <c r="H5330" i="4"/>
  <c r="H5338" i="4"/>
  <c r="H5346" i="4"/>
  <c r="H5354" i="4"/>
  <c r="H5362" i="4"/>
  <c r="H5370" i="4"/>
  <c r="H5378" i="4"/>
  <c r="H5386" i="4"/>
  <c r="H5394" i="4"/>
  <c r="H5402" i="4"/>
  <c r="H5410" i="4"/>
  <c r="H5418" i="4"/>
  <c r="H5426" i="4"/>
  <c r="H5434" i="4"/>
  <c r="H5442" i="4"/>
  <c r="H5450" i="4"/>
  <c r="H5458" i="4"/>
  <c r="H5466" i="4"/>
  <c r="H5474" i="4"/>
  <c r="H5482" i="4"/>
  <c r="H5490" i="4"/>
  <c r="H5498" i="4"/>
  <c r="H5506" i="4"/>
  <c r="H5514" i="4"/>
  <c r="H5522" i="4"/>
  <c r="H5530" i="4"/>
  <c r="H5538" i="4"/>
  <c r="H5546" i="4"/>
  <c r="H5554" i="4"/>
  <c r="H5562" i="4"/>
  <c r="H5570" i="4"/>
  <c r="H5578" i="4"/>
  <c r="H5586" i="4"/>
  <c r="H5594" i="4"/>
  <c r="H5602" i="4"/>
  <c r="H5610" i="4"/>
  <c r="H5618" i="4"/>
  <c r="H5626" i="4"/>
  <c r="H5634" i="4"/>
  <c r="H5642" i="4"/>
  <c r="H5650" i="4"/>
  <c r="H5658" i="4"/>
  <c r="H5666" i="4"/>
  <c r="H5674" i="4"/>
  <c r="H5682" i="4"/>
  <c r="H5690" i="4"/>
  <c r="H5698" i="4"/>
  <c r="H5706" i="4"/>
  <c r="H5714" i="4"/>
  <c r="H5722" i="4"/>
  <c r="H5730" i="4"/>
  <c r="H5738" i="4"/>
  <c r="H5746" i="4"/>
  <c r="H5754" i="4"/>
  <c r="H5762" i="4"/>
  <c r="H5770" i="4"/>
  <c r="H5778" i="4"/>
  <c r="H5786" i="4"/>
  <c r="H5794" i="4"/>
  <c r="H5802" i="4"/>
  <c r="H5810" i="4"/>
  <c r="H5818" i="4"/>
  <c r="H5826" i="4"/>
  <c r="H5834" i="4"/>
  <c r="H5842" i="4"/>
  <c r="H5850" i="4"/>
  <c r="H5858" i="4"/>
  <c r="H5866" i="4"/>
  <c r="H5874" i="4"/>
  <c r="H5882" i="4"/>
  <c r="H5890" i="4"/>
  <c r="H5898" i="4"/>
  <c r="H5906" i="4"/>
  <c r="H5914" i="4"/>
  <c r="H5922" i="4"/>
  <c r="H5930" i="4"/>
  <c r="H5938" i="4"/>
  <c r="H5946" i="4"/>
  <c r="H5954" i="4"/>
  <c r="H5962" i="4"/>
  <c r="H5970" i="4"/>
  <c r="H5978" i="4"/>
  <c r="H5986" i="4"/>
  <c r="H5994" i="4"/>
  <c r="H6002" i="4"/>
  <c r="H3680" i="4"/>
  <c r="H4024" i="4"/>
  <c r="H4199" i="4"/>
  <c r="H4317" i="4"/>
  <c r="H4409" i="4"/>
  <c r="H4495" i="4"/>
  <c r="H4581" i="4"/>
  <c r="H4665" i="4"/>
  <c r="H4717" i="4"/>
  <c r="H4759" i="4"/>
  <c r="H4801" i="4"/>
  <c r="H4830" i="4"/>
  <c r="H4852" i="4"/>
  <c r="H4871" i="4"/>
  <c r="H4889" i="4"/>
  <c r="H4904" i="4"/>
  <c r="H4918" i="4"/>
  <c r="H4931" i="4"/>
  <c r="H4943" i="4"/>
  <c r="H4957" i="4"/>
  <c r="H4968" i="4"/>
  <c r="H4982" i="4"/>
  <c r="H4993" i="4"/>
  <c r="H5002" i="4"/>
  <c r="H5011" i="4"/>
  <c r="H5021" i="4"/>
  <c r="H5030" i="4"/>
  <c r="H5039" i="4"/>
  <c r="H5048" i="4"/>
  <c r="H5057" i="4"/>
  <c r="H5066" i="4"/>
  <c r="H5075" i="4"/>
  <c r="H5083" i="4"/>
  <c r="H5091" i="4"/>
  <c r="H5099" i="4"/>
  <c r="H5107" i="4"/>
  <c r="H5115" i="4"/>
  <c r="H5123" i="4"/>
  <c r="H5131" i="4"/>
  <c r="H5139" i="4"/>
  <c r="H5147" i="4"/>
  <c r="H5155" i="4"/>
  <c r="H5163" i="4"/>
  <c r="H5171" i="4"/>
  <c r="H5179" i="4"/>
  <c r="H5187" i="4"/>
  <c r="H5195" i="4"/>
  <c r="H5203" i="4"/>
  <c r="H5211" i="4"/>
  <c r="H5219" i="4"/>
  <c r="H5227" i="4"/>
  <c r="H5235" i="4"/>
  <c r="H5243" i="4"/>
  <c r="H5251" i="4"/>
  <c r="H5259" i="4"/>
  <c r="H5267" i="4"/>
  <c r="H5275" i="4"/>
  <c r="H5283" i="4"/>
  <c r="H5291" i="4"/>
  <c r="H5299" i="4"/>
  <c r="H5307" i="4"/>
  <c r="H5315" i="4"/>
  <c r="H5323" i="4"/>
  <c r="H5331" i="4"/>
  <c r="H5339" i="4"/>
  <c r="H5347" i="4"/>
  <c r="H5355" i="4"/>
  <c r="H5363" i="4"/>
  <c r="H5371" i="4"/>
  <c r="H5379" i="4"/>
  <c r="H5387" i="4"/>
  <c r="H5395" i="4"/>
  <c r="H5403" i="4"/>
  <c r="H5411" i="4"/>
  <c r="H5419" i="4"/>
  <c r="H5427" i="4"/>
  <c r="H5435" i="4"/>
  <c r="H5443" i="4"/>
  <c r="H5451" i="4"/>
  <c r="H5459" i="4"/>
  <c r="H5467" i="4"/>
  <c r="H5475" i="4"/>
  <c r="H5483" i="4"/>
  <c r="H5491" i="4"/>
  <c r="H5499" i="4"/>
  <c r="H5507" i="4"/>
  <c r="H5515" i="4"/>
  <c r="H5523" i="4"/>
  <c r="H5531" i="4"/>
  <c r="H5539" i="4"/>
  <c r="H5547" i="4"/>
  <c r="H5555" i="4"/>
  <c r="H5563" i="4"/>
  <c r="H5571" i="4"/>
  <c r="H5579" i="4"/>
  <c r="H5587" i="4"/>
  <c r="H5595" i="4"/>
  <c r="H5603" i="4"/>
  <c r="H5611" i="4"/>
  <c r="H5619" i="4"/>
  <c r="H5627" i="4"/>
  <c r="H5635" i="4"/>
  <c r="H5643" i="4"/>
  <c r="H5651" i="4"/>
  <c r="H5659" i="4"/>
  <c r="H5667" i="4"/>
  <c r="H5675" i="4"/>
  <c r="H5683" i="4"/>
  <c r="H5691" i="4"/>
  <c r="H5699" i="4"/>
  <c r="H5707" i="4"/>
  <c r="H5715" i="4"/>
  <c r="H5723" i="4"/>
  <c r="H5731" i="4"/>
  <c r="H5739" i="4"/>
  <c r="H5747" i="4"/>
  <c r="H5755" i="4"/>
  <c r="H5763" i="4"/>
  <c r="H5771" i="4"/>
  <c r="H5779" i="4"/>
  <c r="H5787" i="4"/>
  <c r="H5795" i="4"/>
  <c r="H5803" i="4"/>
  <c r="H5811" i="4"/>
  <c r="H5819" i="4"/>
  <c r="H5827" i="4"/>
  <c r="H5835" i="4"/>
  <c r="H5843" i="4"/>
  <c r="H5851" i="4"/>
  <c r="H5859" i="4"/>
  <c r="H5867" i="4"/>
  <c r="H5875" i="4"/>
  <c r="H5883" i="4"/>
  <c r="H5891" i="4"/>
  <c r="H5899" i="4"/>
  <c r="H5907" i="4"/>
  <c r="H5915" i="4"/>
  <c r="H5923" i="4"/>
  <c r="H5931" i="4"/>
  <c r="H5939" i="4"/>
  <c r="H5947" i="4"/>
  <c r="H5955" i="4"/>
  <c r="H5963" i="4"/>
  <c r="H5971" i="4"/>
  <c r="H5979" i="4"/>
  <c r="H5987" i="4"/>
  <c r="H5995" i="4"/>
  <c r="H6003" i="4"/>
  <c r="H3733" i="4"/>
  <c r="H4056" i="4"/>
  <c r="H4215" i="4"/>
  <c r="H4328" i="4"/>
  <c r="H4421" i="4"/>
  <c r="H4505" i="4"/>
  <c r="H4591" i="4"/>
  <c r="H4677" i="4"/>
  <c r="H4719" i="4"/>
  <c r="H4761" i="4"/>
  <c r="H4805" i="4"/>
  <c r="H4832" i="4"/>
  <c r="H4854" i="4"/>
  <c r="H4873" i="4"/>
  <c r="H4892" i="4"/>
  <c r="H4907" i="4"/>
  <c r="H4919" i="4"/>
  <c r="H4933" i="4"/>
  <c r="H4944" i="4"/>
  <c r="H4958" i="4"/>
  <c r="H4971" i="4"/>
  <c r="H4983" i="4"/>
  <c r="H4994" i="4"/>
  <c r="H5003" i="4"/>
  <c r="H5013" i="4"/>
  <c r="H5022" i="4"/>
  <c r="H5031" i="4"/>
  <c r="H5040" i="4"/>
  <c r="H5049" i="4"/>
  <c r="H5058" i="4"/>
  <c r="H5067" i="4"/>
  <c r="H5076" i="4"/>
  <c r="H5084" i="4"/>
  <c r="H5092" i="4"/>
  <c r="H5100" i="4"/>
  <c r="H5108" i="4"/>
  <c r="H5116" i="4"/>
  <c r="H5124" i="4"/>
  <c r="H5132" i="4"/>
  <c r="H5140" i="4"/>
  <c r="H5148" i="4"/>
  <c r="H5156" i="4"/>
  <c r="H5164" i="4"/>
  <c r="H5172" i="4"/>
  <c r="H5180" i="4"/>
  <c r="H5188" i="4"/>
  <c r="H5196" i="4"/>
  <c r="H5204" i="4"/>
  <c r="H5212" i="4"/>
  <c r="H5220" i="4"/>
  <c r="H5228" i="4"/>
  <c r="H5236" i="4"/>
  <c r="H5244" i="4"/>
  <c r="H5252" i="4"/>
  <c r="H5260" i="4"/>
  <c r="H5268" i="4"/>
  <c r="H5276" i="4"/>
  <c r="H5284" i="4"/>
  <c r="H5292" i="4"/>
  <c r="H5300" i="4"/>
  <c r="H5308" i="4"/>
  <c r="H5316" i="4"/>
  <c r="H5324" i="4"/>
  <c r="H5332" i="4"/>
  <c r="H5340" i="4"/>
  <c r="H5348" i="4"/>
  <c r="H5356" i="4"/>
  <c r="H5364" i="4"/>
  <c r="H5372" i="4"/>
  <c r="H5380" i="4"/>
  <c r="H5388" i="4"/>
  <c r="H5396" i="4"/>
  <c r="H5404" i="4"/>
  <c r="H5412" i="4"/>
  <c r="H5420" i="4"/>
  <c r="H5428" i="4"/>
  <c r="H5436" i="4"/>
  <c r="H5444" i="4"/>
  <c r="H5452" i="4"/>
  <c r="H5460" i="4"/>
  <c r="H5468" i="4"/>
  <c r="H5476" i="4"/>
  <c r="H5484" i="4"/>
  <c r="H5492" i="4"/>
  <c r="H5500" i="4"/>
  <c r="H5820" i="4"/>
  <c r="H5996" i="4"/>
  <c r="H5932" i="4"/>
  <c r="H5868" i="4"/>
  <c r="H5804" i="4"/>
  <c r="H5740" i="4"/>
  <c r="H5676" i="4"/>
  <c r="H5612" i="4"/>
  <c r="H5548" i="4"/>
  <c r="H5756" i="4"/>
  <c r="H5988" i="4"/>
  <c r="H5924" i="4"/>
  <c r="H5860" i="4"/>
  <c r="H5796" i="4"/>
  <c r="H5732" i="4"/>
  <c r="H5668" i="4"/>
  <c r="H5604" i="4"/>
  <c r="H5540" i="4"/>
  <c r="H5692" i="4"/>
  <c r="H5980" i="4"/>
  <c r="H5916" i="4"/>
  <c r="H5852" i="4"/>
  <c r="H5788" i="4"/>
  <c r="H5724" i="4"/>
  <c r="H5660" i="4"/>
  <c r="H5596" i="4"/>
  <c r="H5532" i="4"/>
  <c r="H5972" i="4"/>
  <c r="H5908" i="4"/>
  <c r="H5844" i="4"/>
  <c r="H5780" i="4"/>
  <c r="H5716" i="4"/>
  <c r="H5652" i="4"/>
  <c r="H5588" i="4"/>
  <c r="H5524" i="4"/>
  <c r="H5964" i="4"/>
  <c r="H5900" i="4"/>
  <c r="H5836" i="4"/>
  <c r="H5772" i="4"/>
  <c r="H5708" i="4"/>
  <c r="H5644" i="4"/>
  <c r="H5580" i="4"/>
  <c r="H5516" i="4"/>
  <c r="H5948" i="4"/>
  <c r="H5956" i="4"/>
  <c r="H5892" i="4"/>
  <c r="H5828" i="4"/>
  <c r="H5764" i="4"/>
  <c r="H5700" i="4"/>
  <c r="H5636" i="4"/>
  <c r="H5572" i="4"/>
  <c r="H5508" i="4"/>
  <c r="L25" i="4" l="1"/>
  <c r="M25" i="4" s="1"/>
  <c r="N25" i="4" s="1"/>
  <c r="L24" i="4"/>
  <c r="L26" i="4"/>
  <c r="L27" i="4"/>
  <c r="M27" i="4" s="1"/>
  <c r="N20" i="4"/>
  <c r="N19" i="4"/>
  <c r="N18" i="4"/>
  <c r="N17" i="4"/>
  <c r="N27" i="4" l="1"/>
  <c r="M26" i="4"/>
  <c r="N26" i="4" s="1"/>
  <c r="M24" i="4"/>
  <c r="N24" i="4" s="1"/>
</calcChain>
</file>

<file path=xl/sharedStrings.xml><?xml version="1.0" encoding="utf-8"?>
<sst xmlns="http://schemas.openxmlformats.org/spreadsheetml/2006/main" count="42" uniqueCount="22">
  <si>
    <t>Date</t>
  </si>
  <si>
    <t xml:space="preserve">Adj Close </t>
  </si>
  <si>
    <t>Return</t>
  </si>
  <si>
    <t>Sorted Return</t>
  </si>
  <si>
    <t>Calculation of Value at Risk - Asian Paints (Historical)</t>
  </si>
  <si>
    <t>Mean</t>
  </si>
  <si>
    <t xml:space="preserve">Std Deviation </t>
  </si>
  <si>
    <t>Min</t>
  </si>
  <si>
    <t xml:space="preserve">Max </t>
  </si>
  <si>
    <t xml:space="preserve"> </t>
  </si>
  <si>
    <t>Percentile</t>
  </si>
  <si>
    <t>VAR %</t>
  </si>
  <si>
    <t>Stock Price</t>
  </si>
  <si>
    <t>CMP</t>
  </si>
  <si>
    <t>VAR (INR)</t>
  </si>
  <si>
    <t>Confidence</t>
  </si>
  <si>
    <t xml:space="preserve">Replication </t>
  </si>
  <si>
    <t>Simulation Return</t>
  </si>
  <si>
    <t>Calculation of Value at Risk - Asian Paints (Simulation)</t>
  </si>
  <si>
    <t>Historical Approach</t>
  </si>
  <si>
    <t>Monte Carlo Simulation</t>
  </si>
  <si>
    <t>Asian Paints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</si>
</sst>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10" x14ac:knownFonts="1"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Algerian"/>
      <family val="5"/>
    </font>
    <font>
      <b/>
      <sz val="20"/>
      <color theme="0"/>
      <name val="Calibri"/>
      <family val="2"/>
      <scheme val="minor"/>
    </font>
    <font>
      <sz val="16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hair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2" borderId="0" xfId="0" applyFont="1" applyFill="1"/>
    <xf numFmtId="0" fontId="4" fillId="0" borderId="0" xfId="0" applyFont="1"/>
    <xf numFmtId="164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16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5" fillId="2" borderId="0" xfId="0" applyFont="1" applyFill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0" fontId="2" fillId="0" borderId="1" xfId="1" applyNumberFormat="1" applyFont="1" applyBorder="1" applyAlignment="1"/>
    <xf numFmtId="4" fontId="2" fillId="0" borderId="1" xfId="0" applyNumberFormat="1" applyFont="1" applyBorder="1"/>
    <xf numFmtId="10" fontId="2" fillId="0" borderId="1" xfId="0" applyNumberFormat="1" applyFont="1" applyBorder="1" applyAlignment="1">
      <alignment horizontal="left"/>
    </xf>
    <xf numFmtId="10" fontId="2" fillId="0" borderId="1" xfId="0" applyNumberFormat="1" applyFont="1" applyBorder="1"/>
    <xf numFmtId="165" fontId="2" fillId="0" borderId="1" xfId="0" applyNumberFormat="1" applyFont="1" applyBorder="1"/>
    <xf numFmtId="10" fontId="2" fillId="0" borderId="3" xfId="0" applyNumberFormat="1" applyFont="1" applyBorder="1" applyAlignment="1">
      <alignment horizontal="left"/>
    </xf>
    <xf numFmtId="10" fontId="2" fillId="0" borderId="3" xfId="0" applyNumberFormat="1" applyFont="1" applyBorder="1"/>
    <xf numFmtId="10" fontId="2" fillId="0" borderId="3" xfId="1" applyNumberFormat="1" applyFont="1" applyBorder="1" applyAlignment="1"/>
    <xf numFmtId="165" fontId="2" fillId="0" borderId="3" xfId="0" applyNumberFormat="1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0" fontId="3" fillId="0" borderId="2" xfId="0" applyFont="1" applyBorder="1"/>
    <xf numFmtId="0" fontId="2" fillId="0" borderId="2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4" fontId="2" fillId="0" borderId="0" xfId="0" applyNumberFormat="1" applyFont="1" applyBorder="1"/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/>
    </xf>
    <xf numFmtId="0" fontId="2" fillId="3" borderId="0" xfId="0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Daily Returs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Returs Distribution</a:t>
          </a:r>
        </a:p>
      </cx:txPr>
    </cx:title>
    <cx:plotArea>
      <cx:plotAreaRegion>
        <cx:series layoutId="clusteredColumn" uniqueId="{EA02AEE4-7C56-4170-890A-88664A065E68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Daily Returns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Returns Distribution</a:t>
          </a:r>
        </a:p>
      </cx:txPr>
    </cx:title>
    <cx:plotArea>
      <cx:plotAreaRegion>
        <cx:series layoutId="clusteredColumn" uniqueId="{10244914-52EC-4226-BFE4-37ED9CBAFB6B}">
          <cx:spPr>
            <a:solidFill>
              <a:srgbClr val="002060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20</xdr:row>
      <xdr:rowOff>9225</xdr:rowOff>
    </xdr:from>
    <xdr:to>
      <xdr:col>11</xdr:col>
      <xdr:colOff>30480</xdr:colOff>
      <xdr:row>34</xdr:row>
      <xdr:rowOff>182279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ABA9B0C-6F34-565A-6351-49F50369AE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34314" y="3739014"/>
              <a:ext cx="3977640" cy="27558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76200</xdr:colOff>
      <xdr:row>0</xdr:row>
      <xdr:rowOff>152401</xdr:rowOff>
    </xdr:from>
    <xdr:to>
      <xdr:col>2</xdr:col>
      <xdr:colOff>600777</xdr:colOff>
      <xdr:row>4</xdr:row>
      <xdr:rowOff>53341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632973-CC2B-42BF-96D5-EF769EA4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52401"/>
          <a:ext cx="1257300" cy="670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27</xdr:row>
      <xdr:rowOff>175260</xdr:rowOff>
    </xdr:from>
    <xdr:to>
      <xdr:col>13</xdr:col>
      <xdr:colOff>929640</xdr:colOff>
      <xdr:row>42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1C12802-F4CB-7A36-9223-DC0B518783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2190" y="5478780"/>
              <a:ext cx="3928110" cy="2747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91440</xdr:colOff>
      <xdr:row>0</xdr:row>
      <xdr:rowOff>152400</xdr:rowOff>
    </xdr:from>
    <xdr:to>
      <xdr:col>2</xdr:col>
      <xdr:colOff>624840</xdr:colOff>
      <xdr:row>4</xdr:row>
      <xdr:rowOff>113267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A158A8-1E32-4001-BF0D-7D1FF7D37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152400"/>
          <a:ext cx="1242060" cy="700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0DC0-4832-4549-9DC6-26A584A79AB9}">
  <sheetPr>
    <pageSetUpPr fitToPage="1"/>
  </sheetPr>
  <dimension ref="A2:K5918"/>
  <sheetViews>
    <sheetView showGridLines="0" tabSelected="1" zoomScale="95" zoomScaleNormal="95" workbookViewId="0">
      <selection activeCell="P9" sqref="P9"/>
    </sheetView>
  </sheetViews>
  <sheetFormatPr defaultRowHeight="14.4" x14ac:dyDescent="0.3"/>
  <cols>
    <col min="1" max="1" width="1.75" style="1" customWidth="1"/>
    <col min="2" max="2" width="12" style="1" bestFit="1" customWidth="1"/>
    <col min="3" max="3" width="13.5" style="1" customWidth="1"/>
    <col min="4" max="4" width="14.875" style="1" customWidth="1"/>
    <col min="5" max="5" width="18.625" style="1" customWidth="1"/>
    <col min="6" max="6" width="8.375" style="37" customWidth="1"/>
    <col min="7" max="7" width="11.375" style="1" customWidth="1"/>
    <col min="8" max="8" width="12.5" style="1" customWidth="1"/>
    <col min="9" max="9" width="9.875" style="1" customWidth="1"/>
    <col min="10" max="10" width="15.75" style="1" customWidth="1"/>
    <col min="11" max="11" width="15.5" style="1" customWidth="1"/>
    <col min="12" max="16384" width="9" style="1"/>
  </cols>
  <sheetData>
    <row r="2" spans="1:11" x14ac:dyDescent="0.3"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7.399999999999999" customHeight="1" x14ac:dyDescent="0.3">
      <c r="B3" s="2"/>
      <c r="C3" s="2"/>
      <c r="D3" s="2"/>
      <c r="E3" s="43"/>
      <c r="F3" s="38"/>
      <c r="G3" s="38"/>
      <c r="H3" s="38"/>
      <c r="I3" s="38"/>
      <c r="J3" s="2"/>
      <c r="K3" s="2"/>
    </row>
    <row r="4" spans="1:11" x14ac:dyDescent="0.3">
      <c r="B4" s="40" t="s">
        <v>21</v>
      </c>
      <c r="C4" s="41"/>
      <c r="D4" s="41"/>
      <c r="E4" s="38"/>
      <c r="F4" s="38"/>
      <c r="G4" s="38"/>
      <c r="H4" s="38"/>
      <c r="I4" s="38"/>
      <c r="J4" s="2"/>
      <c r="K4" s="2"/>
    </row>
    <row r="5" spans="1:11" x14ac:dyDescent="0.3">
      <c r="B5" s="41"/>
      <c r="C5" s="41"/>
      <c r="D5" s="41"/>
      <c r="E5" s="2"/>
      <c r="F5" s="2"/>
      <c r="G5" s="2"/>
      <c r="H5" s="2"/>
      <c r="I5" s="2"/>
      <c r="J5" s="2"/>
      <c r="K5" s="2"/>
    </row>
    <row r="6" spans="1:11" ht="14.4" customHeight="1" x14ac:dyDescent="0.3"/>
    <row r="7" spans="1:11" x14ac:dyDescent="0.3">
      <c r="A7" s="3"/>
      <c r="B7" s="8" t="s">
        <v>0</v>
      </c>
      <c r="C7" s="9" t="s">
        <v>1</v>
      </c>
      <c r="D7" s="10" t="s">
        <v>2</v>
      </c>
      <c r="E7" s="11" t="s">
        <v>3</v>
      </c>
      <c r="F7" s="12"/>
      <c r="G7" s="13" t="s">
        <v>4</v>
      </c>
      <c r="H7" s="12"/>
      <c r="I7" s="12"/>
      <c r="J7" s="12"/>
      <c r="K7" s="12"/>
    </row>
    <row r="8" spans="1:11" x14ac:dyDescent="0.3">
      <c r="B8" s="4">
        <v>40109</v>
      </c>
      <c r="C8" s="7">
        <v>144.88999999999999</v>
      </c>
      <c r="D8" s="6">
        <f t="shared" ref="D8:D71" si="0">((C8-C9)/C9)</f>
        <v>1.2446165762974437</v>
      </c>
      <c r="E8" s="6">
        <v>9.6571558313781822E-2</v>
      </c>
    </row>
    <row r="9" spans="1:11" x14ac:dyDescent="0.3">
      <c r="B9" s="4">
        <v>39097</v>
      </c>
      <c r="C9" s="7">
        <v>64.55</v>
      </c>
      <c r="D9" s="6">
        <f t="shared" si="0"/>
        <v>-0.30201124567474052</v>
      </c>
      <c r="E9" s="6">
        <v>9.2956315611242707E-2</v>
      </c>
      <c r="G9" s="15" t="s">
        <v>5</v>
      </c>
      <c r="H9" s="16"/>
      <c r="I9" s="16"/>
      <c r="J9" s="16"/>
      <c r="K9" s="17">
        <f>AVERAGE(E8:E5918)</f>
        <v>9.8397655929276392E-4</v>
      </c>
    </row>
    <row r="10" spans="1:11" x14ac:dyDescent="0.3">
      <c r="B10" s="4">
        <v>39380</v>
      </c>
      <c r="C10" s="7">
        <v>92.48</v>
      </c>
      <c r="D10" s="6">
        <f t="shared" si="0"/>
        <v>-0.96804091647371882</v>
      </c>
      <c r="E10" s="6">
        <v>9.1338210998348004E-2</v>
      </c>
      <c r="G10" s="15" t="s">
        <v>6</v>
      </c>
      <c r="H10" s="16"/>
      <c r="I10" s="16"/>
      <c r="J10" s="16"/>
      <c r="K10" s="17">
        <f>_xlfn.STDEV.S(E8:E5918)</f>
        <v>1.6462571010812325E-2</v>
      </c>
    </row>
    <row r="11" spans="1:11" x14ac:dyDescent="0.3">
      <c r="B11" s="4">
        <v>45980</v>
      </c>
      <c r="C11" s="5">
        <v>2893.7</v>
      </c>
      <c r="D11" s="6">
        <f t="shared" si="0"/>
        <v>0.73869938532347124</v>
      </c>
      <c r="E11" s="6">
        <v>9.0702811093605076E-2</v>
      </c>
      <c r="G11" s="15" t="s">
        <v>7</v>
      </c>
      <c r="H11" s="16"/>
      <c r="I11" s="16"/>
      <c r="J11" s="16"/>
      <c r="K11" s="17">
        <f>MIN(E8:E5918)</f>
        <v>-0.14028204219216606</v>
      </c>
    </row>
    <row r="12" spans="1:11" x14ac:dyDescent="0.3">
      <c r="B12" s="4">
        <v>43910</v>
      </c>
      <c r="C12" s="5">
        <v>1664.29</v>
      </c>
      <c r="D12" s="6">
        <f t="shared" si="0"/>
        <v>-0.37330692442961666</v>
      </c>
      <c r="E12" s="6">
        <v>8.8532503123099085E-2</v>
      </c>
      <c r="G12" s="15" t="s">
        <v>8</v>
      </c>
      <c r="H12" s="16"/>
      <c r="I12" s="16"/>
      <c r="J12" s="16"/>
      <c r="K12" s="17">
        <f>MAX(E8:E5918)</f>
        <v>9.6571558313781822E-2</v>
      </c>
    </row>
    <row r="13" spans="1:11" x14ac:dyDescent="0.3">
      <c r="B13" s="4">
        <v>44330</v>
      </c>
      <c r="C13" s="5">
        <v>2655.67</v>
      </c>
      <c r="D13" s="6">
        <f t="shared" si="0"/>
        <v>143.32989130434783</v>
      </c>
      <c r="E13" s="6">
        <v>8.5400045775569047E-2</v>
      </c>
      <c r="G13" s="15" t="s">
        <v>13</v>
      </c>
      <c r="H13" s="16"/>
      <c r="I13" s="16"/>
      <c r="J13" s="16"/>
      <c r="K13" s="18">
        <v>2519</v>
      </c>
    </row>
    <row r="14" spans="1:11" x14ac:dyDescent="0.3">
      <c r="B14" s="4">
        <v>37757</v>
      </c>
      <c r="C14" s="7">
        <v>18.399999999999999</v>
      </c>
      <c r="D14" s="6">
        <f t="shared" si="0"/>
        <v>-0.59138352209638023</v>
      </c>
      <c r="E14" s="6">
        <v>8.2989994114184826E-2</v>
      </c>
      <c r="G14" s="14"/>
      <c r="K14" s="1" t="s">
        <v>9</v>
      </c>
    </row>
    <row r="15" spans="1:11" x14ac:dyDescent="0.3">
      <c r="B15" s="4">
        <v>38877</v>
      </c>
      <c r="C15" s="7">
        <v>45.03</v>
      </c>
      <c r="D15" s="6">
        <f t="shared" si="0"/>
        <v>-0.97368713223048742</v>
      </c>
      <c r="E15" s="6">
        <v>8.2451923076923062E-2</v>
      </c>
      <c r="G15" s="26" t="s">
        <v>10</v>
      </c>
      <c r="H15" s="27" t="s">
        <v>15</v>
      </c>
      <c r="I15" s="27" t="s">
        <v>11</v>
      </c>
      <c r="J15" s="27" t="s">
        <v>12</v>
      </c>
      <c r="K15" s="27" t="s">
        <v>14</v>
      </c>
    </row>
    <row r="16" spans="1:11" x14ac:dyDescent="0.3">
      <c r="B16" s="4">
        <v>43731</v>
      </c>
      <c r="C16" s="5">
        <v>1711.33</v>
      </c>
      <c r="D16" s="6">
        <f t="shared" si="0"/>
        <v>17.038684515652999</v>
      </c>
      <c r="E16" s="6">
        <v>7.8845838639315075E-2</v>
      </c>
      <c r="G16" s="22">
        <v>0.1</v>
      </c>
      <c r="H16" s="23">
        <f>100%-G16</f>
        <v>0.9</v>
      </c>
      <c r="I16" s="24">
        <f>_xlfn.PERCENTILE.INC($E$8:$E$5918,G16)</f>
        <v>-1.6658113922551607E-2</v>
      </c>
      <c r="J16" s="25">
        <f xml:space="preserve"> $K$13*(1-I16)</f>
        <v>2560.9617889709075</v>
      </c>
      <c r="K16" s="25">
        <f>$K$13-J16</f>
        <v>-41.961788970907492</v>
      </c>
    </row>
    <row r="17" spans="2:11" x14ac:dyDescent="0.3">
      <c r="B17" s="4">
        <v>39475</v>
      </c>
      <c r="C17" s="7">
        <v>94.87</v>
      </c>
      <c r="D17" s="6">
        <f t="shared" si="0"/>
        <v>-0.78067782504161276</v>
      </c>
      <c r="E17" s="6">
        <v>7.6600090785292785E-2</v>
      </c>
      <c r="G17" s="19">
        <v>0.05</v>
      </c>
      <c r="H17" s="20">
        <f>100%-G17</f>
        <v>0.95</v>
      </c>
      <c r="I17" s="17">
        <f>_xlfn.PERCENTILE.INC($E$8:$E$5918,G17)</f>
        <v>-2.40753151569107E-2</v>
      </c>
      <c r="J17" s="21">
        <f t="shared" ref="J17:J19" si="1" xml:space="preserve"> $K$13*(1-I17)</f>
        <v>2579.6457188802578</v>
      </c>
      <c r="K17" s="21">
        <f t="shared" ref="K17:K19" si="2">$K$13-J17</f>
        <v>-60.645718880257846</v>
      </c>
    </row>
    <row r="18" spans="2:11" x14ac:dyDescent="0.3">
      <c r="B18" s="4">
        <v>41536</v>
      </c>
      <c r="C18" s="7">
        <v>432.56</v>
      </c>
      <c r="D18" s="6">
        <f t="shared" si="0"/>
        <v>-0.72730825968000201</v>
      </c>
      <c r="E18" s="6">
        <v>7.5431355974342335E-2</v>
      </c>
      <c r="G18" s="19">
        <v>0.01</v>
      </c>
      <c r="H18" s="20">
        <f t="shared" ref="H18:H19" si="3">100%-G18</f>
        <v>0.99</v>
      </c>
      <c r="I18" s="17">
        <f>_xlfn.PERCENTILE.INC($E$8:$E$5918,G18)</f>
        <v>-4.2259614981449492E-2</v>
      </c>
      <c r="J18" s="21">
        <f t="shared" si="1"/>
        <v>2625.4519701382715</v>
      </c>
      <c r="K18" s="21">
        <f t="shared" si="2"/>
        <v>-106.45197013827146</v>
      </c>
    </row>
    <row r="19" spans="2:11" x14ac:dyDescent="0.3">
      <c r="B19" s="4">
        <v>43728</v>
      </c>
      <c r="C19" s="5">
        <v>1586.26</v>
      </c>
      <c r="D19" s="6">
        <f t="shared" si="0"/>
        <v>15.885884607196083</v>
      </c>
      <c r="E19" s="6">
        <v>7.5357602874381452E-2</v>
      </c>
      <c r="G19" s="19">
        <v>5.0000000000000001E-3</v>
      </c>
      <c r="H19" s="20">
        <f t="shared" si="3"/>
        <v>0.995</v>
      </c>
      <c r="I19" s="17">
        <f>_xlfn.PERCENTILE.INC($E$8:$E$5918,G19)</f>
        <v>-5.1715747848149009E-2</v>
      </c>
      <c r="J19" s="21">
        <f t="shared" si="1"/>
        <v>2649.2719688294869</v>
      </c>
      <c r="K19" s="21">
        <f t="shared" si="2"/>
        <v>-130.27196882948692</v>
      </c>
    </row>
    <row r="20" spans="2:11" x14ac:dyDescent="0.3">
      <c r="B20" s="4">
        <v>39954</v>
      </c>
      <c r="C20" s="7">
        <v>93.94</v>
      </c>
      <c r="D20" s="6">
        <f t="shared" si="0"/>
        <v>4.3103448275862064</v>
      </c>
      <c r="E20" s="6">
        <v>7.5197436190912126E-2</v>
      </c>
    </row>
    <row r="21" spans="2:11" x14ac:dyDescent="0.3">
      <c r="B21" s="4">
        <v>37743</v>
      </c>
      <c r="C21" s="7">
        <v>17.690000000000001</v>
      </c>
      <c r="D21" s="6">
        <f t="shared" si="0"/>
        <v>-0.79831262113784063</v>
      </c>
      <c r="E21" s="6">
        <v>7.4726609963548019E-2</v>
      </c>
    </row>
    <row r="22" spans="2:11" x14ac:dyDescent="0.3">
      <c r="B22" s="4">
        <v>39742</v>
      </c>
      <c r="C22" s="7">
        <v>87.71</v>
      </c>
      <c r="D22" s="6">
        <f t="shared" si="0"/>
        <v>-0.87963992150727977</v>
      </c>
      <c r="E22" s="6">
        <v>7.2249388753056198E-2</v>
      </c>
    </row>
    <row r="23" spans="2:11" x14ac:dyDescent="0.3">
      <c r="B23" s="4">
        <v>41974</v>
      </c>
      <c r="C23" s="7">
        <v>728.73</v>
      </c>
      <c r="D23" s="6">
        <f t="shared" si="0"/>
        <v>31.561662198391424</v>
      </c>
      <c r="E23" s="6">
        <v>7.0308139705666364E-2</v>
      </c>
    </row>
    <row r="24" spans="2:11" x14ac:dyDescent="0.3">
      <c r="B24" s="4">
        <v>38125</v>
      </c>
      <c r="C24" s="7">
        <v>22.38</v>
      </c>
      <c r="D24" s="6">
        <f t="shared" si="0"/>
        <v>-0.98556603956117661</v>
      </c>
      <c r="E24" s="6">
        <v>6.9789674952198719E-2</v>
      </c>
    </row>
    <row r="25" spans="2:11" x14ac:dyDescent="0.3">
      <c r="B25" s="4">
        <v>43928</v>
      </c>
      <c r="C25" s="5">
        <v>1550.51</v>
      </c>
      <c r="D25" s="6">
        <f t="shared" si="0"/>
        <v>58.134630053394353</v>
      </c>
      <c r="E25" s="6">
        <v>6.765317505129935E-2</v>
      </c>
    </row>
    <row r="26" spans="2:11" x14ac:dyDescent="0.3">
      <c r="B26" s="4">
        <v>38009</v>
      </c>
      <c r="C26" s="7">
        <v>26.22</v>
      </c>
      <c r="D26" s="6">
        <f t="shared" si="0"/>
        <v>-0.64946524064171118</v>
      </c>
      <c r="E26" s="6">
        <v>6.6720911310008166E-2</v>
      </c>
    </row>
    <row r="27" spans="2:11" x14ac:dyDescent="0.3">
      <c r="B27" s="4">
        <v>39918</v>
      </c>
      <c r="C27" s="7">
        <v>74.8</v>
      </c>
      <c r="D27" s="6">
        <f t="shared" si="0"/>
        <v>-0.24687877567458716</v>
      </c>
      <c r="E27" s="6">
        <v>6.6438551468491536E-2</v>
      </c>
    </row>
    <row r="28" spans="2:11" x14ac:dyDescent="0.3">
      <c r="B28" s="4">
        <v>39477</v>
      </c>
      <c r="C28" s="7">
        <v>99.32</v>
      </c>
      <c r="D28" s="6">
        <f t="shared" si="0"/>
        <v>0.73242630385487517</v>
      </c>
      <c r="E28" s="6">
        <v>6.5093833780160787E-2</v>
      </c>
    </row>
    <row r="29" spans="2:11" x14ac:dyDescent="0.3">
      <c r="B29" s="4">
        <v>38754</v>
      </c>
      <c r="C29" s="7">
        <v>57.33</v>
      </c>
      <c r="D29" s="6">
        <f t="shared" si="0"/>
        <v>-0.92356305747770084</v>
      </c>
      <c r="E29" s="6">
        <v>6.3439065108514228E-2</v>
      </c>
    </row>
    <row r="30" spans="2:11" x14ac:dyDescent="0.3">
      <c r="B30" s="4">
        <v>42012</v>
      </c>
      <c r="C30" s="7">
        <v>750.03</v>
      </c>
      <c r="D30" s="6">
        <f t="shared" si="0"/>
        <v>6.3496325330720236</v>
      </c>
      <c r="E30" s="6">
        <v>6.3043016086740872E-2</v>
      </c>
    </row>
    <row r="31" spans="2:11" x14ac:dyDescent="0.3">
      <c r="B31" s="4">
        <v>39454</v>
      </c>
      <c r="C31" s="7">
        <v>102.05</v>
      </c>
      <c r="D31" s="6">
        <f t="shared" si="0"/>
        <v>-0.90239306756446558</v>
      </c>
      <c r="E31" s="6">
        <v>6.2688743101114192E-2</v>
      </c>
    </row>
    <row r="32" spans="2:11" x14ac:dyDescent="0.3">
      <c r="B32" s="4">
        <v>42579</v>
      </c>
      <c r="C32" s="5">
        <v>1045.52</v>
      </c>
      <c r="D32" s="6">
        <f t="shared" si="0"/>
        <v>3.623330680109667</v>
      </c>
      <c r="E32" s="6">
        <v>6.2347585758413281E-2</v>
      </c>
    </row>
    <row r="33" spans="2:5" x14ac:dyDescent="0.3">
      <c r="B33" s="4">
        <v>40387</v>
      </c>
      <c r="C33" s="7">
        <v>226.14</v>
      </c>
      <c r="D33" s="6">
        <f t="shared" si="0"/>
        <v>1.2416732751784298</v>
      </c>
      <c r="E33" s="6">
        <v>6.0594690929556272E-2</v>
      </c>
    </row>
    <row r="34" spans="2:5" x14ac:dyDescent="0.3">
      <c r="B34" s="4">
        <v>39505</v>
      </c>
      <c r="C34" s="7">
        <v>100.88</v>
      </c>
      <c r="D34" s="6">
        <f t="shared" si="0"/>
        <v>-0.41307889225040728</v>
      </c>
      <c r="E34" s="6">
        <v>5.9775186469166908E-2</v>
      </c>
    </row>
    <row r="35" spans="2:5" x14ac:dyDescent="0.3">
      <c r="B35" s="4">
        <v>40240</v>
      </c>
      <c r="C35" s="7">
        <v>171.88</v>
      </c>
      <c r="D35" s="6">
        <f t="shared" si="0"/>
        <v>-0.94343671019376574</v>
      </c>
      <c r="E35" s="6">
        <v>5.9483449423657811E-2</v>
      </c>
    </row>
    <row r="36" spans="2:5" x14ac:dyDescent="0.3">
      <c r="B36" s="4">
        <v>44397</v>
      </c>
      <c r="C36" s="5">
        <v>3038.72</v>
      </c>
      <c r="D36" s="6">
        <f t="shared" si="0"/>
        <v>5.5251991668277176</v>
      </c>
      <c r="E36" s="6">
        <v>5.9389130412045833E-2</v>
      </c>
    </row>
    <row r="37" spans="2:5" x14ac:dyDescent="0.3">
      <c r="B37" s="4">
        <v>41568</v>
      </c>
      <c r="C37" s="7">
        <v>465.69</v>
      </c>
      <c r="D37" s="6">
        <f t="shared" si="0"/>
        <v>1.0108381190897706</v>
      </c>
      <c r="E37" s="6">
        <v>5.9349408553230149E-2</v>
      </c>
    </row>
    <row r="38" spans="2:5" x14ac:dyDescent="0.3">
      <c r="B38" s="4">
        <v>40479</v>
      </c>
      <c r="C38" s="7">
        <v>231.59</v>
      </c>
      <c r="D38" s="6">
        <f t="shared" si="0"/>
        <v>1.8542026127680551</v>
      </c>
      <c r="E38" s="6">
        <v>5.8261743739718513E-2</v>
      </c>
    </row>
    <row r="39" spans="2:5" x14ac:dyDescent="0.3">
      <c r="B39" s="4">
        <v>39946</v>
      </c>
      <c r="C39" s="7">
        <v>81.14</v>
      </c>
      <c r="D39" s="6">
        <f t="shared" si="0"/>
        <v>-0.93272252394179334</v>
      </c>
      <c r="E39" s="6">
        <v>5.8025818229234617E-2</v>
      </c>
    </row>
    <row r="40" spans="2:5" x14ac:dyDescent="0.3">
      <c r="B40" s="4">
        <v>43231</v>
      </c>
      <c r="C40" s="5">
        <v>1206.05</v>
      </c>
      <c r="D40" s="6">
        <f t="shared" si="0"/>
        <v>-0.42581624977385907</v>
      </c>
      <c r="E40" s="6">
        <v>5.645585143658028E-2</v>
      </c>
    </row>
    <row r="41" spans="2:5" x14ac:dyDescent="0.3">
      <c r="B41" s="4">
        <v>44131</v>
      </c>
      <c r="C41" s="5">
        <v>2100.46</v>
      </c>
      <c r="D41" s="6">
        <f t="shared" si="0"/>
        <v>19.025359900848507</v>
      </c>
      <c r="E41" s="6">
        <v>5.6404685386081697E-2</v>
      </c>
    </row>
    <row r="42" spans="2:5" x14ac:dyDescent="0.3">
      <c r="B42" s="4">
        <v>39478</v>
      </c>
      <c r="C42" s="7">
        <v>104.89</v>
      </c>
      <c r="D42" s="6">
        <f t="shared" si="0"/>
        <v>-0.9621159312459594</v>
      </c>
      <c r="E42" s="6">
        <v>5.6081353201772127E-2</v>
      </c>
    </row>
    <row r="43" spans="2:5" x14ac:dyDescent="0.3">
      <c r="B43" s="4">
        <v>44629</v>
      </c>
      <c r="C43" s="5">
        <v>2768.71</v>
      </c>
      <c r="D43" s="6">
        <f t="shared" si="0"/>
        <v>31.808508117075483</v>
      </c>
      <c r="E43" s="6">
        <v>5.5647485854595849E-2</v>
      </c>
    </row>
    <row r="44" spans="2:5" x14ac:dyDescent="0.3">
      <c r="B44" s="4">
        <v>39470</v>
      </c>
      <c r="C44" s="7">
        <v>84.39</v>
      </c>
      <c r="D44" s="6">
        <f t="shared" si="0"/>
        <v>-0.87605381429368745</v>
      </c>
      <c r="E44" s="6">
        <v>5.5402701350675425E-2</v>
      </c>
    </row>
    <row r="45" spans="2:5" x14ac:dyDescent="0.3">
      <c r="B45" s="4">
        <v>41971</v>
      </c>
      <c r="C45" s="7">
        <v>680.86</v>
      </c>
      <c r="D45" s="6">
        <f t="shared" si="0"/>
        <v>2.0643143255772087</v>
      </c>
      <c r="E45" s="6">
        <v>5.525332837370775E-2</v>
      </c>
    </row>
    <row r="46" spans="2:5" x14ac:dyDescent="0.3">
      <c r="B46" s="4">
        <v>40603</v>
      </c>
      <c r="C46" s="7">
        <v>222.19</v>
      </c>
      <c r="D46" s="6">
        <f t="shared" si="0"/>
        <v>-0.13145962004534437</v>
      </c>
      <c r="E46" s="6">
        <v>5.5033238366571716E-2</v>
      </c>
    </row>
    <row r="47" spans="2:5" x14ac:dyDescent="0.3">
      <c r="B47" s="4">
        <v>40533</v>
      </c>
      <c r="C47" s="7">
        <v>255.82</v>
      </c>
      <c r="D47" s="6">
        <f t="shared" si="0"/>
        <v>-0.28243247033743796</v>
      </c>
      <c r="E47" s="6">
        <v>5.4753855034221165E-2</v>
      </c>
    </row>
    <row r="48" spans="2:5" x14ac:dyDescent="0.3">
      <c r="B48" s="4">
        <v>41060</v>
      </c>
      <c r="C48" s="7">
        <v>356.51</v>
      </c>
      <c r="D48" s="6">
        <f t="shared" si="0"/>
        <v>12.818217054263565</v>
      </c>
      <c r="E48" s="6">
        <v>5.3765665641995738E-2</v>
      </c>
    </row>
    <row r="49" spans="2:5" x14ac:dyDescent="0.3">
      <c r="B49" s="4">
        <v>38328</v>
      </c>
      <c r="C49" s="7">
        <v>25.8</v>
      </c>
      <c r="D49" s="6">
        <f t="shared" si="0"/>
        <v>-0.68421052631578949</v>
      </c>
      <c r="E49" s="6">
        <v>5.349122090649254E-2</v>
      </c>
    </row>
    <row r="50" spans="2:5" x14ac:dyDescent="0.3">
      <c r="B50" s="4">
        <v>39377</v>
      </c>
      <c r="C50" s="7">
        <v>81.7</v>
      </c>
      <c r="D50" s="6">
        <f t="shared" si="0"/>
        <v>-1.2450139006406395E-2</v>
      </c>
      <c r="E50" s="6">
        <v>5.3378029912325944E-2</v>
      </c>
    </row>
    <row r="51" spans="2:5" x14ac:dyDescent="0.3">
      <c r="B51" s="4">
        <v>39750</v>
      </c>
      <c r="C51" s="7">
        <v>82.73</v>
      </c>
      <c r="D51" s="6">
        <f t="shared" si="0"/>
        <v>-0.89088918783466542</v>
      </c>
      <c r="E51" s="6">
        <v>5.2410634779290227E-2</v>
      </c>
    </row>
    <row r="52" spans="2:5" x14ac:dyDescent="0.3">
      <c r="B52" s="4">
        <v>42192</v>
      </c>
      <c r="C52" s="7">
        <v>758.22</v>
      </c>
      <c r="D52" s="6">
        <f t="shared" si="0"/>
        <v>7.2929016734113521</v>
      </c>
      <c r="E52" s="6">
        <v>5.2381745502998012E-2</v>
      </c>
    </row>
    <row r="53" spans="2:5" x14ac:dyDescent="0.3">
      <c r="B53" s="4">
        <v>39387</v>
      </c>
      <c r="C53" s="7">
        <v>91.43</v>
      </c>
      <c r="D53" s="6">
        <f t="shared" si="0"/>
        <v>0.35632695445779577</v>
      </c>
      <c r="E53" s="6">
        <v>5.2249971227989481E-2</v>
      </c>
    </row>
    <row r="54" spans="2:5" x14ac:dyDescent="0.3">
      <c r="B54" s="4">
        <v>39843</v>
      </c>
      <c r="C54" s="7">
        <v>67.41</v>
      </c>
      <c r="D54" s="6">
        <f t="shared" si="0"/>
        <v>-0.92246644353196927</v>
      </c>
      <c r="E54" s="6">
        <v>5.1966292134831435E-2</v>
      </c>
    </row>
    <row r="55" spans="2:5" x14ac:dyDescent="0.3">
      <c r="B55" s="4">
        <v>42690</v>
      </c>
      <c r="C55" s="7">
        <v>869.43</v>
      </c>
      <c r="D55" s="6">
        <f t="shared" si="0"/>
        <v>-0.49777895873888761</v>
      </c>
      <c r="E55" s="6">
        <v>5.0404127049328763E-2</v>
      </c>
    </row>
    <row r="56" spans="2:5" x14ac:dyDescent="0.3">
      <c r="B56" s="4">
        <v>43943</v>
      </c>
      <c r="C56" s="5">
        <v>1731.17</v>
      </c>
      <c r="D56" s="6">
        <f t="shared" si="0"/>
        <v>72.88689714041827</v>
      </c>
      <c r="E56" s="6">
        <v>5.0403494933559959E-2</v>
      </c>
    </row>
    <row r="57" spans="2:5" x14ac:dyDescent="0.3">
      <c r="B57" s="4">
        <v>37931</v>
      </c>
      <c r="C57" s="7">
        <v>23.43</v>
      </c>
      <c r="D57" s="6">
        <f t="shared" si="0"/>
        <v>-0.98441377016464326</v>
      </c>
      <c r="E57" s="6">
        <v>5.0201703272075349E-2</v>
      </c>
    </row>
    <row r="58" spans="2:5" x14ac:dyDescent="0.3">
      <c r="B58" s="4">
        <v>43972</v>
      </c>
      <c r="C58" s="5">
        <v>1503.25</v>
      </c>
      <c r="D58" s="6">
        <f t="shared" si="0"/>
        <v>10.685712064676618</v>
      </c>
      <c r="E58" s="6">
        <v>4.9499074946765871E-2</v>
      </c>
    </row>
    <row r="59" spans="2:5" x14ac:dyDescent="0.3">
      <c r="B59" s="4">
        <v>40093</v>
      </c>
      <c r="C59" s="7">
        <v>128.63999999999999</v>
      </c>
      <c r="D59" s="6">
        <f t="shared" si="0"/>
        <v>-0.68038957489627072</v>
      </c>
      <c r="E59" s="6">
        <v>4.9437102300538327E-2</v>
      </c>
    </row>
    <row r="60" spans="2:5" x14ac:dyDescent="0.3">
      <c r="B60" s="4">
        <v>41527</v>
      </c>
      <c r="C60" s="7">
        <v>402.49</v>
      </c>
      <c r="D60" s="6">
        <f t="shared" si="0"/>
        <v>6.014464970372952</v>
      </c>
      <c r="E60" s="6">
        <v>4.8697238144867108E-2</v>
      </c>
    </row>
    <row r="61" spans="2:5" x14ac:dyDescent="0.3">
      <c r="B61" s="4">
        <v>39149</v>
      </c>
      <c r="C61" s="7">
        <v>57.38</v>
      </c>
      <c r="D61" s="6">
        <f t="shared" si="0"/>
        <v>1.4743423889607588</v>
      </c>
      <c r="E61" s="6">
        <v>4.8611111111111181E-2</v>
      </c>
    </row>
    <row r="62" spans="2:5" x14ac:dyDescent="0.3">
      <c r="B62" s="4">
        <v>37851</v>
      </c>
      <c r="C62" s="7">
        <v>23.19</v>
      </c>
      <c r="D62" s="6">
        <f t="shared" si="0"/>
        <v>-0.73298791018998277</v>
      </c>
      <c r="E62" s="6">
        <v>4.837251356238699E-2</v>
      </c>
    </row>
    <row r="63" spans="2:5" x14ac:dyDescent="0.3">
      <c r="B63" s="4">
        <v>39735</v>
      </c>
      <c r="C63" s="7">
        <v>86.85</v>
      </c>
      <c r="D63" s="6">
        <f t="shared" si="0"/>
        <v>-0.96324385175655036</v>
      </c>
      <c r="E63" s="6">
        <v>4.8280024140012076E-2</v>
      </c>
    </row>
    <row r="64" spans="2:5" x14ac:dyDescent="0.3">
      <c r="B64" s="4">
        <v>44271</v>
      </c>
      <c r="C64" s="5">
        <v>2362.87</v>
      </c>
      <c r="D64" s="6">
        <f t="shared" si="0"/>
        <v>5.1565138092756637</v>
      </c>
      <c r="E64" s="6">
        <v>4.8235690773421359E-2</v>
      </c>
    </row>
    <row r="65" spans="2:5" x14ac:dyDescent="0.3">
      <c r="B65" s="4">
        <v>41523</v>
      </c>
      <c r="C65" s="7">
        <v>383.8</v>
      </c>
      <c r="D65" s="6">
        <f t="shared" si="0"/>
        <v>-0.82892572666449738</v>
      </c>
      <c r="E65" s="6">
        <v>4.8061168760240372E-2</v>
      </c>
    </row>
    <row r="66" spans="2:5" x14ac:dyDescent="0.3">
      <c r="B66" s="4">
        <v>45722</v>
      </c>
      <c r="C66" s="5">
        <v>2243.4699999999998</v>
      </c>
      <c r="D66" s="6">
        <f t="shared" si="0"/>
        <v>41.667744389501713</v>
      </c>
      <c r="E66" s="6">
        <v>4.7851024278147712E-2</v>
      </c>
    </row>
    <row r="67" spans="2:5" x14ac:dyDescent="0.3">
      <c r="B67" s="4">
        <v>38750</v>
      </c>
      <c r="C67" s="7">
        <v>52.58</v>
      </c>
      <c r="D67" s="6">
        <f t="shared" si="0"/>
        <v>-0.86412383388893199</v>
      </c>
      <c r="E67" s="6">
        <v>4.7827819848545207E-2</v>
      </c>
    </row>
    <row r="68" spans="2:5" x14ac:dyDescent="0.3">
      <c r="B68" s="4">
        <v>41242</v>
      </c>
      <c r="C68" s="7">
        <v>386.97</v>
      </c>
      <c r="D68" s="6">
        <f t="shared" si="0"/>
        <v>21.201376936316699</v>
      </c>
      <c r="E68" s="6">
        <v>4.7506902712359945E-2</v>
      </c>
    </row>
    <row r="69" spans="2:5" x14ac:dyDescent="0.3">
      <c r="B69" s="4">
        <v>37442</v>
      </c>
      <c r="C69" s="7">
        <v>17.43</v>
      </c>
      <c r="D69" s="6">
        <f t="shared" si="0"/>
        <v>-0.99329316156439029</v>
      </c>
      <c r="E69" s="6">
        <v>4.7475961538461488E-2</v>
      </c>
    </row>
    <row r="70" spans="2:5" x14ac:dyDescent="0.3">
      <c r="B70" s="4">
        <v>45967</v>
      </c>
      <c r="C70" s="5">
        <v>2598.84</v>
      </c>
      <c r="D70" s="6">
        <f t="shared" si="0"/>
        <v>154.61916167664674</v>
      </c>
      <c r="E70" s="6">
        <v>4.6729122530026333E-2</v>
      </c>
    </row>
    <row r="71" spans="2:5" x14ac:dyDescent="0.3">
      <c r="B71" s="4">
        <v>37488</v>
      </c>
      <c r="C71" s="7">
        <v>16.7</v>
      </c>
      <c r="D71" s="6">
        <f t="shared" si="0"/>
        <v>-0.76478873239436618</v>
      </c>
      <c r="E71" s="6">
        <v>4.6365914786967319E-2</v>
      </c>
    </row>
    <row r="72" spans="2:5" x14ac:dyDescent="0.3">
      <c r="B72" s="4">
        <v>39854</v>
      </c>
      <c r="C72" s="7">
        <v>71</v>
      </c>
      <c r="D72" s="6">
        <f t="shared" ref="D72:D135" si="4">((C72-C73)/C73)</f>
        <v>1.8018942383583267</v>
      </c>
      <c r="E72" s="6">
        <v>4.627173592690835E-2</v>
      </c>
    </row>
    <row r="73" spans="2:5" x14ac:dyDescent="0.3">
      <c r="B73" s="4">
        <v>38259</v>
      </c>
      <c r="C73" s="7">
        <v>25.34</v>
      </c>
      <c r="D73" s="6">
        <f t="shared" si="4"/>
        <v>-0.96725505905460929</v>
      </c>
      <c r="E73" s="6">
        <v>4.5810978126289696E-2</v>
      </c>
    </row>
    <row r="74" spans="2:5" x14ac:dyDescent="0.3">
      <c r="B74" s="4">
        <v>42277</v>
      </c>
      <c r="C74" s="7">
        <v>773.86</v>
      </c>
      <c r="D74" s="6">
        <f t="shared" si="4"/>
        <v>7.357019438444925</v>
      </c>
      <c r="E74" s="6">
        <v>4.5728493824491276E-2</v>
      </c>
    </row>
    <row r="75" spans="2:5" x14ac:dyDescent="0.3">
      <c r="B75" s="4">
        <v>39442</v>
      </c>
      <c r="C75" s="7">
        <v>92.6</v>
      </c>
      <c r="D75" s="6">
        <f t="shared" si="4"/>
        <v>-0.94635802254585066</v>
      </c>
      <c r="E75" s="6">
        <v>4.5618789521228456E-2</v>
      </c>
    </row>
    <row r="76" spans="2:5" x14ac:dyDescent="0.3">
      <c r="B76" s="4">
        <v>44050</v>
      </c>
      <c r="C76" s="5">
        <v>1726.26</v>
      </c>
      <c r="D76" s="6">
        <f t="shared" si="4"/>
        <v>-0.22145853064537957</v>
      </c>
      <c r="E76" s="6">
        <v>4.55591627095649E-2</v>
      </c>
    </row>
    <row r="77" spans="2:5" x14ac:dyDescent="0.3">
      <c r="B77" s="4">
        <v>46105</v>
      </c>
      <c r="C77" s="5">
        <v>2217.3000000000002</v>
      </c>
      <c r="D77" s="6">
        <f t="shared" si="4"/>
        <v>27.844802914010671</v>
      </c>
      <c r="E77" s="6">
        <v>4.5255267996040162E-2</v>
      </c>
    </row>
    <row r="78" spans="2:5" x14ac:dyDescent="0.3">
      <c r="B78" s="4">
        <v>39801</v>
      </c>
      <c r="C78" s="7">
        <v>76.87</v>
      </c>
      <c r="D78" s="6">
        <f t="shared" si="4"/>
        <v>-0.72068602158351802</v>
      </c>
      <c r="E78" s="6">
        <v>4.5139360978926006E-2</v>
      </c>
    </row>
    <row r="79" spans="2:5" x14ac:dyDescent="0.3">
      <c r="B79" s="4">
        <v>40721</v>
      </c>
      <c r="C79" s="7">
        <v>275.20999999999998</v>
      </c>
      <c r="D79" s="6">
        <f t="shared" si="4"/>
        <v>-0.42400586019254927</v>
      </c>
      <c r="E79" s="6">
        <v>4.5114495120191382E-2</v>
      </c>
    </row>
    <row r="80" spans="2:5" x14ac:dyDescent="0.3">
      <c r="B80" s="4">
        <v>41799</v>
      </c>
      <c r="C80" s="7">
        <v>477.8</v>
      </c>
      <c r="D80" s="6">
        <f t="shared" si="4"/>
        <v>-0.6997404621407789</v>
      </c>
      <c r="E80" s="6">
        <v>4.5011154367700416E-2</v>
      </c>
    </row>
    <row r="81" spans="2:5" x14ac:dyDescent="0.3">
      <c r="B81" s="4">
        <v>43921</v>
      </c>
      <c r="C81" s="5">
        <v>1591.29</v>
      </c>
      <c r="D81" s="6">
        <f t="shared" si="4"/>
        <v>4.6041084634346731E-2</v>
      </c>
      <c r="E81" s="6">
        <v>4.4866575615905818E-2</v>
      </c>
    </row>
    <row r="82" spans="2:5" x14ac:dyDescent="0.3">
      <c r="B82" s="4">
        <v>43915</v>
      </c>
      <c r="C82" s="5">
        <v>1521.25</v>
      </c>
      <c r="D82" s="6">
        <f t="shared" si="4"/>
        <v>15.137159223506949</v>
      </c>
      <c r="E82" s="6">
        <v>4.4793033110581533E-2</v>
      </c>
    </row>
    <row r="83" spans="2:5" x14ac:dyDescent="0.3">
      <c r="B83" s="4">
        <v>39652</v>
      </c>
      <c r="C83" s="7">
        <v>94.27</v>
      </c>
      <c r="D83" s="6">
        <f t="shared" si="4"/>
        <v>-0.84706111390515748</v>
      </c>
      <c r="E83" s="6">
        <v>4.4774465255458182E-2</v>
      </c>
    </row>
    <row r="84" spans="2:5" x14ac:dyDescent="0.3">
      <c r="B84" s="4">
        <v>41890</v>
      </c>
      <c r="C84" s="7">
        <v>616.39</v>
      </c>
      <c r="D84" s="6">
        <f t="shared" si="4"/>
        <v>-0.15351973413167069</v>
      </c>
      <c r="E84" s="6">
        <v>4.47465211274767E-2</v>
      </c>
    </row>
    <row r="85" spans="2:5" x14ac:dyDescent="0.3">
      <c r="B85" s="4">
        <v>42138</v>
      </c>
      <c r="C85" s="7">
        <v>728.18</v>
      </c>
      <c r="D85" s="6">
        <f t="shared" si="4"/>
        <v>9.0535689631368204</v>
      </c>
      <c r="E85" s="6">
        <v>4.4524772642510778E-2</v>
      </c>
    </row>
    <row r="86" spans="2:5" x14ac:dyDescent="0.3">
      <c r="B86" s="4">
        <v>39234</v>
      </c>
      <c r="C86" s="7">
        <v>72.430000000000007</v>
      </c>
      <c r="D86" s="6">
        <f t="shared" si="4"/>
        <v>-0.9612938737121115</v>
      </c>
      <c r="E86" s="6">
        <v>4.4412400865176824E-2</v>
      </c>
    </row>
    <row r="87" spans="2:5" x14ac:dyDescent="0.3">
      <c r="B87" s="4">
        <v>44064</v>
      </c>
      <c r="C87" s="5">
        <v>1871.28</v>
      </c>
      <c r="D87" s="6">
        <f t="shared" si="4"/>
        <v>3.9236436352154924</v>
      </c>
      <c r="E87" s="6">
        <v>4.4322659136316493E-2</v>
      </c>
    </row>
    <row r="88" spans="2:5" x14ac:dyDescent="0.3">
      <c r="B88" s="4">
        <v>41516</v>
      </c>
      <c r="C88" s="7">
        <v>380.06</v>
      </c>
      <c r="D88" s="6">
        <f t="shared" si="4"/>
        <v>-0.52695907597331482</v>
      </c>
      <c r="E88" s="6">
        <v>4.4034832294041787E-2</v>
      </c>
    </row>
    <row r="89" spans="2:5" x14ac:dyDescent="0.3">
      <c r="B89" s="4">
        <v>42345</v>
      </c>
      <c r="C89" s="7">
        <v>803.44</v>
      </c>
      <c r="D89" s="6">
        <f t="shared" si="4"/>
        <v>-0.64798457763757444</v>
      </c>
      <c r="E89" s="6">
        <v>4.4025157232704545E-2</v>
      </c>
    </row>
    <row r="90" spans="2:5" x14ac:dyDescent="0.3">
      <c r="B90" s="4">
        <v>46120</v>
      </c>
      <c r="C90" s="5">
        <v>2282.4</v>
      </c>
      <c r="D90" s="6">
        <f t="shared" si="4"/>
        <v>22.693553410152603</v>
      </c>
      <c r="E90" s="6">
        <v>4.4003293385783682E-2</v>
      </c>
    </row>
    <row r="91" spans="2:5" x14ac:dyDescent="0.3">
      <c r="B91" s="4">
        <v>39965</v>
      </c>
      <c r="C91" s="7">
        <v>96.33</v>
      </c>
      <c r="D91" s="6">
        <f t="shared" si="4"/>
        <v>0.45469646632437333</v>
      </c>
      <c r="E91" s="6">
        <v>4.3661971830985927E-2</v>
      </c>
    </row>
    <row r="92" spans="2:5" x14ac:dyDescent="0.3">
      <c r="B92" s="4">
        <v>39121</v>
      </c>
      <c r="C92" s="7">
        <v>66.22</v>
      </c>
      <c r="D92" s="6">
        <f t="shared" si="4"/>
        <v>0.32175648702594806</v>
      </c>
      <c r="E92" s="6">
        <v>4.2998897464167532E-2</v>
      </c>
    </row>
    <row r="93" spans="2:5" x14ac:dyDescent="0.3">
      <c r="B93" s="4">
        <v>38929</v>
      </c>
      <c r="C93" s="7">
        <v>50.1</v>
      </c>
      <c r="D93" s="6">
        <f t="shared" si="4"/>
        <v>-0.9791063698464465</v>
      </c>
      <c r="E93" s="6">
        <v>4.2880932556203212E-2</v>
      </c>
    </row>
    <row r="94" spans="2:5" x14ac:dyDescent="0.3">
      <c r="B94" s="4">
        <v>44281</v>
      </c>
      <c r="C94" s="5">
        <v>2397.86</v>
      </c>
      <c r="D94" s="6">
        <f t="shared" si="4"/>
        <v>1.144814755183456</v>
      </c>
      <c r="E94" s="6">
        <v>4.2856148774420247E-2</v>
      </c>
    </row>
    <row r="95" spans="2:5" x14ac:dyDescent="0.3">
      <c r="B95" s="4">
        <v>43397</v>
      </c>
      <c r="C95" s="5">
        <v>1117.98</v>
      </c>
      <c r="D95" s="6">
        <f t="shared" si="4"/>
        <v>0.81909596797813133</v>
      </c>
      <c r="E95" s="6">
        <v>4.2551405791019827E-2</v>
      </c>
    </row>
    <row r="96" spans="2:5" x14ac:dyDescent="0.3">
      <c r="B96" s="4">
        <v>41957</v>
      </c>
      <c r="C96" s="7">
        <v>614.58000000000004</v>
      </c>
      <c r="D96" s="6">
        <f t="shared" si="4"/>
        <v>10.427668278170325</v>
      </c>
      <c r="E96" s="6">
        <v>4.2491476260750206E-2</v>
      </c>
    </row>
    <row r="97" spans="2:5" x14ac:dyDescent="0.3">
      <c r="B97" s="4">
        <v>38805</v>
      </c>
      <c r="C97" s="7">
        <v>53.78</v>
      </c>
      <c r="D97" s="6">
        <f t="shared" si="4"/>
        <v>-0.97156964327250428</v>
      </c>
      <c r="E97" s="6">
        <v>4.2450087226206586E-2</v>
      </c>
    </row>
    <row r="98" spans="2:5" x14ac:dyDescent="0.3">
      <c r="B98" s="4">
        <v>44075</v>
      </c>
      <c r="C98" s="5">
        <v>1891.64</v>
      </c>
      <c r="D98" s="6">
        <f t="shared" si="4"/>
        <v>25.969489592244084</v>
      </c>
      <c r="E98" s="6">
        <v>4.2231637639876855E-2</v>
      </c>
    </row>
    <row r="99" spans="2:5" x14ac:dyDescent="0.3">
      <c r="B99" s="4">
        <v>39916</v>
      </c>
      <c r="C99" s="7">
        <v>70.14</v>
      </c>
      <c r="D99" s="6">
        <f t="shared" si="4"/>
        <v>1.2001254705144293</v>
      </c>
      <c r="E99" s="6">
        <v>4.2199108469539427E-2</v>
      </c>
    </row>
    <row r="100" spans="2:5" x14ac:dyDescent="0.3">
      <c r="B100" s="4">
        <v>38524</v>
      </c>
      <c r="C100" s="7">
        <v>31.88</v>
      </c>
      <c r="D100" s="6">
        <f t="shared" si="4"/>
        <v>-0.98929040537226587</v>
      </c>
      <c r="E100" s="6">
        <v>4.2170644001307586E-2</v>
      </c>
    </row>
    <row r="101" spans="2:5" x14ac:dyDescent="0.3">
      <c r="B101" s="4">
        <v>44496</v>
      </c>
      <c r="C101" s="5">
        <v>2976.77</v>
      </c>
      <c r="D101" s="6">
        <f t="shared" si="4"/>
        <v>3.2979021382885025</v>
      </c>
      <c r="E101" s="6">
        <v>4.2038310206253468E-2</v>
      </c>
    </row>
    <row r="102" spans="2:5" x14ac:dyDescent="0.3">
      <c r="B102" s="4">
        <v>42002</v>
      </c>
      <c r="C102" s="7">
        <v>692.61</v>
      </c>
      <c r="D102" s="6">
        <f t="shared" si="4"/>
        <v>11.249911567032191</v>
      </c>
      <c r="E102" s="6">
        <v>4.1941841048245145E-2</v>
      </c>
    </row>
    <row r="103" spans="2:5" x14ac:dyDescent="0.3">
      <c r="B103" s="4">
        <v>39147</v>
      </c>
      <c r="C103" s="7">
        <v>56.54</v>
      </c>
      <c r="D103" s="6">
        <f t="shared" si="4"/>
        <v>-0.95057303459188225</v>
      </c>
      <c r="E103" s="6">
        <v>4.1827897549290512E-2</v>
      </c>
    </row>
    <row r="104" spans="2:5" x14ac:dyDescent="0.3">
      <c r="B104" s="4">
        <v>43032</v>
      </c>
      <c r="C104" s="5">
        <v>1143.9100000000001</v>
      </c>
      <c r="D104" s="6">
        <f t="shared" si="4"/>
        <v>46.722569879015438</v>
      </c>
      <c r="E104" s="6">
        <v>4.1527815715196328E-2</v>
      </c>
    </row>
    <row r="105" spans="2:5" x14ac:dyDescent="0.3">
      <c r="B105" s="4">
        <v>38292</v>
      </c>
      <c r="C105" s="7">
        <v>23.97</v>
      </c>
      <c r="D105" s="6">
        <f t="shared" si="4"/>
        <v>-0.98961492470062229</v>
      </c>
      <c r="E105" s="6">
        <v>4.1268462206776685E-2</v>
      </c>
    </row>
    <row r="106" spans="2:5" x14ac:dyDescent="0.3">
      <c r="B106" s="4">
        <v>44168</v>
      </c>
      <c r="C106" s="5">
        <v>2308.12</v>
      </c>
      <c r="D106" s="6">
        <f t="shared" si="4"/>
        <v>0.77919955599407986</v>
      </c>
      <c r="E106" s="6">
        <v>4.1260274466990897E-2</v>
      </c>
    </row>
    <row r="107" spans="2:5" x14ac:dyDescent="0.3">
      <c r="B107" s="4">
        <v>43605</v>
      </c>
      <c r="C107" s="5">
        <v>1297.28</v>
      </c>
      <c r="D107" s="6">
        <f t="shared" si="4"/>
        <v>14.308945008260562</v>
      </c>
      <c r="E107" s="6">
        <v>4.087167225636669E-2</v>
      </c>
    </row>
    <row r="108" spans="2:5" x14ac:dyDescent="0.3">
      <c r="B108" s="4">
        <v>39379</v>
      </c>
      <c r="C108" s="7">
        <v>84.74</v>
      </c>
      <c r="D108" s="6">
        <f t="shared" si="4"/>
        <v>-0.96615666023667179</v>
      </c>
      <c r="E108" s="6">
        <v>4.0776222058462208E-2</v>
      </c>
    </row>
    <row r="109" spans="2:5" x14ac:dyDescent="0.3">
      <c r="B109" s="4">
        <v>45947</v>
      </c>
      <c r="C109" s="5">
        <v>2503.89</v>
      </c>
      <c r="D109" s="6">
        <f t="shared" si="4"/>
        <v>9.978121711680112</v>
      </c>
      <c r="E109" s="6">
        <v>4.0707412872254226E-2</v>
      </c>
    </row>
    <row r="110" spans="2:5" x14ac:dyDescent="0.3">
      <c r="B110" s="4">
        <v>40588</v>
      </c>
      <c r="C110" s="7">
        <v>228.08</v>
      </c>
      <c r="D110" s="6">
        <f t="shared" si="4"/>
        <v>1.3354495187384807</v>
      </c>
      <c r="E110" s="6">
        <v>4.0605894698421414E-2</v>
      </c>
    </row>
    <row r="111" spans="2:5" x14ac:dyDescent="0.3">
      <c r="B111" s="4">
        <v>39510</v>
      </c>
      <c r="C111" s="7">
        <v>97.66</v>
      </c>
      <c r="D111" s="6">
        <f t="shared" si="4"/>
        <v>-0.91413448688190191</v>
      </c>
      <c r="E111" s="6">
        <v>4.059669685668623E-2</v>
      </c>
    </row>
    <row r="112" spans="2:5" x14ac:dyDescent="0.3">
      <c r="B112" s="4">
        <v>42979</v>
      </c>
      <c r="C112" s="5">
        <v>1137.3599999999999</v>
      </c>
      <c r="D112" s="6">
        <f t="shared" si="4"/>
        <v>2.8836304036058178</v>
      </c>
      <c r="E112" s="6">
        <v>4.0518905468085273E-2</v>
      </c>
    </row>
    <row r="113" spans="2:5" x14ac:dyDescent="0.3">
      <c r="B113" s="4">
        <v>40725</v>
      </c>
      <c r="C113" s="7">
        <v>292.86</v>
      </c>
      <c r="D113" s="6">
        <f t="shared" si="4"/>
        <v>2.173946027961418</v>
      </c>
      <c r="E113" s="6">
        <v>4.0429160153474475E-2</v>
      </c>
    </row>
    <row r="114" spans="2:5" x14ac:dyDescent="0.3">
      <c r="B114" s="4">
        <v>39500</v>
      </c>
      <c r="C114" s="7">
        <v>92.27</v>
      </c>
      <c r="D114" s="6">
        <f t="shared" si="4"/>
        <v>-0.80396031189580819</v>
      </c>
      <c r="E114" s="6">
        <v>4.0248027057497103E-2</v>
      </c>
    </row>
    <row r="115" spans="2:5" x14ac:dyDescent="0.3">
      <c r="B115" s="4">
        <v>41473</v>
      </c>
      <c r="C115" s="7">
        <v>470.67</v>
      </c>
      <c r="D115" s="6">
        <f t="shared" si="4"/>
        <v>-0.81171317131713172</v>
      </c>
      <c r="E115" s="6">
        <v>4.0223661237209066E-2</v>
      </c>
    </row>
    <row r="116" spans="2:5" x14ac:dyDescent="0.3">
      <c r="B116" s="4">
        <v>44292</v>
      </c>
      <c r="C116" s="5">
        <v>2499.75</v>
      </c>
      <c r="D116" s="6">
        <f t="shared" si="4"/>
        <v>5.8902020587114072E-2</v>
      </c>
      <c r="E116" s="6">
        <v>4.0210226705283181E-2</v>
      </c>
    </row>
    <row r="117" spans="2:5" x14ac:dyDescent="0.3">
      <c r="B117" s="4">
        <v>46122</v>
      </c>
      <c r="C117" s="5">
        <v>2360.6999999999998</v>
      </c>
      <c r="D117" s="6">
        <f t="shared" si="4"/>
        <v>0.32905833736811868</v>
      </c>
      <c r="E117" s="6">
        <v>4.0139231582657697E-2</v>
      </c>
    </row>
    <row r="118" spans="2:5" x14ac:dyDescent="0.3">
      <c r="B118" s="4">
        <v>43864</v>
      </c>
      <c r="C118" s="5">
        <v>1776.22</v>
      </c>
      <c r="D118" s="6">
        <f t="shared" si="4"/>
        <v>19.056684733514004</v>
      </c>
      <c r="E118" s="6">
        <v>4.0093690528473155E-2</v>
      </c>
    </row>
    <row r="119" spans="2:5" x14ac:dyDescent="0.3">
      <c r="B119" s="4">
        <v>39440</v>
      </c>
      <c r="C119" s="7">
        <v>88.56</v>
      </c>
      <c r="D119" s="6">
        <f t="shared" si="4"/>
        <v>-0.91104146576663458</v>
      </c>
      <c r="E119" s="6">
        <v>4.0046975924838475E-2</v>
      </c>
    </row>
    <row r="120" spans="2:5" x14ac:dyDescent="0.3">
      <c r="B120" s="4">
        <v>42808</v>
      </c>
      <c r="C120" s="7">
        <v>995.52</v>
      </c>
      <c r="D120" s="6">
        <f t="shared" si="4"/>
        <v>9.2083675143560306</v>
      </c>
      <c r="E120" s="6">
        <v>3.9935651683397945E-2</v>
      </c>
    </row>
    <row r="121" spans="2:5" x14ac:dyDescent="0.3">
      <c r="B121" s="4">
        <v>39988</v>
      </c>
      <c r="C121" s="7">
        <v>97.52</v>
      </c>
      <c r="D121" s="6">
        <f t="shared" si="4"/>
        <v>-0.95038336886342711</v>
      </c>
      <c r="E121" s="6">
        <v>3.943722020891071E-2</v>
      </c>
    </row>
    <row r="122" spans="2:5" x14ac:dyDescent="0.3">
      <c r="B122" s="4">
        <v>44084</v>
      </c>
      <c r="C122" s="5">
        <v>1965.47</v>
      </c>
      <c r="D122" s="6">
        <f t="shared" si="4"/>
        <v>5.3876178095547615</v>
      </c>
      <c r="E122" s="6">
        <v>3.9161467695886611E-2</v>
      </c>
    </row>
    <row r="123" spans="2:5" x14ac:dyDescent="0.3">
      <c r="B123" s="4">
        <v>41022</v>
      </c>
      <c r="C123" s="7">
        <v>307.7</v>
      </c>
      <c r="D123" s="6">
        <f t="shared" si="4"/>
        <v>-0.89074550128534713</v>
      </c>
      <c r="E123" s="6">
        <v>3.9035591274397256E-2</v>
      </c>
    </row>
    <row r="124" spans="2:5" x14ac:dyDescent="0.3">
      <c r="B124" s="4">
        <v>45425</v>
      </c>
      <c r="C124" s="5">
        <v>2816.36</v>
      </c>
      <c r="D124" s="6">
        <f t="shared" si="4"/>
        <v>1.253556739801879</v>
      </c>
      <c r="E124" s="6">
        <v>3.8971195844646561E-2</v>
      </c>
    </row>
    <row r="125" spans="2:5" x14ac:dyDescent="0.3">
      <c r="B125" s="4">
        <v>43445</v>
      </c>
      <c r="C125" s="5">
        <v>1249.74</v>
      </c>
      <c r="D125" s="6">
        <f t="shared" si="4"/>
        <v>-0.26459927033070496</v>
      </c>
      <c r="E125" s="6">
        <v>3.8775153978505429E-2</v>
      </c>
    </row>
    <row r="126" spans="2:5" x14ac:dyDescent="0.3">
      <c r="B126" s="4">
        <v>44039</v>
      </c>
      <c r="C126" s="5">
        <v>1699.4</v>
      </c>
      <c r="D126" s="6">
        <f t="shared" si="4"/>
        <v>100.88249400479617</v>
      </c>
      <c r="E126" s="6">
        <v>3.8607041797302379E-2</v>
      </c>
    </row>
    <row r="127" spans="2:5" x14ac:dyDescent="0.3">
      <c r="B127" s="4">
        <v>37564</v>
      </c>
      <c r="C127" s="7">
        <v>16.68</v>
      </c>
      <c r="D127" s="6">
        <f t="shared" si="4"/>
        <v>-0.99469458898968188</v>
      </c>
      <c r="E127" s="6">
        <v>3.8605230386052368E-2</v>
      </c>
    </row>
    <row r="128" spans="2:5" x14ac:dyDescent="0.3">
      <c r="B128" s="4">
        <v>44607</v>
      </c>
      <c r="C128" s="5">
        <v>3143.96</v>
      </c>
      <c r="D128" s="6">
        <f t="shared" si="4"/>
        <v>-5.223619635600673E-2</v>
      </c>
      <c r="E128" s="6">
        <v>3.8539419745052532E-2</v>
      </c>
    </row>
    <row r="129" spans="2:5" x14ac:dyDescent="0.3">
      <c r="B129" s="4">
        <v>44463</v>
      </c>
      <c r="C129" s="5">
        <v>3317.24</v>
      </c>
      <c r="D129" s="6">
        <f t="shared" si="4"/>
        <v>0.49650374888345528</v>
      </c>
      <c r="E129" s="6">
        <v>3.8529571062279E-2</v>
      </c>
    </row>
    <row r="130" spans="2:5" x14ac:dyDescent="0.3">
      <c r="B130" s="4">
        <v>44167</v>
      </c>
      <c r="C130" s="5">
        <v>2216.66</v>
      </c>
      <c r="D130" s="6">
        <f t="shared" si="4"/>
        <v>3.3364438445135662</v>
      </c>
      <c r="E130" s="6">
        <v>3.8471989281062852E-2</v>
      </c>
    </row>
    <row r="131" spans="2:5" x14ac:dyDescent="0.3">
      <c r="B131" s="4">
        <v>41807</v>
      </c>
      <c r="C131" s="7">
        <v>511.17</v>
      </c>
      <c r="D131" s="6">
        <f t="shared" si="4"/>
        <v>7.9663216979477296</v>
      </c>
      <c r="E131" s="6">
        <v>3.8435754189944167E-2</v>
      </c>
    </row>
    <row r="132" spans="2:5" x14ac:dyDescent="0.3">
      <c r="B132" s="4">
        <v>39022</v>
      </c>
      <c r="C132" s="7">
        <v>57.01</v>
      </c>
      <c r="D132" s="6">
        <f t="shared" si="4"/>
        <v>-0.25545252709938615</v>
      </c>
      <c r="E132" s="6">
        <v>3.8433515482695801E-2</v>
      </c>
    </row>
    <row r="133" spans="2:5" x14ac:dyDescent="0.3">
      <c r="B133" s="4">
        <v>39786</v>
      </c>
      <c r="C133" s="7">
        <v>76.569999999999993</v>
      </c>
      <c r="D133" s="6">
        <f t="shared" si="4"/>
        <v>0.65485195591095713</v>
      </c>
      <c r="E133" s="6">
        <v>3.795580859427948E-2</v>
      </c>
    </row>
    <row r="134" spans="2:5" x14ac:dyDescent="0.3">
      <c r="B134" s="4">
        <v>38866</v>
      </c>
      <c r="C134" s="7">
        <v>46.27</v>
      </c>
      <c r="D134" s="6">
        <f t="shared" si="4"/>
        <v>-0.96714198468945733</v>
      </c>
      <c r="E134" s="6">
        <v>3.7909376401974088E-2</v>
      </c>
    </row>
    <row r="135" spans="2:5" x14ac:dyDescent="0.3">
      <c r="B135" s="4">
        <v>43670</v>
      </c>
      <c r="C135" s="5">
        <v>1408.18</v>
      </c>
      <c r="D135" s="6">
        <f t="shared" si="4"/>
        <v>0.60874184593239122</v>
      </c>
      <c r="E135" s="6">
        <v>3.7814971220529729E-2</v>
      </c>
    </row>
    <row r="136" spans="2:5" x14ac:dyDescent="0.3">
      <c r="B136" s="4">
        <v>42697</v>
      </c>
      <c r="C136" s="7">
        <v>875.33</v>
      </c>
      <c r="D136" s="6">
        <f t="shared" ref="D136:D199" si="5">((C136-C137)/C137)</f>
        <v>17.277928586343705</v>
      </c>
      <c r="E136" s="6">
        <v>3.7784838640836559E-2</v>
      </c>
    </row>
    <row r="137" spans="2:5" x14ac:dyDescent="0.3">
      <c r="B137" s="4">
        <v>38870</v>
      </c>
      <c r="C137" s="7">
        <v>47.89</v>
      </c>
      <c r="D137" s="6">
        <f t="shared" si="5"/>
        <v>-0.93512861845224393</v>
      </c>
      <c r="E137" s="6">
        <v>3.7703141928494083E-2</v>
      </c>
    </row>
    <row r="138" spans="2:5" x14ac:dyDescent="0.3">
      <c r="B138" s="4">
        <v>42093</v>
      </c>
      <c r="C138" s="7">
        <v>738.23</v>
      </c>
      <c r="D138" s="6">
        <f t="shared" si="5"/>
        <v>-0.55751952481134504</v>
      </c>
      <c r="E138" s="6">
        <v>3.7641436502916535E-2</v>
      </c>
    </row>
    <row r="139" spans="2:5" x14ac:dyDescent="0.3">
      <c r="B139" s="4">
        <v>44006</v>
      </c>
      <c r="C139" s="5">
        <v>1668.39</v>
      </c>
      <c r="D139" s="6">
        <f t="shared" si="5"/>
        <v>19.331342919814769</v>
      </c>
      <c r="E139" s="6">
        <v>3.7620498787238013E-2</v>
      </c>
    </row>
    <row r="140" spans="2:5" x14ac:dyDescent="0.3">
      <c r="B140" s="4">
        <v>39307</v>
      </c>
      <c r="C140" s="7">
        <v>82.06</v>
      </c>
      <c r="D140" s="6">
        <f t="shared" si="5"/>
        <v>-0.89131845573140855</v>
      </c>
      <c r="E140" s="6">
        <v>3.7552155771905411E-2</v>
      </c>
    </row>
    <row r="141" spans="2:5" x14ac:dyDescent="0.3">
      <c r="B141" s="4">
        <v>42256</v>
      </c>
      <c r="C141" s="7">
        <v>755.05</v>
      </c>
      <c r="D141" s="6">
        <f t="shared" si="5"/>
        <v>-0.19842668478491662</v>
      </c>
      <c r="E141" s="6">
        <v>3.7455859519916451E-2</v>
      </c>
    </row>
    <row r="142" spans="2:5" x14ac:dyDescent="0.3">
      <c r="B142" s="4">
        <v>42522</v>
      </c>
      <c r="C142" s="7">
        <v>941.96</v>
      </c>
      <c r="D142" s="6">
        <f t="shared" si="5"/>
        <v>-0.58341183390605578</v>
      </c>
      <c r="E142" s="6">
        <v>3.741230630293288E-2</v>
      </c>
    </row>
    <row r="143" spans="2:5" x14ac:dyDescent="0.3">
      <c r="B143" s="4">
        <v>44256</v>
      </c>
      <c r="C143" s="5">
        <v>2261.13</v>
      </c>
      <c r="D143" s="6">
        <f t="shared" si="5"/>
        <v>113.54559270516719</v>
      </c>
      <c r="E143" s="6">
        <v>3.7372629801758997E-2</v>
      </c>
    </row>
    <row r="144" spans="2:5" x14ac:dyDescent="0.3">
      <c r="B144" s="4">
        <v>37805</v>
      </c>
      <c r="C144" s="7">
        <v>19.739999999999998</v>
      </c>
      <c r="D144" s="6">
        <f t="shared" si="5"/>
        <v>-0.99177321753046499</v>
      </c>
      <c r="E144" s="6">
        <v>3.730951129795046E-2</v>
      </c>
    </row>
    <row r="145" spans="2:5" x14ac:dyDescent="0.3">
      <c r="B145" s="4">
        <v>44236</v>
      </c>
      <c r="C145" s="5">
        <v>2399.48</v>
      </c>
      <c r="D145" s="6">
        <f t="shared" si="5"/>
        <v>5.905177127399349</v>
      </c>
      <c r="E145" s="6">
        <v>3.7236203930247985E-2</v>
      </c>
    </row>
    <row r="146" spans="2:5" x14ac:dyDescent="0.3">
      <c r="B146" s="4">
        <v>41089</v>
      </c>
      <c r="C146" s="7">
        <v>347.49</v>
      </c>
      <c r="D146" s="6">
        <f t="shared" si="5"/>
        <v>-0.88395260454584934</v>
      </c>
      <c r="E146" s="6">
        <v>3.7221658408453311E-2</v>
      </c>
    </row>
    <row r="147" spans="2:5" x14ac:dyDescent="0.3">
      <c r="B147" s="4">
        <v>44428</v>
      </c>
      <c r="C147" s="5">
        <v>2994.38</v>
      </c>
      <c r="D147" s="6">
        <f t="shared" si="5"/>
        <v>1.1732737222568987</v>
      </c>
      <c r="E147" s="6">
        <v>3.7115287369857621E-2</v>
      </c>
    </row>
    <row r="148" spans="2:5" x14ac:dyDescent="0.3">
      <c r="B148" s="4">
        <v>43619</v>
      </c>
      <c r="C148" s="5">
        <v>1377.82</v>
      </c>
      <c r="D148" s="6">
        <f t="shared" si="5"/>
        <v>15.293992431409649</v>
      </c>
      <c r="E148" s="6">
        <v>3.6913837609217515E-2</v>
      </c>
    </row>
    <row r="149" spans="2:5" x14ac:dyDescent="0.3">
      <c r="B149" s="4">
        <v>39399</v>
      </c>
      <c r="C149" s="7">
        <v>84.56</v>
      </c>
      <c r="D149" s="6">
        <f t="shared" si="5"/>
        <v>-0.24446032880629021</v>
      </c>
      <c r="E149" s="6">
        <v>3.690987124463526E-2</v>
      </c>
    </row>
    <row r="150" spans="2:5" x14ac:dyDescent="0.3">
      <c r="B150" s="4">
        <v>40016</v>
      </c>
      <c r="C150" s="7">
        <v>111.92</v>
      </c>
      <c r="D150" s="6">
        <f t="shared" si="5"/>
        <v>-0.61521006669875533</v>
      </c>
      <c r="E150" s="6">
        <v>3.687233648323146E-2</v>
      </c>
    </row>
    <row r="151" spans="2:5" x14ac:dyDescent="0.3">
      <c r="B151" s="4">
        <v>40777</v>
      </c>
      <c r="C151" s="7">
        <v>290.86</v>
      </c>
      <c r="D151" s="6">
        <f t="shared" si="5"/>
        <v>-0.89960166513637962</v>
      </c>
      <c r="E151" s="6">
        <v>3.6490627895374557E-2</v>
      </c>
    </row>
    <row r="152" spans="2:5" x14ac:dyDescent="0.3">
      <c r="B152" s="4">
        <v>45448</v>
      </c>
      <c r="C152" s="5">
        <v>2897.06</v>
      </c>
      <c r="D152" s="6">
        <f t="shared" si="5"/>
        <v>28.289859468203421</v>
      </c>
      <c r="E152" s="6">
        <v>3.6429918110495355E-2</v>
      </c>
    </row>
    <row r="153" spans="2:5" x14ac:dyDescent="0.3">
      <c r="B153" s="4">
        <v>39526</v>
      </c>
      <c r="C153" s="7">
        <v>98.91</v>
      </c>
      <c r="D153" s="6">
        <f t="shared" si="5"/>
        <v>2.2124066255277688</v>
      </c>
      <c r="E153" s="6">
        <v>3.6357921207041059E-2</v>
      </c>
    </row>
    <row r="154" spans="2:5" x14ac:dyDescent="0.3">
      <c r="B154" s="4">
        <v>38428</v>
      </c>
      <c r="C154" s="7">
        <v>30.79</v>
      </c>
      <c r="D154" s="6">
        <f t="shared" si="5"/>
        <v>-0.9319512895882599</v>
      </c>
      <c r="E154" s="6">
        <v>3.6351396836082066E-2</v>
      </c>
    </row>
    <row r="155" spans="2:5" x14ac:dyDescent="0.3">
      <c r="B155" s="4">
        <v>41472</v>
      </c>
      <c r="C155" s="7">
        <v>452.47</v>
      </c>
      <c r="D155" s="6">
        <f t="shared" si="5"/>
        <v>-0.15822667063551116</v>
      </c>
      <c r="E155" s="6">
        <v>3.632532466045215E-2</v>
      </c>
    </row>
    <row r="156" spans="2:5" x14ac:dyDescent="0.3">
      <c r="B156" s="4">
        <v>41834</v>
      </c>
      <c r="C156" s="7">
        <v>537.52</v>
      </c>
      <c r="D156" s="6">
        <f t="shared" si="5"/>
        <v>4.3452665075576764</v>
      </c>
      <c r="E156" s="6">
        <v>3.630299408124299E-2</v>
      </c>
    </row>
    <row r="157" spans="2:5" x14ac:dyDescent="0.3">
      <c r="B157" s="4">
        <v>40008</v>
      </c>
      <c r="C157" s="7">
        <v>100.56</v>
      </c>
      <c r="D157" s="6">
        <f t="shared" si="5"/>
        <v>-0.90627097159048553</v>
      </c>
      <c r="E157" s="6">
        <v>3.6273701566364343E-2</v>
      </c>
    </row>
    <row r="158" spans="2:5" x14ac:dyDescent="0.3">
      <c r="B158" s="4">
        <v>43076</v>
      </c>
      <c r="C158" s="5">
        <v>1072.8800000000001</v>
      </c>
      <c r="D158" s="6">
        <f t="shared" si="5"/>
        <v>0.23144024608603841</v>
      </c>
      <c r="E158" s="6">
        <v>3.626862932591559E-2</v>
      </c>
    </row>
    <row r="159" spans="2:5" x14ac:dyDescent="0.3">
      <c r="B159" s="4">
        <v>42709</v>
      </c>
      <c r="C159" s="7">
        <v>871.24</v>
      </c>
      <c r="D159" s="6">
        <f t="shared" si="5"/>
        <v>30.716053876956682</v>
      </c>
      <c r="E159" s="6">
        <v>3.624058898390764E-2</v>
      </c>
    </row>
    <row r="160" spans="2:5" x14ac:dyDescent="0.3">
      <c r="B160" s="4">
        <v>38379</v>
      </c>
      <c r="C160" s="7">
        <v>27.47</v>
      </c>
      <c r="D160" s="6">
        <f t="shared" si="5"/>
        <v>-0.93537382957700099</v>
      </c>
      <c r="E160" s="6">
        <v>3.6212749905695861E-2</v>
      </c>
    </row>
    <row r="161" spans="2:5" x14ac:dyDescent="0.3">
      <c r="B161" s="4">
        <v>41550</v>
      </c>
      <c r="C161" s="7">
        <v>425.06</v>
      </c>
      <c r="D161" s="6">
        <f t="shared" si="5"/>
        <v>11.246038605589169</v>
      </c>
      <c r="E161" s="6">
        <v>3.6200970234757865E-2</v>
      </c>
    </row>
    <row r="162" spans="2:5" x14ac:dyDescent="0.3">
      <c r="B162" s="4">
        <v>38551</v>
      </c>
      <c r="C162" s="7">
        <v>34.71</v>
      </c>
      <c r="D162" s="6">
        <f t="shared" si="5"/>
        <v>-0.97162592986184904</v>
      </c>
      <c r="E162" s="6">
        <v>3.5810205908684063E-2</v>
      </c>
    </row>
    <row r="163" spans="2:5" x14ac:dyDescent="0.3">
      <c r="B163" s="4">
        <v>43413</v>
      </c>
      <c r="C163" s="5">
        <v>1223.3</v>
      </c>
      <c r="D163" s="6">
        <f t="shared" si="5"/>
        <v>49.445360824742266</v>
      </c>
      <c r="E163" s="6">
        <v>3.5694329207375801E-2</v>
      </c>
    </row>
    <row r="164" spans="2:5" x14ac:dyDescent="0.3">
      <c r="B164" s="4">
        <v>38051</v>
      </c>
      <c r="C164" s="7">
        <v>24.25</v>
      </c>
      <c r="D164" s="6">
        <f t="shared" si="5"/>
        <v>-0.70491603796544178</v>
      </c>
      <c r="E164" s="6">
        <v>3.5439795046968328E-2</v>
      </c>
    </row>
    <row r="165" spans="2:5" x14ac:dyDescent="0.3">
      <c r="B165" s="4">
        <v>39366</v>
      </c>
      <c r="C165" s="7">
        <v>82.18</v>
      </c>
      <c r="D165" s="6">
        <f t="shared" si="5"/>
        <v>-0.1397466764367214</v>
      </c>
      <c r="E165" s="6">
        <v>3.5403804964092254E-2</v>
      </c>
    </row>
    <row r="166" spans="2:5" x14ac:dyDescent="0.3">
      <c r="B166" s="4">
        <v>39503</v>
      </c>
      <c r="C166" s="7">
        <v>95.53</v>
      </c>
      <c r="D166" s="6">
        <f t="shared" si="5"/>
        <v>-0.42576340466458285</v>
      </c>
      <c r="E166" s="6">
        <v>3.5331093529858082E-2</v>
      </c>
    </row>
    <row r="167" spans="2:5" x14ac:dyDescent="0.3">
      <c r="B167" s="4">
        <v>40210</v>
      </c>
      <c r="C167" s="7">
        <v>166.36</v>
      </c>
      <c r="D167" s="6">
        <f t="shared" si="5"/>
        <v>5.4832424006235394</v>
      </c>
      <c r="E167" s="6">
        <v>3.5285332005725409E-2</v>
      </c>
    </row>
    <row r="168" spans="2:5" x14ac:dyDescent="0.3">
      <c r="B168" s="4">
        <v>37986</v>
      </c>
      <c r="C168" s="7">
        <v>25.66</v>
      </c>
      <c r="D168" s="6">
        <f t="shared" si="5"/>
        <v>-0.93005506187646503</v>
      </c>
      <c r="E168" s="6">
        <v>3.5094796288826183E-2</v>
      </c>
    </row>
    <row r="169" spans="2:5" x14ac:dyDescent="0.3">
      <c r="B169" s="4">
        <v>41219</v>
      </c>
      <c r="C169" s="7">
        <v>366.86</v>
      </c>
      <c r="D169" s="6">
        <f t="shared" si="5"/>
        <v>2.632636894742054</v>
      </c>
      <c r="E169" s="6">
        <v>3.4953592687674513E-2</v>
      </c>
    </row>
    <row r="170" spans="2:5" x14ac:dyDescent="0.3">
      <c r="B170" s="4">
        <v>39659</v>
      </c>
      <c r="C170" s="7">
        <v>100.99</v>
      </c>
      <c r="D170" s="6">
        <f t="shared" si="5"/>
        <v>-0.78493089422237361</v>
      </c>
      <c r="E170" s="6">
        <v>3.4839635208525378E-2</v>
      </c>
    </row>
    <row r="171" spans="2:5" x14ac:dyDescent="0.3">
      <c r="B171" s="4">
        <v>41576</v>
      </c>
      <c r="C171" s="7">
        <v>469.57</v>
      </c>
      <c r="D171" s="6">
        <f t="shared" si="5"/>
        <v>4.0312868316725599</v>
      </c>
      <c r="E171" s="6">
        <v>3.4796597470139759E-2</v>
      </c>
    </row>
    <row r="172" spans="2:5" x14ac:dyDescent="0.3">
      <c r="B172" s="4">
        <v>39960</v>
      </c>
      <c r="C172" s="7">
        <v>93.33</v>
      </c>
      <c r="D172" s="6">
        <f t="shared" si="5"/>
        <v>-0.96793235317360782</v>
      </c>
      <c r="E172" s="6">
        <v>3.4700665188470016E-2</v>
      </c>
    </row>
    <row r="173" spans="2:5" x14ac:dyDescent="0.3">
      <c r="B173" s="4">
        <v>45414</v>
      </c>
      <c r="C173" s="5">
        <v>2910.41</v>
      </c>
      <c r="D173" s="6">
        <f t="shared" si="5"/>
        <v>0.230653761422114</v>
      </c>
      <c r="E173" s="6">
        <v>3.4599087121589121E-2</v>
      </c>
    </row>
    <row r="174" spans="2:5" x14ac:dyDescent="0.3">
      <c r="B174" s="4">
        <v>44245</v>
      </c>
      <c r="C174" s="5">
        <v>2364.9299999999998</v>
      </c>
      <c r="D174" s="6">
        <f t="shared" si="5"/>
        <v>22.811216270640351</v>
      </c>
      <c r="E174" s="6">
        <v>3.4586393801922223E-2</v>
      </c>
    </row>
    <row r="175" spans="2:5" x14ac:dyDescent="0.3">
      <c r="B175" s="4">
        <v>39486</v>
      </c>
      <c r="C175" s="7">
        <v>99.32</v>
      </c>
      <c r="D175" s="6">
        <f t="shared" si="5"/>
        <v>-0.91639519516486112</v>
      </c>
      <c r="E175" s="6">
        <v>3.4583333333333265E-2</v>
      </c>
    </row>
    <row r="176" spans="2:5" x14ac:dyDescent="0.3">
      <c r="B176" s="4">
        <v>43385</v>
      </c>
      <c r="C176" s="5">
        <v>1187.97</v>
      </c>
      <c r="D176" s="6">
        <f t="shared" si="5"/>
        <v>0.67647930455398597</v>
      </c>
      <c r="E176" s="6">
        <v>3.4573750076201629E-2</v>
      </c>
    </row>
    <row r="177" spans="2:5" x14ac:dyDescent="0.3">
      <c r="B177" s="4">
        <v>42006</v>
      </c>
      <c r="C177" s="7">
        <v>708.61</v>
      </c>
      <c r="D177" s="6">
        <f t="shared" si="5"/>
        <v>-0.73475995478331169</v>
      </c>
      <c r="E177" s="6">
        <v>3.4572876060327426E-2</v>
      </c>
    </row>
    <row r="178" spans="2:5" x14ac:dyDescent="0.3">
      <c r="B178" s="4">
        <v>44735</v>
      </c>
      <c r="C178" s="5">
        <v>2671.58</v>
      </c>
      <c r="D178" s="6">
        <f t="shared" si="5"/>
        <v>104.63780150257018</v>
      </c>
      <c r="E178" s="6">
        <v>3.4449645900852158E-2</v>
      </c>
    </row>
    <row r="179" spans="2:5" x14ac:dyDescent="0.3">
      <c r="B179" s="4">
        <v>38359</v>
      </c>
      <c r="C179" s="7">
        <v>25.29</v>
      </c>
      <c r="D179" s="6">
        <f t="shared" si="5"/>
        <v>-0.99087510914509624</v>
      </c>
      <c r="E179" s="6">
        <v>3.4355828220858892E-2</v>
      </c>
    </row>
    <row r="180" spans="2:5" x14ac:dyDescent="0.3">
      <c r="B180" s="4">
        <v>44748</v>
      </c>
      <c r="C180" s="5">
        <v>2771.54</v>
      </c>
      <c r="D180" s="6">
        <f t="shared" si="5"/>
        <v>5.3713563218390803</v>
      </c>
      <c r="E180" s="6">
        <v>3.4264773931604861E-2</v>
      </c>
    </row>
    <row r="181" spans="2:5" x14ac:dyDescent="0.3">
      <c r="B181" s="4">
        <v>41400</v>
      </c>
      <c r="C181" s="7">
        <v>435</v>
      </c>
      <c r="D181" s="6">
        <f t="shared" si="5"/>
        <v>-0.81982131244641232</v>
      </c>
      <c r="E181" s="6">
        <v>3.4236804564907221E-2</v>
      </c>
    </row>
    <row r="182" spans="2:5" x14ac:dyDescent="0.3">
      <c r="B182" s="4">
        <v>44174</v>
      </c>
      <c r="C182" s="5">
        <v>2414.27</v>
      </c>
      <c r="D182" s="6">
        <f t="shared" si="5"/>
        <v>22.462293488824098</v>
      </c>
      <c r="E182" s="6">
        <v>3.4196638165898428E-2</v>
      </c>
    </row>
    <row r="183" spans="2:5" x14ac:dyDescent="0.3">
      <c r="B183" s="4">
        <v>39547</v>
      </c>
      <c r="C183" s="7">
        <v>102.9</v>
      </c>
      <c r="D183" s="6">
        <f t="shared" si="5"/>
        <v>1.2219822932412006</v>
      </c>
      <c r="E183" s="6">
        <v>3.417085427135684E-2</v>
      </c>
    </row>
    <row r="184" spans="2:5" x14ac:dyDescent="0.3">
      <c r="B184" s="4">
        <v>38884</v>
      </c>
      <c r="C184" s="7">
        <v>46.31</v>
      </c>
      <c r="D184" s="6">
        <f t="shared" si="5"/>
        <v>-0.98339893460664329</v>
      </c>
      <c r="E184" s="6">
        <v>3.4167038856632449E-2</v>
      </c>
    </row>
    <row r="185" spans="2:5" x14ac:dyDescent="0.3">
      <c r="B185" s="4">
        <v>44341</v>
      </c>
      <c r="C185" s="5">
        <v>2789.58</v>
      </c>
      <c r="D185" s="6">
        <f t="shared" si="5"/>
        <v>15.326700222404305</v>
      </c>
      <c r="E185" s="6">
        <v>3.3767408077199544E-2</v>
      </c>
    </row>
    <row r="186" spans="2:5" x14ac:dyDescent="0.3">
      <c r="B186" s="4">
        <v>40254</v>
      </c>
      <c r="C186" s="7">
        <v>170.86</v>
      </c>
      <c r="D186" s="6">
        <f t="shared" si="5"/>
        <v>1.0143834001414764</v>
      </c>
      <c r="E186" s="6">
        <v>3.3760890609874229E-2</v>
      </c>
    </row>
    <row r="187" spans="2:5" x14ac:dyDescent="0.3">
      <c r="B187" s="4">
        <v>39951</v>
      </c>
      <c r="C187" s="7">
        <v>84.82</v>
      </c>
      <c r="D187" s="6">
        <f t="shared" si="5"/>
        <v>0.14482386286948293</v>
      </c>
      <c r="E187" s="6">
        <v>3.3633926395320382E-2</v>
      </c>
    </row>
    <row r="188" spans="2:5" x14ac:dyDescent="0.3">
      <c r="B188" s="4">
        <v>39294</v>
      </c>
      <c r="C188" s="7">
        <v>74.09</v>
      </c>
      <c r="D188" s="6">
        <f t="shared" si="5"/>
        <v>1.6060499472388323</v>
      </c>
      <c r="E188" s="6">
        <v>3.3477472450830041E-2</v>
      </c>
    </row>
    <row r="189" spans="2:5" x14ac:dyDescent="0.3">
      <c r="B189" s="4">
        <v>38383</v>
      </c>
      <c r="C189" s="7">
        <v>28.43</v>
      </c>
      <c r="D189" s="6">
        <f t="shared" si="5"/>
        <v>-0.96333599855562158</v>
      </c>
      <c r="E189" s="6">
        <v>3.3442384587422685E-2</v>
      </c>
    </row>
    <row r="190" spans="2:5" x14ac:dyDescent="0.3">
      <c r="B190" s="4">
        <v>42207</v>
      </c>
      <c r="C190" s="7">
        <v>775.42</v>
      </c>
      <c r="D190" s="6">
        <f t="shared" si="5"/>
        <v>8.380837164287442</v>
      </c>
      <c r="E190" s="6">
        <v>3.3397302628071786E-2</v>
      </c>
    </row>
    <row r="191" spans="2:5" x14ac:dyDescent="0.3">
      <c r="B191" s="4">
        <v>39353</v>
      </c>
      <c r="C191" s="7">
        <v>82.66</v>
      </c>
      <c r="D191" s="6">
        <f t="shared" si="5"/>
        <v>-0.29241568224619069</v>
      </c>
      <c r="E191" s="6">
        <v>3.337917239654959E-2</v>
      </c>
    </row>
    <row r="192" spans="2:5" x14ac:dyDescent="0.3">
      <c r="B192" s="4">
        <v>40021</v>
      </c>
      <c r="C192" s="7">
        <v>116.82</v>
      </c>
      <c r="D192" s="6">
        <f t="shared" si="5"/>
        <v>-0.90702375741175545</v>
      </c>
      <c r="E192" s="6">
        <v>3.334807607253424E-2</v>
      </c>
    </row>
    <row r="193" spans="2:5" x14ac:dyDescent="0.3">
      <c r="B193" s="4">
        <v>43357</v>
      </c>
      <c r="C193" s="5">
        <v>1256.45</v>
      </c>
      <c r="D193" s="6">
        <f t="shared" si="5"/>
        <v>1.6647366969947617</v>
      </c>
      <c r="E193" s="6">
        <v>3.3230814775829808E-2</v>
      </c>
    </row>
    <row r="194" spans="2:5" x14ac:dyDescent="0.3">
      <c r="B194" s="4">
        <v>41768</v>
      </c>
      <c r="C194" s="7">
        <v>471.51</v>
      </c>
      <c r="D194" s="6">
        <f t="shared" si="5"/>
        <v>0.70521861777150918</v>
      </c>
      <c r="E194" s="6">
        <v>3.319747567709698E-2</v>
      </c>
    </row>
    <row r="195" spans="2:5" x14ac:dyDescent="0.3">
      <c r="B195" s="4">
        <v>40823</v>
      </c>
      <c r="C195" s="7">
        <v>276.51</v>
      </c>
      <c r="D195" s="6">
        <f t="shared" si="5"/>
        <v>0.7044319792886643</v>
      </c>
      <c r="E195" s="6">
        <v>3.3180136755969043E-2</v>
      </c>
    </row>
    <row r="196" spans="2:5" x14ac:dyDescent="0.3">
      <c r="B196" s="4">
        <v>40239</v>
      </c>
      <c r="C196" s="7">
        <v>162.22999999999999</v>
      </c>
      <c r="D196" s="6">
        <f t="shared" si="5"/>
        <v>0.97648635477582835</v>
      </c>
      <c r="E196" s="6">
        <v>3.311469146023046E-2</v>
      </c>
    </row>
    <row r="197" spans="2:5" x14ac:dyDescent="0.3">
      <c r="B197" s="4">
        <v>39350</v>
      </c>
      <c r="C197" s="7">
        <v>82.08</v>
      </c>
      <c r="D197" s="6">
        <f t="shared" si="5"/>
        <v>0.15703411333521286</v>
      </c>
      <c r="E197" s="6">
        <v>3.3102580239144058E-2</v>
      </c>
    </row>
    <row r="198" spans="2:5" x14ac:dyDescent="0.3">
      <c r="B198" s="4">
        <v>39857</v>
      </c>
      <c r="C198" s="7">
        <v>70.94</v>
      </c>
      <c r="D198" s="6">
        <f t="shared" si="5"/>
        <v>0.81246806336228916</v>
      </c>
      <c r="E198" s="6">
        <v>3.3056647735546757E-2</v>
      </c>
    </row>
    <row r="199" spans="2:5" x14ac:dyDescent="0.3">
      <c r="B199" s="4">
        <v>38656</v>
      </c>
      <c r="C199" s="7">
        <v>39.14</v>
      </c>
      <c r="D199" s="6">
        <f t="shared" si="5"/>
        <v>-0.95192591136877269</v>
      </c>
      <c r="E199" s="6">
        <v>3.2990234890472418E-2</v>
      </c>
    </row>
    <row r="200" spans="2:5" x14ac:dyDescent="0.3">
      <c r="B200" s="4">
        <v>42031</v>
      </c>
      <c r="C200" s="7">
        <v>814.16</v>
      </c>
      <c r="D200" s="6">
        <f t="shared" ref="D200:D263" si="6">((C200-C201)/C201)</f>
        <v>0.64719687620126654</v>
      </c>
      <c r="E200" s="6">
        <v>3.2935803095660902E-2</v>
      </c>
    </row>
    <row r="201" spans="2:5" x14ac:dyDescent="0.3">
      <c r="B201" s="4">
        <v>41780</v>
      </c>
      <c r="C201" s="7">
        <v>494.27</v>
      </c>
      <c r="D201" s="6">
        <f t="shared" si="6"/>
        <v>5.3974889981879359</v>
      </c>
      <c r="E201" s="6">
        <v>3.2892399640565922E-2</v>
      </c>
    </row>
    <row r="202" spans="2:5" x14ac:dyDescent="0.3">
      <c r="B202" s="4">
        <v>39919</v>
      </c>
      <c r="C202" s="7">
        <v>77.260000000000005</v>
      </c>
      <c r="D202" s="6">
        <f t="shared" si="6"/>
        <v>-0.97556470640327397</v>
      </c>
      <c r="E202" s="6">
        <v>3.2887700534759465E-2</v>
      </c>
    </row>
    <row r="203" spans="2:5" x14ac:dyDescent="0.3">
      <c r="B203" s="4">
        <v>44540</v>
      </c>
      <c r="C203" s="5">
        <v>3161.82</v>
      </c>
      <c r="D203" s="6">
        <f t="shared" si="6"/>
        <v>1.3914954126358627</v>
      </c>
      <c r="E203" s="6">
        <v>3.2859340853186508E-2</v>
      </c>
    </row>
    <row r="204" spans="2:5" x14ac:dyDescent="0.3">
      <c r="B204" s="4">
        <v>43453</v>
      </c>
      <c r="C204" s="5">
        <v>1322.11</v>
      </c>
      <c r="D204" s="6">
        <f t="shared" si="6"/>
        <v>11.248564017046506</v>
      </c>
      <c r="E204" s="6">
        <v>3.2858091480801488E-2</v>
      </c>
    </row>
    <row r="205" spans="2:5" x14ac:dyDescent="0.3">
      <c r="B205" s="4">
        <v>40015</v>
      </c>
      <c r="C205" s="7">
        <v>107.94</v>
      </c>
      <c r="D205" s="6">
        <f t="shared" si="6"/>
        <v>-0.77832997905286072</v>
      </c>
      <c r="E205" s="6">
        <v>3.2819825853985192E-2</v>
      </c>
    </row>
    <row r="206" spans="2:5" x14ac:dyDescent="0.3">
      <c r="B206" s="4">
        <v>41771</v>
      </c>
      <c r="C206" s="7">
        <v>486.94</v>
      </c>
      <c r="D206" s="6">
        <f t="shared" si="6"/>
        <v>-0.37865737727928139</v>
      </c>
      <c r="E206" s="6">
        <v>3.2724650590655567E-2</v>
      </c>
    </row>
    <row r="207" spans="2:5" x14ac:dyDescent="0.3">
      <c r="B207" s="4">
        <v>42205</v>
      </c>
      <c r="C207" s="7">
        <v>783.69</v>
      </c>
      <c r="D207" s="6">
        <f t="shared" si="6"/>
        <v>5.5575265668144924</v>
      </c>
      <c r="E207" s="6">
        <v>3.2584062401180586E-2</v>
      </c>
    </row>
    <row r="208" spans="2:5" x14ac:dyDescent="0.3">
      <c r="B208" s="4">
        <v>40038</v>
      </c>
      <c r="C208" s="7">
        <v>119.51</v>
      </c>
      <c r="D208" s="6">
        <f t="shared" si="6"/>
        <v>2.0873159390338416</v>
      </c>
      <c r="E208" s="6">
        <v>3.2573008467254277E-2</v>
      </c>
    </row>
    <row r="209" spans="2:5" x14ac:dyDescent="0.3">
      <c r="B209" s="4">
        <v>38593</v>
      </c>
      <c r="C209" s="7">
        <v>38.71</v>
      </c>
      <c r="D209" s="6">
        <f t="shared" si="6"/>
        <v>-0.84199999999999997</v>
      </c>
      <c r="E209" s="6">
        <v>3.2542011202987428E-2</v>
      </c>
    </row>
    <row r="210" spans="2:5" x14ac:dyDescent="0.3">
      <c r="B210" s="4">
        <v>40484</v>
      </c>
      <c r="C210" s="7">
        <v>245</v>
      </c>
      <c r="D210" s="6">
        <f t="shared" si="6"/>
        <v>-0.91955449608279649</v>
      </c>
      <c r="E210" s="6">
        <v>3.2448377581120895E-2</v>
      </c>
    </row>
    <row r="211" spans="2:5" x14ac:dyDescent="0.3">
      <c r="B211" s="4">
        <v>45057</v>
      </c>
      <c r="C211" s="5">
        <v>3045.54</v>
      </c>
      <c r="D211" s="6">
        <f t="shared" si="6"/>
        <v>81.916961611761508</v>
      </c>
      <c r="E211" s="6">
        <v>3.233744839227972E-2</v>
      </c>
    </row>
    <row r="212" spans="2:5" x14ac:dyDescent="0.3">
      <c r="B212" s="4">
        <v>38553</v>
      </c>
      <c r="C212" s="7">
        <v>36.729999999999997</v>
      </c>
      <c r="D212" s="6">
        <f t="shared" si="6"/>
        <v>-0.95182129412227656</v>
      </c>
      <c r="E212" s="6">
        <v>3.2321528948847628E-2</v>
      </c>
    </row>
    <row r="213" spans="2:5" x14ac:dyDescent="0.3">
      <c r="B213" s="4">
        <v>42017</v>
      </c>
      <c r="C213" s="7">
        <v>762.37</v>
      </c>
      <c r="D213" s="6">
        <f t="shared" si="6"/>
        <v>-8.4570124879923089E-2</v>
      </c>
      <c r="E213" s="6">
        <v>3.2308296434713155E-2</v>
      </c>
    </row>
    <row r="214" spans="2:5" x14ac:dyDescent="0.3">
      <c r="B214" s="4">
        <v>42220</v>
      </c>
      <c r="C214" s="7">
        <v>832.8</v>
      </c>
      <c r="D214" s="6">
        <f t="shared" si="6"/>
        <v>1.9733300010710846</v>
      </c>
      <c r="E214" s="6">
        <v>3.2136527569496885E-2</v>
      </c>
    </row>
    <row r="215" spans="2:5" x14ac:dyDescent="0.3">
      <c r="B215" s="4">
        <v>40847</v>
      </c>
      <c r="C215" s="7">
        <v>280.08999999999997</v>
      </c>
      <c r="D215" s="6">
        <f t="shared" si="6"/>
        <v>2.1915451230628986</v>
      </c>
      <c r="E215" s="6">
        <v>3.213324980653709E-2</v>
      </c>
    </row>
    <row r="216" spans="2:5" x14ac:dyDescent="0.3">
      <c r="B216" s="4">
        <v>39646</v>
      </c>
      <c r="C216" s="7">
        <v>87.76</v>
      </c>
      <c r="D216" s="6">
        <f t="shared" si="6"/>
        <v>-0.10091179182460808</v>
      </c>
      <c r="E216" s="6">
        <v>3.2106315418087783E-2</v>
      </c>
    </row>
    <row r="217" spans="2:5" x14ac:dyDescent="0.3">
      <c r="B217" s="4">
        <v>39517</v>
      </c>
      <c r="C217" s="7">
        <v>97.61</v>
      </c>
      <c r="D217" s="6">
        <f t="shared" si="6"/>
        <v>-0.9544397976139356</v>
      </c>
      <c r="E217" s="6">
        <v>3.1818181818181877E-2</v>
      </c>
    </row>
    <row r="218" spans="2:5" x14ac:dyDescent="0.3">
      <c r="B218" s="4">
        <v>44140</v>
      </c>
      <c r="C218" s="5">
        <v>2142.44</v>
      </c>
      <c r="D218" s="6">
        <f t="shared" si="6"/>
        <v>-0.32562992807566998</v>
      </c>
      <c r="E218" s="6">
        <v>3.1735483063172434E-2</v>
      </c>
    </row>
    <row r="219" spans="2:5" x14ac:dyDescent="0.3">
      <c r="B219" s="4">
        <v>44440</v>
      </c>
      <c r="C219" s="5">
        <v>3176.95</v>
      </c>
      <c r="D219" s="6">
        <f t="shared" si="6"/>
        <v>1.7029820904411452</v>
      </c>
      <c r="E219" s="6">
        <v>3.1674898763074735E-2</v>
      </c>
    </row>
    <row r="220" spans="2:5" x14ac:dyDescent="0.3">
      <c r="B220" s="4">
        <v>43381</v>
      </c>
      <c r="C220" s="5">
        <v>1175.3499999999999</v>
      </c>
      <c r="D220" s="6">
        <f t="shared" si="6"/>
        <v>3.7036577557227468</v>
      </c>
      <c r="E220" s="6">
        <v>3.1669402336583892E-2</v>
      </c>
    </row>
    <row r="221" spans="2:5" x14ac:dyDescent="0.3">
      <c r="B221" s="4">
        <v>40931</v>
      </c>
      <c r="C221" s="7">
        <v>249.88</v>
      </c>
      <c r="D221" s="6">
        <f t="shared" si="6"/>
        <v>-0.81838532430153788</v>
      </c>
      <c r="E221" s="6">
        <v>3.1581554720720002E-2</v>
      </c>
    </row>
    <row r="222" spans="2:5" x14ac:dyDescent="0.3">
      <c r="B222" s="4">
        <v>43497</v>
      </c>
      <c r="C222" s="5">
        <v>1375.88</v>
      </c>
      <c r="D222" s="6">
        <f t="shared" si="6"/>
        <v>-0.5600956619603028</v>
      </c>
      <c r="E222" s="6">
        <v>3.1572160117561594E-2</v>
      </c>
    </row>
    <row r="223" spans="2:5" x14ac:dyDescent="0.3">
      <c r="B223" s="4">
        <v>44679</v>
      </c>
      <c r="C223" s="5">
        <v>3127.68</v>
      </c>
      <c r="D223" s="6">
        <f t="shared" si="6"/>
        <v>5.6877162629757685E-2</v>
      </c>
      <c r="E223" s="6">
        <v>3.1556728232189919E-2</v>
      </c>
    </row>
    <row r="224" spans="2:5" x14ac:dyDescent="0.3">
      <c r="B224" s="4">
        <v>45483</v>
      </c>
      <c r="C224" s="5">
        <v>2959.36</v>
      </c>
      <c r="D224" s="6">
        <f t="shared" si="6"/>
        <v>30.001047559187096</v>
      </c>
      <c r="E224" s="6">
        <v>3.1480913476284809E-2</v>
      </c>
    </row>
    <row r="225" spans="2:5" x14ac:dyDescent="0.3">
      <c r="B225" s="4">
        <v>39448</v>
      </c>
      <c r="C225" s="7">
        <v>95.46</v>
      </c>
      <c r="D225" s="6">
        <f t="shared" si="6"/>
        <v>-0.91447002956724299</v>
      </c>
      <c r="E225" s="6">
        <v>3.1442463533225246E-2</v>
      </c>
    </row>
    <row r="226" spans="2:5" x14ac:dyDescent="0.3">
      <c r="B226" s="4">
        <v>42619</v>
      </c>
      <c r="C226" s="5">
        <v>1116.0999999999999</v>
      </c>
      <c r="D226" s="6">
        <f t="shared" si="6"/>
        <v>1.8125393745432554</v>
      </c>
      <c r="E226" s="6">
        <v>3.1344138683028558E-2</v>
      </c>
    </row>
    <row r="227" spans="2:5" x14ac:dyDescent="0.3">
      <c r="B227" s="4">
        <v>41262</v>
      </c>
      <c r="C227" s="7">
        <v>396.83</v>
      </c>
      <c r="D227" s="6">
        <f t="shared" si="6"/>
        <v>-0.86439282101752379</v>
      </c>
      <c r="E227" s="6">
        <v>3.1289794433327175E-2</v>
      </c>
    </row>
    <row r="228" spans="2:5" x14ac:dyDescent="0.3">
      <c r="B228" s="4">
        <v>44362</v>
      </c>
      <c r="C228" s="5">
        <v>2926.32</v>
      </c>
      <c r="D228" s="6">
        <f t="shared" si="6"/>
        <v>3.8854237967244862</v>
      </c>
      <c r="E228" s="6">
        <v>3.1287664667282292E-2</v>
      </c>
    </row>
    <row r="229" spans="2:5" x14ac:dyDescent="0.3">
      <c r="B229" s="4">
        <v>41921</v>
      </c>
      <c r="C229" s="7">
        <v>598.99</v>
      </c>
      <c r="D229" s="6">
        <f t="shared" si="6"/>
        <v>-0.76757568467370807</v>
      </c>
      <c r="E229" s="6">
        <v>3.1247847944356408E-2</v>
      </c>
    </row>
    <row r="230" spans="2:5" x14ac:dyDescent="0.3">
      <c r="B230" s="4">
        <v>44732</v>
      </c>
      <c r="C230" s="5">
        <v>2577.14</v>
      </c>
      <c r="D230" s="6">
        <f t="shared" si="6"/>
        <v>9.5880854560394404</v>
      </c>
      <c r="E230" s="6">
        <v>3.1198357854807714E-2</v>
      </c>
    </row>
    <row r="231" spans="2:5" x14ac:dyDescent="0.3">
      <c r="B231" s="4">
        <v>40662</v>
      </c>
      <c r="C231" s="7">
        <v>243.4</v>
      </c>
      <c r="D231" s="6">
        <f t="shared" si="6"/>
        <v>-0.91942238362758177</v>
      </c>
      <c r="E231" s="6">
        <v>3.1137470874814631E-2</v>
      </c>
    </row>
    <row r="232" spans="2:5" x14ac:dyDescent="0.3">
      <c r="B232" s="4">
        <v>44637</v>
      </c>
      <c r="C232" s="5">
        <v>3020.69</v>
      </c>
      <c r="D232" s="6">
        <f t="shared" si="6"/>
        <v>120.16686722823908</v>
      </c>
      <c r="E232" s="6">
        <v>3.1100021163443268E-2</v>
      </c>
    </row>
    <row r="233" spans="2:5" x14ac:dyDescent="0.3">
      <c r="B233" s="4">
        <v>38197</v>
      </c>
      <c r="C233" s="7">
        <v>24.93</v>
      </c>
      <c r="D233" s="6">
        <f t="shared" si="6"/>
        <v>-0.81350987432675037</v>
      </c>
      <c r="E233" s="6">
        <v>3.1017369727047148E-2</v>
      </c>
    </row>
    <row r="234" spans="2:5" x14ac:dyDescent="0.3">
      <c r="B234" s="4">
        <v>40098</v>
      </c>
      <c r="C234" s="7">
        <v>133.68</v>
      </c>
      <c r="D234" s="6">
        <f t="shared" si="6"/>
        <v>-0.87417050235789118</v>
      </c>
      <c r="E234" s="6">
        <v>3.1004164738547047E-2</v>
      </c>
    </row>
    <row r="235" spans="2:5" x14ac:dyDescent="0.3">
      <c r="B235" s="4">
        <v>42612</v>
      </c>
      <c r="C235" s="5">
        <v>1062.3900000000001</v>
      </c>
      <c r="D235" s="6">
        <f t="shared" si="6"/>
        <v>6.4564149354295353</v>
      </c>
      <c r="E235" s="6">
        <v>3.089612342923696E-2</v>
      </c>
    </row>
    <row r="236" spans="2:5" x14ac:dyDescent="0.3">
      <c r="B236" s="4">
        <v>40116</v>
      </c>
      <c r="C236" s="7">
        <v>142.47999999999999</v>
      </c>
      <c r="D236" s="6">
        <f t="shared" si="6"/>
        <v>5.1759861291720846</v>
      </c>
      <c r="E236" s="6">
        <v>3.0895014832501132E-2</v>
      </c>
    </row>
    <row r="237" spans="2:5" x14ac:dyDescent="0.3">
      <c r="B237" s="4">
        <v>37859</v>
      </c>
      <c r="C237" s="7">
        <v>23.07</v>
      </c>
      <c r="D237" s="6">
        <f t="shared" si="6"/>
        <v>-0.99222989016762819</v>
      </c>
      <c r="E237" s="6">
        <v>3.0831099195710514E-2</v>
      </c>
    </row>
    <row r="238" spans="2:5" x14ac:dyDescent="0.3">
      <c r="B238" s="4">
        <v>44671</v>
      </c>
      <c r="C238" s="5">
        <v>2969.07</v>
      </c>
      <c r="D238" s="6">
        <f t="shared" si="6"/>
        <v>40.065975103734438</v>
      </c>
      <c r="E238" s="6">
        <v>3.0690883339234868E-2</v>
      </c>
    </row>
    <row r="239" spans="2:5" x14ac:dyDescent="0.3">
      <c r="B239" s="4">
        <v>39245</v>
      </c>
      <c r="C239" s="7">
        <v>72.3</v>
      </c>
      <c r="D239" s="6">
        <f t="shared" si="6"/>
        <v>-0.85650776009208907</v>
      </c>
      <c r="E239" s="6">
        <v>3.06486101211688E-2</v>
      </c>
    </row>
    <row r="240" spans="2:5" x14ac:dyDescent="0.3">
      <c r="B240" s="4">
        <v>41773</v>
      </c>
      <c r="C240" s="7">
        <v>503.86</v>
      </c>
      <c r="D240" s="6">
        <f t="shared" si="6"/>
        <v>-0.74774711630887525</v>
      </c>
      <c r="E240" s="6">
        <v>3.0620384953670615E-2</v>
      </c>
    </row>
    <row r="241" spans="2:5" x14ac:dyDescent="0.3">
      <c r="B241" s="4">
        <v>44110</v>
      </c>
      <c r="C241" s="5">
        <v>1997.44</v>
      </c>
      <c r="D241" s="6">
        <f t="shared" si="6"/>
        <v>1.4846871501430525</v>
      </c>
      <c r="E241" s="6">
        <v>3.0575075586374841E-2</v>
      </c>
    </row>
    <row r="242" spans="2:5" x14ac:dyDescent="0.3">
      <c r="B242" s="4">
        <v>42430</v>
      </c>
      <c r="C242" s="7">
        <v>803.9</v>
      </c>
      <c r="D242" s="6">
        <f t="shared" si="6"/>
        <v>-0.62260696480043554</v>
      </c>
      <c r="E242" s="6">
        <v>3.054854051559466E-2</v>
      </c>
    </row>
    <row r="243" spans="2:5" x14ac:dyDescent="0.3">
      <c r="B243" s="4">
        <v>44133</v>
      </c>
      <c r="C243" s="5">
        <v>2130.14</v>
      </c>
      <c r="D243" s="6">
        <f t="shared" si="6"/>
        <v>34.915359973023094</v>
      </c>
      <c r="E243" s="6">
        <v>3.0516772614244351E-2</v>
      </c>
    </row>
    <row r="244" spans="2:5" x14ac:dyDescent="0.3">
      <c r="B244" s="4">
        <v>39161</v>
      </c>
      <c r="C244" s="7">
        <v>59.31</v>
      </c>
      <c r="D244" s="6">
        <f t="shared" si="6"/>
        <v>2.4970518867924527</v>
      </c>
      <c r="E244" s="6">
        <v>3.0403057678943711E-2</v>
      </c>
    </row>
    <row r="245" spans="2:5" x14ac:dyDescent="0.3">
      <c r="B245" s="4">
        <v>37462</v>
      </c>
      <c r="C245" s="7">
        <v>16.96</v>
      </c>
      <c r="D245" s="6">
        <f t="shared" si="6"/>
        <v>-0.8075351793009532</v>
      </c>
      <c r="E245" s="6">
        <v>3.0376670716889428E-2</v>
      </c>
    </row>
    <row r="246" spans="2:5" x14ac:dyDescent="0.3">
      <c r="B246" s="4">
        <v>39472</v>
      </c>
      <c r="C246" s="7">
        <v>88.12</v>
      </c>
      <c r="D246" s="6">
        <f t="shared" si="6"/>
        <v>0.28849246965930697</v>
      </c>
      <c r="E246" s="6">
        <v>3.0281772477493318E-2</v>
      </c>
    </row>
    <row r="247" spans="2:5" x14ac:dyDescent="0.3">
      <c r="B247" s="4">
        <v>39218</v>
      </c>
      <c r="C247" s="7">
        <v>68.39</v>
      </c>
      <c r="D247" s="6">
        <f t="shared" si="6"/>
        <v>2.0917721518987338</v>
      </c>
      <c r="E247" s="6">
        <v>3.0280204880988329E-2</v>
      </c>
    </row>
    <row r="248" spans="2:5" x14ac:dyDescent="0.3">
      <c r="B248" s="4">
        <v>37847</v>
      </c>
      <c r="C248" s="7">
        <v>22.12</v>
      </c>
      <c r="D248" s="6">
        <f t="shared" si="6"/>
        <v>-0.99251286217167622</v>
      </c>
      <c r="E248" s="6">
        <v>3.0274802049371316E-2</v>
      </c>
    </row>
    <row r="249" spans="2:5" x14ac:dyDescent="0.3">
      <c r="B249" s="4">
        <v>45993</v>
      </c>
      <c r="C249" s="5">
        <v>2954.4</v>
      </c>
      <c r="D249" s="6">
        <f t="shared" si="6"/>
        <v>5.0627949928175662</v>
      </c>
      <c r="E249" s="6">
        <v>3.0269214674292156E-2</v>
      </c>
    </row>
    <row r="250" spans="2:5" x14ac:dyDescent="0.3">
      <c r="B250" s="4">
        <v>41732</v>
      </c>
      <c r="C250" s="7">
        <v>487.3</v>
      </c>
      <c r="D250" s="6">
        <f t="shared" si="6"/>
        <v>9.5044190558309989</v>
      </c>
      <c r="E250" s="6">
        <v>3.021077778482489E-2</v>
      </c>
    </row>
    <row r="251" spans="2:5" x14ac:dyDescent="0.3">
      <c r="B251" s="4">
        <v>38880</v>
      </c>
      <c r="C251" s="7">
        <v>46.39</v>
      </c>
      <c r="D251" s="6">
        <f t="shared" si="6"/>
        <v>-0.94216143430666033</v>
      </c>
      <c r="E251" s="6">
        <v>3.020208749722406E-2</v>
      </c>
    </row>
    <row r="252" spans="2:5" x14ac:dyDescent="0.3">
      <c r="B252" s="4">
        <v>42391</v>
      </c>
      <c r="C252" s="7">
        <v>802.06</v>
      </c>
      <c r="D252" s="6">
        <f t="shared" si="6"/>
        <v>-0.37531835351843923</v>
      </c>
      <c r="E252" s="6">
        <v>3.019716138976301E-2</v>
      </c>
    </row>
    <row r="253" spans="2:5" x14ac:dyDescent="0.3">
      <c r="B253" s="4">
        <v>43290</v>
      </c>
      <c r="C253" s="5">
        <v>1283.95</v>
      </c>
      <c r="D253" s="6">
        <f t="shared" si="6"/>
        <v>2.1651670159004071</v>
      </c>
      <c r="E253" s="6">
        <v>3.0192887861865421E-2</v>
      </c>
    </row>
    <row r="254" spans="2:5" x14ac:dyDescent="0.3">
      <c r="B254" s="4">
        <v>41451</v>
      </c>
      <c r="C254" s="7">
        <v>405.65</v>
      </c>
      <c r="D254" s="6">
        <f t="shared" si="6"/>
        <v>-0.82775093205153238</v>
      </c>
      <c r="E254" s="6">
        <v>3.0143735080501818E-2</v>
      </c>
    </row>
    <row r="255" spans="2:5" x14ac:dyDescent="0.3">
      <c r="B255" s="4">
        <v>45835</v>
      </c>
      <c r="C255" s="5">
        <v>2355.02</v>
      </c>
      <c r="D255" s="6">
        <f t="shared" si="6"/>
        <v>1.8965966815492663</v>
      </c>
      <c r="E255" s="6">
        <v>3.0088836206330929E-2</v>
      </c>
    </row>
    <row r="256" spans="2:5" x14ac:dyDescent="0.3">
      <c r="B256" s="4">
        <v>42459</v>
      </c>
      <c r="C256" s="7">
        <v>813.03</v>
      </c>
      <c r="D256" s="6">
        <f t="shared" si="6"/>
        <v>-0.66446700507614209</v>
      </c>
      <c r="E256" s="6">
        <v>3.0077664736662076E-2</v>
      </c>
    </row>
    <row r="257" spans="2:5" x14ac:dyDescent="0.3">
      <c r="B257" s="4">
        <v>46127</v>
      </c>
      <c r="C257" s="5">
        <v>2423.1</v>
      </c>
      <c r="D257" s="6">
        <f t="shared" si="6"/>
        <v>-0.11648241059448108</v>
      </c>
      <c r="E257" s="6">
        <v>3.0054412514878344E-2</v>
      </c>
    </row>
    <row r="258" spans="2:5" x14ac:dyDescent="0.3">
      <c r="B258" s="4">
        <v>45000</v>
      </c>
      <c r="C258" s="5">
        <v>2742.56</v>
      </c>
      <c r="D258" s="6">
        <f t="shared" si="6"/>
        <v>-0.109387837280518</v>
      </c>
      <c r="E258" s="6">
        <v>2.9794871602314466E-2</v>
      </c>
    </row>
    <row r="259" spans="2:5" x14ac:dyDescent="0.3">
      <c r="B259" s="4">
        <v>44439</v>
      </c>
      <c r="C259" s="5">
        <v>3079.41</v>
      </c>
      <c r="D259" s="6">
        <f t="shared" si="6"/>
        <v>2.7556528526477542</v>
      </c>
      <c r="E259" s="6">
        <v>2.97859106322357E-2</v>
      </c>
    </row>
    <row r="260" spans="2:5" x14ac:dyDescent="0.3">
      <c r="B260" s="4">
        <v>42404</v>
      </c>
      <c r="C260" s="7">
        <v>819.94</v>
      </c>
      <c r="D260" s="6">
        <f t="shared" si="6"/>
        <v>6.1259885323772717E-2</v>
      </c>
      <c r="E260" s="6">
        <v>2.9700234839066284E-2</v>
      </c>
    </row>
    <row r="261" spans="2:5" x14ac:dyDescent="0.3">
      <c r="B261" s="4">
        <v>42261</v>
      </c>
      <c r="C261" s="7">
        <v>772.61</v>
      </c>
      <c r="D261" s="6">
        <f t="shared" si="6"/>
        <v>6.3539881972206356</v>
      </c>
      <c r="E261" s="6">
        <v>2.952894929708837E-2</v>
      </c>
    </row>
    <row r="262" spans="2:5" x14ac:dyDescent="0.3">
      <c r="B262" s="4">
        <v>39455</v>
      </c>
      <c r="C262" s="7">
        <v>105.06</v>
      </c>
      <c r="D262" s="6">
        <f t="shared" si="6"/>
        <v>-0.61248201836892779</v>
      </c>
      <c r="E262" s="6">
        <v>2.9495345418912348E-2</v>
      </c>
    </row>
    <row r="263" spans="2:5" x14ac:dyDescent="0.3">
      <c r="B263" s="4">
        <v>40948</v>
      </c>
      <c r="C263" s="7">
        <v>271.11</v>
      </c>
      <c r="D263" s="6">
        <f t="shared" si="6"/>
        <v>-0.66601374824451176</v>
      </c>
      <c r="E263" s="6">
        <v>2.9466489462692199E-2</v>
      </c>
    </row>
    <row r="264" spans="2:5" x14ac:dyDescent="0.3">
      <c r="B264" s="4">
        <v>42216</v>
      </c>
      <c r="C264" s="7">
        <v>811.74</v>
      </c>
      <c r="D264" s="6">
        <f t="shared" ref="D264:D327" si="7">((C264-C265)/C265)</f>
        <v>15.699033120757045</v>
      </c>
      <c r="E264" s="6">
        <v>2.9447572667782716E-2</v>
      </c>
    </row>
    <row r="265" spans="2:5" x14ac:dyDescent="0.3">
      <c r="B265" s="4">
        <v>38898</v>
      </c>
      <c r="C265" s="7">
        <v>48.61</v>
      </c>
      <c r="D265" s="6">
        <f t="shared" si="7"/>
        <v>-0.98093441375577528</v>
      </c>
      <c r="E265" s="6">
        <v>2.9436679373146986E-2</v>
      </c>
    </row>
    <row r="266" spans="2:5" x14ac:dyDescent="0.3">
      <c r="B266" s="4">
        <v>44302</v>
      </c>
      <c r="C266" s="5">
        <v>2549.62</v>
      </c>
      <c r="D266" s="6">
        <f t="shared" si="7"/>
        <v>3.0301914231067131</v>
      </c>
      <c r="E266" s="6">
        <v>2.9371747407009655E-2</v>
      </c>
    </row>
    <row r="267" spans="2:5" x14ac:dyDescent="0.3">
      <c r="B267" s="4">
        <v>41960</v>
      </c>
      <c r="C267" s="7">
        <v>632.63</v>
      </c>
      <c r="D267" s="6">
        <f t="shared" si="7"/>
        <v>1.6218658046334289</v>
      </c>
      <c r="E267" s="6">
        <v>2.9369650818445042E-2</v>
      </c>
    </row>
    <row r="268" spans="2:5" x14ac:dyDescent="0.3">
      <c r="B268" s="4">
        <v>40675</v>
      </c>
      <c r="C268" s="7">
        <v>241.29</v>
      </c>
      <c r="D268" s="6">
        <f t="shared" si="7"/>
        <v>7.1793220338983046</v>
      </c>
      <c r="E268" s="6">
        <v>2.9350283690968797E-2</v>
      </c>
    </row>
    <row r="269" spans="2:5" x14ac:dyDescent="0.3">
      <c r="B269" s="4">
        <v>38426</v>
      </c>
      <c r="C269" s="7">
        <v>29.5</v>
      </c>
      <c r="D269" s="6">
        <f t="shared" si="7"/>
        <v>-0.99090553159479977</v>
      </c>
      <c r="E269" s="6">
        <v>2.9309141660851357E-2</v>
      </c>
    </row>
    <row r="270" spans="2:5" x14ac:dyDescent="0.3">
      <c r="B270" s="4">
        <v>44558</v>
      </c>
      <c r="C270" s="5">
        <v>3243.73</v>
      </c>
      <c r="D270" s="6">
        <f t="shared" si="7"/>
        <v>12.490808517717518</v>
      </c>
      <c r="E270" s="6">
        <v>2.9275227116234717E-2</v>
      </c>
    </row>
    <row r="271" spans="2:5" x14ac:dyDescent="0.3">
      <c r="B271" s="4">
        <v>40490</v>
      </c>
      <c r="C271" s="7">
        <v>240.44</v>
      </c>
      <c r="D271" s="6">
        <f t="shared" si="7"/>
        <v>-0.39178387129414144</v>
      </c>
      <c r="E271" s="6">
        <v>2.919270610392943E-2</v>
      </c>
    </row>
    <row r="272" spans="2:5" x14ac:dyDescent="0.3">
      <c r="B272" s="4">
        <v>41296</v>
      </c>
      <c r="C272" s="7">
        <v>395.32</v>
      </c>
      <c r="D272" s="6">
        <f t="shared" si="7"/>
        <v>-0.83979834984033319</v>
      </c>
      <c r="E272" s="6">
        <v>2.9184348233578867E-2</v>
      </c>
    </row>
    <row r="273" spans="2:5" x14ac:dyDescent="0.3">
      <c r="B273" s="4">
        <v>44285</v>
      </c>
      <c r="C273" s="5">
        <v>2467.64</v>
      </c>
      <c r="D273" s="6">
        <f t="shared" si="7"/>
        <v>1.6028859541791485</v>
      </c>
      <c r="E273" s="6">
        <v>2.9100948345608061E-2</v>
      </c>
    </row>
    <row r="274" spans="2:5" x14ac:dyDescent="0.3">
      <c r="B274" s="4">
        <v>42788</v>
      </c>
      <c r="C274" s="7">
        <v>948.04</v>
      </c>
      <c r="D274" s="6">
        <f t="shared" si="7"/>
        <v>0.24653535645725408</v>
      </c>
      <c r="E274" s="6">
        <v>2.9046543938867655E-2</v>
      </c>
    </row>
    <row r="275" spans="2:5" x14ac:dyDescent="0.3">
      <c r="B275" s="4">
        <v>42079</v>
      </c>
      <c r="C275" s="7">
        <v>760.54</v>
      </c>
      <c r="D275" s="6">
        <f t="shared" si="7"/>
        <v>1.2651973194341026</v>
      </c>
      <c r="E275" s="6">
        <v>2.9008253281017374E-2</v>
      </c>
    </row>
    <row r="276" spans="2:5" x14ac:dyDescent="0.3">
      <c r="B276" s="4">
        <v>41124</v>
      </c>
      <c r="C276" s="7">
        <v>335.75</v>
      </c>
      <c r="D276" s="6">
        <f t="shared" si="7"/>
        <v>-0.87500279219377075</v>
      </c>
      <c r="E276" s="6">
        <v>2.8992613932391366E-2</v>
      </c>
    </row>
    <row r="277" spans="2:5" x14ac:dyDescent="0.3">
      <c r="B277" s="4">
        <v>44743</v>
      </c>
      <c r="C277" s="5">
        <v>2686.06</v>
      </c>
      <c r="D277" s="6">
        <f t="shared" si="7"/>
        <v>-0.22334762657907603</v>
      </c>
      <c r="E277" s="6">
        <v>2.8920997793576857E-2</v>
      </c>
    </row>
    <row r="278" spans="2:5" x14ac:dyDescent="0.3">
      <c r="B278" s="4">
        <v>44832</v>
      </c>
      <c r="C278" s="5">
        <v>3458.51</v>
      </c>
      <c r="D278" s="6">
        <f t="shared" si="7"/>
        <v>0.26042668882474712</v>
      </c>
      <c r="E278" s="6">
        <v>2.8813231597578606E-2</v>
      </c>
    </row>
    <row r="279" spans="2:5" x14ac:dyDescent="0.3">
      <c r="B279" s="4">
        <v>44985</v>
      </c>
      <c r="C279" s="5">
        <v>2743.92</v>
      </c>
      <c r="D279" s="6">
        <f t="shared" si="7"/>
        <v>94.606968641114989</v>
      </c>
      <c r="E279" s="6">
        <v>2.8694824134543995E-2</v>
      </c>
    </row>
    <row r="280" spans="2:5" x14ac:dyDescent="0.3">
      <c r="B280" s="4">
        <v>38419</v>
      </c>
      <c r="C280" s="7">
        <v>28.7</v>
      </c>
      <c r="D280" s="6">
        <f t="shared" si="7"/>
        <v>-0.39001062699256106</v>
      </c>
      <c r="E280" s="6">
        <v>2.8673835125448056E-2</v>
      </c>
    </row>
    <row r="281" spans="2:5" x14ac:dyDescent="0.3">
      <c r="B281" s="4">
        <v>38891</v>
      </c>
      <c r="C281" s="7">
        <v>47.05</v>
      </c>
      <c r="D281" s="6">
        <f t="shared" si="7"/>
        <v>-0.97154434666908585</v>
      </c>
      <c r="E281" s="6">
        <v>2.8640139921294164E-2</v>
      </c>
    </row>
    <row r="282" spans="2:5" x14ac:dyDescent="0.3">
      <c r="B282" s="4">
        <v>43907</v>
      </c>
      <c r="C282" s="5">
        <v>1653.45</v>
      </c>
      <c r="D282" s="6">
        <f t="shared" si="7"/>
        <v>3.5420707084580947</v>
      </c>
      <c r="E282" s="6">
        <v>2.8635950778265775E-2</v>
      </c>
    </row>
    <row r="283" spans="2:5" x14ac:dyDescent="0.3">
      <c r="B283" s="4">
        <v>41515</v>
      </c>
      <c r="C283" s="7">
        <v>364.03</v>
      </c>
      <c r="D283" s="6">
        <f t="shared" si="7"/>
        <v>-0.68665105789591474</v>
      </c>
      <c r="E283" s="6">
        <v>2.8565777576853402E-2</v>
      </c>
    </row>
    <row r="284" spans="2:5" x14ac:dyDescent="0.3">
      <c r="B284" s="4">
        <v>43404</v>
      </c>
      <c r="C284" s="5">
        <v>1161.74</v>
      </c>
      <c r="D284" s="6">
        <f t="shared" si="7"/>
        <v>5.337224525420031</v>
      </c>
      <c r="E284" s="6">
        <v>2.8507179913947311E-2</v>
      </c>
    </row>
    <row r="285" spans="2:5" x14ac:dyDescent="0.3">
      <c r="B285" s="4">
        <v>40311</v>
      </c>
      <c r="C285" s="7">
        <v>183.32</v>
      </c>
      <c r="D285" s="6">
        <f t="shared" si="7"/>
        <v>3.1959258411535822</v>
      </c>
      <c r="E285" s="6">
        <v>2.8500897666068132E-2</v>
      </c>
    </row>
    <row r="286" spans="2:5" x14ac:dyDescent="0.3">
      <c r="B286" s="4">
        <v>38687</v>
      </c>
      <c r="C286" s="7">
        <v>43.69</v>
      </c>
      <c r="D286" s="6">
        <f t="shared" si="7"/>
        <v>-0.85316259998655641</v>
      </c>
      <c r="E286" s="6">
        <v>2.8483992467043338E-2</v>
      </c>
    </row>
    <row r="287" spans="2:5" x14ac:dyDescent="0.3">
      <c r="B287" s="4">
        <v>41002</v>
      </c>
      <c r="C287" s="7">
        <v>297.54000000000002</v>
      </c>
      <c r="D287" s="6">
        <f t="shared" si="7"/>
        <v>12.916744621141255</v>
      </c>
      <c r="E287" s="6">
        <v>2.8482544071897715E-2</v>
      </c>
    </row>
    <row r="288" spans="2:5" x14ac:dyDescent="0.3">
      <c r="B288" s="4">
        <v>37928</v>
      </c>
      <c r="C288" s="7">
        <v>21.38</v>
      </c>
      <c r="D288" s="6">
        <f t="shared" si="7"/>
        <v>-0.67610968035146202</v>
      </c>
      <c r="E288" s="6">
        <v>2.8379028379028372E-2</v>
      </c>
    </row>
    <row r="289" spans="2:5" x14ac:dyDescent="0.3">
      <c r="B289" s="4">
        <v>39177</v>
      </c>
      <c r="C289" s="7">
        <v>66.010000000000005</v>
      </c>
      <c r="D289" s="6">
        <f t="shared" si="7"/>
        <v>2.5681081081081083</v>
      </c>
      <c r="E289" s="6">
        <v>2.8353326063249844E-2</v>
      </c>
    </row>
    <row r="290" spans="2:5" x14ac:dyDescent="0.3">
      <c r="B290" s="4">
        <v>37764</v>
      </c>
      <c r="C290" s="7">
        <v>18.5</v>
      </c>
      <c r="D290" s="6">
        <f t="shared" si="7"/>
        <v>-0.9840252832274109</v>
      </c>
      <c r="E290" s="6">
        <v>2.8349082823791085E-2</v>
      </c>
    </row>
    <row r="291" spans="2:5" x14ac:dyDescent="0.3">
      <c r="B291" s="4">
        <v>42989</v>
      </c>
      <c r="C291" s="5">
        <v>1158.08</v>
      </c>
      <c r="D291" s="6">
        <f t="shared" si="7"/>
        <v>27.995493239859787</v>
      </c>
      <c r="E291" s="6">
        <v>2.8325844891580264E-2</v>
      </c>
    </row>
    <row r="292" spans="2:5" x14ac:dyDescent="0.3">
      <c r="B292" s="4">
        <v>38621</v>
      </c>
      <c r="C292" s="7">
        <v>39.94</v>
      </c>
      <c r="D292" s="6">
        <f t="shared" si="7"/>
        <v>-0.91069272393900091</v>
      </c>
      <c r="E292" s="6">
        <v>2.832131822863013E-2</v>
      </c>
    </row>
    <row r="293" spans="2:5" x14ac:dyDescent="0.3">
      <c r="B293" s="4">
        <v>41710</v>
      </c>
      <c r="C293" s="7">
        <v>447.22</v>
      </c>
      <c r="D293" s="6">
        <f t="shared" si="7"/>
        <v>0.3192330383480827</v>
      </c>
      <c r="E293" s="6">
        <v>2.828106318403387E-2</v>
      </c>
    </row>
    <row r="294" spans="2:5" x14ac:dyDescent="0.3">
      <c r="B294" s="4">
        <v>41066</v>
      </c>
      <c r="C294" s="7">
        <v>339</v>
      </c>
      <c r="D294" s="6">
        <f t="shared" si="7"/>
        <v>4.2811964480448674</v>
      </c>
      <c r="E294" s="6">
        <v>2.8269837418102382E-2</v>
      </c>
    </row>
    <row r="295" spans="2:5" x14ac:dyDescent="0.3">
      <c r="B295" s="4">
        <v>39176</v>
      </c>
      <c r="C295" s="7">
        <v>64.19</v>
      </c>
      <c r="D295" s="6">
        <f t="shared" si="7"/>
        <v>-0.91462165649149418</v>
      </c>
      <c r="E295" s="6">
        <v>2.8191574563511099E-2</v>
      </c>
    </row>
    <row r="296" spans="2:5" x14ac:dyDescent="0.3">
      <c r="B296" s="4">
        <v>42198</v>
      </c>
      <c r="C296" s="7">
        <v>751.83</v>
      </c>
      <c r="D296" s="6">
        <f t="shared" si="7"/>
        <v>-0.55341783881391371</v>
      </c>
      <c r="E296" s="6">
        <v>2.8101411224155E-2</v>
      </c>
    </row>
    <row r="297" spans="2:5" x14ac:dyDescent="0.3">
      <c r="B297" s="4">
        <v>43747</v>
      </c>
      <c r="C297" s="5">
        <v>1683.52</v>
      </c>
      <c r="D297" s="6">
        <f t="shared" si="7"/>
        <v>-0.24363374966304258</v>
      </c>
      <c r="E297" s="6">
        <v>2.7997093431521555E-2</v>
      </c>
    </row>
    <row r="298" spans="2:5" x14ac:dyDescent="0.3">
      <c r="B298" s="4">
        <v>46113</v>
      </c>
      <c r="C298" s="5">
        <v>2225.8000000000002</v>
      </c>
      <c r="D298" s="6">
        <f t="shared" si="7"/>
        <v>2.8297286601627696</v>
      </c>
      <c r="E298" s="6">
        <v>2.7988176611860507E-2</v>
      </c>
    </row>
    <row r="299" spans="2:5" x14ac:dyDescent="0.3">
      <c r="B299" s="4">
        <v>41845</v>
      </c>
      <c r="C299" s="7">
        <v>581.19000000000005</v>
      </c>
      <c r="D299" s="6">
        <f t="shared" si="7"/>
        <v>-0.72590807481536679</v>
      </c>
      <c r="E299" s="6">
        <v>2.7890771461922283E-2</v>
      </c>
    </row>
    <row r="300" spans="2:5" x14ac:dyDescent="0.3">
      <c r="B300" s="4">
        <v>44162</v>
      </c>
      <c r="C300" s="5">
        <v>2120.42</v>
      </c>
      <c r="D300" s="6">
        <f t="shared" si="7"/>
        <v>0.91761322529301126</v>
      </c>
      <c r="E300" s="6">
        <v>2.7838234795127606E-2</v>
      </c>
    </row>
    <row r="301" spans="2:5" x14ac:dyDescent="0.3">
      <c r="B301" s="4">
        <v>42646</v>
      </c>
      <c r="C301" s="5">
        <v>1105.76</v>
      </c>
      <c r="D301" s="6">
        <f t="shared" si="7"/>
        <v>0.95564359237381069</v>
      </c>
      <c r="E301" s="6">
        <v>2.7820380543394464E-2</v>
      </c>
    </row>
    <row r="302" spans="2:5" x14ac:dyDescent="0.3">
      <c r="B302" s="4">
        <v>41844</v>
      </c>
      <c r="C302" s="7">
        <v>565.41999999999996</v>
      </c>
      <c r="D302" s="6">
        <f t="shared" si="7"/>
        <v>-0.54652487047463227</v>
      </c>
      <c r="E302" s="6">
        <v>2.7756066527310701E-2</v>
      </c>
    </row>
    <row r="303" spans="2:5" x14ac:dyDescent="0.3">
      <c r="B303" s="4">
        <v>43418</v>
      </c>
      <c r="C303" s="5">
        <v>1246.8599999999999</v>
      </c>
      <c r="D303" s="6">
        <f t="shared" si="7"/>
        <v>0.78166126059185781</v>
      </c>
      <c r="E303" s="6">
        <v>2.7744807121661601E-2</v>
      </c>
    </row>
    <row r="304" spans="2:5" x14ac:dyDescent="0.3">
      <c r="B304" s="4">
        <v>42122</v>
      </c>
      <c r="C304" s="7">
        <v>699.83</v>
      </c>
      <c r="D304" s="6">
        <f t="shared" si="7"/>
        <v>-0.54700041427165869</v>
      </c>
      <c r="E304" s="6">
        <v>2.7725971069828909E-2</v>
      </c>
    </row>
    <row r="305" spans="2:5" x14ac:dyDescent="0.3">
      <c r="B305" s="4">
        <v>43973</v>
      </c>
      <c r="C305" s="5">
        <v>1544.88</v>
      </c>
      <c r="D305" s="6">
        <f t="shared" si="7"/>
        <v>80.524010554089713</v>
      </c>
      <c r="E305" s="6">
        <v>2.7693331115915588E-2</v>
      </c>
    </row>
    <row r="306" spans="2:5" x14ac:dyDescent="0.3">
      <c r="B306" s="4">
        <v>37769</v>
      </c>
      <c r="C306" s="7">
        <v>18.95</v>
      </c>
      <c r="D306" s="6">
        <f t="shared" si="7"/>
        <v>-0.22747655931512439</v>
      </c>
      <c r="E306" s="6">
        <v>2.7657266811279717E-2</v>
      </c>
    </row>
    <row r="307" spans="2:5" x14ac:dyDescent="0.3">
      <c r="B307" s="4">
        <v>38099</v>
      </c>
      <c r="C307" s="7">
        <v>24.53</v>
      </c>
      <c r="D307" s="6">
        <f t="shared" si="7"/>
        <v>-0.98912836331564968</v>
      </c>
      <c r="E307" s="6">
        <v>2.7649769585253461E-2</v>
      </c>
    </row>
    <row r="308" spans="2:5" x14ac:dyDescent="0.3">
      <c r="B308" s="4">
        <v>45735</v>
      </c>
      <c r="C308" s="5">
        <v>2256.33</v>
      </c>
      <c r="D308" s="6">
        <f t="shared" si="7"/>
        <v>4.4929279158653266</v>
      </c>
      <c r="E308" s="6">
        <v>2.7552223988195807E-2</v>
      </c>
    </row>
    <row r="309" spans="2:5" x14ac:dyDescent="0.3">
      <c r="B309" s="4">
        <v>41340</v>
      </c>
      <c r="C309" s="7">
        <v>410.77</v>
      </c>
      <c r="D309" s="6">
        <f t="shared" si="7"/>
        <v>1.5562885058186571</v>
      </c>
      <c r="E309" s="6">
        <v>2.7413021185062853E-2</v>
      </c>
    </row>
    <row r="310" spans="2:5" x14ac:dyDescent="0.3">
      <c r="B310" s="4">
        <v>40207</v>
      </c>
      <c r="C310" s="7">
        <v>160.69</v>
      </c>
      <c r="D310" s="6">
        <f t="shared" si="7"/>
        <v>-0.31190853423543013</v>
      </c>
      <c r="E310" s="6">
        <v>2.7363979285211951E-2</v>
      </c>
    </row>
    <row r="311" spans="2:5" x14ac:dyDescent="0.3">
      <c r="B311" s="4">
        <v>40658</v>
      </c>
      <c r="C311" s="7">
        <v>233.53</v>
      </c>
      <c r="D311" s="6">
        <f t="shared" si="7"/>
        <v>-0.88024593862815881</v>
      </c>
      <c r="E311" s="6">
        <v>2.7318317789899738E-2</v>
      </c>
    </row>
    <row r="312" spans="2:5" x14ac:dyDescent="0.3">
      <c r="B312" s="4">
        <v>44105</v>
      </c>
      <c r="C312" s="5">
        <v>1950.08</v>
      </c>
      <c r="D312" s="6">
        <f t="shared" si="7"/>
        <v>1.1533806689561499</v>
      </c>
      <c r="E312" s="6">
        <v>2.7206691845366889E-2</v>
      </c>
    </row>
    <row r="313" spans="2:5" x14ac:dyDescent="0.3">
      <c r="B313" s="4">
        <v>42515</v>
      </c>
      <c r="C313" s="7">
        <v>905.59</v>
      </c>
      <c r="D313" s="6">
        <f t="shared" si="7"/>
        <v>1.7262026612077792</v>
      </c>
      <c r="E313" s="6">
        <v>2.7188584650983446E-2</v>
      </c>
    </row>
    <row r="314" spans="2:5" x14ac:dyDescent="0.3">
      <c r="B314" s="4">
        <v>41110</v>
      </c>
      <c r="C314" s="7">
        <v>332.18</v>
      </c>
      <c r="D314" s="6">
        <f t="shared" si="7"/>
        <v>-0.89519912418799674</v>
      </c>
      <c r="E314" s="6">
        <v>2.7117281469342263E-2</v>
      </c>
    </row>
    <row r="315" spans="2:5" x14ac:dyDescent="0.3">
      <c r="B315" s="4">
        <v>44770</v>
      </c>
      <c r="C315" s="5">
        <v>3169.63</v>
      </c>
      <c r="D315" s="6">
        <f t="shared" si="7"/>
        <v>1.3643897744989073</v>
      </c>
      <c r="E315" s="6">
        <v>2.710313384035604E-2</v>
      </c>
    </row>
    <row r="316" spans="2:5" x14ac:dyDescent="0.3">
      <c r="B316" s="4">
        <v>43535</v>
      </c>
      <c r="C316" s="5">
        <v>1340.57</v>
      </c>
      <c r="D316" s="6">
        <f t="shared" si="7"/>
        <v>-0.42444798406312928</v>
      </c>
      <c r="E316" s="6">
        <v>2.7091425900812819E-2</v>
      </c>
    </row>
    <row r="317" spans="2:5" x14ac:dyDescent="0.3">
      <c r="B317" s="4">
        <v>45692</v>
      </c>
      <c r="C317" s="5">
        <v>2329.19</v>
      </c>
      <c r="D317" s="6">
        <f t="shared" si="7"/>
        <v>56.940049751243784</v>
      </c>
      <c r="E317" s="6">
        <v>2.7088404416693048E-2</v>
      </c>
    </row>
    <row r="318" spans="2:5" x14ac:dyDescent="0.3">
      <c r="B318" s="4">
        <v>38658</v>
      </c>
      <c r="C318" s="7">
        <v>40.200000000000003</v>
      </c>
      <c r="D318" s="6">
        <f t="shared" si="7"/>
        <v>-0.19098410142885883</v>
      </c>
      <c r="E318" s="6">
        <v>2.7082268778743031E-2</v>
      </c>
    </row>
    <row r="319" spans="2:5" x14ac:dyDescent="0.3">
      <c r="B319" s="4">
        <v>38748</v>
      </c>
      <c r="C319" s="7">
        <v>49.69</v>
      </c>
      <c r="D319" s="6">
        <f t="shared" si="7"/>
        <v>-0.82420575956980124</v>
      </c>
      <c r="E319" s="6">
        <v>2.7077304671351696E-2</v>
      </c>
    </row>
    <row r="320" spans="2:5" x14ac:dyDescent="0.3">
      <c r="B320" s="4">
        <v>40997</v>
      </c>
      <c r="C320" s="7">
        <v>282.66000000000003</v>
      </c>
      <c r="D320" s="6">
        <f t="shared" si="7"/>
        <v>7.5628597394728887</v>
      </c>
      <c r="E320" s="6">
        <v>2.7070237273355061E-2</v>
      </c>
    </row>
    <row r="321" spans="2:5" x14ac:dyDescent="0.3">
      <c r="B321" s="4">
        <v>38532</v>
      </c>
      <c r="C321" s="7">
        <v>33.01</v>
      </c>
      <c r="D321" s="6">
        <f t="shared" si="7"/>
        <v>-0.9303586497890296</v>
      </c>
      <c r="E321" s="6">
        <v>2.7069072806471608E-2</v>
      </c>
    </row>
    <row r="322" spans="2:5" x14ac:dyDescent="0.3">
      <c r="B322" s="4">
        <v>41722</v>
      </c>
      <c r="C322" s="7">
        <v>474</v>
      </c>
      <c r="D322" s="6">
        <f t="shared" si="7"/>
        <v>-0.84052753759714705</v>
      </c>
      <c r="E322" s="6">
        <v>2.7041081643265772E-2</v>
      </c>
    </row>
    <row r="323" spans="2:5" x14ac:dyDescent="0.3">
      <c r="B323" s="4">
        <v>44691</v>
      </c>
      <c r="C323" s="5">
        <v>2972.3</v>
      </c>
      <c r="D323" s="6">
        <f t="shared" si="7"/>
        <v>1.7046972537172185</v>
      </c>
      <c r="E323" s="6">
        <v>2.6988552928453254E-2</v>
      </c>
    </row>
    <row r="324" spans="2:5" x14ac:dyDescent="0.3">
      <c r="B324" s="4">
        <v>43047</v>
      </c>
      <c r="C324" s="5">
        <v>1098.94</v>
      </c>
      <c r="D324" s="6">
        <f t="shared" si="7"/>
        <v>-0.25081126775926471</v>
      </c>
      <c r="E324" s="6">
        <v>2.6941155582136563E-2</v>
      </c>
    </row>
    <row r="325" spans="2:5" x14ac:dyDescent="0.3">
      <c r="B325" s="4">
        <v>43679</v>
      </c>
      <c r="C325" s="5">
        <v>1466.84</v>
      </c>
      <c r="D325" s="6">
        <f t="shared" si="7"/>
        <v>-0.35676197158393269</v>
      </c>
      <c r="E325" s="6">
        <v>2.6911229347521579E-2</v>
      </c>
    </row>
    <row r="326" spans="2:5" x14ac:dyDescent="0.3">
      <c r="B326" s="4">
        <v>46091</v>
      </c>
      <c r="C326" s="5">
        <v>2280.4</v>
      </c>
      <c r="D326" s="6">
        <f t="shared" si="7"/>
        <v>54.511197663096404</v>
      </c>
      <c r="E326" s="6">
        <v>2.6837175792507162E-2</v>
      </c>
    </row>
    <row r="327" spans="2:5" x14ac:dyDescent="0.3">
      <c r="B327" s="4">
        <v>38642</v>
      </c>
      <c r="C327" s="7">
        <v>41.08</v>
      </c>
      <c r="D327" s="6">
        <f t="shared" si="7"/>
        <v>-0.96775991021747154</v>
      </c>
      <c r="E327" s="6">
        <v>2.6743314171457144E-2</v>
      </c>
    </row>
    <row r="328" spans="2:5" x14ac:dyDescent="0.3">
      <c r="B328" s="4">
        <v>43430</v>
      </c>
      <c r="C328" s="5">
        <v>1274.19</v>
      </c>
      <c r="D328" s="6">
        <f t="shared" ref="D328:D391" si="8">((C328-C329)/C329)</f>
        <v>56.11295383236218</v>
      </c>
      <c r="E328" s="6">
        <v>2.6703194875307281E-2</v>
      </c>
    </row>
    <row r="329" spans="2:5" x14ac:dyDescent="0.3">
      <c r="B329" s="4">
        <v>37930</v>
      </c>
      <c r="C329" s="7">
        <v>22.31</v>
      </c>
      <c r="D329" s="6">
        <f t="shared" si="8"/>
        <v>-0.21636810677906571</v>
      </c>
      <c r="E329" s="6">
        <v>2.6691210308329421E-2</v>
      </c>
    </row>
    <row r="330" spans="2:5" x14ac:dyDescent="0.3">
      <c r="B330" s="4">
        <v>38405</v>
      </c>
      <c r="C330" s="7">
        <v>28.47</v>
      </c>
      <c r="D330" s="6">
        <f t="shared" si="8"/>
        <v>-0.96808832595415562</v>
      </c>
      <c r="E330" s="6">
        <v>2.6685899747565755E-2</v>
      </c>
    </row>
    <row r="331" spans="2:5" x14ac:dyDescent="0.3">
      <c r="B331" s="4">
        <v>42752</v>
      </c>
      <c r="C331" s="7">
        <v>892.15</v>
      </c>
      <c r="D331" s="6">
        <f t="shared" si="8"/>
        <v>-0.17260982870709562</v>
      </c>
      <c r="E331" s="6">
        <v>2.6628001979263745E-2</v>
      </c>
    </row>
    <row r="332" spans="2:5" x14ac:dyDescent="0.3">
      <c r="B332" s="4">
        <v>43192</v>
      </c>
      <c r="C332" s="5">
        <v>1078.27</v>
      </c>
      <c r="D332" s="6">
        <f t="shared" si="8"/>
        <v>-0.27460055837734204</v>
      </c>
      <c r="E332" s="6">
        <v>2.6552295359774433E-2</v>
      </c>
    </row>
    <row r="333" spans="2:5" x14ac:dyDescent="0.3">
      <c r="B333" s="4">
        <v>43683</v>
      </c>
      <c r="C333" s="5">
        <v>1486.45</v>
      </c>
      <c r="D333" s="6">
        <f t="shared" si="8"/>
        <v>-0.51204259635554294</v>
      </c>
      <c r="E333" s="6">
        <v>2.6518421325230548E-2</v>
      </c>
    </row>
    <row r="334" spans="2:5" x14ac:dyDescent="0.3">
      <c r="B334" s="4">
        <v>45504</v>
      </c>
      <c r="C334" s="5">
        <v>3046.27</v>
      </c>
      <c r="D334" s="6">
        <f t="shared" si="8"/>
        <v>185.54439681567669</v>
      </c>
      <c r="E334" s="6">
        <v>2.6423168286806974E-2</v>
      </c>
    </row>
    <row r="335" spans="2:5" x14ac:dyDescent="0.3">
      <c r="B335" s="4">
        <v>37690</v>
      </c>
      <c r="C335" s="7">
        <v>16.329999999999998</v>
      </c>
      <c r="D335" s="6">
        <f t="shared" si="8"/>
        <v>-0.98513833272661089</v>
      </c>
      <c r="E335" s="6">
        <v>2.6398491514770469E-2</v>
      </c>
    </row>
    <row r="336" spans="2:5" x14ac:dyDescent="0.3">
      <c r="B336" s="4">
        <v>43104</v>
      </c>
      <c r="C336" s="5">
        <v>1098.8</v>
      </c>
      <c r="D336" s="6">
        <f t="shared" si="8"/>
        <v>-0.36131132294815166</v>
      </c>
      <c r="E336" s="6">
        <v>2.6397892652306305E-2</v>
      </c>
    </row>
    <row r="337" spans="2:5" x14ac:dyDescent="0.3">
      <c r="B337" s="4">
        <v>43755</v>
      </c>
      <c r="C337" s="5">
        <v>1720.4</v>
      </c>
      <c r="D337" s="6">
        <f t="shared" si="8"/>
        <v>15.550264550264551</v>
      </c>
      <c r="E337" s="6">
        <v>2.6393661702940059E-2</v>
      </c>
    </row>
    <row r="338" spans="2:5" x14ac:dyDescent="0.3">
      <c r="B338" s="4">
        <v>39581</v>
      </c>
      <c r="C338" s="7">
        <v>103.95</v>
      </c>
      <c r="D338" s="6">
        <f t="shared" si="8"/>
        <v>-0.57488140029445434</v>
      </c>
      <c r="E338" s="6">
        <v>2.6362559241706177E-2</v>
      </c>
    </row>
    <row r="339" spans="2:5" x14ac:dyDescent="0.3">
      <c r="B339" s="4">
        <v>40899</v>
      </c>
      <c r="C339" s="7">
        <v>244.52</v>
      </c>
      <c r="D339" s="6">
        <f t="shared" si="8"/>
        <v>-0.84492840019786664</v>
      </c>
      <c r="E339" s="6">
        <v>2.6359973136333113E-2</v>
      </c>
    </row>
    <row r="340" spans="2:5" x14ac:dyDescent="0.3">
      <c r="B340" s="4">
        <v>43930</v>
      </c>
      <c r="C340" s="5">
        <v>1576.82</v>
      </c>
      <c r="D340" s="6">
        <f t="shared" si="8"/>
        <v>-0.10638973109291322</v>
      </c>
      <c r="E340" s="6">
        <v>2.6355014873106698E-2</v>
      </c>
    </row>
    <row r="341" spans="2:5" x14ac:dyDescent="0.3">
      <c r="B341" s="4">
        <v>43894</v>
      </c>
      <c r="C341" s="5">
        <v>1764.55</v>
      </c>
      <c r="D341" s="6">
        <f t="shared" si="8"/>
        <v>0.30709343842130987</v>
      </c>
      <c r="E341" s="6">
        <v>2.6324820129239392E-2</v>
      </c>
    </row>
    <row r="342" spans="2:5" x14ac:dyDescent="0.3">
      <c r="B342" s="4">
        <v>43304</v>
      </c>
      <c r="C342" s="5">
        <v>1349.98</v>
      </c>
      <c r="D342" s="6">
        <f t="shared" si="8"/>
        <v>16.470946033389414</v>
      </c>
      <c r="E342" s="6">
        <v>2.631979077971059E-2</v>
      </c>
    </row>
    <row r="343" spans="2:5" x14ac:dyDescent="0.3">
      <c r="B343" s="4">
        <v>39302</v>
      </c>
      <c r="C343" s="7">
        <v>77.27</v>
      </c>
      <c r="D343" s="6">
        <f t="shared" si="8"/>
        <v>-0.19919162607524096</v>
      </c>
      <c r="E343" s="6">
        <v>2.6298313189002387E-2</v>
      </c>
    </row>
    <row r="344" spans="2:5" x14ac:dyDescent="0.3">
      <c r="B344" s="4">
        <v>39983</v>
      </c>
      <c r="C344" s="7">
        <v>96.49</v>
      </c>
      <c r="D344" s="6">
        <f t="shared" si="8"/>
        <v>-0.93536047804708122</v>
      </c>
      <c r="E344" s="6">
        <v>2.6271006168900223E-2</v>
      </c>
    </row>
    <row r="345" spans="2:5" x14ac:dyDescent="0.3">
      <c r="B345" s="4">
        <v>43964</v>
      </c>
      <c r="C345" s="5">
        <v>1492.74</v>
      </c>
      <c r="D345" s="6">
        <f t="shared" si="8"/>
        <v>87.537366548042712</v>
      </c>
      <c r="E345" s="6">
        <v>2.6220266739997319E-2</v>
      </c>
    </row>
    <row r="346" spans="2:5" x14ac:dyDescent="0.3">
      <c r="B346" s="4">
        <v>37699</v>
      </c>
      <c r="C346" s="7">
        <v>16.86</v>
      </c>
      <c r="D346" s="6">
        <f t="shared" si="8"/>
        <v>-0.98347301867372439</v>
      </c>
      <c r="E346" s="6">
        <v>2.617163724893486E-2</v>
      </c>
    </row>
    <row r="347" spans="2:5" x14ac:dyDescent="0.3">
      <c r="B347" s="4">
        <v>42850</v>
      </c>
      <c r="C347" s="5">
        <v>1020.15</v>
      </c>
      <c r="D347" s="6">
        <f t="shared" si="8"/>
        <v>5.3775318829707421</v>
      </c>
      <c r="E347" s="6">
        <v>2.6122030215856313E-2</v>
      </c>
    </row>
    <row r="348" spans="2:5" x14ac:dyDescent="0.3">
      <c r="B348" s="4">
        <v>40190</v>
      </c>
      <c r="C348" s="7">
        <v>159.96</v>
      </c>
      <c r="D348" s="6">
        <f t="shared" si="8"/>
        <v>1.051558291650635</v>
      </c>
      <c r="E348" s="6">
        <v>2.6108153184938237E-2</v>
      </c>
    </row>
    <row r="349" spans="2:5" x14ac:dyDescent="0.3">
      <c r="B349" s="4">
        <v>39826</v>
      </c>
      <c r="C349" s="7">
        <v>77.97</v>
      </c>
      <c r="D349" s="6">
        <f t="shared" si="8"/>
        <v>-3.8238559269766804E-2</v>
      </c>
      <c r="E349" s="6">
        <v>2.6056060007895829E-2</v>
      </c>
    </row>
    <row r="350" spans="2:5" x14ac:dyDescent="0.3">
      <c r="B350" s="4">
        <v>39364</v>
      </c>
      <c r="C350" s="7">
        <v>81.069999999999993</v>
      </c>
      <c r="D350" s="6">
        <f t="shared" si="8"/>
        <v>-0.80306085266609983</v>
      </c>
      <c r="E350" s="6">
        <v>2.5942799291318618E-2</v>
      </c>
    </row>
    <row r="351" spans="2:5" x14ac:dyDescent="0.3">
      <c r="B351" s="4">
        <v>41439</v>
      </c>
      <c r="C351" s="7">
        <v>411.65</v>
      </c>
      <c r="D351" s="6">
        <f t="shared" si="8"/>
        <v>8.192719964269763</v>
      </c>
      <c r="E351" s="6">
        <v>2.5919003115264742E-2</v>
      </c>
    </row>
    <row r="352" spans="2:5" x14ac:dyDescent="0.3">
      <c r="B352" s="4">
        <v>38883</v>
      </c>
      <c r="C352" s="7">
        <v>44.78</v>
      </c>
      <c r="D352" s="6">
        <f t="shared" si="8"/>
        <v>-0.75259668508287292</v>
      </c>
      <c r="E352" s="6">
        <v>2.588774341351667E-2</v>
      </c>
    </row>
    <row r="353" spans="2:5" x14ac:dyDescent="0.3">
      <c r="B353" s="4">
        <v>40305</v>
      </c>
      <c r="C353" s="7">
        <v>181</v>
      </c>
      <c r="D353" s="6">
        <f t="shared" si="8"/>
        <v>-0.3562155433042859</v>
      </c>
      <c r="E353" s="6">
        <v>2.5844479709816383E-2</v>
      </c>
    </row>
    <row r="354" spans="2:5" x14ac:dyDescent="0.3">
      <c r="B354" s="4">
        <v>40977</v>
      </c>
      <c r="C354" s="7">
        <v>281.14999999999998</v>
      </c>
      <c r="D354" s="6">
        <f t="shared" si="8"/>
        <v>15.441520467836254</v>
      </c>
      <c r="E354" s="6">
        <v>2.5795388207822512E-2</v>
      </c>
    </row>
    <row r="355" spans="2:5" x14ac:dyDescent="0.3">
      <c r="B355" s="4">
        <v>37523</v>
      </c>
      <c r="C355" s="7">
        <v>17.100000000000001</v>
      </c>
      <c r="D355" s="6">
        <f t="shared" si="8"/>
        <v>-0.99428787124661366</v>
      </c>
      <c r="E355" s="6">
        <v>2.5794841031793622E-2</v>
      </c>
    </row>
    <row r="356" spans="2:5" x14ac:dyDescent="0.3">
      <c r="B356" s="4">
        <v>44538</v>
      </c>
      <c r="C356" s="5">
        <v>2993.63</v>
      </c>
      <c r="D356" s="6">
        <f t="shared" si="8"/>
        <v>3.4918374696155809</v>
      </c>
      <c r="E356" s="6">
        <v>2.5791883112433002E-2</v>
      </c>
    </row>
    <row r="357" spans="2:5" x14ac:dyDescent="0.3">
      <c r="B357" s="4">
        <v>42173</v>
      </c>
      <c r="C357" s="7">
        <v>666.46</v>
      </c>
      <c r="D357" s="6">
        <f t="shared" si="8"/>
        <v>37.792782305005829</v>
      </c>
      <c r="E357" s="6">
        <v>2.5749157342280667E-2</v>
      </c>
    </row>
    <row r="358" spans="2:5" x14ac:dyDescent="0.3">
      <c r="B358" s="4">
        <v>37504</v>
      </c>
      <c r="C358" s="7">
        <v>17.18</v>
      </c>
      <c r="D358" s="6">
        <f t="shared" si="8"/>
        <v>-0.97612496178326258</v>
      </c>
      <c r="E358" s="6">
        <v>2.5671641791044759E-2</v>
      </c>
    </row>
    <row r="359" spans="2:5" x14ac:dyDescent="0.3">
      <c r="B359" s="4">
        <v>42153</v>
      </c>
      <c r="C359" s="7">
        <v>719.58</v>
      </c>
      <c r="D359" s="6">
        <f t="shared" si="8"/>
        <v>-0.46017599531879455</v>
      </c>
      <c r="E359" s="6">
        <v>2.5670995053950412E-2</v>
      </c>
    </row>
    <row r="360" spans="2:5" x14ac:dyDescent="0.3">
      <c r="B360" s="4">
        <v>43668</v>
      </c>
      <c r="C360" s="5">
        <v>1332.99</v>
      </c>
      <c r="D360" s="6">
        <f t="shared" si="8"/>
        <v>1.7993993741730892</v>
      </c>
      <c r="E360" s="6">
        <v>2.5637277154970058E-2</v>
      </c>
    </row>
    <row r="361" spans="2:5" x14ac:dyDescent="0.3">
      <c r="B361" s="4">
        <v>41596</v>
      </c>
      <c r="C361" s="7">
        <v>476.17</v>
      </c>
      <c r="D361" s="6">
        <f t="shared" si="8"/>
        <v>19.125528317836011</v>
      </c>
      <c r="E361" s="6">
        <v>2.5609545963642726E-2</v>
      </c>
    </row>
    <row r="362" spans="2:5" x14ac:dyDescent="0.3">
      <c r="B362" s="4">
        <v>37907</v>
      </c>
      <c r="C362" s="7">
        <v>23.66</v>
      </c>
      <c r="D362" s="6">
        <f t="shared" si="8"/>
        <v>-0.96887087861484622</v>
      </c>
      <c r="E362" s="6">
        <v>2.5574338968357167E-2</v>
      </c>
    </row>
    <row r="363" spans="2:5" x14ac:dyDescent="0.3">
      <c r="B363" s="4">
        <v>42250</v>
      </c>
      <c r="C363" s="7">
        <v>760.06</v>
      </c>
      <c r="D363" s="6">
        <f t="shared" si="8"/>
        <v>1.6634194204015837</v>
      </c>
      <c r="E363" s="6">
        <v>2.5555915371329799E-2</v>
      </c>
    </row>
    <row r="364" spans="2:5" x14ac:dyDescent="0.3">
      <c r="B364" s="4">
        <v>40767</v>
      </c>
      <c r="C364" s="7">
        <v>285.37</v>
      </c>
      <c r="D364" s="6">
        <f t="shared" si="8"/>
        <v>6.8033907574514636</v>
      </c>
      <c r="E364" s="6">
        <v>2.5551642348882391E-2</v>
      </c>
    </row>
    <row r="365" spans="2:5" x14ac:dyDescent="0.3">
      <c r="B365" s="4">
        <v>38559</v>
      </c>
      <c r="C365" s="7">
        <v>36.57</v>
      </c>
      <c r="D365" s="6">
        <f t="shared" si="8"/>
        <v>-0.61682732606873425</v>
      </c>
      <c r="E365" s="6">
        <v>2.5518788558609191E-2</v>
      </c>
    </row>
    <row r="366" spans="2:5" x14ac:dyDescent="0.3">
      <c r="B366" s="4">
        <v>39525</v>
      </c>
      <c r="C366" s="7">
        <v>95.44</v>
      </c>
      <c r="D366" s="6">
        <f t="shared" si="8"/>
        <v>-0.87825598897874835</v>
      </c>
      <c r="E366" s="6">
        <v>2.5464703986246961E-2</v>
      </c>
    </row>
    <row r="367" spans="2:5" x14ac:dyDescent="0.3">
      <c r="B367" s="4">
        <v>42331</v>
      </c>
      <c r="C367" s="7">
        <v>783.94</v>
      </c>
      <c r="D367" s="6">
        <f t="shared" si="8"/>
        <v>-4.3590713335854556E-2</v>
      </c>
      <c r="E367" s="6">
        <v>2.5441797799840477E-2</v>
      </c>
    </row>
    <row r="368" spans="2:5" x14ac:dyDescent="0.3">
      <c r="B368" s="4">
        <v>42496</v>
      </c>
      <c r="C368" s="7">
        <v>819.67</v>
      </c>
      <c r="D368" s="6">
        <f t="shared" si="8"/>
        <v>0.18014541789647975</v>
      </c>
      <c r="E368" s="6">
        <v>2.5382171182666523E-2</v>
      </c>
    </row>
    <row r="369" spans="2:5" x14ac:dyDescent="0.3">
      <c r="B369" s="4">
        <v>42185</v>
      </c>
      <c r="C369" s="7">
        <v>694.55</v>
      </c>
      <c r="D369" s="6">
        <f t="shared" si="8"/>
        <v>-0.58799487477606804</v>
      </c>
      <c r="E369" s="6">
        <v>2.5317390020667224E-2</v>
      </c>
    </row>
    <row r="370" spans="2:5" x14ac:dyDescent="0.3">
      <c r="B370" s="4">
        <v>43839</v>
      </c>
      <c r="C370" s="5">
        <v>1685.78</v>
      </c>
      <c r="D370" s="6">
        <f t="shared" si="8"/>
        <v>1.2087154761280854</v>
      </c>
      <c r="E370" s="6">
        <v>2.530760201195734E-2</v>
      </c>
    </row>
    <row r="371" spans="2:5" x14ac:dyDescent="0.3">
      <c r="B371" s="4">
        <v>42082</v>
      </c>
      <c r="C371" s="7">
        <v>763.24</v>
      </c>
      <c r="D371" s="6">
        <f t="shared" si="8"/>
        <v>13.157670191059175</v>
      </c>
      <c r="E371" s="6">
        <v>2.529520022568214E-2</v>
      </c>
    </row>
    <row r="372" spans="2:5" x14ac:dyDescent="0.3">
      <c r="B372" s="4">
        <v>38751</v>
      </c>
      <c r="C372" s="7">
        <v>53.91</v>
      </c>
      <c r="D372" s="6">
        <f t="shared" si="8"/>
        <v>-0.65668980449595626</v>
      </c>
      <c r="E372" s="6">
        <v>2.5294788893115223E-2</v>
      </c>
    </row>
    <row r="373" spans="2:5" x14ac:dyDescent="0.3">
      <c r="B373" s="4">
        <v>40235</v>
      </c>
      <c r="C373" s="7">
        <v>157.03</v>
      </c>
      <c r="D373" s="6">
        <f t="shared" si="8"/>
        <v>-0.41924627390066199</v>
      </c>
      <c r="E373" s="6">
        <v>2.5267693914860306E-2</v>
      </c>
    </row>
    <row r="374" spans="2:5" x14ac:dyDescent="0.3">
      <c r="B374" s="4">
        <v>40693</v>
      </c>
      <c r="C374" s="7">
        <v>270.39</v>
      </c>
      <c r="D374" s="6">
        <f t="shared" si="8"/>
        <v>2.2628212863521173</v>
      </c>
      <c r="E374" s="6">
        <v>2.5253099761119203E-2</v>
      </c>
    </row>
    <row r="375" spans="2:5" x14ac:dyDescent="0.3">
      <c r="B375" s="4">
        <v>39358</v>
      </c>
      <c r="C375" s="7">
        <v>82.87</v>
      </c>
      <c r="D375" s="6">
        <f t="shared" si="8"/>
        <v>-0.88517866792290745</v>
      </c>
      <c r="E375" s="6">
        <v>2.5238154150686705E-2</v>
      </c>
    </row>
    <row r="376" spans="2:5" x14ac:dyDescent="0.3">
      <c r="B376" s="4">
        <v>41976</v>
      </c>
      <c r="C376" s="7">
        <v>721.73</v>
      </c>
      <c r="D376" s="6">
        <f t="shared" si="8"/>
        <v>-0.75081825714680295</v>
      </c>
      <c r="E376" s="6">
        <v>2.5126413271973264E-2</v>
      </c>
    </row>
    <row r="377" spans="2:5" x14ac:dyDescent="0.3">
      <c r="B377" s="4">
        <v>46034</v>
      </c>
      <c r="C377" s="5">
        <v>2896.4</v>
      </c>
      <c r="D377" s="6">
        <f t="shared" si="8"/>
        <v>80.405283867341211</v>
      </c>
      <c r="E377" s="6">
        <v>2.5092903910812279E-2</v>
      </c>
    </row>
    <row r="378" spans="2:5" x14ac:dyDescent="0.3">
      <c r="B378" s="4">
        <v>38552</v>
      </c>
      <c r="C378" s="7">
        <v>35.58</v>
      </c>
      <c r="D378" s="6">
        <f t="shared" si="8"/>
        <v>-0.38918454935622321</v>
      </c>
      <c r="E378" s="6">
        <v>2.5064822817631734E-2</v>
      </c>
    </row>
    <row r="379" spans="2:5" x14ac:dyDescent="0.3">
      <c r="B379" s="4">
        <v>39043</v>
      </c>
      <c r="C379" s="7">
        <v>58.25</v>
      </c>
      <c r="D379" s="6">
        <f t="shared" si="8"/>
        <v>-0.98112437175752354</v>
      </c>
      <c r="E379" s="6">
        <v>2.4986802745029065E-2</v>
      </c>
    </row>
    <row r="380" spans="2:5" x14ac:dyDescent="0.3">
      <c r="B380" s="4">
        <v>44769</v>
      </c>
      <c r="C380" s="5">
        <v>3085.99</v>
      </c>
      <c r="D380" s="6">
        <f t="shared" si="8"/>
        <v>-8.000951499254335E-3</v>
      </c>
      <c r="E380" s="6">
        <v>2.494619513232001E-2</v>
      </c>
    </row>
    <row r="381" spans="2:5" x14ac:dyDescent="0.3">
      <c r="B381" s="4">
        <v>44517</v>
      </c>
      <c r="C381" s="5">
        <v>3110.88</v>
      </c>
      <c r="D381" s="6">
        <f t="shared" si="8"/>
        <v>27.698154981549813</v>
      </c>
      <c r="E381" s="6">
        <v>2.4923976107247257E-2</v>
      </c>
    </row>
    <row r="382" spans="2:5" x14ac:dyDescent="0.3">
      <c r="B382" s="4">
        <v>39610</v>
      </c>
      <c r="C382" s="7">
        <v>108.4</v>
      </c>
      <c r="D382" s="6">
        <f t="shared" si="8"/>
        <v>3.9110429447852882E-2</v>
      </c>
      <c r="E382" s="6">
        <v>2.4865273707100403E-2</v>
      </c>
    </row>
    <row r="383" spans="2:5" x14ac:dyDescent="0.3">
      <c r="B383" s="4">
        <v>39689</v>
      </c>
      <c r="C383" s="7">
        <v>104.32</v>
      </c>
      <c r="D383" s="6">
        <f t="shared" si="8"/>
        <v>0.36383841024970587</v>
      </c>
      <c r="E383" s="6">
        <v>2.4855093820610932E-2</v>
      </c>
    </row>
    <row r="384" spans="2:5" x14ac:dyDescent="0.3">
      <c r="B384" s="4">
        <v>39813</v>
      </c>
      <c r="C384" s="7">
        <v>76.489999999999995</v>
      </c>
      <c r="D384" s="6">
        <f t="shared" si="8"/>
        <v>-0.96718885390482245</v>
      </c>
      <c r="E384" s="6">
        <v>2.4785637727759838E-2</v>
      </c>
    </row>
    <row r="385" spans="2:5" x14ac:dyDescent="0.3">
      <c r="B385" s="4">
        <v>45789</v>
      </c>
      <c r="C385" s="5">
        <v>2331.2199999999998</v>
      </c>
      <c r="D385" s="6">
        <f t="shared" si="8"/>
        <v>7.8007097285665745</v>
      </c>
      <c r="E385" s="6">
        <v>2.4698575403401094E-2</v>
      </c>
    </row>
    <row r="386" spans="2:5" x14ac:dyDescent="0.3">
      <c r="B386" s="4">
        <v>40938</v>
      </c>
      <c r="C386" s="7">
        <v>264.89</v>
      </c>
      <c r="D386" s="6">
        <f t="shared" si="8"/>
        <v>7.8326108702900967</v>
      </c>
      <c r="E386" s="6">
        <v>2.4600626619734708E-2</v>
      </c>
    </row>
    <row r="387" spans="2:5" x14ac:dyDescent="0.3">
      <c r="B387" s="4">
        <v>38475</v>
      </c>
      <c r="C387" s="7">
        <v>29.99</v>
      </c>
      <c r="D387" s="6">
        <f t="shared" si="8"/>
        <v>-0.98735346208990482</v>
      </c>
      <c r="E387" s="6">
        <v>2.4598565083703412E-2</v>
      </c>
    </row>
    <row r="388" spans="2:5" x14ac:dyDescent="0.3">
      <c r="B388" s="4">
        <v>45945</v>
      </c>
      <c r="C388" s="5">
        <v>2371.4</v>
      </c>
      <c r="D388" s="6">
        <f t="shared" si="8"/>
        <v>16.322132943754564</v>
      </c>
      <c r="E388" s="6">
        <v>2.4588570268180166E-2</v>
      </c>
    </row>
    <row r="389" spans="2:5" x14ac:dyDescent="0.3">
      <c r="B389" s="4">
        <v>40100</v>
      </c>
      <c r="C389" s="7">
        <v>136.9</v>
      </c>
      <c r="D389" s="6">
        <f t="shared" si="8"/>
        <v>0.97233827978677445</v>
      </c>
      <c r="E389" s="6">
        <v>2.4547223469540497E-2</v>
      </c>
    </row>
    <row r="390" spans="2:5" x14ac:dyDescent="0.3">
      <c r="B390" s="4">
        <v>39265</v>
      </c>
      <c r="C390" s="7">
        <v>69.41</v>
      </c>
      <c r="D390" s="6">
        <f t="shared" si="8"/>
        <v>-0.94423421469144431</v>
      </c>
      <c r="E390" s="6">
        <v>2.4501845018450135E-2</v>
      </c>
    </row>
    <row r="391" spans="2:5" x14ac:dyDescent="0.3">
      <c r="B391" s="4">
        <v>43286</v>
      </c>
      <c r="C391" s="5">
        <v>1244.67</v>
      </c>
      <c r="D391" s="6">
        <f t="shared" si="8"/>
        <v>-0.60680145316695622</v>
      </c>
      <c r="E391" s="6">
        <v>2.4495641652468075E-2</v>
      </c>
    </row>
    <row r="392" spans="2:5" x14ac:dyDescent="0.3">
      <c r="B392" s="4">
        <v>44476</v>
      </c>
      <c r="C392" s="5">
        <v>3165.5</v>
      </c>
      <c r="D392" s="6">
        <f t="shared" ref="D392:D455" si="9">((C392-C393)/C393)</f>
        <v>30.759807364302198</v>
      </c>
      <c r="E392" s="6">
        <v>2.4470126768266872E-2</v>
      </c>
    </row>
    <row r="393" spans="2:5" x14ac:dyDescent="0.3">
      <c r="B393" s="4">
        <v>39990</v>
      </c>
      <c r="C393" s="7">
        <v>99.67</v>
      </c>
      <c r="D393" s="6">
        <f t="shared" si="9"/>
        <v>0.35109122949708566</v>
      </c>
      <c r="E393" s="6">
        <v>2.4462945832048468E-2</v>
      </c>
    </row>
    <row r="394" spans="2:5" x14ac:dyDescent="0.3">
      <c r="B394" s="4">
        <v>39296</v>
      </c>
      <c r="C394" s="7">
        <v>73.77</v>
      </c>
      <c r="D394" s="6">
        <f t="shared" si="9"/>
        <v>-0.68253216852433629</v>
      </c>
      <c r="E394" s="6">
        <v>2.444104985418679E-2</v>
      </c>
    </row>
    <row r="395" spans="2:5" x14ac:dyDescent="0.3">
      <c r="B395" s="4">
        <v>40512</v>
      </c>
      <c r="C395" s="7">
        <v>232.37</v>
      </c>
      <c r="D395" s="6">
        <f t="shared" si="9"/>
        <v>2.7424706071831211</v>
      </c>
      <c r="E395" s="6">
        <v>2.4423577128245787E-2</v>
      </c>
    </row>
    <row r="396" spans="2:5" x14ac:dyDescent="0.3">
      <c r="B396" s="4">
        <v>39885</v>
      </c>
      <c r="C396" s="7">
        <v>62.09</v>
      </c>
      <c r="D396" s="6">
        <f t="shared" si="9"/>
        <v>-0.97958599919777478</v>
      </c>
      <c r="E396" s="6">
        <v>2.4418412803167859E-2</v>
      </c>
    </row>
    <row r="397" spans="2:5" x14ac:dyDescent="0.3">
      <c r="B397" s="4">
        <v>44672</v>
      </c>
      <c r="C397" s="5">
        <v>3041.54</v>
      </c>
      <c r="D397" s="6">
        <f t="shared" si="9"/>
        <v>-4.7032099384331026E-2</v>
      </c>
      <c r="E397" s="6">
        <v>2.4408316408841758E-2</v>
      </c>
    </row>
    <row r="398" spans="2:5" x14ac:dyDescent="0.3">
      <c r="B398" s="4">
        <v>45539</v>
      </c>
      <c r="C398" s="5">
        <v>3191.65</v>
      </c>
      <c r="D398" s="6">
        <f t="shared" si="9"/>
        <v>61.034013605442176</v>
      </c>
      <c r="E398" s="6">
        <v>2.4343667757879165E-2</v>
      </c>
    </row>
    <row r="399" spans="2:5" x14ac:dyDescent="0.3">
      <c r="B399" s="4">
        <v>38835</v>
      </c>
      <c r="C399" s="7">
        <v>51.45</v>
      </c>
      <c r="D399" s="6">
        <f t="shared" si="9"/>
        <v>-0.87049436165928318</v>
      </c>
      <c r="E399" s="6">
        <v>2.4288273939876689E-2</v>
      </c>
    </row>
    <row r="400" spans="2:5" x14ac:dyDescent="0.3">
      <c r="B400" s="4">
        <v>41338</v>
      </c>
      <c r="C400" s="7">
        <v>397.28</v>
      </c>
      <c r="D400" s="6">
        <f t="shared" si="9"/>
        <v>1.0461475072105479</v>
      </c>
      <c r="E400" s="6">
        <v>2.4260705906618114E-2</v>
      </c>
    </row>
    <row r="401" spans="2:5" x14ac:dyDescent="0.3">
      <c r="B401" s="4">
        <v>40337</v>
      </c>
      <c r="C401" s="7">
        <v>194.16</v>
      </c>
      <c r="D401" s="6">
        <f t="shared" si="9"/>
        <v>-0.85956080201371399</v>
      </c>
      <c r="E401" s="6">
        <v>2.4104646869560594E-2</v>
      </c>
    </row>
    <row r="402" spans="2:5" x14ac:dyDescent="0.3">
      <c r="B402" s="4">
        <v>43305</v>
      </c>
      <c r="C402" s="5">
        <v>1382.52</v>
      </c>
      <c r="D402" s="6">
        <f t="shared" si="9"/>
        <v>8.4868592602758532</v>
      </c>
      <c r="E402" s="6">
        <v>2.4104060800900728E-2</v>
      </c>
    </row>
    <row r="403" spans="2:5" x14ac:dyDescent="0.3">
      <c r="B403" s="4">
        <v>40147</v>
      </c>
      <c r="C403" s="7">
        <v>145.72999999999999</v>
      </c>
      <c r="D403" s="6">
        <f t="shared" si="9"/>
        <v>-0.90932339435270104</v>
      </c>
      <c r="E403" s="6">
        <v>2.4104005621925356E-2</v>
      </c>
    </row>
    <row r="404" spans="2:5" x14ac:dyDescent="0.3">
      <c r="B404" s="4">
        <v>43980</v>
      </c>
      <c r="C404" s="5">
        <v>1607.14</v>
      </c>
      <c r="D404" s="6">
        <f t="shared" si="9"/>
        <v>4.6046730601569319</v>
      </c>
      <c r="E404" s="6">
        <v>2.4034356641306997E-2</v>
      </c>
    </row>
    <row r="405" spans="2:5" x14ac:dyDescent="0.3">
      <c r="B405" s="4">
        <v>40973</v>
      </c>
      <c r="C405" s="7">
        <v>286.75</v>
      </c>
      <c r="D405" s="6">
        <f t="shared" si="9"/>
        <v>-0.65030061342211487</v>
      </c>
      <c r="E405" s="6">
        <v>2.4033997571602093E-2</v>
      </c>
    </row>
    <row r="406" spans="2:5" x14ac:dyDescent="0.3">
      <c r="B406" s="4">
        <v>42383</v>
      </c>
      <c r="C406" s="7">
        <v>819.99</v>
      </c>
      <c r="D406" s="6">
        <f t="shared" si="9"/>
        <v>2.4003317437279703</v>
      </c>
      <c r="E406" s="6">
        <v>2.4001898173008514E-2</v>
      </c>
    </row>
    <row r="407" spans="2:5" x14ac:dyDescent="0.3">
      <c r="B407" s="4">
        <v>40919</v>
      </c>
      <c r="C407" s="7">
        <v>241.15</v>
      </c>
      <c r="D407" s="6">
        <f t="shared" si="9"/>
        <v>9.4620390455531442</v>
      </c>
      <c r="E407" s="6">
        <v>2.3991507430997899E-2</v>
      </c>
    </row>
    <row r="408" spans="2:5" x14ac:dyDescent="0.3">
      <c r="B408" s="4">
        <v>38132</v>
      </c>
      <c r="C408" s="7">
        <v>23.05</v>
      </c>
      <c r="D408" s="6">
        <f t="shared" si="9"/>
        <v>-0.97412031527182097</v>
      </c>
      <c r="E408" s="6">
        <v>2.3989338071967976E-2</v>
      </c>
    </row>
    <row r="409" spans="2:5" x14ac:dyDescent="0.3">
      <c r="B409" s="4">
        <v>42703</v>
      </c>
      <c r="C409" s="7">
        <v>890.66</v>
      </c>
      <c r="D409" s="6">
        <f t="shared" si="9"/>
        <v>-0.24354303088983453</v>
      </c>
      <c r="E409" s="6">
        <v>2.398252471832607E-2</v>
      </c>
    </row>
    <row r="410" spans="2:5" x14ac:dyDescent="0.3">
      <c r="B410" s="4">
        <v>43406</v>
      </c>
      <c r="C410" s="5">
        <v>1177.4100000000001</v>
      </c>
      <c r="D410" s="6">
        <f t="shared" si="9"/>
        <v>4.0076981966655332</v>
      </c>
      <c r="E410" s="6">
        <v>2.3977249008557855E-2</v>
      </c>
    </row>
    <row r="411" spans="2:5" x14ac:dyDescent="0.3">
      <c r="B411" s="4">
        <v>40911</v>
      </c>
      <c r="C411" s="7">
        <v>235.12</v>
      </c>
      <c r="D411" s="6">
        <f t="shared" si="9"/>
        <v>-0.71437942637787144</v>
      </c>
      <c r="E411" s="6">
        <v>2.3908025954796887E-2</v>
      </c>
    </row>
    <row r="412" spans="2:5" x14ac:dyDescent="0.3">
      <c r="B412" s="4">
        <v>42230</v>
      </c>
      <c r="C412" s="7">
        <v>823.19</v>
      </c>
      <c r="D412" s="6">
        <f t="shared" si="9"/>
        <v>48.233851674641151</v>
      </c>
      <c r="E412" s="6">
        <v>2.3906364665348241E-2</v>
      </c>
    </row>
    <row r="413" spans="2:5" x14ac:dyDescent="0.3">
      <c r="B413" s="4">
        <v>37637</v>
      </c>
      <c r="C413" s="7">
        <v>16.72</v>
      </c>
      <c r="D413" s="6">
        <f t="shared" si="9"/>
        <v>-0.99263501013126609</v>
      </c>
      <c r="E413" s="6">
        <v>2.388242498469079E-2</v>
      </c>
    </row>
    <row r="414" spans="2:5" x14ac:dyDescent="0.3">
      <c r="B414" s="4">
        <v>46106</v>
      </c>
      <c r="C414" s="5">
        <v>2270.1999999999998</v>
      </c>
      <c r="D414" s="6">
        <f t="shared" si="9"/>
        <v>7.7811859358681783</v>
      </c>
      <c r="E414" s="6">
        <v>2.3857845126956042E-2</v>
      </c>
    </row>
    <row r="415" spans="2:5" x14ac:dyDescent="0.3">
      <c r="B415" s="4">
        <v>40935</v>
      </c>
      <c r="C415" s="7">
        <v>258.52999999999997</v>
      </c>
      <c r="D415" s="6">
        <f t="shared" si="9"/>
        <v>2.5610192837465564</v>
      </c>
      <c r="E415" s="6">
        <v>2.3840639974654399E-2</v>
      </c>
    </row>
    <row r="416" spans="2:5" x14ac:dyDescent="0.3">
      <c r="B416" s="4">
        <v>39248</v>
      </c>
      <c r="C416" s="7">
        <v>72.599999999999994</v>
      </c>
      <c r="D416" s="6">
        <f t="shared" si="9"/>
        <v>-0.97818568608421053</v>
      </c>
      <c r="E416" s="6">
        <v>2.3833027781695076E-2</v>
      </c>
    </row>
    <row r="417" spans="2:5" x14ac:dyDescent="0.3">
      <c r="B417" s="4">
        <v>44826</v>
      </c>
      <c r="C417" s="5">
        <v>3328.09</v>
      </c>
      <c r="D417" s="6">
        <f t="shared" si="9"/>
        <v>127.94575745834949</v>
      </c>
      <c r="E417" s="6">
        <v>2.3822927722147894E-2</v>
      </c>
    </row>
    <row r="418" spans="2:5" x14ac:dyDescent="0.3">
      <c r="B418" s="4">
        <v>37994</v>
      </c>
      <c r="C418" s="7">
        <v>25.81</v>
      </c>
      <c r="D418" s="6">
        <f t="shared" si="9"/>
        <v>-0.98057602143335565</v>
      </c>
      <c r="E418" s="6">
        <v>2.3800079333597693E-2</v>
      </c>
    </row>
    <row r="419" spans="2:5" x14ac:dyDescent="0.3">
      <c r="B419" s="4">
        <v>43616</v>
      </c>
      <c r="C419" s="5">
        <v>1328.77</v>
      </c>
      <c r="D419" s="6">
        <f t="shared" si="9"/>
        <v>-0.55564584629172609</v>
      </c>
      <c r="E419" s="6">
        <v>2.3792463151730794E-2</v>
      </c>
    </row>
    <row r="420" spans="2:5" x14ac:dyDescent="0.3">
      <c r="B420" s="4">
        <v>44438</v>
      </c>
      <c r="C420" s="5">
        <v>2990.34</v>
      </c>
      <c r="D420" s="6">
        <f t="shared" si="9"/>
        <v>1.6604921795761491</v>
      </c>
      <c r="E420" s="6">
        <v>2.3692885972209397E-2</v>
      </c>
    </row>
    <row r="421" spans="2:5" x14ac:dyDescent="0.3">
      <c r="B421" s="4">
        <v>42653</v>
      </c>
      <c r="C421" s="5">
        <v>1123.98</v>
      </c>
      <c r="D421" s="6">
        <f t="shared" si="9"/>
        <v>15.531548757170173</v>
      </c>
      <c r="E421" s="6">
        <v>2.3679848448969927E-2</v>
      </c>
    </row>
    <row r="422" spans="2:5" x14ac:dyDescent="0.3">
      <c r="B422" s="4">
        <v>39902</v>
      </c>
      <c r="C422" s="7">
        <v>67.989999999999995</v>
      </c>
      <c r="D422" s="6">
        <f t="shared" si="9"/>
        <v>1.8483452031839125</v>
      </c>
      <c r="E422" s="6">
        <v>2.3637458596808086E-2</v>
      </c>
    </row>
    <row r="423" spans="2:5" x14ac:dyDescent="0.3">
      <c r="B423" s="4">
        <v>38098</v>
      </c>
      <c r="C423" s="7">
        <v>23.87</v>
      </c>
      <c r="D423" s="6">
        <f t="shared" si="9"/>
        <v>-0.94284277572913178</v>
      </c>
      <c r="E423" s="6">
        <v>2.3584905660377388E-2</v>
      </c>
    </row>
    <row r="424" spans="2:5" x14ac:dyDescent="0.3">
      <c r="B424" s="4">
        <v>41376</v>
      </c>
      <c r="C424" s="7">
        <v>417.62</v>
      </c>
      <c r="D424" s="6">
        <f t="shared" si="9"/>
        <v>0.60081263416130026</v>
      </c>
      <c r="E424" s="6">
        <v>2.3553344280777468E-2</v>
      </c>
    </row>
    <row r="425" spans="2:5" x14ac:dyDescent="0.3">
      <c r="B425" s="4">
        <v>40872</v>
      </c>
      <c r="C425" s="7">
        <v>260.88</v>
      </c>
      <c r="D425" s="6">
        <f t="shared" si="9"/>
        <v>-0.87115000889029381</v>
      </c>
      <c r="E425" s="6">
        <v>2.3460180462926597E-2</v>
      </c>
    </row>
    <row r="426" spans="2:5" x14ac:dyDescent="0.3">
      <c r="B426" s="4">
        <v>44124</v>
      </c>
      <c r="C426" s="5">
        <v>2024.68</v>
      </c>
      <c r="D426" s="6">
        <f t="shared" si="9"/>
        <v>10.280182739985515</v>
      </c>
      <c r="E426" s="6">
        <v>2.3382294962646957E-2</v>
      </c>
    </row>
    <row r="427" spans="2:5" x14ac:dyDescent="0.3">
      <c r="B427" s="4">
        <v>40322</v>
      </c>
      <c r="C427" s="7">
        <v>179.49</v>
      </c>
      <c r="D427" s="6">
        <f t="shared" si="9"/>
        <v>-0.25824448301512515</v>
      </c>
      <c r="E427" s="6">
        <v>2.3376475283653702E-2</v>
      </c>
    </row>
    <row r="428" spans="2:5" x14ac:dyDescent="0.3">
      <c r="B428" s="4">
        <v>40410</v>
      </c>
      <c r="C428" s="7">
        <v>241.98</v>
      </c>
      <c r="D428" s="6">
        <f t="shared" si="9"/>
        <v>-0.69291878172588828</v>
      </c>
      <c r="E428" s="6">
        <v>2.3344328850545468E-2</v>
      </c>
    </row>
    <row r="429" spans="2:5" x14ac:dyDescent="0.3">
      <c r="B429" s="4">
        <v>42419</v>
      </c>
      <c r="C429" s="7">
        <v>788</v>
      </c>
      <c r="D429" s="6">
        <f t="shared" si="9"/>
        <v>-0.71921622844681676</v>
      </c>
      <c r="E429" s="6">
        <v>2.3296885956938494E-2</v>
      </c>
    </row>
    <row r="430" spans="2:5" x14ac:dyDescent="0.3">
      <c r="B430" s="4">
        <v>45001</v>
      </c>
      <c r="C430" s="5">
        <v>2806.43</v>
      </c>
      <c r="D430" s="6">
        <f t="shared" si="9"/>
        <v>1.995762169086251</v>
      </c>
      <c r="E430" s="6">
        <v>2.3288460416545087E-2</v>
      </c>
    </row>
    <row r="431" spans="2:5" x14ac:dyDescent="0.3">
      <c r="B431" s="4">
        <v>42559</v>
      </c>
      <c r="C431" s="7">
        <v>936.8</v>
      </c>
      <c r="D431" s="6">
        <f t="shared" si="9"/>
        <v>0.58782352243258351</v>
      </c>
      <c r="E431" s="6">
        <v>2.3288329619434542E-2</v>
      </c>
    </row>
    <row r="432" spans="2:5" x14ac:dyDescent="0.3">
      <c r="B432" s="4">
        <v>41887</v>
      </c>
      <c r="C432" s="7">
        <v>589.99</v>
      </c>
      <c r="D432" s="6">
        <f t="shared" si="9"/>
        <v>-0.77162001571590599</v>
      </c>
      <c r="E432" s="6">
        <v>2.3240083941795688E-2</v>
      </c>
    </row>
    <row r="433" spans="2:5" x14ac:dyDescent="0.3">
      <c r="B433" s="4">
        <v>45887</v>
      </c>
      <c r="C433" s="5">
        <v>2583.37</v>
      </c>
      <c r="D433" s="6">
        <f t="shared" si="9"/>
        <v>-0.21397840956113234</v>
      </c>
      <c r="E433" s="6">
        <v>2.321408767566013E-2</v>
      </c>
    </row>
    <row r="434" spans="2:5" x14ac:dyDescent="0.3">
      <c r="B434" s="4">
        <v>44824</v>
      </c>
      <c r="C434" s="5">
        <v>3286.64</v>
      </c>
      <c r="D434" s="6">
        <f t="shared" si="9"/>
        <v>4.3654172652474861</v>
      </c>
      <c r="E434" s="6">
        <v>2.3206002303788789E-2</v>
      </c>
    </row>
    <row r="435" spans="2:5" x14ac:dyDescent="0.3">
      <c r="B435" s="4">
        <v>41894</v>
      </c>
      <c r="C435" s="7">
        <v>612.55999999999995</v>
      </c>
      <c r="D435" s="6">
        <f t="shared" si="9"/>
        <v>-0.18512211993827499</v>
      </c>
      <c r="E435" s="6">
        <v>2.3150158677133621E-2</v>
      </c>
    </row>
    <row r="436" spans="2:5" x14ac:dyDescent="0.3">
      <c r="B436" s="4">
        <v>42045</v>
      </c>
      <c r="C436" s="7">
        <v>751.72</v>
      </c>
      <c r="D436" s="6">
        <f t="shared" si="9"/>
        <v>-0.12214034636988932</v>
      </c>
      <c r="E436" s="6">
        <v>2.3082367031411668E-2</v>
      </c>
    </row>
    <row r="437" spans="2:5" x14ac:dyDescent="0.3">
      <c r="B437" s="4">
        <v>42502</v>
      </c>
      <c r="C437" s="7">
        <v>856.31</v>
      </c>
      <c r="D437" s="6">
        <f t="shared" si="9"/>
        <v>6.1651744623880838</v>
      </c>
      <c r="E437" s="6">
        <v>2.3070489844683326E-2</v>
      </c>
    </row>
    <row r="438" spans="2:5" x14ac:dyDescent="0.3">
      <c r="B438" s="4">
        <v>40022</v>
      </c>
      <c r="C438" s="7">
        <v>119.51</v>
      </c>
      <c r="D438" s="6">
        <f t="shared" si="9"/>
        <v>-0.89211075100883808</v>
      </c>
      <c r="E438" s="6">
        <v>2.3026878959082453E-2</v>
      </c>
    </row>
    <row r="439" spans="2:5" x14ac:dyDescent="0.3">
      <c r="B439" s="4">
        <v>43054</v>
      </c>
      <c r="C439" s="5">
        <v>1107.71</v>
      </c>
      <c r="D439" s="6">
        <f t="shared" si="9"/>
        <v>0.39835889667360991</v>
      </c>
      <c r="E439" s="6">
        <v>2.2948488262564078E-2</v>
      </c>
    </row>
    <row r="440" spans="2:5" x14ac:dyDescent="0.3">
      <c r="B440" s="4">
        <v>42348</v>
      </c>
      <c r="C440" s="7">
        <v>792.15</v>
      </c>
      <c r="D440" s="6">
        <f t="shared" si="9"/>
        <v>6.8703427719821155</v>
      </c>
      <c r="E440" s="6">
        <v>2.2868136976395746E-2</v>
      </c>
    </row>
    <row r="441" spans="2:5" x14ac:dyDescent="0.3">
      <c r="B441" s="4">
        <v>39975</v>
      </c>
      <c r="C441" s="7">
        <v>100.65</v>
      </c>
      <c r="D441" s="6">
        <f t="shared" si="9"/>
        <v>-0.86665871785700099</v>
      </c>
      <c r="E441" s="6">
        <v>2.2865853658536585E-2</v>
      </c>
    </row>
    <row r="442" spans="2:5" x14ac:dyDescent="0.3">
      <c r="B442" s="4">
        <v>42065</v>
      </c>
      <c r="C442" s="7">
        <v>754.83</v>
      </c>
      <c r="D442" s="6">
        <f t="shared" si="9"/>
        <v>-0.39089280526774473</v>
      </c>
      <c r="E442" s="6">
        <v>2.2860317632392005E-2</v>
      </c>
    </row>
    <row r="443" spans="2:5" x14ac:dyDescent="0.3">
      <c r="B443" s="4">
        <v>43248</v>
      </c>
      <c r="C443" s="5">
        <v>1239.24</v>
      </c>
      <c r="D443" s="6">
        <f t="shared" si="9"/>
        <v>1.6696826730433658</v>
      </c>
      <c r="E443" s="6">
        <v>2.2829693458129123E-2</v>
      </c>
    </row>
    <row r="444" spans="2:5" x14ac:dyDescent="0.3">
      <c r="B444" s="4">
        <v>41717</v>
      </c>
      <c r="C444" s="7">
        <v>464.19</v>
      </c>
      <c r="D444" s="6">
        <f t="shared" si="9"/>
        <v>4.5644929273555501</v>
      </c>
      <c r="E444" s="6">
        <v>2.2827931163651619E-2</v>
      </c>
    </row>
    <row r="445" spans="2:5" x14ac:dyDescent="0.3">
      <c r="B445" s="4">
        <v>39757</v>
      </c>
      <c r="C445" s="7">
        <v>83.42</v>
      </c>
      <c r="D445" s="6">
        <f t="shared" si="9"/>
        <v>1.0421052631578946</v>
      </c>
      <c r="E445" s="6">
        <v>2.280529671407552E-2</v>
      </c>
    </row>
    <row r="446" spans="2:5" x14ac:dyDescent="0.3">
      <c r="B446" s="4">
        <v>38622</v>
      </c>
      <c r="C446" s="7">
        <v>40.85</v>
      </c>
      <c r="D446" s="6">
        <f t="shared" si="9"/>
        <v>-0.92453353038980224</v>
      </c>
      <c r="E446" s="6">
        <v>2.2784176264396688E-2</v>
      </c>
    </row>
    <row r="447" spans="2:5" x14ac:dyDescent="0.3">
      <c r="B447" s="4">
        <v>41841</v>
      </c>
      <c r="C447" s="7">
        <v>541.29999999999995</v>
      </c>
      <c r="D447" s="6">
        <f t="shared" si="9"/>
        <v>0.28416208009109883</v>
      </c>
      <c r="E447" s="6">
        <v>2.2729419766848627E-2</v>
      </c>
    </row>
    <row r="448" spans="2:5" x14ac:dyDescent="0.3">
      <c r="B448" s="4">
        <v>41460</v>
      </c>
      <c r="C448" s="7">
        <v>421.52</v>
      </c>
      <c r="D448" s="6">
        <f t="shared" si="9"/>
        <v>-0.27973617210327567</v>
      </c>
      <c r="E448" s="6">
        <v>2.2684814518281207E-2</v>
      </c>
    </row>
    <row r="449" spans="2:5" x14ac:dyDescent="0.3">
      <c r="B449" s="4">
        <v>41929</v>
      </c>
      <c r="C449" s="7">
        <v>585.23</v>
      </c>
      <c r="D449" s="6">
        <f t="shared" si="9"/>
        <v>1.1419735012078178</v>
      </c>
      <c r="E449" s="6">
        <v>2.2682394058540879E-2</v>
      </c>
    </row>
    <row r="450" spans="2:5" x14ac:dyDescent="0.3">
      <c r="B450" s="4">
        <v>40759</v>
      </c>
      <c r="C450" s="7">
        <v>273.22000000000003</v>
      </c>
      <c r="D450" s="6">
        <f t="shared" si="9"/>
        <v>-0.87996713835718143</v>
      </c>
      <c r="E450" s="6">
        <v>2.264475801923873E-2</v>
      </c>
    </row>
    <row r="451" spans="2:5" x14ac:dyDescent="0.3">
      <c r="B451" s="4">
        <v>45688</v>
      </c>
      <c r="C451" s="5">
        <v>2276.21</v>
      </c>
      <c r="D451" s="6">
        <f t="shared" si="9"/>
        <v>4.0744827893704301</v>
      </c>
      <c r="E451" s="6">
        <v>2.2643442162628476E-2</v>
      </c>
    </row>
    <row r="452" spans="2:5" x14ac:dyDescent="0.3">
      <c r="B452" s="4">
        <v>41348</v>
      </c>
      <c r="C452" s="7">
        <v>448.56</v>
      </c>
      <c r="D452" s="6">
        <f t="shared" si="9"/>
        <v>-0.63171506687356838</v>
      </c>
      <c r="E452" s="6">
        <v>2.263867040558103E-2</v>
      </c>
    </row>
    <row r="453" spans="2:5" x14ac:dyDescent="0.3">
      <c r="B453" s="4">
        <v>43283</v>
      </c>
      <c r="C453" s="5">
        <v>1217.97</v>
      </c>
      <c r="D453" s="6">
        <f t="shared" si="9"/>
        <v>-0.60213051616507085</v>
      </c>
      <c r="E453" s="6">
        <v>2.2619077605098153E-2</v>
      </c>
    </row>
    <row r="454" spans="2:5" x14ac:dyDescent="0.3">
      <c r="B454" s="4">
        <v>44539</v>
      </c>
      <c r="C454" s="5">
        <v>3061.23</v>
      </c>
      <c r="D454" s="6">
        <f t="shared" si="9"/>
        <v>0.2924107708285838</v>
      </c>
      <c r="E454" s="6">
        <v>2.2581280919819719E-2</v>
      </c>
    </row>
    <row r="455" spans="2:5" x14ac:dyDescent="0.3">
      <c r="B455" s="4">
        <v>45755</v>
      </c>
      <c r="C455" s="5">
        <v>2368.62</v>
      </c>
      <c r="D455" s="6">
        <f t="shared" si="9"/>
        <v>-0.12620263251091959</v>
      </c>
      <c r="E455" s="6">
        <v>2.2574503632902032E-2</v>
      </c>
    </row>
    <row r="456" spans="2:5" x14ac:dyDescent="0.3">
      <c r="B456" s="4">
        <v>45422</v>
      </c>
      <c r="C456" s="5">
        <v>2710.72</v>
      </c>
      <c r="D456" s="6">
        <f t="shared" ref="D456:D519" si="10">((C456-C457)/C457)</f>
        <v>2.5264609460373628</v>
      </c>
      <c r="E456" s="6">
        <v>2.2565921007959452E-2</v>
      </c>
    </row>
    <row r="457" spans="2:5" x14ac:dyDescent="0.3">
      <c r="B457" s="4">
        <v>42046</v>
      </c>
      <c r="C457" s="7">
        <v>768.68</v>
      </c>
      <c r="D457" s="6">
        <f t="shared" si="10"/>
        <v>10.377738306690347</v>
      </c>
      <c r="E457" s="6">
        <v>2.2561592082158147E-2</v>
      </c>
    </row>
    <row r="458" spans="2:5" x14ac:dyDescent="0.3">
      <c r="B458" s="4">
        <v>39205</v>
      </c>
      <c r="C458" s="7">
        <v>67.56</v>
      </c>
      <c r="D458" s="6">
        <f t="shared" si="10"/>
        <v>-0.91863769931114203</v>
      </c>
      <c r="E458" s="6">
        <v>2.2551838958680327E-2</v>
      </c>
    </row>
    <row r="459" spans="2:5" x14ac:dyDescent="0.3">
      <c r="B459" s="4">
        <v>42374</v>
      </c>
      <c r="C459" s="7">
        <v>830.36</v>
      </c>
      <c r="D459" s="6">
        <f t="shared" si="10"/>
        <v>-0.16324720867427142</v>
      </c>
      <c r="E459" s="6">
        <v>2.2535280644287455E-2</v>
      </c>
    </row>
    <row r="460" spans="2:5" x14ac:dyDescent="0.3">
      <c r="B460" s="4">
        <v>42576</v>
      </c>
      <c r="C460" s="7">
        <v>992.36</v>
      </c>
      <c r="D460" s="6">
        <f t="shared" si="10"/>
        <v>2.9672183577196773</v>
      </c>
      <c r="E460" s="6">
        <v>2.2535008088697468E-2</v>
      </c>
    </row>
    <row r="461" spans="2:5" x14ac:dyDescent="0.3">
      <c r="B461" s="4">
        <v>40435</v>
      </c>
      <c r="C461" s="7">
        <v>250.14</v>
      </c>
      <c r="D461" s="6">
        <f t="shared" si="10"/>
        <v>-0.77419296598541198</v>
      </c>
      <c r="E461" s="6">
        <v>2.2482014388489211E-2</v>
      </c>
    </row>
    <row r="462" spans="2:5" x14ac:dyDescent="0.3">
      <c r="B462" s="4">
        <v>43217</v>
      </c>
      <c r="C462" s="5">
        <v>1107.76</v>
      </c>
      <c r="D462" s="6">
        <f t="shared" si="10"/>
        <v>19.74068526493166</v>
      </c>
      <c r="E462" s="6">
        <v>2.2418710255013949E-2</v>
      </c>
    </row>
    <row r="463" spans="2:5" x14ac:dyDescent="0.3">
      <c r="B463" s="4">
        <v>38940</v>
      </c>
      <c r="C463" s="7">
        <v>53.41</v>
      </c>
      <c r="D463" s="6">
        <f t="shared" si="10"/>
        <v>-0.98352311114264657</v>
      </c>
      <c r="E463" s="6">
        <v>2.2396630934149973E-2</v>
      </c>
    </row>
    <row r="464" spans="2:5" x14ac:dyDescent="0.3">
      <c r="B464" s="4">
        <v>45275</v>
      </c>
      <c r="C464" s="5">
        <v>3241.51</v>
      </c>
      <c r="D464" s="6">
        <f t="shared" si="10"/>
        <v>0.30321390090539213</v>
      </c>
      <c r="E464" s="6">
        <v>2.2380974909715991E-2</v>
      </c>
    </row>
    <row r="465" spans="2:5" x14ac:dyDescent="0.3">
      <c r="B465" s="4">
        <v>45875</v>
      </c>
      <c r="C465" s="5">
        <v>2487.3200000000002</v>
      </c>
      <c r="D465" s="6">
        <f t="shared" si="10"/>
        <v>8.8157853196527238</v>
      </c>
      <c r="E465" s="6">
        <v>2.2326346074804836E-2</v>
      </c>
    </row>
    <row r="466" spans="2:5" x14ac:dyDescent="0.3">
      <c r="B466" s="4">
        <v>40879</v>
      </c>
      <c r="C466" s="7">
        <v>253.4</v>
      </c>
      <c r="D466" s="6">
        <f t="shared" si="10"/>
        <v>-0.77371363254808811</v>
      </c>
      <c r="E466" s="6">
        <v>2.2310081897768997E-2</v>
      </c>
    </row>
    <row r="467" spans="2:5" x14ac:dyDescent="0.3">
      <c r="B467" s="4">
        <v>43025</v>
      </c>
      <c r="C467" s="5">
        <v>1119.82</v>
      </c>
      <c r="D467" s="6">
        <f t="shared" si="10"/>
        <v>5.4350074704056999</v>
      </c>
      <c r="E467" s="6">
        <v>2.229322621873274E-2</v>
      </c>
    </row>
    <row r="468" spans="2:5" x14ac:dyDescent="0.3">
      <c r="B468" s="4">
        <v>40263</v>
      </c>
      <c r="C468" s="7">
        <v>174.02</v>
      </c>
      <c r="D468" s="6">
        <f t="shared" si="10"/>
        <v>1.7460943664194415</v>
      </c>
      <c r="E468" s="6">
        <v>2.2263995770428365E-2</v>
      </c>
    </row>
    <row r="469" spans="2:5" x14ac:dyDescent="0.3">
      <c r="B469" s="4">
        <v>39889</v>
      </c>
      <c r="C469" s="7">
        <v>63.37</v>
      </c>
      <c r="D469" s="6">
        <f t="shared" si="10"/>
        <v>-0.3705175325320354</v>
      </c>
      <c r="E469" s="6">
        <v>2.226165510566213E-2</v>
      </c>
    </row>
    <row r="470" spans="2:5" x14ac:dyDescent="0.3">
      <c r="B470" s="4">
        <v>39482</v>
      </c>
      <c r="C470" s="7">
        <v>100.67</v>
      </c>
      <c r="D470" s="6">
        <f t="shared" si="10"/>
        <v>-0.85872661698873132</v>
      </c>
      <c r="E470" s="6">
        <v>2.2238017871649043E-2</v>
      </c>
    </row>
    <row r="471" spans="2:5" x14ac:dyDescent="0.3">
      <c r="B471" s="4">
        <v>42128</v>
      </c>
      <c r="C471" s="7">
        <v>712.59</v>
      </c>
      <c r="D471" s="6">
        <f t="shared" si="10"/>
        <v>-0.56566604699356959</v>
      </c>
      <c r="E471" s="6">
        <v>2.2235292429958829E-2</v>
      </c>
    </row>
    <row r="472" spans="2:5" x14ac:dyDescent="0.3">
      <c r="B472" s="4">
        <v>43936</v>
      </c>
      <c r="C472" s="5">
        <v>1640.65</v>
      </c>
      <c r="D472" s="6">
        <f t="shared" si="10"/>
        <v>0.72396944318934098</v>
      </c>
      <c r="E472" s="6">
        <v>2.2218206967021651E-2</v>
      </c>
    </row>
    <row r="473" spans="2:5" x14ac:dyDescent="0.3">
      <c r="B473" s="4">
        <v>42794</v>
      </c>
      <c r="C473" s="7">
        <v>951.67</v>
      </c>
      <c r="D473" s="6">
        <f t="shared" si="10"/>
        <v>1.2431820860341778</v>
      </c>
      <c r="E473" s="6">
        <v>2.2212913135479382E-2</v>
      </c>
    </row>
    <row r="474" spans="2:5" x14ac:dyDescent="0.3">
      <c r="B474" s="4">
        <v>41556</v>
      </c>
      <c r="C474" s="7">
        <v>424.25</v>
      </c>
      <c r="D474" s="6">
        <f t="shared" si="10"/>
        <v>-0.49021893249381177</v>
      </c>
      <c r="E474" s="6">
        <v>2.2190632228218918E-2</v>
      </c>
    </row>
    <row r="475" spans="2:5" x14ac:dyDescent="0.3">
      <c r="B475" s="4">
        <v>42032</v>
      </c>
      <c r="C475" s="7">
        <v>832.22</v>
      </c>
      <c r="D475" s="6">
        <f t="shared" si="10"/>
        <v>-0.31228876236437414</v>
      </c>
      <c r="E475" s="6">
        <v>2.2182372015328754E-2</v>
      </c>
    </row>
    <row r="476" spans="2:5" x14ac:dyDescent="0.3">
      <c r="B476" s="4">
        <v>43258</v>
      </c>
      <c r="C476" s="5">
        <v>1210.1300000000001</v>
      </c>
      <c r="D476" s="6">
        <f t="shared" si="10"/>
        <v>62.994182971972499</v>
      </c>
      <c r="E476" s="6">
        <v>2.2172855356961851E-2</v>
      </c>
    </row>
    <row r="477" spans="2:5" x14ac:dyDescent="0.3">
      <c r="B477" s="4">
        <v>37767</v>
      </c>
      <c r="C477" s="7">
        <v>18.91</v>
      </c>
      <c r="D477" s="6">
        <f t="shared" si="10"/>
        <v>-0.9853738523772323</v>
      </c>
      <c r="E477" s="6">
        <v>2.2162162162162168E-2</v>
      </c>
    </row>
    <row r="478" spans="2:5" x14ac:dyDescent="0.3">
      <c r="B478" s="4">
        <v>43658</v>
      </c>
      <c r="C478" s="5">
        <v>1292.8900000000001</v>
      </c>
      <c r="D478" s="6">
        <f t="shared" si="10"/>
        <v>2.1085064435468359</v>
      </c>
      <c r="E478" s="6">
        <v>2.2144393144013653E-2</v>
      </c>
    </row>
    <row r="479" spans="2:5" x14ac:dyDescent="0.3">
      <c r="B479" s="4">
        <v>41309</v>
      </c>
      <c r="C479" s="7">
        <v>415.92</v>
      </c>
      <c r="D479" s="6">
        <f t="shared" si="10"/>
        <v>-0.58841400057395621</v>
      </c>
      <c r="E479" s="6">
        <v>2.2117369507519906E-2</v>
      </c>
    </row>
    <row r="480" spans="2:5" x14ac:dyDescent="0.3">
      <c r="B480" s="4">
        <v>42810</v>
      </c>
      <c r="C480" s="5">
        <v>1010.53</v>
      </c>
      <c r="D480" s="6">
        <f t="shared" si="10"/>
        <v>1.3038323872056174</v>
      </c>
      <c r="E480" s="6">
        <v>2.208983604567652E-2</v>
      </c>
    </row>
    <row r="481" spans="2:5" x14ac:dyDescent="0.3">
      <c r="B481" s="4">
        <v>41347</v>
      </c>
      <c r="C481" s="7">
        <v>438.63</v>
      </c>
      <c r="D481" s="6">
        <f t="shared" si="10"/>
        <v>-0.8681117455506544</v>
      </c>
      <c r="E481" s="6">
        <v>2.2066362195917535E-2</v>
      </c>
    </row>
    <row r="482" spans="2:5" x14ac:dyDescent="0.3">
      <c r="B482" s="4">
        <v>45546</v>
      </c>
      <c r="C482" s="5">
        <v>3325.77</v>
      </c>
      <c r="D482" s="6">
        <f t="shared" si="10"/>
        <v>0.31361458584310581</v>
      </c>
      <c r="E482" s="6">
        <v>2.197427372121458E-2</v>
      </c>
    </row>
    <row r="483" spans="2:5" x14ac:dyDescent="0.3">
      <c r="B483" s="4">
        <v>44215</v>
      </c>
      <c r="C483" s="5">
        <v>2531.77</v>
      </c>
      <c r="D483" s="6">
        <f t="shared" si="10"/>
        <v>8.8451137775523006E-2</v>
      </c>
      <c r="E483" s="6">
        <v>2.1967021212182403E-2</v>
      </c>
    </row>
    <row r="484" spans="2:5" x14ac:dyDescent="0.3">
      <c r="B484" s="4">
        <v>45689</v>
      </c>
      <c r="C484" s="5">
        <v>2326.0300000000002</v>
      </c>
      <c r="D484" s="6">
        <f t="shared" si="10"/>
        <v>1.1518585675430644</v>
      </c>
      <c r="E484" s="6">
        <v>2.1887259962833028E-2</v>
      </c>
    </row>
    <row r="485" spans="2:5" x14ac:dyDescent="0.3">
      <c r="B485" s="4">
        <v>43132</v>
      </c>
      <c r="C485" s="5">
        <v>1080.94</v>
      </c>
      <c r="D485" s="6">
        <f t="shared" si="10"/>
        <v>4.2608166642332215</v>
      </c>
      <c r="E485" s="6">
        <v>2.1885251325877625E-2</v>
      </c>
    </row>
    <row r="486" spans="2:5" x14ac:dyDescent="0.3">
      <c r="B486" s="4">
        <v>40346</v>
      </c>
      <c r="C486" s="7">
        <v>205.47</v>
      </c>
      <c r="D486" s="6">
        <f t="shared" si="10"/>
        <v>-0.261430625449317</v>
      </c>
      <c r="E486" s="6">
        <v>2.1882926344059313E-2</v>
      </c>
    </row>
    <row r="487" spans="2:5" x14ac:dyDescent="0.3">
      <c r="B487" s="4">
        <v>40764</v>
      </c>
      <c r="C487" s="7">
        <v>278.2</v>
      </c>
      <c r="D487" s="6">
        <f t="shared" si="10"/>
        <v>1.3025989074656514</v>
      </c>
      <c r="E487" s="6">
        <v>2.1854912764003632E-2</v>
      </c>
    </row>
    <row r="488" spans="2:5" x14ac:dyDescent="0.3">
      <c r="B488" s="4">
        <v>40053</v>
      </c>
      <c r="C488" s="7">
        <v>120.82</v>
      </c>
      <c r="D488" s="6">
        <f t="shared" si="10"/>
        <v>-0.52667868056099665</v>
      </c>
      <c r="E488" s="6">
        <v>2.1820027063599444E-2</v>
      </c>
    </row>
    <row r="489" spans="2:5" x14ac:dyDescent="0.3">
      <c r="B489" s="4">
        <v>40683</v>
      </c>
      <c r="C489" s="7">
        <v>255.26</v>
      </c>
      <c r="D489" s="6">
        <f t="shared" si="10"/>
        <v>1.9404446492339591</v>
      </c>
      <c r="E489" s="6">
        <v>2.1816580601256911E-2</v>
      </c>
    </row>
    <row r="490" spans="2:5" x14ac:dyDescent="0.3">
      <c r="B490" s="4">
        <v>39384</v>
      </c>
      <c r="C490" s="7">
        <v>86.81</v>
      </c>
      <c r="D490" s="6">
        <f t="shared" si="10"/>
        <v>-0.96488055504986148</v>
      </c>
      <c r="E490" s="6">
        <v>2.1774952919020818E-2</v>
      </c>
    </row>
    <row r="491" spans="2:5" x14ac:dyDescent="0.3">
      <c r="B491" s="4">
        <v>44181</v>
      </c>
      <c r="C491" s="5">
        <v>2471.85</v>
      </c>
      <c r="D491" s="6">
        <f t="shared" si="10"/>
        <v>-9.5342487812733384E-2</v>
      </c>
      <c r="E491" s="6">
        <v>2.1763392857142898E-2</v>
      </c>
    </row>
    <row r="492" spans="2:5" x14ac:dyDescent="0.3">
      <c r="B492" s="4">
        <v>44739</v>
      </c>
      <c r="C492" s="5">
        <v>2732.36</v>
      </c>
      <c r="D492" s="6">
        <f t="shared" si="10"/>
        <v>30.273434817443061</v>
      </c>
      <c r="E492" s="6">
        <v>2.175238109483622E-2</v>
      </c>
    </row>
    <row r="493" spans="2:5" x14ac:dyDescent="0.3">
      <c r="B493" s="4">
        <v>39953</v>
      </c>
      <c r="C493" s="7">
        <v>87.37</v>
      </c>
      <c r="D493" s="6">
        <f t="shared" si="10"/>
        <v>-0.79128544468598461</v>
      </c>
      <c r="E493" s="6">
        <v>2.1751841889837437E-2</v>
      </c>
    </row>
    <row r="494" spans="2:5" x14ac:dyDescent="0.3">
      <c r="B494" s="4">
        <v>41453</v>
      </c>
      <c r="C494" s="7">
        <v>418.61</v>
      </c>
      <c r="D494" s="6">
        <f t="shared" si="10"/>
        <v>0.15265578103918273</v>
      </c>
      <c r="E494" s="6">
        <v>2.16977448013277E-2</v>
      </c>
    </row>
    <row r="495" spans="2:5" x14ac:dyDescent="0.3">
      <c r="B495" s="4">
        <v>41236</v>
      </c>
      <c r="C495" s="7">
        <v>363.17</v>
      </c>
      <c r="D495" s="6">
        <f t="shared" si="10"/>
        <v>1.3219103637874818</v>
      </c>
      <c r="E495" s="6">
        <v>2.1690204242390244E-2</v>
      </c>
    </row>
    <row r="496" spans="2:5" x14ac:dyDescent="0.3">
      <c r="B496" s="4">
        <v>40206</v>
      </c>
      <c r="C496" s="7">
        <v>156.41</v>
      </c>
      <c r="D496" s="6">
        <f t="shared" si="10"/>
        <v>-0.94877647798577369</v>
      </c>
      <c r="E496" s="6">
        <v>2.1686589587824111E-2</v>
      </c>
    </row>
    <row r="497" spans="2:5" x14ac:dyDescent="0.3">
      <c r="B497" s="4">
        <v>44503</v>
      </c>
      <c r="C497" s="5">
        <v>3053.48</v>
      </c>
      <c r="D497" s="6">
        <f t="shared" si="10"/>
        <v>6.0342094957266923</v>
      </c>
      <c r="E497" s="6">
        <v>2.1685231223253134E-2</v>
      </c>
    </row>
    <row r="498" spans="2:5" x14ac:dyDescent="0.3">
      <c r="B498" s="4">
        <v>41562</v>
      </c>
      <c r="C498" s="7">
        <v>434.09</v>
      </c>
      <c r="D498" s="6">
        <f t="shared" si="10"/>
        <v>0.78976663643110412</v>
      </c>
      <c r="E498" s="6">
        <v>2.1676708717755552E-2</v>
      </c>
    </row>
    <row r="499" spans="2:5" x14ac:dyDescent="0.3">
      <c r="B499" s="4">
        <v>40532</v>
      </c>
      <c r="C499" s="7">
        <v>242.54</v>
      </c>
      <c r="D499" s="6">
        <f t="shared" si="10"/>
        <v>3.8027722772277226</v>
      </c>
      <c r="E499" s="6">
        <v>2.165122156697551E-2</v>
      </c>
    </row>
    <row r="500" spans="2:5" x14ac:dyDescent="0.3">
      <c r="B500" s="4">
        <v>38854</v>
      </c>
      <c r="C500" s="7">
        <v>50.5</v>
      </c>
      <c r="D500" s="6">
        <f t="shared" si="10"/>
        <v>-0.96970533186159236</v>
      </c>
      <c r="E500" s="6">
        <v>2.1646773214646982E-2</v>
      </c>
    </row>
    <row r="501" spans="2:5" x14ac:dyDescent="0.3">
      <c r="B501" s="4">
        <v>44019</v>
      </c>
      <c r="C501" s="5">
        <v>1666.96</v>
      </c>
      <c r="D501" s="6">
        <f t="shared" si="10"/>
        <v>-0.49324667349649942</v>
      </c>
      <c r="E501" s="6">
        <v>2.1596842595543359E-2</v>
      </c>
    </row>
    <row r="502" spans="2:5" x14ac:dyDescent="0.3">
      <c r="B502" s="4">
        <v>44775</v>
      </c>
      <c r="C502" s="5">
        <v>3289.49</v>
      </c>
      <c r="D502" s="6">
        <f t="shared" si="10"/>
        <v>0.30701287349014605</v>
      </c>
      <c r="E502" s="6">
        <v>2.1536330718540161E-2</v>
      </c>
    </row>
    <row r="503" spans="2:5" x14ac:dyDescent="0.3">
      <c r="B503" s="4">
        <v>46132</v>
      </c>
      <c r="C503" s="5">
        <v>2516.8000000000002</v>
      </c>
      <c r="D503" s="6">
        <f t="shared" si="10"/>
        <v>9.2886109067124529</v>
      </c>
      <c r="E503" s="6">
        <v>2.1428571428571502E-2</v>
      </c>
    </row>
    <row r="504" spans="2:5" x14ac:dyDescent="0.3">
      <c r="B504" s="4">
        <v>40423</v>
      </c>
      <c r="C504" s="7">
        <v>244.62</v>
      </c>
      <c r="D504" s="6">
        <f t="shared" si="10"/>
        <v>-0.92786305126730662</v>
      </c>
      <c r="E504" s="6">
        <v>2.1420518602029294E-2</v>
      </c>
    </row>
    <row r="505" spans="2:5" x14ac:dyDescent="0.3">
      <c r="B505" s="4">
        <v>44789</v>
      </c>
      <c r="C505" s="5">
        <v>3391.05</v>
      </c>
      <c r="D505" s="6">
        <f t="shared" si="10"/>
        <v>6.4353017244085153E-2</v>
      </c>
      <c r="E505" s="6">
        <v>2.1339075959279672E-2</v>
      </c>
    </row>
    <row r="506" spans="2:5" x14ac:dyDescent="0.3">
      <c r="B506" s="4">
        <v>45090</v>
      </c>
      <c r="C506" s="5">
        <v>3186.02</v>
      </c>
      <c r="D506" s="6">
        <f t="shared" si="10"/>
        <v>13.928404085840128</v>
      </c>
      <c r="E506" s="6">
        <v>2.1317382161358159E-2</v>
      </c>
    </row>
    <row r="507" spans="2:5" x14ac:dyDescent="0.3">
      <c r="B507" s="4">
        <v>40353</v>
      </c>
      <c r="C507" s="7">
        <v>213.42</v>
      </c>
      <c r="D507" s="6">
        <f t="shared" si="10"/>
        <v>2.4923907707412862</v>
      </c>
      <c r="E507" s="6">
        <v>2.124605225380418E-2</v>
      </c>
    </row>
    <row r="508" spans="2:5" x14ac:dyDescent="0.3">
      <c r="B508" s="4">
        <v>39167</v>
      </c>
      <c r="C508" s="7">
        <v>61.11</v>
      </c>
      <c r="D508" s="6">
        <f t="shared" si="10"/>
        <v>-0.87479255024893965</v>
      </c>
      <c r="E508" s="6">
        <v>2.1223262032085494E-2</v>
      </c>
    </row>
    <row r="509" spans="2:5" x14ac:dyDescent="0.3">
      <c r="B509" s="4">
        <v>41578</v>
      </c>
      <c r="C509" s="7">
        <v>488.07</v>
      </c>
      <c r="D509" s="6">
        <f t="shared" si="10"/>
        <v>10.508370667295448</v>
      </c>
      <c r="E509" s="6">
        <v>2.119512909570238E-2</v>
      </c>
    </row>
    <row r="510" spans="2:5" x14ac:dyDescent="0.3">
      <c r="B510" s="4">
        <v>38681</v>
      </c>
      <c r="C510" s="7">
        <v>42.41</v>
      </c>
      <c r="D510" s="6">
        <f t="shared" si="10"/>
        <v>-0.94858895408039567</v>
      </c>
      <c r="E510" s="6">
        <v>2.118950156513353E-2</v>
      </c>
    </row>
    <row r="511" spans="2:5" x14ac:dyDescent="0.3">
      <c r="B511" s="4">
        <v>42439</v>
      </c>
      <c r="C511" s="7">
        <v>824.92</v>
      </c>
      <c r="D511" s="6">
        <f t="shared" si="10"/>
        <v>11.367616191904046</v>
      </c>
      <c r="E511" s="6">
        <v>2.1168081998464892E-2</v>
      </c>
    </row>
    <row r="512" spans="2:5" x14ac:dyDescent="0.3">
      <c r="B512" s="4">
        <v>39191</v>
      </c>
      <c r="C512" s="7">
        <v>66.7</v>
      </c>
      <c r="D512" s="6">
        <f t="shared" si="10"/>
        <v>-0.97238815547082968</v>
      </c>
      <c r="E512" s="6">
        <v>2.112676056338043E-2</v>
      </c>
    </row>
    <row r="513" spans="2:5" x14ac:dyDescent="0.3">
      <c r="B513" s="4">
        <v>45840</v>
      </c>
      <c r="C513" s="5">
        <v>2415.63</v>
      </c>
      <c r="D513" s="6">
        <f t="shared" si="10"/>
        <v>3.0167445418114704</v>
      </c>
      <c r="E513" s="6">
        <v>2.1058326746442091E-2</v>
      </c>
    </row>
    <row r="514" spans="2:5" x14ac:dyDescent="0.3">
      <c r="B514" s="4">
        <v>41900</v>
      </c>
      <c r="C514" s="7">
        <v>601.39</v>
      </c>
      <c r="D514" s="6">
        <f t="shared" si="10"/>
        <v>4.5560790835181075</v>
      </c>
      <c r="E514" s="6">
        <v>2.1052989015093598E-2</v>
      </c>
    </row>
    <row r="515" spans="2:5" x14ac:dyDescent="0.3">
      <c r="B515" s="4">
        <v>39598</v>
      </c>
      <c r="C515" s="7">
        <v>108.24</v>
      </c>
      <c r="D515" s="6">
        <f t="shared" si="10"/>
        <v>-0.62151199384572342</v>
      </c>
      <c r="E515" s="6">
        <v>2.1035751344212712E-2</v>
      </c>
    </row>
    <row r="516" spans="2:5" x14ac:dyDescent="0.3">
      <c r="B516" s="4">
        <v>40851</v>
      </c>
      <c r="C516" s="7">
        <v>285.98</v>
      </c>
      <c r="D516" s="6">
        <f t="shared" si="10"/>
        <v>6.6261333333333337</v>
      </c>
      <c r="E516" s="6">
        <v>2.1028954978756984E-2</v>
      </c>
    </row>
    <row r="517" spans="2:5" x14ac:dyDescent="0.3">
      <c r="B517" s="4">
        <v>38572</v>
      </c>
      <c r="C517" s="7">
        <v>37.5</v>
      </c>
      <c r="D517" s="6">
        <f t="shared" si="10"/>
        <v>-0.96554132284564353</v>
      </c>
      <c r="E517" s="6">
        <v>2.096378981758789E-2</v>
      </c>
    </row>
    <row r="518" spans="2:5" x14ac:dyDescent="0.3">
      <c r="B518" s="4">
        <v>43174</v>
      </c>
      <c r="C518" s="5">
        <v>1088.26</v>
      </c>
      <c r="D518" s="6">
        <f t="shared" si="10"/>
        <v>3.6756605800214821</v>
      </c>
      <c r="E518" s="6">
        <v>2.0939264874195486E-2</v>
      </c>
    </row>
    <row r="519" spans="2:5" x14ac:dyDescent="0.3">
      <c r="B519" s="4">
        <v>40399</v>
      </c>
      <c r="C519" s="7">
        <v>232.75</v>
      </c>
      <c r="D519" s="6">
        <f t="shared" si="10"/>
        <v>-0.74723615907560659</v>
      </c>
      <c r="E519" s="6">
        <v>2.0922887972629225E-2</v>
      </c>
    </row>
    <row r="520" spans="2:5" x14ac:dyDescent="0.3">
      <c r="B520" s="4">
        <v>42767</v>
      </c>
      <c r="C520" s="7">
        <v>920.82</v>
      </c>
      <c r="D520" s="6">
        <f t="shared" ref="D520:D583" si="11">((C520-C521)/C521)</f>
        <v>-0.6005119305856832</v>
      </c>
      <c r="E520" s="6">
        <v>2.0921337102943628E-2</v>
      </c>
    </row>
    <row r="521" spans="2:5" x14ac:dyDescent="0.3">
      <c r="B521" s="4">
        <v>45792</v>
      </c>
      <c r="C521" s="5">
        <v>2305</v>
      </c>
      <c r="D521" s="6">
        <f t="shared" si="11"/>
        <v>33.609609609609613</v>
      </c>
      <c r="E521" s="6">
        <v>2.0855569974002574E-2</v>
      </c>
    </row>
    <row r="522" spans="2:5" x14ac:dyDescent="0.3">
      <c r="B522" s="4">
        <v>39099</v>
      </c>
      <c r="C522" s="7">
        <v>66.599999999999994</v>
      </c>
      <c r="D522" s="6">
        <f t="shared" si="11"/>
        <v>-0.9415430527516897</v>
      </c>
      <c r="E522" s="6">
        <v>2.0846106683016546E-2</v>
      </c>
    </row>
    <row r="523" spans="2:5" x14ac:dyDescent="0.3">
      <c r="B523" s="4">
        <v>43227</v>
      </c>
      <c r="C523" s="5">
        <v>1139.3</v>
      </c>
      <c r="D523" s="6">
        <f t="shared" si="11"/>
        <v>46.372141372141371</v>
      </c>
      <c r="E523" s="6">
        <v>2.0832399982079655E-2</v>
      </c>
    </row>
    <row r="524" spans="2:5" x14ac:dyDescent="0.3">
      <c r="B524" s="4">
        <v>38323</v>
      </c>
      <c r="C524" s="7">
        <v>24.05</v>
      </c>
      <c r="D524" s="6">
        <f t="shared" si="11"/>
        <v>-0.85521642285232669</v>
      </c>
      <c r="E524" s="6">
        <v>2.0797962648556961E-2</v>
      </c>
    </row>
    <row r="525" spans="2:5" x14ac:dyDescent="0.3">
      <c r="B525" s="4">
        <v>40212</v>
      </c>
      <c r="C525" s="7">
        <v>166.11</v>
      </c>
      <c r="D525" s="6">
        <f t="shared" si="11"/>
        <v>-0.78520721536173788</v>
      </c>
      <c r="E525" s="6">
        <v>2.077060161002903E-2</v>
      </c>
    </row>
    <row r="526" spans="2:5" x14ac:dyDescent="0.3">
      <c r="B526" s="4">
        <v>42265</v>
      </c>
      <c r="C526" s="7">
        <v>773.35</v>
      </c>
      <c r="D526" s="6">
        <f t="shared" si="11"/>
        <v>0.78582149867220874</v>
      </c>
      <c r="E526" s="6">
        <v>2.074891437773059E-2</v>
      </c>
    </row>
    <row r="527" spans="2:5" x14ac:dyDescent="0.3">
      <c r="B527" s="4">
        <v>41557</v>
      </c>
      <c r="C527" s="7">
        <v>433.05</v>
      </c>
      <c r="D527" s="6">
        <f t="shared" si="11"/>
        <v>-0.85540998056774242</v>
      </c>
      <c r="E527" s="6">
        <v>2.0742486741308217E-2</v>
      </c>
    </row>
    <row r="528" spans="2:5" x14ac:dyDescent="0.3">
      <c r="B528" s="4">
        <v>44701</v>
      </c>
      <c r="C528" s="5">
        <v>2995.02</v>
      </c>
      <c r="D528" s="6">
        <f t="shared" si="11"/>
        <v>35.136824324324323</v>
      </c>
      <c r="E528" s="6">
        <v>2.0693180656374533E-2</v>
      </c>
    </row>
    <row r="529" spans="2:5" x14ac:dyDescent="0.3">
      <c r="B529" s="4">
        <v>39766</v>
      </c>
      <c r="C529" s="7">
        <v>82.88</v>
      </c>
      <c r="D529" s="6">
        <f t="shared" si="11"/>
        <v>0.25309948593891735</v>
      </c>
      <c r="E529" s="6">
        <v>2.0689655172413703E-2</v>
      </c>
    </row>
    <row r="530" spans="2:5" x14ac:dyDescent="0.3">
      <c r="B530" s="4">
        <v>39216</v>
      </c>
      <c r="C530" s="7">
        <v>66.14</v>
      </c>
      <c r="D530" s="6">
        <f t="shared" si="11"/>
        <v>-0.97836370178939458</v>
      </c>
      <c r="E530" s="6">
        <v>2.0679012345679065E-2</v>
      </c>
    </row>
    <row r="531" spans="2:5" x14ac:dyDescent="0.3">
      <c r="B531" s="4">
        <v>44704</v>
      </c>
      <c r="C531" s="5">
        <v>3056.9</v>
      </c>
      <c r="D531" s="6">
        <f t="shared" si="11"/>
        <v>8.5689601202028438</v>
      </c>
      <c r="E531" s="6">
        <v>2.0660963866685401E-2</v>
      </c>
    </row>
    <row r="532" spans="2:5" x14ac:dyDescent="0.3">
      <c r="B532" s="4">
        <v>41032</v>
      </c>
      <c r="C532" s="7">
        <v>319.45999999999998</v>
      </c>
      <c r="D532" s="6">
        <f t="shared" si="11"/>
        <v>-8.0955120828538674E-2</v>
      </c>
      <c r="E532" s="6">
        <v>2.0638977635782683E-2</v>
      </c>
    </row>
    <row r="533" spans="2:5" x14ac:dyDescent="0.3">
      <c r="B533" s="4">
        <v>41190</v>
      </c>
      <c r="C533" s="7">
        <v>347.6</v>
      </c>
      <c r="D533" s="6">
        <f t="shared" si="11"/>
        <v>-0.88893433194448002</v>
      </c>
      <c r="E533" s="6">
        <v>2.0611897351576838E-2</v>
      </c>
    </row>
    <row r="534" spans="2:5" x14ac:dyDescent="0.3">
      <c r="B534" s="4">
        <v>44902</v>
      </c>
      <c r="C534" s="5">
        <v>3129.68</v>
      </c>
      <c r="D534" s="6">
        <f t="shared" si="11"/>
        <v>0.39915237567282402</v>
      </c>
      <c r="E534" s="6">
        <v>2.0493473717160687E-2</v>
      </c>
    </row>
    <row r="535" spans="2:5" x14ac:dyDescent="0.3">
      <c r="B535" s="4">
        <v>45674</v>
      </c>
      <c r="C535" s="5">
        <v>2236.84</v>
      </c>
      <c r="D535" s="6">
        <f t="shared" si="11"/>
        <v>-0.12834541345179631</v>
      </c>
      <c r="E535" s="6">
        <v>2.0493448666009741E-2</v>
      </c>
    </row>
    <row r="536" spans="2:5" x14ac:dyDescent="0.3">
      <c r="B536" s="4">
        <v>45901</v>
      </c>
      <c r="C536" s="5">
        <v>2566.1999999999998</v>
      </c>
      <c r="D536" s="6">
        <f t="shared" si="11"/>
        <v>58.142659598985936</v>
      </c>
      <c r="E536" s="6">
        <v>2.0487696247633889E-2</v>
      </c>
    </row>
    <row r="537" spans="2:5" x14ac:dyDescent="0.3">
      <c r="B537" s="4">
        <v>38685</v>
      </c>
      <c r="C537" s="7">
        <v>43.39</v>
      </c>
      <c r="D537" s="6">
        <f t="shared" si="11"/>
        <v>-0.97005603710042498</v>
      </c>
      <c r="E537" s="6">
        <v>2.0460959548447729E-2</v>
      </c>
    </row>
    <row r="538" spans="2:5" x14ac:dyDescent="0.3">
      <c r="B538" s="4">
        <v>43672</v>
      </c>
      <c r="C538" s="5">
        <v>1449.04</v>
      </c>
      <c r="D538" s="6">
        <f t="shared" si="11"/>
        <v>6.3135819916216622</v>
      </c>
      <c r="E538" s="6">
        <v>2.0457890548524958E-2</v>
      </c>
    </row>
    <row r="539" spans="2:5" x14ac:dyDescent="0.3">
      <c r="B539" s="4">
        <v>40338</v>
      </c>
      <c r="C539" s="7">
        <v>198.13</v>
      </c>
      <c r="D539" s="6">
        <f t="shared" si="11"/>
        <v>-0.8284232221413973</v>
      </c>
      <c r="E539" s="6">
        <v>2.0447053976102178E-2</v>
      </c>
    </row>
    <row r="540" spans="2:5" x14ac:dyDescent="0.3">
      <c r="B540" s="4">
        <v>43383</v>
      </c>
      <c r="C540" s="5">
        <v>1154.76</v>
      </c>
      <c r="D540" s="6">
        <f t="shared" si="11"/>
        <v>-0.61859402042514966</v>
      </c>
      <c r="E540" s="6">
        <v>2.0430525608850773E-2</v>
      </c>
    </row>
    <row r="541" spans="2:5" x14ac:dyDescent="0.3">
      <c r="B541" s="4">
        <v>45238</v>
      </c>
      <c r="C541" s="5">
        <v>3027.64</v>
      </c>
      <c r="D541" s="6">
        <f t="shared" si="11"/>
        <v>5.8784987277353684</v>
      </c>
      <c r="E541" s="6">
        <v>2.0407200320852997E-2</v>
      </c>
    </row>
    <row r="542" spans="2:5" x14ac:dyDescent="0.3">
      <c r="B542" s="4">
        <v>41424</v>
      </c>
      <c r="C542" s="7">
        <v>440.16</v>
      </c>
      <c r="D542" s="6">
        <f t="shared" si="11"/>
        <v>25.660205935796487</v>
      </c>
      <c r="E542" s="6">
        <v>2.0400593471810113E-2</v>
      </c>
    </row>
    <row r="543" spans="2:5" x14ac:dyDescent="0.3">
      <c r="B543" s="4">
        <v>37574</v>
      </c>
      <c r="C543" s="7">
        <v>16.510000000000002</v>
      </c>
      <c r="D543" s="6">
        <f t="shared" si="11"/>
        <v>-0.99078220088213942</v>
      </c>
      <c r="E543" s="6">
        <v>2.0395550061804813E-2</v>
      </c>
    </row>
    <row r="544" spans="2:5" x14ac:dyDescent="0.3">
      <c r="B544" s="4">
        <v>44061</v>
      </c>
      <c r="C544" s="5">
        <v>1791.1</v>
      </c>
      <c r="D544" s="6">
        <f t="shared" si="11"/>
        <v>3.5868011984941992</v>
      </c>
      <c r="E544" s="6">
        <v>2.0360495852702585E-2</v>
      </c>
    </row>
    <row r="545" spans="2:5" x14ac:dyDescent="0.3">
      <c r="B545" s="4">
        <v>41334</v>
      </c>
      <c r="C545" s="7">
        <v>390.49</v>
      </c>
      <c r="D545" s="6">
        <f t="shared" si="11"/>
        <v>5.1727790072715782</v>
      </c>
      <c r="E545" s="6">
        <v>2.0355369741311788E-2</v>
      </c>
    </row>
    <row r="546" spans="2:5" x14ac:dyDescent="0.3">
      <c r="B546" s="4">
        <v>39170</v>
      </c>
      <c r="C546" s="7">
        <v>63.26</v>
      </c>
      <c r="D546" s="6">
        <f t="shared" si="11"/>
        <v>-0.83598651801918589</v>
      </c>
      <c r="E546" s="6">
        <v>2.0322580645161258E-2</v>
      </c>
    </row>
    <row r="547" spans="2:5" x14ac:dyDescent="0.3">
      <c r="B547" s="4">
        <v>41505</v>
      </c>
      <c r="C547" s="7">
        <v>385.7</v>
      </c>
      <c r="D547" s="6">
        <f t="shared" si="11"/>
        <v>2.3483809358451255</v>
      </c>
      <c r="E547" s="6">
        <v>2.0316385376435129E-2</v>
      </c>
    </row>
    <row r="548" spans="2:5" x14ac:dyDescent="0.3">
      <c r="B548" s="4">
        <v>40049</v>
      </c>
      <c r="C548" s="7">
        <v>115.19</v>
      </c>
      <c r="D548" s="6">
        <f t="shared" si="11"/>
        <v>-0.64855381986819627</v>
      </c>
      <c r="E548" s="6">
        <v>2.028343666961906E-2</v>
      </c>
    </row>
    <row r="549" spans="2:5" x14ac:dyDescent="0.3">
      <c r="B549" s="4">
        <v>41043</v>
      </c>
      <c r="C549" s="7">
        <v>327.76</v>
      </c>
      <c r="D549" s="6">
        <f t="shared" si="11"/>
        <v>-0.87759050183561971</v>
      </c>
      <c r="E549" s="6">
        <v>2.0264591439688687E-2</v>
      </c>
    </row>
    <row r="550" spans="2:5" x14ac:dyDescent="0.3">
      <c r="B550" s="4">
        <v>44960</v>
      </c>
      <c r="C550" s="5">
        <v>2677.57</v>
      </c>
      <c r="D550" s="6">
        <f t="shared" si="11"/>
        <v>8.6353593148368066</v>
      </c>
      <c r="E550" s="6">
        <v>2.0236543898554418E-2</v>
      </c>
    </row>
    <row r="551" spans="2:5" x14ac:dyDescent="0.3">
      <c r="B551" s="4">
        <v>40697</v>
      </c>
      <c r="C551" s="7">
        <v>277.89</v>
      </c>
      <c r="D551" s="6">
        <f t="shared" si="11"/>
        <v>7.861288265306122</v>
      </c>
      <c r="E551" s="6">
        <v>2.0191636991078968E-2</v>
      </c>
    </row>
    <row r="552" spans="2:5" x14ac:dyDescent="0.3">
      <c r="B552" s="4">
        <v>38498</v>
      </c>
      <c r="C552" s="7">
        <v>31.36</v>
      </c>
      <c r="D552" s="6">
        <f t="shared" si="11"/>
        <v>-0.96968173556595383</v>
      </c>
      <c r="E552" s="6">
        <v>2.0169160702667568E-2</v>
      </c>
    </row>
    <row r="553" spans="2:5" x14ac:dyDescent="0.3">
      <c r="B553" s="4">
        <v>42880</v>
      </c>
      <c r="C553" s="5">
        <v>1034.3599999999999</v>
      </c>
      <c r="D553" s="6">
        <f t="shared" si="11"/>
        <v>29.042404879465582</v>
      </c>
      <c r="E553" s="6">
        <v>2.0159381410762133E-2</v>
      </c>
    </row>
    <row r="554" spans="2:5" x14ac:dyDescent="0.3">
      <c r="B554" s="4">
        <v>38541</v>
      </c>
      <c r="C554" s="7">
        <v>34.43</v>
      </c>
      <c r="D554" s="6">
        <f t="shared" si="11"/>
        <v>-0.95791673796660726</v>
      </c>
      <c r="E554" s="6">
        <v>2.0148148148148141E-2</v>
      </c>
    </row>
    <row r="555" spans="2:5" x14ac:dyDescent="0.3">
      <c r="B555" s="4">
        <v>42401</v>
      </c>
      <c r="C555" s="7">
        <v>818.14</v>
      </c>
      <c r="D555" s="6">
        <f t="shared" si="11"/>
        <v>1.5598072651043458</v>
      </c>
      <c r="E555" s="6">
        <v>2.0111968678694775E-2</v>
      </c>
    </row>
    <row r="556" spans="2:5" x14ac:dyDescent="0.3">
      <c r="B556" s="4">
        <v>41120</v>
      </c>
      <c r="C556" s="7">
        <v>319.61</v>
      </c>
      <c r="D556" s="6">
        <f t="shared" si="11"/>
        <v>-0.54700588193607824</v>
      </c>
      <c r="E556" s="6">
        <v>2.0107880374070446E-2</v>
      </c>
    </row>
    <row r="557" spans="2:5" x14ac:dyDescent="0.3">
      <c r="B557" s="4">
        <v>42011</v>
      </c>
      <c r="C557" s="7">
        <v>705.55</v>
      </c>
      <c r="D557" s="6">
        <f t="shared" si="11"/>
        <v>-0.52419648517054884</v>
      </c>
      <c r="E557" s="6">
        <v>2.0096869804091633E-2</v>
      </c>
    </row>
    <row r="558" spans="2:5" x14ac:dyDescent="0.3">
      <c r="B558" s="4">
        <v>43966</v>
      </c>
      <c r="C558" s="5">
        <v>1482.86</v>
      </c>
      <c r="D558" s="6">
        <f t="shared" si="11"/>
        <v>5.2710817897318778</v>
      </c>
      <c r="E558" s="6">
        <v>2.0066176420006909E-2</v>
      </c>
    </row>
    <row r="559" spans="2:5" x14ac:dyDescent="0.3">
      <c r="B559" s="4">
        <v>40409</v>
      </c>
      <c r="C559" s="7">
        <v>236.46</v>
      </c>
      <c r="D559" s="6">
        <f t="shared" si="11"/>
        <v>-0.78904075369352655</v>
      </c>
      <c r="E559" s="6">
        <v>2.0015529289966416E-2</v>
      </c>
    </row>
    <row r="560" spans="2:5" x14ac:dyDescent="0.3">
      <c r="B560" s="4">
        <v>43048</v>
      </c>
      <c r="C560" s="5">
        <v>1120.8800000000001</v>
      </c>
      <c r="D560" s="6">
        <f t="shared" si="11"/>
        <v>13.244249586986912</v>
      </c>
      <c r="E560" s="6">
        <v>1.9964693249859004E-2</v>
      </c>
    </row>
    <row r="561" spans="2:5" x14ac:dyDescent="0.3">
      <c r="B561" s="4">
        <v>39836</v>
      </c>
      <c r="C561" s="7">
        <v>78.69</v>
      </c>
      <c r="D561" s="6">
        <f t="shared" si="11"/>
        <v>-0.65733321720954541</v>
      </c>
      <c r="E561" s="6">
        <v>1.9961114711600673E-2</v>
      </c>
    </row>
    <row r="562" spans="2:5" x14ac:dyDescent="0.3">
      <c r="B562" s="4">
        <v>40646</v>
      </c>
      <c r="C562" s="7">
        <v>229.64</v>
      </c>
      <c r="D562" s="6">
        <f t="shared" si="11"/>
        <v>-0.49211544841313726</v>
      </c>
      <c r="E562" s="6">
        <v>1.994226071507875E-2</v>
      </c>
    </row>
    <row r="563" spans="2:5" x14ac:dyDescent="0.3">
      <c r="B563" s="4">
        <v>41640</v>
      </c>
      <c r="C563" s="7">
        <v>452.15</v>
      </c>
      <c r="D563" s="6">
        <f t="shared" si="11"/>
        <v>27.419233186675044</v>
      </c>
      <c r="E563" s="6">
        <v>1.9894886427717487E-2</v>
      </c>
    </row>
    <row r="564" spans="2:5" x14ac:dyDescent="0.3">
      <c r="B564" s="4">
        <v>37687</v>
      </c>
      <c r="C564" s="7">
        <v>15.91</v>
      </c>
      <c r="D564" s="6">
        <f t="shared" si="11"/>
        <v>-0.98028818158165354</v>
      </c>
      <c r="E564" s="6">
        <v>1.9871794871794905E-2</v>
      </c>
    </row>
    <row r="565" spans="2:5" x14ac:dyDescent="0.3">
      <c r="B565" s="4">
        <v>42352</v>
      </c>
      <c r="C565" s="7">
        <v>807.13</v>
      </c>
      <c r="D565" s="6">
        <f t="shared" si="11"/>
        <v>-0.72822167074661337</v>
      </c>
      <c r="E565" s="6">
        <v>1.9863281990371649E-2</v>
      </c>
    </row>
    <row r="566" spans="2:5" x14ac:dyDescent="0.3">
      <c r="B566" s="4">
        <v>44763</v>
      </c>
      <c r="C566" s="5">
        <v>2969.81</v>
      </c>
      <c r="D566" s="6">
        <f t="shared" si="11"/>
        <v>9.6060854969465392</v>
      </c>
      <c r="E566" s="6">
        <v>1.9841828552590372E-2</v>
      </c>
    </row>
    <row r="567" spans="2:5" x14ac:dyDescent="0.3">
      <c r="B567" s="4">
        <v>40967</v>
      </c>
      <c r="C567" s="7">
        <v>280.01</v>
      </c>
      <c r="D567" s="6">
        <f t="shared" si="11"/>
        <v>0.82452596598683781</v>
      </c>
      <c r="E567" s="6">
        <v>1.981279819353898E-2</v>
      </c>
    </row>
    <row r="568" spans="2:5" x14ac:dyDescent="0.3">
      <c r="B568" s="4">
        <v>40163</v>
      </c>
      <c r="C568" s="7">
        <v>153.47</v>
      </c>
      <c r="D568" s="6">
        <f t="shared" si="11"/>
        <v>-0.90705997771425806</v>
      </c>
      <c r="E568" s="6">
        <v>1.9801980198019733E-2</v>
      </c>
    </row>
    <row r="569" spans="2:5" x14ac:dyDescent="0.3">
      <c r="B569" s="4">
        <v>44035</v>
      </c>
      <c r="C569" s="5">
        <v>1651.28</v>
      </c>
      <c r="D569" s="6">
        <f t="shared" si="11"/>
        <v>5.6074986995318312</v>
      </c>
      <c r="E569" s="6">
        <v>1.9799656624794621E-2</v>
      </c>
    </row>
    <row r="570" spans="2:5" x14ac:dyDescent="0.3">
      <c r="B570" s="4">
        <v>40680</v>
      </c>
      <c r="C570" s="7">
        <v>249.91</v>
      </c>
      <c r="D570" s="6">
        <f t="shared" si="11"/>
        <v>1.3191351150705268</v>
      </c>
      <c r="E570" s="6">
        <v>1.979107157430831E-2</v>
      </c>
    </row>
    <row r="571" spans="2:5" x14ac:dyDescent="0.3">
      <c r="B571" s="4">
        <v>39568</v>
      </c>
      <c r="C571" s="7">
        <v>107.76</v>
      </c>
      <c r="D571" s="6">
        <f t="shared" si="11"/>
        <v>-0.5732784223656594</v>
      </c>
      <c r="E571" s="6">
        <v>1.9778555881517966E-2</v>
      </c>
    </row>
    <row r="572" spans="2:5" x14ac:dyDescent="0.3">
      <c r="B572" s="4">
        <v>40543</v>
      </c>
      <c r="C572" s="7">
        <v>252.53</v>
      </c>
      <c r="D572" s="6">
        <f t="shared" si="11"/>
        <v>-0.69787641323203931</v>
      </c>
      <c r="E572" s="6">
        <v>1.9746406073332317E-2</v>
      </c>
    </row>
    <row r="573" spans="2:5" x14ac:dyDescent="0.3">
      <c r="B573" s="4">
        <v>42499</v>
      </c>
      <c r="C573" s="7">
        <v>835.85</v>
      </c>
      <c r="D573" s="6">
        <f t="shared" si="11"/>
        <v>-0.67624422383440563</v>
      </c>
      <c r="E573" s="6">
        <v>1.9739651323093518E-2</v>
      </c>
    </row>
    <row r="574" spans="2:5" x14ac:dyDescent="0.3">
      <c r="B574" s="4">
        <v>44216</v>
      </c>
      <c r="C574" s="5">
        <v>2581.73</v>
      </c>
      <c r="D574" s="6">
        <f t="shared" si="11"/>
        <v>57.016404494382023</v>
      </c>
      <c r="E574" s="6">
        <v>1.9733230111740021E-2</v>
      </c>
    </row>
    <row r="575" spans="2:5" x14ac:dyDescent="0.3">
      <c r="B575" s="4">
        <v>38699</v>
      </c>
      <c r="C575" s="7">
        <v>44.5</v>
      </c>
      <c r="D575" s="6">
        <f t="shared" si="11"/>
        <v>-0.96509667045766501</v>
      </c>
      <c r="E575" s="6">
        <v>1.9706691109074231E-2</v>
      </c>
    </row>
    <row r="576" spans="2:5" x14ac:dyDescent="0.3">
      <c r="B576" s="4">
        <v>43433</v>
      </c>
      <c r="C576" s="5">
        <v>1274.95</v>
      </c>
      <c r="D576" s="6">
        <f t="shared" si="11"/>
        <v>-0.54483465247209106</v>
      </c>
      <c r="E576" s="6">
        <v>1.9674491142480217E-2</v>
      </c>
    </row>
    <row r="577" spans="2:5" x14ac:dyDescent="0.3">
      <c r="B577" s="4">
        <v>44714</v>
      </c>
      <c r="C577" s="5">
        <v>2801.07</v>
      </c>
      <c r="D577" s="6">
        <f t="shared" si="11"/>
        <v>7.4265515477873718</v>
      </c>
      <c r="E577" s="6">
        <v>1.9649884059131668E-2</v>
      </c>
    </row>
    <row r="578" spans="2:5" x14ac:dyDescent="0.3">
      <c r="B578" s="4">
        <v>41053</v>
      </c>
      <c r="C578" s="7">
        <v>332.41</v>
      </c>
      <c r="D578" s="6">
        <f t="shared" si="11"/>
        <v>0.21131841702499821</v>
      </c>
      <c r="E578" s="6">
        <v>1.9631299653384969E-2</v>
      </c>
    </row>
    <row r="579" spans="2:5" x14ac:dyDescent="0.3">
      <c r="B579" s="4">
        <v>40863</v>
      </c>
      <c r="C579" s="7">
        <v>274.42</v>
      </c>
      <c r="D579" s="6">
        <f t="shared" si="11"/>
        <v>-0.83592619608499641</v>
      </c>
      <c r="E579" s="6">
        <v>1.9618042654380729E-2</v>
      </c>
    </row>
    <row r="580" spans="2:5" x14ac:dyDescent="0.3">
      <c r="B580" s="4">
        <v>44032</v>
      </c>
      <c r="C580" s="5">
        <v>1672.54</v>
      </c>
      <c r="D580" s="6">
        <f t="shared" si="11"/>
        <v>-0.12524058577405858</v>
      </c>
      <c r="E580" s="6">
        <v>1.9611429128794159E-2</v>
      </c>
    </row>
    <row r="581" spans="2:5" x14ac:dyDescent="0.3">
      <c r="B581" s="4">
        <v>44068</v>
      </c>
      <c r="C581" s="5">
        <v>1912</v>
      </c>
      <c r="D581" s="6">
        <f t="shared" si="11"/>
        <v>36.104599262565493</v>
      </c>
      <c r="E581" s="6">
        <v>1.9597387015064659E-2</v>
      </c>
    </row>
    <row r="582" spans="2:5" x14ac:dyDescent="0.3">
      <c r="B582" s="4">
        <v>38954</v>
      </c>
      <c r="C582" s="7">
        <v>51.53</v>
      </c>
      <c r="D582" s="6">
        <f t="shared" si="11"/>
        <v>8.6214165261382869E-2</v>
      </c>
      <c r="E582" s="6">
        <v>1.9588444796201067E-2</v>
      </c>
    </row>
    <row r="583" spans="2:5" x14ac:dyDescent="0.3">
      <c r="B583" s="4">
        <v>38735</v>
      </c>
      <c r="C583" s="7">
        <v>47.44</v>
      </c>
      <c r="D583" s="6">
        <f t="shared" si="11"/>
        <v>-0.98603255733158246</v>
      </c>
      <c r="E583" s="6">
        <v>1.9557274876423739E-2</v>
      </c>
    </row>
    <row r="584" spans="2:5" x14ac:dyDescent="0.3">
      <c r="B584" s="4">
        <v>44566</v>
      </c>
      <c r="C584" s="5">
        <v>3396.47</v>
      </c>
      <c r="D584" s="6">
        <f t="shared" ref="D584:D647" si="12">((C584-C585)/C585)</f>
        <v>149.88716126166145</v>
      </c>
      <c r="E584" s="6">
        <v>1.9513966849369273E-2</v>
      </c>
    </row>
    <row r="585" spans="2:5" x14ac:dyDescent="0.3">
      <c r="B585" s="4">
        <v>38152</v>
      </c>
      <c r="C585" s="7">
        <v>22.51</v>
      </c>
      <c r="D585" s="6">
        <f t="shared" si="12"/>
        <v>-0.55715128860908902</v>
      </c>
      <c r="E585" s="6">
        <v>1.9474637681159569E-2</v>
      </c>
    </row>
    <row r="586" spans="2:5" x14ac:dyDescent="0.3">
      <c r="B586" s="4">
        <v>38826</v>
      </c>
      <c r="C586" s="7">
        <v>50.83</v>
      </c>
      <c r="D586" s="6">
        <f t="shared" si="12"/>
        <v>-0.9401281537845414</v>
      </c>
      <c r="E586" s="6">
        <v>1.9454472523064557E-2</v>
      </c>
    </row>
    <row r="587" spans="2:5" x14ac:dyDescent="0.3">
      <c r="B587" s="4">
        <v>42221</v>
      </c>
      <c r="C587" s="7">
        <v>848.98</v>
      </c>
      <c r="D587" s="6">
        <f t="shared" si="12"/>
        <v>13.708593208593209</v>
      </c>
      <c r="E587" s="6">
        <v>1.9428434197886726E-2</v>
      </c>
    </row>
    <row r="588" spans="2:5" x14ac:dyDescent="0.3">
      <c r="B588" s="4">
        <v>39153</v>
      </c>
      <c r="C588" s="7">
        <v>57.72</v>
      </c>
      <c r="D588" s="6">
        <f t="shared" si="12"/>
        <v>4.5652173913043402E-2</v>
      </c>
      <c r="E588" s="6">
        <v>1.9427764040974946E-2</v>
      </c>
    </row>
    <row r="589" spans="2:5" x14ac:dyDescent="0.3">
      <c r="B589" s="4">
        <v>38777</v>
      </c>
      <c r="C589" s="7">
        <v>55.2</v>
      </c>
      <c r="D589" s="6">
        <f t="shared" si="12"/>
        <v>-0.98164582425876734</v>
      </c>
      <c r="E589" s="6">
        <v>1.9390581717451602E-2</v>
      </c>
    </row>
    <row r="590" spans="2:5" x14ac:dyDescent="0.3">
      <c r="B590" s="4">
        <v>44512</v>
      </c>
      <c r="C590" s="5">
        <v>3007.49</v>
      </c>
      <c r="D590" s="6">
        <f t="shared" si="12"/>
        <v>6.0580131890826303</v>
      </c>
      <c r="E590" s="6">
        <v>1.9387924576905937E-2</v>
      </c>
    </row>
    <row r="591" spans="2:5" x14ac:dyDescent="0.3">
      <c r="B591" s="4">
        <v>41344</v>
      </c>
      <c r="C591" s="7">
        <v>426.11</v>
      </c>
      <c r="D591" s="6">
        <f t="shared" si="12"/>
        <v>25.029932803909588</v>
      </c>
      <c r="E591" s="6">
        <v>1.9304372787293064E-2</v>
      </c>
    </row>
    <row r="592" spans="2:5" x14ac:dyDescent="0.3">
      <c r="B592" s="4">
        <v>37733</v>
      </c>
      <c r="C592" s="7">
        <v>16.37</v>
      </c>
      <c r="D592" s="6">
        <f t="shared" si="12"/>
        <v>-0.90936271524278833</v>
      </c>
      <c r="E592" s="6">
        <v>1.9302615193026295E-2</v>
      </c>
    </row>
    <row r="593" spans="2:5" x14ac:dyDescent="0.3">
      <c r="B593" s="4">
        <v>40288</v>
      </c>
      <c r="C593" s="7">
        <v>180.61</v>
      </c>
      <c r="D593" s="6">
        <f t="shared" si="12"/>
        <v>-0.75525773754675052</v>
      </c>
      <c r="E593" s="6">
        <v>1.9301314972628342E-2</v>
      </c>
    </row>
    <row r="594" spans="2:5" x14ac:dyDescent="0.3">
      <c r="B594" s="4">
        <v>42062</v>
      </c>
      <c r="C594" s="7">
        <v>737.96</v>
      </c>
      <c r="D594" s="6">
        <f t="shared" si="12"/>
        <v>-0.75519248950886564</v>
      </c>
      <c r="E594" s="6">
        <v>1.9253611778680221E-2</v>
      </c>
    </row>
    <row r="595" spans="2:5" x14ac:dyDescent="0.3">
      <c r="B595" s="4">
        <v>44865</v>
      </c>
      <c r="C595" s="5">
        <v>3014.45</v>
      </c>
      <c r="D595" s="6">
        <f t="shared" si="12"/>
        <v>13.300725840884292</v>
      </c>
      <c r="E595" s="6">
        <v>1.9252682154920726E-2</v>
      </c>
    </row>
    <row r="596" spans="2:5" x14ac:dyDescent="0.3">
      <c r="B596" s="4">
        <v>40350</v>
      </c>
      <c r="C596" s="7">
        <v>210.79</v>
      </c>
      <c r="D596" s="6">
        <f t="shared" si="12"/>
        <v>3.4181513309578699</v>
      </c>
      <c r="E596" s="6">
        <v>1.9244717373434504E-2</v>
      </c>
    </row>
    <row r="597" spans="2:5" x14ac:dyDescent="0.3">
      <c r="B597" s="4">
        <v>38719</v>
      </c>
      <c r="C597" s="7">
        <v>47.71</v>
      </c>
      <c r="D597" s="6">
        <f t="shared" si="12"/>
        <v>-0.97032775670128735</v>
      </c>
      <c r="E597" s="6">
        <v>1.9226660969878198E-2</v>
      </c>
    </row>
    <row r="598" spans="2:5" x14ac:dyDescent="0.3">
      <c r="B598" s="4">
        <v>44005</v>
      </c>
      <c r="C598" s="5">
        <v>1607.9</v>
      </c>
      <c r="D598" s="6">
        <f t="shared" si="12"/>
        <v>0.19853900339159938</v>
      </c>
      <c r="E598" s="6">
        <v>1.9219310589637398E-2</v>
      </c>
    </row>
    <row r="599" spans="2:5" x14ac:dyDescent="0.3">
      <c r="B599" s="4">
        <v>43319</v>
      </c>
      <c r="C599" s="5">
        <v>1341.55</v>
      </c>
      <c r="D599" s="6">
        <f t="shared" si="12"/>
        <v>-2.6154560896644821E-2</v>
      </c>
      <c r="E599" s="6">
        <v>1.9213529241943052E-2</v>
      </c>
    </row>
    <row r="600" spans="2:5" x14ac:dyDescent="0.3">
      <c r="B600" s="4">
        <v>43571</v>
      </c>
      <c r="C600" s="5">
        <v>1377.58</v>
      </c>
      <c r="D600" s="6">
        <f t="shared" si="12"/>
        <v>2.2037489243935902</v>
      </c>
      <c r="E600" s="6">
        <v>1.9176420105647754E-2</v>
      </c>
    </row>
    <row r="601" spans="2:5" x14ac:dyDescent="0.3">
      <c r="B601" s="4">
        <v>41464</v>
      </c>
      <c r="C601" s="7">
        <v>429.99</v>
      </c>
      <c r="D601" s="6">
        <f t="shared" si="12"/>
        <v>17.383497221034631</v>
      </c>
      <c r="E601" s="6">
        <v>1.9175159990519157E-2</v>
      </c>
    </row>
    <row r="602" spans="2:5" x14ac:dyDescent="0.3">
      <c r="B602" s="4">
        <v>38320</v>
      </c>
      <c r="C602" s="7">
        <v>23.39</v>
      </c>
      <c r="D602" s="6">
        <f t="shared" si="12"/>
        <v>-0.88924140543612096</v>
      </c>
      <c r="E602" s="6">
        <v>1.9172113289760404E-2</v>
      </c>
    </row>
    <row r="603" spans="2:5" x14ac:dyDescent="0.3">
      <c r="B603" s="4">
        <v>40373</v>
      </c>
      <c r="C603" s="7">
        <v>211.18</v>
      </c>
      <c r="D603" s="6">
        <f t="shared" si="12"/>
        <v>-0.52014360698947937</v>
      </c>
      <c r="E603" s="6">
        <v>1.9159306983253698E-2</v>
      </c>
    </row>
    <row r="604" spans="2:5" x14ac:dyDescent="0.3">
      <c r="B604" s="4">
        <v>41466</v>
      </c>
      <c r="C604" s="7">
        <v>440.09</v>
      </c>
      <c r="D604" s="6">
        <f t="shared" si="12"/>
        <v>0.31751639074334642</v>
      </c>
      <c r="E604" s="6">
        <v>1.915149830948076E-2</v>
      </c>
    </row>
    <row r="605" spans="2:5" x14ac:dyDescent="0.3">
      <c r="B605" s="4">
        <v>41044</v>
      </c>
      <c r="C605" s="7">
        <v>334.03</v>
      </c>
      <c r="D605" s="6">
        <f t="shared" si="12"/>
        <v>2.9577014218009472</v>
      </c>
      <c r="E605" s="6">
        <v>1.9129851110568655E-2</v>
      </c>
    </row>
    <row r="606" spans="2:5" x14ac:dyDescent="0.3">
      <c r="B606" s="4">
        <v>39430</v>
      </c>
      <c r="C606" s="7">
        <v>84.4</v>
      </c>
      <c r="D606" s="6">
        <f t="shared" si="12"/>
        <v>-0.85949257508157428</v>
      </c>
      <c r="E606" s="6">
        <v>1.9077517507848498E-2</v>
      </c>
    </row>
    <row r="607" spans="2:5" x14ac:dyDescent="0.3">
      <c r="B607" s="4">
        <v>41943</v>
      </c>
      <c r="C607" s="7">
        <v>600.67999999999995</v>
      </c>
      <c r="D607" s="6">
        <f t="shared" si="12"/>
        <v>-0.80053462617675875</v>
      </c>
      <c r="E607" s="6">
        <v>1.9068946796959647E-2</v>
      </c>
    </row>
    <row r="608" spans="2:5" x14ac:dyDescent="0.3">
      <c r="B608" s="4">
        <v>45586</v>
      </c>
      <c r="C608" s="5">
        <v>3011.45</v>
      </c>
      <c r="D608" s="6">
        <f t="shared" si="12"/>
        <v>7.9376446845135629</v>
      </c>
      <c r="E608" s="6">
        <v>1.9065280141855868E-2</v>
      </c>
    </row>
    <row r="609" spans="2:5" x14ac:dyDescent="0.3">
      <c r="B609" s="4">
        <v>41159</v>
      </c>
      <c r="C609" s="7">
        <v>336.94</v>
      </c>
      <c r="D609" s="6">
        <f t="shared" si="12"/>
        <v>2.487991718426501</v>
      </c>
      <c r="E609" s="6">
        <v>1.8992318393515915E-2</v>
      </c>
    </row>
    <row r="610" spans="2:5" x14ac:dyDescent="0.3">
      <c r="B610" s="4">
        <v>39657</v>
      </c>
      <c r="C610" s="7">
        <v>96.6</v>
      </c>
      <c r="D610" s="6">
        <f t="shared" si="12"/>
        <v>-0.87166031168210023</v>
      </c>
      <c r="E610" s="6">
        <v>1.8987341772151868E-2</v>
      </c>
    </row>
    <row r="611" spans="2:5" x14ac:dyDescent="0.3">
      <c r="B611" s="4">
        <v>42317</v>
      </c>
      <c r="C611" s="7">
        <v>752.69</v>
      </c>
      <c r="D611" s="6">
        <f t="shared" si="12"/>
        <v>-0.57120476711329859</v>
      </c>
      <c r="E611" s="6">
        <v>1.8980058754247631E-2</v>
      </c>
    </row>
    <row r="612" spans="2:5" x14ac:dyDescent="0.3">
      <c r="B612" s="4">
        <v>44060</v>
      </c>
      <c r="C612" s="5">
        <v>1755.36</v>
      </c>
      <c r="D612" s="6">
        <f t="shared" si="12"/>
        <v>0.78728083572606744</v>
      </c>
      <c r="E612" s="6">
        <v>1.8946781833379698E-2</v>
      </c>
    </row>
    <row r="613" spans="2:5" x14ac:dyDescent="0.3">
      <c r="B613" s="4">
        <v>42682</v>
      </c>
      <c r="C613" s="7">
        <v>982.14</v>
      </c>
      <c r="D613" s="6">
        <f t="shared" si="12"/>
        <v>-0.41932966376767045</v>
      </c>
      <c r="E613" s="6">
        <v>1.8944266921193501E-2</v>
      </c>
    </row>
    <row r="614" spans="2:5" x14ac:dyDescent="0.3">
      <c r="B614" s="4">
        <v>43817</v>
      </c>
      <c r="C614" s="5">
        <v>1691.39</v>
      </c>
      <c r="D614" s="6">
        <f t="shared" si="12"/>
        <v>94.235923423423415</v>
      </c>
      <c r="E614" s="6">
        <v>1.8934191185329807E-2</v>
      </c>
    </row>
    <row r="615" spans="2:5" x14ac:dyDescent="0.3">
      <c r="B615" s="4">
        <v>37445</v>
      </c>
      <c r="C615" s="7">
        <v>17.760000000000002</v>
      </c>
      <c r="D615" s="6">
        <f t="shared" si="12"/>
        <v>-0.96128019534315867</v>
      </c>
      <c r="E615" s="6">
        <v>1.8932874354561209E-2</v>
      </c>
    </row>
    <row r="616" spans="2:5" x14ac:dyDescent="0.3">
      <c r="B616" s="4">
        <v>41480</v>
      </c>
      <c r="C616" s="7">
        <v>458.68</v>
      </c>
      <c r="D616" s="6">
        <f t="shared" si="12"/>
        <v>-0.42871377150045459</v>
      </c>
      <c r="E616" s="6">
        <v>1.8903969611480085E-2</v>
      </c>
    </row>
    <row r="617" spans="2:5" x14ac:dyDescent="0.3">
      <c r="B617" s="4">
        <v>42422</v>
      </c>
      <c r="C617" s="7">
        <v>802.89</v>
      </c>
      <c r="D617" s="6">
        <f t="shared" si="12"/>
        <v>0.82172758831937909</v>
      </c>
      <c r="E617" s="6">
        <v>1.8895939086294399E-2</v>
      </c>
    </row>
    <row r="618" spans="2:5" x14ac:dyDescent="0.3">
      <c r="B618" s="4">
        <v>41537</v>
      </c>
      <c r="C618" s="7">
        <v>440.73</v>
      </c>
      <c r="D618" s="6">
        <f t="shared" si="12"/>
        <v>-0.68568229471251907</v>
      </c>
      <c r="E618" s="6">
        <v>1.8887553171814352E-2</v>
      </c>
    </row>
    <row r="619" spans="2:5" x14ac:dyDescent="0.3">
      <c r="B619" s="4">
        <v>43550</v>
      </c>
      <c r="C619" s="5">
        <v>1402.18</v>
      </c>
      <c r="D619" s="6">
        <f t="shared" si="12"/>
        <v>10.94768234492161</v>
      </c>
      <c r="E619" s="6">
        <v>1.8870666540716917E-2</v>
      </c>
    </row>
    <row r="620" spans="2:5" x14ac:dyDescent="0.3">
      <c r="B620" s="4">
        <v>40050</v>
      </c>
      <c r="C620" s="7">
        <v>117.36</v>
      </c>
      <c r="D620" s="6">
        <f t="shared" si="12"/>
        <v>-0.92900868639454137</v>
      </c>
      <c r="E620" s="6">
        <v>1.8838440836878217E-2</v>
      </c>
    </row>
    <row r="621" spans="2:5" x14ac:dyDescent="0.3">
      <c r="B621" s="4">
        <v>43801</v>
      </c>
      <c r="C621" s="5">
        <v>1653.16</v>
      </c>
      <c r="D621" s="6">
        <f t="shared" si="12"/>
        <v>2.3896372844518261</v>
      </c>
      <c r="E621" s="6">
        <v>1.8815133456179148E-2</v>
      </c>
    </row>
    <row r="622" spans="2:5" x14ac:dyDescent="0.3">
      <c r="B622" s="4">
        <v>41725</v>
      </c>
      <c r="C622" s="7">
        <v>487.71</v>
      </c>
      <c r="D622" s="6">
        <f t="shared" si="12"/>
        <v>-0.24308594841232897</v>
      </c>
      <c r="E622" s="6">
        <v>1.8800526414739612E-2</v>
      </c>
    </row>
    <row r="623" spans="2:5" x14ac:dyDescent="0.3">
      <c r="B623" s="4">
        <v>41969</v>
      </c>
      <c r="C623" s="7">
        <v>644.34</v>
      </c>
      <c r="D623" s="6">
        <f t="shared" si="12"/>
        <v>-0.39923358787166791</v>
      </c>
      <c r="E623" s="6">
        <v>1.8799905130840358E-2</v>
      </c>
    </row>
    <row r="624" spans="2:5" x14ac:dyDescent="0.3">
      <c r="B624" s="4">
        <v>42934</v>
      </c>
      <c r="C624" s="5">
        <v>1072.53</v>
      </c>
      <c r="D624" s="6">
        <f t="shared" si="12"/>
        <v>-0.60610167250611491</v>
      </c>
      <c r="E624" s="6">
        <v>1.8788886250296816E-2</v>
      </c>
    </row>
    <row r="625" spans="2:5" x14ac:dyDescent="0.3">
      <c r="B625" s="4">
        <v>44204</v>
      </c>
      <c r="C625" s="5">
        <v>2722.86</v>
      </c>
      <c r="D625" s="6">
        <f t="shared" si="12"/>
        <v>2.4618201235792205</v>
      </c>
      <c r="E625" s="6">
        <v>1.8782785689163708E-2</v>
      </c>
    </row>
    <row r="626" spans="2:5" x14ac:dyDescent="0.3">
      <c r="B626" s="4">
        <v>42282</v>
      </c>
      <c r="C626" s="7">
        <v>786.54</v>
      </c>
      <c r="D626" s="6">
        <f t="shared" si="12"/>
        <v>-0.75641752218144653</v>
      </c>
      <c r="E626" s="6">
        <v>1.875501903997101E-2</v>
      </c>
    </row>
    <row r="627" spans="2:5" x14ac:dyDescent="0.3">
      <c r="B627" s="4">
        <v>44771</v>
      </c>
      <c r="C627" s="5">
        <v>3229.05</v>
      </c>
      <c r="D627" s="6">
        <f t="shared" si="12"/>
        <v>0.10307003310183692</v>
      </c>
      <c r="E627" s="6">
        <v>1.8746667592116451E-2</v>
      </c>
    </row>
    <row r="628" spans="2:5" x14ac:dyDescent="0.3">
      <c r="B628" s="4">
        <v>44371</v>
      </c>
      <c r="C628" s="5">
        <v>2927.33</v>
      </c>
      <c r="D628" s="6">
        <f t="shared" si="12"/>
        <v>2.7092372022301063</v>
      </c>
      <c r="E628" s="6">
        <v>1.8711980957418665E-2</v>
      </c>
    </row>
    <row r="629" spans="2:5" x14ac:dyDescent="0.3">
      <c r="B629" s="4">
        <v>42417</v>
      </c>
      <c r="C629" s="7">
        <v>789.2</v>
      </c>
      <c r="D629" s="6">
        <f t="shared" si="12"/>
        <v>0.1587308578895594</v>
      </c>
      <c r="E629" s="6">
        <v>1.8690623709211093E-2</v>
      </c>
    </row>
    <row r="630" spans="2:5" x14ac:dyDescent="0.3">
      <c r="B630" s="4">
        <v>41991</v>
      </c>
      <c r="C630" s="7">
        <v>681.09</v>
      </c>
      <c r="D630" s="6">
        <f t="shared" si="12"/>
        <v>1.8806039587210288</v>
      </c>
      <c r="E630" s="6">
        <v>1.8665589805716365E-2</v>
      </c>
    </row>
    <row r="631" spans="2:5" x14ac:dyDescent="0.3">
      <c r="B631" s="4">
        <v>40457</v>
      </c>
      <c r="C631" s="7">
        <v>236.44</v>
      </c>
      <c r="D631" s="6">
        <f t="shared" si="12"/>
        <v>4.8481325748206778</v>
      </c>
      <c r="E631" s="6">
        <v>1.8654948084959648E-2</v>
      </c>
    </row>
    <row r="632" spans="2:5" x14ac:dyDescent="0.3">
      <c r="B632" s="4">
        <v>38625</v>
      </c>
      <c r="C632" s="7">
        <v>40.43</v>
      </c>
      <c r="D632" s="6">
        <f t="shared" si="12"/>
        <v>-0.94900481824373761</v>
      </c>
      <c r="E632" s="6">
        <v>1.8644494834971076E-2</v>
      </c>
    </row>
    <row r="633" spans="2:5" x14ac:dyDescent="0.3">
      <c r="B633" s="4">
        <v>42026</v>
      </c>
      <c r="C633" s="7">
        <v>792.82</v>
      </c>
      <c r="D633" s="6">
        <f t="shared" si="12"/>
        <v>7.8851283200717246</v>
      </c>
      <c r="E633" s="6">
        <v>1.8616782084719858E-2</v>
      </c>
    </row>
    <row r="634" spans="2:5" x14ac:dyDescent="0.3">
      <c r="B634" s="4">
        <v>39636</v>
      </c>
      <c r="C634" s="7">
        <v>89.23</v>
      </c>
      <c r="D634" s="6">
        <f t="shared" si="12"/>
        <v>-0.89078201691575165</v>
      </c>
      <c r="E634" s="6">
        <v>1.8607305936073171E-2</v>
      </c>
    </row>
    <row r="635" spans="2:5" x14ac:dyDescent="0.3">
      <c r="B635" s="4">
        <v>42464</v>
      </c>
      <c r="C635" s="7">
        <v>816.99</v>
      </c>
      <c r="D635" s="6">
        <f t="shared" si="12"/>
        <v>1.1150201926063996</v>
      </c>
      <c r="E635" s="6">
        <v>1.8563770103478351E-2</v>
      </c>
    </row>
    <row r="636" spans="2:5" x14ac:dyDescent="0.3">
      <c r="B636" s="4">
        <v>41512</v>
      </c>
      <c r="C636" s="7">
        <v>386.28</v>
      </c>
      <c r="D636" s="6">
        <f t="shared" si="12"/>
        <v>7.6804494382022463</v>
      </c>
      <c r="E636" s="6">
        <v>1.8563442674823235E-2</v>
      </c>
    </row>
    <row r="637" spans="2:5" x14ac:dyDescent="0.3">
      <c r="B637" s="4">
        <v>38688</v>
      </c>
      <c r="C637" s="7">
        <v>44.5</v>
      </c>
      <c r="D637" s="6">
        <f t="shared" si="12"/>
        <v>-0.98085436843078966</v>
      </c>
      <c r="E637" s="6">
        <v>1.8539711604486205E-2</v>
      </c>
    </row>
    <row r="638" spans="2:5" x14ac:dyDescent="0.3">
      <c r="B638" s="4">
        <v>45750</v>
      </c>
      <c r="C638" s="5">
        <v>2324.29</v>
      </c>
      <c r="D638" s="6">
        <f t="shared" si="12"/>
        <v>-0.23016361950185477</v>
      </c>
      <c r="E638" s="6">
        <v>1.8531989482909711E-2</v>
      </c>
    </row>
    <row r="639" spans="2:5" x14ac:dyDescent="0.3">
      <c r="B639" s="4">
        <v>44922</v>
      </c>
      <c r="C639" s="5">
        <v>3019.2</v>
      </c>
      <c r="D639" s="6">
        <f t="shared" si="12"/>
        <v>139.62412668840244</v>
      </c>
      <c r="E639" s="6">
        <v>1.8503213183328523E-2</v>
      </c>
    </row>
    <row r="640" spans="2:5" x14ac:dyDescent="0.3">
      <c r="B640" s="4">
        <v>37846</v>
      </c>
      <c r="C640" s="7">
        <v>21.47</v>
      </c>
      <c r="D640" s="6">
        <f t="shared" si="12"/>
        <v>-0.99244264222405265</v>
      </c>
      <c r="E640" s="6">
        <v>1.8500948766603444E-2</v>
      </c>
    </row>
    <row r="641" spans="2:5" x14ac:dyDescent="0.3">
      <c r="B641" s="4">
        <v>44753</v>
      </c>
      <c r="C641" s="5">
        <v>2840.94</v>
      </c>
      <c r="D641" s="6">
        <f t="shared" si="12"/>
        <v>43.018283235202972</v>
      </c>
      <c r="E641" s="6">
        <v>1.8491697020104943E-2</v>
      </c>
    </row>
    <row r="642" spans="2:5" x14ac:dyDescent="0.3">
      <c r="B642" s="4">
        <v>39890</v>
      </c>
      <c r="C642" s="7">
        <v>64.540000000000006</v>
      </c>
      <c r="D642" s="6">
        <f t="shared" si="12"/>
        <v>1.4345529988683514</v>
      </c>
      <c r="E642" s="6">
        <v>1.8462995108095452E-2</v>
      </c>
    </row>
    <row r="643" spans="2:5" x14ac:dyDescent="0.3">
      <c r="B643" s="4">
        <v>38377</v>
      </c>
      <c r="C643" s="7">
        <v>26.51</v>
      </c>
      <c r="D643" s="6">
        <f t="shared" si="12"/>
        <v>-0.9893028492109287</v>
      </c>
      <c r="E643" s="6">
        <v>1.8440261237034208E-2</v>
      </c>
    </row>
    <row r="644" spans="2:5" x14ac:dyDescent="0.3">
      <c r="B644" s="4">
        <v>45622</v>
      </c>
      <c r="C644" s="5">
        <v>2478.23</v>
      </c>
      <c r="D644" s="6">
        <f t="shared" si="12"/>
        <v>2.2167676951233761</v>
      </c>
      <c r="E644" s="6">
        <v>1.8414412637358098E-2</v>
      </c>
    </row>
    <row r="645" spans="2:5" x14ac:dyDescent="0.3">
      <c r="B645" s="4">
        <v>42200</v>
      </c>
      <c r="C645" s="7">
        <v>770.41</v>
      </c>
      <c r="D645" s="6">
        <f t="shared" si="12"/>
        <v>28.597003457548979</v>
      </c>
      <c r="E645" s="6">
        <v>1.8414234348561691E-2</v>
      </c>
    </row>
    <row r="646" spans="2:5" x14ac:dyDescent="0.3">
      <c r="B646" s="4">
        <v>38376</v>
      </c>
      <c r="C646" s="7">
        <v>26.03</v>
      </c>
      <c r="D646" s="6">
        <f t="shared" si="12"/>
        <v>-0.98412553209655196</v>
      </c>
      <c r="E646" s="6">
        <v>1.8388106416275526E-2</v>
      </c>
    </row>
    <row r="647" spans="2:5" x14ac:dyDescent="0.3">
      <c r="B647" s="4">
        <v>44021</v>
      </c>
      <c r="C647" s="5">
        <v>1639.74</v>
      </c>
      <c r="D647" s="6">
        <f t="shared" si="12"/>
        <v>0.55112427043031587</v>
      </c>
      <c r="E647" s="6">
        <v>1.8383494602953722E-2</v>
      </c>
    </row>
    <row r="648" spans="2:5" x14ac:dyDescent="0.3">
      <c r="B648" s="4">
        <v>43167</v>
      </c>
      <c r="C648" s="5">
        <v>1057.1300000000001</v>
      </c>
      <c r="D648" s="6">
        <f t="shared" ref="D648:D711" si="13">((C648-C649)/C649)</f>
        <v>3.3759003228744104</v>
      </c>
      <c r="E648" s="6">
        <v>1.8380617503973948E-2</v>
      </c>
    </row>
    <row r="649" spans="2:5" x14ac:dyDescent="0.3">
      <c r="B649" s="4">
        <v>40421</v>
      </c>
      <c r="C649" s="7">
        <v>241.58</v>
      </c>
      <c r="D649" s="6">
        <f t="shared" si="13"/>
        <v>-0.25777313506206218</v>
      </c>
      <c r="E649" s="6">
        <v>1.8379563274597478E-2</v>
      </c>
    </row>
    <row r="650" spans="2:5" x14ac:dyDescent="0.3">
      <c r="B650" s="4">
        <v>41121</v>
      </c>
      <c r="C650" s="7">
        <v>325.48</v>
      </c>
      <c r="D650" s="6">
        <f t="shared" si="13"/>
        <v>-0.88889874999146634</v>
      </c>
      <c r="E650" s="6">
        <v>1.8366133725477941E-2</v>
      </c>
    </row>
    <row r="651" spans="2:5" x14ac:dyDescent="0.3">
      <c r="B651" s="4">
        <v>44636</v>
      </c>
      <c r="C651" s="5">
        <v>2929.58</v>
      </c>
      <c r="D651" s="6">
        <f t="shared" si="13"/>
        <v>7.5253906818380232</v>
      </c>
      <c r="E651" s="6">
        <v>1.8360933828334553E-2</v>
      </c>
    </row>
    <row r="652" spans="2:5" x14ac:dyDescent="0.3">
      <c r="B652" s="4">
        <v>41164</v>
      </c>
      <c r="C652" s="7">
        <v>343.63</v>
      </c>
      <c r="D652" s="6">
        <f t="shared" si="13"/>
        <v>20.316997518610421</v>
      </c>
      <c r="E652" s="6">
        <v>1.8344001896633468E-2</v>
      </c>
    </row>
    <row r="653" spans="2:5" x14ac:dyDescent="0.3">
      <c r="B653" s="4">
        <v>37468</v>
      </c>
      <c r="C653" s="7">
        <v>16.12</v>
      </c>
      <c r="D653" s="6">
        <f t="shared" si="13"/>
        <v>-0.99337609559461049</v>
      </c>
      <c r="E653" s="6">
        <v>1.8319646241314019E-2</v>
      </c>
    </row>
    <row r="654" spans="2:5" x14ac:dyDescent="0.3">
      <c r="B654" s="4">
        <v>45763</v>
      </c>
      <c r="C654" s="5">
        <v>2433.61</v>
      </c>
      <c r="D654" s="6">
        <f t="shared" si="13"/>
        <v>1.2026809311755551</v>
      </c>
      <c r="E654" s="6">
        <v>1.8293729000079608E-2</v>
      </c>
    </row>
    <row r="655" spans="2:5" x14ac:dyDescent="0.3">
      <c r="B655" s="4">
        <v>42635</v>
      </c>
      <c r="C655" s="5">
        <v>1104.8399999999999</v>
      </c>
      <c r="D655" s="6">
        <f t="shared" si="13"/>
        <v>54.104239401496258</v>
      </c>
      <c r="E655" s="6">
        <v>1.8285714285714211E-2</v>
      </c>
    </row>
    <row r="656" spans="2:5" x14ac:dyDescent="0.3">
      <c r="B656" s="4">
        <v>37813</v>
      </c>
      <c r="C656" s="7">
        <v>20.05</v>
      </c>
      <c r="D656" s="6">
        <f t="shared" si="13"/>
        <v>-0.98729066037855451</v>
      </c>
      <c r="E656" s="6">
        <v>1.8283392585068534E-2</v>
      </c>
    </row>
    <row r="657" spans="2:5" x14ac:dyDescent="0.3">
      <c r="B657" s="4">
        <v>44004</v>
      </c>
      <c r="C657" s="5">
        <v>1577.58</v>
      </c>
      <c r="D657" s="6">
        <f t="shared" si="13"/>
        <v>66.36037574722458</v>
      </c>
      <c r="E657" s="6">
        <v>1.8273122180123506E-2</v>
      </c>
    </row>
    <row r="658" spans="2:5" x14ac:dyDescent="0.3">
      <c r="B658" s="4">
        <v>38050</v>
      </c>
      <c r="C658" s="7">
        <v>23.42</v>
      </c>
      <c r="D658" s="6">
        <f t="shared" si="13"/>
        <v>-0.98260326987216151</v>
      </c>
      <c r="E658" s="6">
        <v>1.8260869565217466E-2</v>
      </c>
    </row>
    <row r="659" spans="2:5" x14ac:dyDescent="0.3">
      <c r="B659" s="4">
        <v>43454</v>
      </c>
      <c r="C659" s="5">
        <v>1346.23</v>
      </c>
      <c r="D659" s="6">
        <f t="shared" si="13"/>
        <v>-0.41706756271082218</v>
      </c>
      <c r="E659" s="6">
        <v>1.8243565210156583E-2</v>
      </c>
    </row>
    <row r="660" spans="2:5" x14ac:dyDescent="0.3">
      <c r="B660" s="4">
        <v>45665</v>
      </c>
      <c r="C660" s="5">
        <v>2309.41</v>
      </c>
      <c r="D660" s="6">
        <f t="shared" si="13"/>
        <v>5.5767051117755946</v>
      </c>
      <c r="E660" s="6">
        <v>1.8213482650676755E-2</v>
      </c>
    </row>
    <row r="661" spans="2:5" x14ac:dyDescent="0.3">
      <c r="B661" s="4">
        <v>41234</v>
      </c>
      <c r="C661" s="7">
        <v>351.15</v>
      </c>
      <c r="D661" s="6">
        <f t="shared" si="13"/>
        <v>-0.71796539925786707</v>
      </c>
      <c r="E661" s="6">
        <v>1.8180236604036133E-2</v>
      </c>
    </row>
    <row r="662" spans="2:5" x14ac:dyDescent="0.3">
      <c r="B662" s="4">
        <v>43441</v>
      </c>
      <c r="C662" s="5">
        <v>1245.06</v>
      </c>
      <c r="D662" s="6">
        <f t="shared" si="13"/>
        <v>-0.49093540710938849</v>
      </c>
      <c r="E662" s="6">
        <v>1.8179141826746171E-2</v>
      </c>
    </row>
    <row r="663" spans="2:5" x14ac:dyDescent="0.3">
      <c r="B663" s="4">
        <v>45618</v>
      </c>
      <c r="C663" s="5">
        <v>2445.7800000000002</v>
      </c>
      <c r="D663" s="6">
        <f t="shared" si="13"/>
        <v>-0.15468627952470154</v>
      </c>
      <c r="E663" s="6">
        <v>1.8141703438514855E-2</v>
      </c>
    </row>
    <row r="664" spans="2:5" x14ac:dyDescent="0.3">
      <c r="B664" s="4">
        <v>45050</v>
      </c>
      <c r="C664" s="5">
        <v>2893.34</v>
      </c>
      <c r="D664" s="6">
        <f t="shared" si="13"/>
        <v>4.5865690950165092</v>
      </c>
      <c r="E664" s="6">
        <v>1.8139975156503535E-2</v>
      </c>
    </row>
    <row r="665" spans="2:5" x14ac:dyDescent="0.3">
      <c r="B665" s="4">
        <v>41809</v>
      </c>
      <c r="C665" s="7">
        <v>517.91</v>
      </c>
      <c r="D665" s="6">
        <f t="shared" si="13"/>
        <v>1.1965815590804987</v>
      </c>
      <c r="E665" s="6">
        <v>1.8104973461765244E-2</v>
      </c>
    </row>
    <row r="666" spans="2:5" x14ac:dyDescent="0.3">
      <c r="B666" s="4">
        <v>40480</v>
      </c>
      <c r="C666" s="7">
        <v>235.78</v>
      </c>
      <c r="D666" s="6">
        <f t="shared" si="13"/>
        <v>-0.90528679486303976</v>
      </c>
      <c r="E666" s="6">
        <v>1.8092318321171023E-2</v>
      </c>
    </row>
    <row r="667" spans="2:5" x14ac:dyDescent="0.3">
      <c r="B667" s="4">
        <v>44187</v>
      </c>
      <c r="C667" s="5">
        <v>2489.41</v>
      </c>
      <c r="D667" s="6">
        <f t="shared" si="13"/>
        <v>7.2221592840149172E-3</v>
      </c>
      <c r="E667" s="6">
        <v>1.8063666552158512E-2</v>
      </c>
    </row>
    <row r="668" spans="2:5" x14ac:dyDescent="0.3">
      <c r="B668" s="4">
        <v>44319</v>
      </c>
      <c r="C668" s="5">
        <v>2471.56</v>
      </c>
      <c r="D668" s="6">
        <f t="shared" si="13"/>
        <v>22.66261369076113</v>
      </c>
      <c r="E668" s="6">
        <v>1.8037128723066832E-2</v>
      </c>
    </row>
    <row r="669" spans="2:5" x14ac:dyDescent="0.3">
      <c r="B669" s="4">
        <v>39559</v>
      </c>
      <c r="C669" s="7">
        <v>104.45</v>
      </c>
      <c r="D669" s="6">
        <f t="shared" si="13"/>
        <v>-5.7410774088606129E-4</v>
      </c>
      <c r="E669" s="6">
        <v>1.8031189083820749E-2</v>
      </c>
    </row>
    <row r="670" spans="2:5" x14ac:dyDescent="0.3">
      <c r="B670" s="4">
        <v>40014</v>
      </c>
      <c r="C670" s="7">
        <v>104.51</v>
      </c>
      <c r="D670" s="6">
        <f t="shared" si="13"/>
        <v>-0.32972036942021543</v>
      </c>
      <c r="E670" s="6">
        <v>1.8020650691603433E-2</v>
      </c>
    </row>
    <row r="671" spans="2:5" x14ac:dyDescent="0.3">
      <c r="B671" s="4">
        <v>40178</v>
      </c>
      <c r="C671" s="7">
        <v>155.91999999999999</v>
      </c>
      <c r="D671" s="6">
        <f t="shared" si="13"/>
        <v>-0.59912585165188326</v>
      </c>
      <c r="E671" s="6">
        <v>1.7953907423124634E-2</v>
      </c>
    </row>
    <row r="672" spans="2:5" x14ac:dyDescent="0.3">
      <c r="B672" s="4">
        <v>41494</v>
      </c>
      <c r="C672" s="7">
        <v>388.95</v>
      </c>
      <c r="D672" s="6">
        <f t="shared" si="13"/>
        <v>4.2731832971800428</v>
      </c>
      <c r="E672" s="6">
        <v>1.7953885210290805E-2</v>
      </c>
    </row>
    <row r="673" spans="2:5" x14ac:dyDescent="0.3">
      <c r="B673" s="4">
        <v>39798</v>
      </c>
      <c r="C673" s="7">
        <v>73.760000000000005</v>
      </c>
      <c r="D673" s="6">
        <f t="shared" si="13"/>
        <v>-0.6109499446173321</v>
      </c>
      <c r="E673" s="6">
        <v>1.794093292851244E-2</v>
      </c>
    </row>
    <row r="674" spans="2:5" x14ac:dyDescent="0.3">
      <c r="B674" s="4">
        <v>40336</v>
      </c>
      <c r="C674" s="7">
        <v>189.59</v>
      </c>
      <c r="D674" s="6">
        <f t="shared" si="13"/>
        <v>-0.93980601019160859</v>
      </c>
      <c r="E674" s="6">
        <v>1.7932885906040287E-2</v>
      </c>
    </row>
    <row r="675" spans="2:5" x14ac:dyDescent="0.3">
      <c r="B675" s="4">
        <v>45162</v>
      </c>
      <c r="C675" s="5">
        <v>3149.65</v>
      </c>
      <c r="D675" s="6">
        <f t="shared" si="13"/>
        <v>1.9037596341778222</v>
      </c>
      <c r="E675" s="6">
        <v>1.7927205269247508E-2</v>
      </c>
    </row>
    <row r="676" spans="2:5" x14ac:dyDescent="0.3">
      <c r="B676" s="4">
        <v>42863</v>
      </c>
      <c r="C676" s="5">
        <v>1084.68</v>
      </c>
      <c r="D676" s="6">
        <f t="shared" si="13"/>
        <v>-0.20060138406774403</v>
      </c>
      <c r="E676" s="6">
        <v>1.7924510595168957E-2</v>
      </c>
    </row>
    <row r="677" spans="2:5" x14ac:dyDescent="0.3">
      <c r="B677" s="4">
        <v>43669</v>
      </c>
      <c r="C677" s="5">
        <v>1356.87</v>
      </c>
      <c r="D677" s="6">
        <f t="shared" si="13"/>
        <v>0.82352941176470562</v>
      </c>
      <c r="E677" s="6">
        <v>1.791461301285072E-2</v>
      </c>
    </row>
    <row r="678" spans="2:5" x14ac:dyDescent="0.3">
      <c r="B678" s="4">
        <v>42060</v>
      </c>
      <c r="C678" s="7">
        <v>744.09</v>
      </c>
      <c r="D678" s="6">
        <f t="shared" si="13"/>
        <v>-0.31181154795926858</v>
      </c>
      <c r="E678" s="6">
        <v>1.789305207863099E-2</v>
      </c>
    </row>
    <row r="679" spans="2:5" x14ac:dyDescent="0.3">
      <c r="B679" s="4">
        <v>42975</v>
      </c>
      <c r="C679" s="5">
        <v>1081.23</v>
      </c>
      <c r="D679" s="6">
        <f t="shared" si="13"/>
        <v>-0.32633225129128529</v>
      </c>
      <c r="E679" s="6">
        <v>1.7877315860822422E-2</v>
      </c>
    </row>
    <row r="680" spans="2:5" x14ac:dyDescent="0.3">
      <c r="B680" s="4">
        <v>43934</v>
      </c>
      <c r="C680" s="5">
        <v>1604.99</v>
      </c>
      <c r="D680" s="6">
        <f t="shared" si="13"/>
        <v>0.79533099174478172</v>
      </c>
      <c r="E680" s="6">
        <v>1.786507020458903E-2</v>
      </c>
    </row>
    <row r="681" spans="2:5" x14ac:dyDescent="0.3">
      <c r="B681" s="4">
        <v>42507</v>
      </c>
      <c r="C681" s="7">
        <v>893.98</v>
      </c>
      <c r="D681" s="6">
        <f t="shared" si="13"/>
        <v>37.236954662104367</v>
      </c>
      <c r="E681" s="6">
        <v>1.7852669930547724E-2</v>
      </c>
    </row>
    <row r="682" spans="2:5" x14ac:dyDescent="0.3">
      <c r="B682" s="4">
        <v>38155</v>
      </c>
      <c r="C682" s="7">
        <v>23.38</v>
      </c>
      <c r="D682" s="6">
        <f t="shared" si="13"/>
        <v>-0.97793902565602608</v>
      </c>
      <c r="E682" s="6">
        <v>1.7849368741837186E-2</v>
      </c>
    </row>
    <row r="683" spans="2:5" x14ac:dyDescent="0.3">
      <c r="B683" s="4">
        <v>42585</v>
      </c>
      <c r="C683" s="5">
        <v>1059.79</v>
      </c>
      <c r="D683" s="6">
        <f t="shared" si="13"/>
        <v>9.4929702970297019</v>
      </c>
      <c r="E683" s="6">
        <v>1.7844623082759411E-2</v>
      </c>
    </row>
    <row r="684" spans="2:5" x14ac:dyDescent="0.3">
      <c r="B684" s="4">
        <v>39538</v>
      </c>
      <c r="C684" s="7">
        <v>101</v>
      </c>
      <c r="D684" s="6">
        <f t="shared" si="13"/>
        <v>-0.78867640289576102</v>
      </c>
      <c r="E684" s="6">
        <v>1.7837347576337759E-2</v>
      </c>
    </row>
    <row r="685" spans="2:5" x14ac:dyDescent="0.3">
      <c r="B685" s="4">
        <v>41577</v>
      </c>
      <c r="C685" s="7">
        <v>477.94</v>
      </c>
      <c r="D685" s="6">
        <f t="shared" si="13"/>
        <v>5.0209120685311168</v>
      </c>
      <c r="E685" s="6">
        <v>1.7824818450923194E-2</v>
      </c>
    </row>
    <row r="686" spans="2:5" x14ac:dyDescent="0.3">
      <c r="B686" s="4">
        <v>39345</v>
      </c>
      <c r="C686" s="7">
        <v>79.38</v>
      </c>
      <c r="D686" s="6">
        <f t="shared" si="13"/>
        <v>-0.22782101167315177</v>
      </c>
      <c r="E686" s="6">
        <v>1.7822797794589059E-2</v>
      </c>
    </row>
    <row r="687" spans="2:5" x14ac:dyDescent="0.3">
      <c r="B687" s="4">
        <v>40010</v>
      </c>
      <c r="C687" s="7">
        <v>102.8</v>
      </c>
      <c r="D687" s="6">
        <f t="shared" si="13"/>
        <v>-0.96469416492083659</v>
      </c>
      <c r="E687" s="6">
        <v>1.7821782178217793E-2</v>
      </c>
    </row>
    <row r="688" spans="2:5" x14ac:dyDescent="0.3">
      <c r="B688" s="4">
        <v>44411</v>
      </c>
      <c r="C688" s="5">
        <v>2911.7</v>
      </c>
      <c r="D688" s="6">
        <f t="shared" si="13"/>
        <v>1.0297381702590414</v>
      </c>
      <c r="E688" s="6">
        <v>1.7802899219440862E-2</v>
      </c>
    </row>
    <row r="689" spans="2:5" x14ac:dyDescent="0.3">
      <c r="B689" s="4">
        <v>43557</v>
      </c>
      <c r="C689" s="5">
        <v>1434.52</v>
      </c>
      <c r="D689" s="6">
        <f t="shared" si="13"/>
        <v>-0.53079320845312739</v>
      </c>
      <c r="E689" s="6">
        <v>1.7787080066692634E-2</v>
      </c>
    </row>
    <row r="690" spans="2:5" x14ac:dyDescent="0.3">
      <c r="B690" s="4">
        <v>44620</v>
      </c>
      <c r="C690" s="5">
        <v>3057.33</v>
      </c>
      <c r="D690" s="6">
        <f t="shared" si="13"/>
        <v>81.098012889366274</v>
      </c>
      <c r="E690" s="6">
        <v>1.7776712506616364E-2</v>
      </c>
    </row>
    <row r="691" spans="2:5" x14ac:dyDescent="0.3">
      <c r="B691" s="4">
        <v>38581</v>
      </c>
      <c r="C691" s="7">
        <v>37.24</v>
      </c>
      <c r="D691" s="6">
        <f t="shared" si="13"/>
        <v>-0.91503730236590541</v>
      </c>
      <c r="E691" s="6">
        <v>1.7764416507242375E-2</v>
      </c>
    </row>
    <row r="692" spans="2:5" x14ac:dyDescent="0.3">
      <c r="B692" s="4">
        <v>41675</v>
      </c>
      <c r="C692" s="7">
        <v>438.31</v>
      </c>
      <c r="D692" s="6">
        <f t="shared" si="13"/>
        <v>-0.81720022020552519</v>
      </c>
      <c r="E692" s="6">
        <v>1.7763432870477817E-2</v>
      </c>
    </row>
    <row r="693" spans="2:5" x14ac:dyDescent="0.3">
      <c r="B693" s="4">
        <v>45867</v>
      </c>
      <c r="C693" s="5">
        <v>2397.7600000000002</v>
      </c>
      <c r="D693" s="6">
        <f t="shared" si="13"/>
        <v>12.435087129489553</v>
      </c>
      <c r="E693" s="6">
        <v>1.7759516452171612E-2</v>
      </c>
    </row>
    <row r="694" spans="2:5" x14ac:dyDescent="0.3">
      <c r="B694" s="4">
        <v>40273</v>
      </c>
      <c r="C694" s="7">
        <v>178.47</v>
      </c>
      <c r="D694" s="6">
        <f t="shared" si="13"/>
        <v>-0.93752537911141609</v>
      </c>
      <c r="E694" s="6">
        <v>1.7734945255474366E-2</v>
      </c>
    </row>
    <row r="695" spans="2:5" x14ac:dyDescent="0.3">
      <c r="B695" s="4">
        <v>44495</v>
      </c>
      <c r="C695" s="5">
        <v>2856.68</v>
      </c>
      <c r="D695" s="6">
        <f t="shared" si="13"/>
        <v>4.6349271465932138E-2</v>
      </c>
      <c r="E695" s="6">
        <v>1.7734867647582652E-2</v>
      </c>
    </row>
    <row r="696" spans="2:5" x14ac:dyDescent="0.3">
      <c r="B696" s="4">
        <v>44966</v>
      </c>
      <c r="C696" s="5">
        <v>2730.14</v>
      </c>
      <c r="D696" s="6">
        <f t="shared" si="13"/>
        <v>5.5308104487608833</v>
      </c>
      <c r="E696" s="6">
        <v>1.7717819586149215E-2</v>
      </c>
    </row>
    <row r="697" spans="2:5" x14ac:dyDescent="0.3">
      <c r="B697" s="4">
        <v>41341</v>
      </c>
      <c r="C697" s="7">
        <v>418.04</v>
      </c>
      <c r="D697" s="6">
        <f t="shared" si="13"/>
        <v>3.8111405224997128</v>
      </c>
      <c r="E697" s="6">
        <v>1.7698468729459405E-2</v>
      </c>
    </row>
    <row r="698" spans="2:5" x14ac:dyDescent="0.3">
      <c r="B698" s="4">
        <v>39386</v>
      </c>
      <c r="C698" s="7">
        <v>86.89</v>
      </c>
      <c r="D698" s="6">
        <f t="shared" si="13"/>
        <v>4.20611144397843</v>
      </c>
      <c r="E698" s="6">
        <v>1.7685640665261248E-2</v>
      </c>
    </row>
    <row r="699" spans="2:5" x14ac:dyDescent="0.3">
      <c r="B699" s="4">
        <v>37635</v>
      </c>
      <c r="C699" s="7">
        <v>16.690000000000001</v>
      </c>
      <c r="D699" s="6">
        <f t="shared" si="13"/>
        <v>-0.98899395953680991</v>
      </c>
      <c r="E699" s="6">
        <v>1.7682926829268458E-2</v>
      </c>
    </row>
    <row r="700" spans="2:5" x14ac:dyDescent="0.3">
      <c r="B700" s="4">
        <v>43693</v>
      </c>
      <c r="C700" s="5">
        <v>1516.44</v>
      </c>
      <c r="D700" s="6">
        <f t="shared" si="13"/>
        <v>4.1489529748700286E-2</v>
      </c>
      <c r="E700" s="6">
        <v>1.7676665995570866E-2</v>
      </c>
    </row>
    <row r="701" spans="2:5" x14ac:dyDescent="0.3">
      <c r="B701" s="4">
        <v>43914</v>
      </c>
      <c r="C701" s="5">
        <v>1456.03</v>
      </c>
      <c r="D701" s="6">
        <f t="shared" si="13"/>
        <v>88.989493201483313</v>
      </c>
      <c r="E701" s="6">
        <v>1.7619267273311832E-2</v>
      </c>
    </row>
    <row r="702" spans="2:5" x14ac:dyDescent="0.3">
      <c r="B702" s="4">
        <v>37573</v>
      </c>
      <c r="C702" s="7">
        <v>16.18</v>
      </c>
      <c r="D702" s="6">
        <f t="shared" si="13"/>
        <v>-0.84368660032847076</v>
      </c>
      <c r="E702" s="6">
        <v>1.7610062893081719E-2</v>
      </c>
    </row>
    <row r="703" spans="2:5" x14ac:dyDescent="0.3">
      <c r="B703" s="4">
        <v>39693</v>
      </c>
      <c r="C703" s="7">
        <v>103.51</v>
      </c>
      <c r="D703" s="6">
        <f t="shared" si="13"/>
        <v>-0.87196645474111278</v>
      </c>
      <c r="E703" s="6">
        <v>1.7597325992921808E-2</v>
      </c>
    </row>
    <row r="704" spans="2:5" x14ac:dyDescent="0.3">
      <c r="B704" s="4">
        <v>42486</v>
      </c>
      <c r="C704" s="7">
        <v>808.46</v>
      </c>
      <c r="D704" s="6">
        <f t="shared" si="13"/>
        <v>-0.76526505891165864</v>
      </c>
      <c r="E704" s="6">
        <v>1.7570799244808102E-2</v>
      </c>
    </row>
    <row r="705" spans="2:5" x14ac:dyDescent="0.3">
      <c r="B705" s="4">
        <v>44568</v>
      </c>
      <c r="C705" s="5">
        <v>3444.14</v>
      </c>
      <c r="D705" s="6">
        <f t="shared" si="13"/>
        <v>0.82191070672873445</v>
      </c>
      <c r="E705" s="6">
        <v>1.7540335089237937E-2</v>
      </c>
    </row>
    <row r="706" spans="2:5" x14ac:dyDescent="0.3">
      <c r="B706" s="4">
        <v>44077</v>
      </c>
      <c r="C706" s="5">
        <v>1890.4</v>
      </c>
      <c r="D706" s="6">
        <f t="shared" si="13"/>
        <v>1.4125784879268981</v>
      </c>
      <c r="E706" s="6">
        <v>1.7514775063783166E-2</v>
      </c>
    </row>
    <row r="707" spans="2:5" x14ac:dyDescent="0.3">
      <c r="B707" s="4">
        <v>42241</v>
      </c>
      <c r="C707" s="7">
        <v>783.56</v>
      </c>
      <c r="D707" s="6">
        <f t="shared" si="13"/>
        <v>1.5384216664506931</v>
      </c>
      <c r="E707" s="6">
        <v>1.7491462036904666E-2</v>
      </c>
    </row>
    <row r="708" spans="2:5" x14ac:dyDescent="0.3">
      <c r="B708" s="4">
        <v>41025</v>
      </c>
      <c r="C708" s="7">
        <v>308.68</v>
      </c>
      <c r="D708" s="6">
        <f t="shared" si="13"/>
        <v>-0.59256619413426259</v>
      </c>
      <c r="E708" s="6">
        <v>1.7469839804865224E-2</v>
      </c>
    </row>
    <row r="709" spans="2:5" x14ac:dyDescent="0.3">
      <c r="B709" s="4">
        <v>42326</v>
      </c>
      <c r="C709" s="7">
        <v>757.62</v>
      </c>
      <c r="D709" s="6">
        <f t="shared" si="13"/>
        <v>1.2754084574723692</v>
      </c>
      <c r="E709" s="6">
        <v>1.745856947167683E-2</v>
      </c>
    </row>
    <row r="710" spans="2:5" x14ac:dyDescent="0.3">
      <c r="B710" s="4">
        <v>41149</v>
      </c>
      <c r="C710" s="7">
        <v>332.96</v>
      </c>
      <c r="D710" s="6">
        <f t="shared" si="13"/>
        <v>14.795066413662241</v>
      </c>
      <c r="E710" s="6">
        <v>1.7386255996577744E-2</v>
      </c>
    </row>
    <row r="711" spans="2:5" x14ac:dyDescent="0.3">
      <c r="B711" s="4">
        <v>37845</v>
      </c>
      <c r="C711" s="7">
        <v>21.08</v>
      </c>
      <c r="D711" s="6">
        <f t="shared" si="13"/>
        <v>-0.60442859823606687</v>
      </c>
      <c r="E711" s="6">
        <v>1.7374517374517347E-2</v>
      </c>
    </row>
    <row r="712" spans="2:5" x14ac:dyDescent="0.3">
      <c r="B712" s="4">
        <v>38786</v>
      </c>
      <c r="C712" s="7">
        <v>53.29</v>
      </c>
      <c r="D712" s="6">
        <f t="shared" ref="D712:D775" si="14">((C712-C713)/C713)</f>
        <v>-0.49731157437977552</v>
      </c>
      <c r="E712" s="6">
        <v>1.7373043146238956E-2</v>
      </c>
    </row>
    <row r="713" spans="2:5" x14ac:dyDescent="0.3">
      <c r="B713" s="4">
        <v>39597</v>
      </c>
      <c r="C713" s="7">
        <v>106.01</v>
      </c>
      <c r="D713" s="6">
        <f t="shared" si="14"/>
        <v>-0.4097438752783964</v>
      </c>
      <c r="E713" s="6">
        <v>1.7370441458733225E-2</v>
      </c>
    </row>
    <row r="714" spans="2:5" x14ac:dyDescent="0.3">
      <c r="B714" s="4">
        <v>40267</v>
      </c>
      <c r="C714" s="7">
        <v>179.6</v>
      </c>
      <c r="D714" s="6">
        <f t="shared" si="14"/>
        <v>2.7723167401806346</v>
      </c>
      <c r="E714" s="6">
        <v>1.7333182281635905E-2</v>
      </c>
    </row>
    <row r="715" spans="2:5" x14ac:dyDescent="0.3">
      <c r="B715" s="4">
        <v>38911</v>
      </c>
      <c r="C715" s="7">
        <v>47.61</v>
      </c>
      <c r="D715" s="6">
        <f t="shared" si="14"/>
        <v>-0.95475409836065572</v>
      </c>
      <c r="E715" s="6">
        <v>1.7307692307692357E-2</v>
      </c>
    </row>
    <row r="716" spans="2:5" x14ac:dyDescent="0.3">
      <c r="B716" s="4">
        <v>42881</v>
      </c>
      <c r="C716" s="5">
        <v>1052.25</v>
      </c>
      <c r="D716" s="6">
        <f t="shared" si="14"/>
        <v>-0.64488564457178732</v>
      </c>
      <c r="E716" s="6">
        <v>1.7295719091999017E-2</v>
      </c>
    </row>
    <row r="717" spans="2:5" x14ac:dyDescent="0.3">
      <c r="B717" s="4">
        <v>45236</v>
      </c>
      <c r="C717" s="5">
        <v>2963.13</v>
      </c>
      <c r="D717" s="6">
        <f t="shared" si="14"/>
        <v>115.79661016949153</v>
      </c>
      <c r="E717" s="6">
        <v>1.727541446232338E-2</v>
      </c>
    </row>
    <row r="718" spans="2:5" x14ac:dyDescent="0.3">
      <c r="B718" s="4">
        <v>38204</v>
      </c>
      <c r="C718" s="7">
        <v>25.37</v>
      </c>
      <c r="D718" s="6">
        <f t="shared" si="14"/>
        <v>-0.98085441963308717</v>
      </c>
      <c r="E718" s="6">
        <v>1.7241379310344817E-2</v>
      </c>
    </row>
    <row r="719" spans="2:5" x14ac:dyDescent="0.3">
      <c r="B719" s="4">
        <v>43663</v>
      </c>
      <c r="C719" s="5">
        <v>1325.11</v>
      </c>
      <c r="D719" s="6">
        <f t="shared" si="14"/>
        <v>28.466533244385143</v>
      </c>
      <c r="E719" s="6">
        <v>1.7194924426771778E-2</v>
      </c>
    </row>
    <row r="720" spans="2:5" x14ac:dyDescent="0.3">
      <c r="B720" s="4">
        <v>38705</v>
      </c>
      <c r="C720" s="7">
        <v>44.97</v>
      </c>
      <c r="D720" s="6">
        <f t="shared" si="14"/>
        <v>-0.98551261565423576</v>
      </c>
      <c r="E720" s="6">
        <v>1.7190680841438544E-2</v>
      </c>
    </row>
    <row r="721" spans="2:5" x14ac:dyDescent="0.3">
      <c r="B721" s="4">
        <v>45261</v>
      </c>
      <c r="C721" s="5">
        <v>3104.08</v>
      </c>
      <c r="D721" s="6">
        <f t="shared" si="14"/>
        <v>1.7088340271050952</v>
      </c>
      <c r="E721" s="6">
        <v>1.7147538297698019E-2</v>
      </c>
    </row>
    <row r="722" spans="2:5" x14ac:dyDescent="0.3">
      <c r="B722" s="4">
        <v>43222</v>
      </c>
      <c r="C722" s="5">
        <v>1145.9100000000001</v>
      </c>
      <c r="D722" s="6">
        <f t="shared" si="14"/>
        <v>-0.60703079186428122</v>
      </c>
      <c r="E722" s="6">
        <v>1.7140067459613148E-2</v>
      </c>
    </row>
    <row r="723" spans="2:5" x14ac:dyDescent="0.3">
      <c r="B723" s="4">
        <v>45329</v>
      </c>
      <c r="C723" s="5">
        <v>2916.03</v>
      </c>
      <c r="D723" s="6">
        <f t="shared" si="14"/>
        <v>41.675691497146204</v>
      </c>
      <c r="E723" s="6">
        <v>1.7126333743760876E-2</v>
      </c>
    </row>
    <row r="724" spans="2:5" x14ac:dyDescent="0.3">
      <c r="B724" s="4">
        <v>39905</v>
      </c>
      <c r="C724" s="7">
        <v>68.33</v>
      </c>
      <c r="D724" s="6">
        <f t="shared" si="14"/>
        <v>-0.89975646969074574</v>
      </c>
      <c r="E724" s="6">
        <v>1.7118189937481265E-2</v>
      </c>
    </row>
    <row r="725" spans="2:5" x14ac:dyDescent="0.3">
      <c r="B725" s="4">
        <v>41995</v>
      </c>
      <c r="C725" s="7">
        <v>681.64</v>
      </c>
      <c r="D725" s="6">
        <f t="shared" si="14"/>
        <v>-0.72522604233431298</v>
      </c>
      <c r="E725" s="6">
        <v>1.7115060357819699E-2</v>
      </c>
    </row>
    <row r="726" spans="2:5" x14ac:dyDescent="0.3">
      <c r="B726" s="4">
        <v>45846</v>
      </c>
      <c r="C726" s="5">
        <v>2480.73</v>
      </c>
      <c r="D726" s="6">
        <f t="shared" si="14"/>
        <v>30.106332288401255</v>
      </c>
      <c r="E726" s="6">
        <v>1.7113641302342462E-2</v>
      </c>
    </row>
    <row r="727" spans="2:5" x14ac:dyDescent="0.3">
      <c r="B727" s="4">
        <v>39832</v>
      </c>
      <c r="C727" s="7">
        <v>79.75</v>
      </c>
      <c r="D727" s="6">
        <f t="shared" si="14"/>
        <v>-0.22111534329524368</v>
      </c>
      <c r="E727" s="6">
        <v>1.7089656931513882E-2</v>
      </c>
    </row>
    <row r="728" spans="2:5" x14ac:dyDescent="0.3">
      <c r="B728" s="4">
        <v>39483</v>
      </c>
      <c r="C728" s="7">
        <v>102.39</v>
      </c>
      <c r="D728" s="6">
        <f t="shared" si="14"/>
        <v>0.21056987467486407</v>
      </c>
      <c r="E728" s="6">
        <v>1.7085526969305639E-2</v>
      </c>
    </row>
    <row r="729" spans="2:5" x14ac:dyDescent="0.3">
      <c r="B729" s="4">
        <v>39435</v>
      </c>
      <c r="C729" s="7">
        <v>84.58</v>
      </c>
      <c r="D729" s="6">
        <f t="shared" si="14"/>
        <v>-0.61645202249229092</v>
      </c>
      <c r="E729" s="6">
        <v>1.7075517075517098E-2</v>
      </c>
    </row>
    <row r="730" spans="2:5" x14ac:dyDescent="0.3">
      <c r="B730" s="4">
        <v>40381</v>
      </c>
      <c r="C730" s="7">
        <v>220.52</v>
      </c>
      <c r="D730" s="6">
        <f t="shared" si="14"/>
        <v>-0.92274816434056384</v>
      </c>
      <c r="E730" s="6">
        <v>1.7064846416382333E-2</v>
      </c>
    </row>
    <row r="731" spans="2:5" x14ac:dyDescent="0.3">
      <c r="B731" s="4">
        <v>45386</v>
      </c>
      <c r="C731" s="5">
        <v>2854.56</v>
      </c>
      <c r="D731" s="6">
        <f t="shared" si="14"/>
        <v>-3.8172414374041806E-2</v>
      </c>
      <c r="E731" s="6">
        <v>1.7059301380991106E-2</v>
      </c>
    </row>
    <row r="732" spans="2:5" x14ac:dyDescent="0.3">
      <c r="B732" s="4">
        <v>45503</v>
      </c>
      <c r="C732" s="5">
        <v>2967.85</v>
      </c>
      <c r="D732" s="6">
        <f t="shared" si="14"/>
        <v>36.359642497482376</v>
      </c>
      <c r="E732" s="6">
        <v>1.7041794031773888E-2</v>
      </c>
    </row>
    <row r="733" spans="2:5" x14ac:dyDescent="0.3">
      <c r="B733" s="4">
        <v>39338</v>
      </c>
      <c r="C733" s="7">
        <v>79.44</v>
      </c>
      <c r="D733" s="6">
        <f t="shared" si="14"/>
        <v>-0.92948695189064434</v>
      </c>
      <c r="E733" s="6">
        <v>1.702726923569323E-2</v>
      </c>
    </row>
    <row r="734" spans="2:5" x14ac:dyDescent="0.3">
      <c r="B734" s="4">
        <v>43220</v>
      </c>
      <c r="C734" s="5">
        <v>1126.5999999999999</v>
      </c>
      <c r="D734" s="6">
        <f t="shared" si="14"/>
        <v>44.927435792906643</v>
      </c>
      <c r="E734" s="6">
        <v>1.7007293998700004E-2</v>
      </c>
    </row>
    <row r="735" spans="2:5" x14ac:dyDescent="0.3">
      <c r="B735" s="4">
        <v>38160</v>
      </c>
      <c r="C735" s="7">
        <v>24.53</v>
      </c>
      <c r="D735" s="6">
        <f t="shared" si="14"/>
        <v>-0.94515249083266262</v>
      </c>
      <c r="E735" s="6">
        <v>1.6998341625207303E-2</v>
      </c>
    </row>
    <row r="736" spans="2:5" x14ac:dyDescent="0.3">
      <c r="B736" s="4">
        <v>41353</v>
      </c>
      <c r="C736" s="7">
        <v>447.24</v>
      </c>
      <c r="D736" s="6">
        <f t="shared" si="14"/>
        <v>-0.68358496172512839</v>
      </c>
      <c r="E736" s="6">
        <v>1.6963026968029551E-2</v>
      </c>
    </row>
    <row r="737" spans="2:5" x14ac:dyDescent="0.3">
      <c r="B737" s="4">
        <v>43552</v>
      </c>
      <c r="C737" s="5">
        <v>1413.46</v>
      </c>
      <c r="D737" s="6">
        <f t="shared" si="14"/>
        <v>41.054745611425176</v>
      </c>
      <c r="E737" s="6">
        <v>1.6950859774084427E-2</v>
      </c>
    </row>
    <row r="738" spans="2:5" x14ac:dyDescent="0.3">
      <c r="B738" s="4">
        <v>38537</v>
      </c>
      <c r="C738" s="7">
        <v>33.61</v>
      </c>
      <c r="D738" s="6">
        <f t="shared" si="14"/>
        <v>-0.8707158518290572</v>
      </c>
      <c r="E738" s="6">
        <v>1.6944024205748937E-2</v>
      </c>
    </row>
    <row r="739" spans="2:5" x14ac:dyDescent="0.3">
      <c r="B739" s="4">
        <v>40687</v>
      </c>
      <c r="C739" s="7">
        <v>259.97000000000003</v>
      </c>
      <c r="D739" s="6">
        <f t="shared" si="14"/>
        <v>1.1906968905367827</v>
      </c>
      <c r="E739" s="6">
        <v>1.6937881395712881E-2</v>
      </c>
    </row>
    <row r="740" spans="2:5" x14ac:dyDescent="0.3">
      <c r="B740" s="4">
        <v>40060</v>
      </c>
      <c r="C740" s="7">
        <v>118.67</v>
      </c>
      <c r="D740" s="6">
        <f t="shared" si="14"/>
        <v>-0.90115693117550533</v>
      </c>
      <c r="E740" s="6">
        <v>1.688089117395029E-2</v>
      </c>
    </row>
    <row r="741" spans="2:5" x14ac:dyDescent="0.3">
      <c r="B741" s="4">
        <v>43277</v>
      </c>
      <c r="C741" s="5">
        <v>1200.5899999999999</v>
      </c>
      <c r="D741" s="6">
        <f t="shared" si="14"/>
        <v>-0.48101446393526248</v>
      </c>
      <c r="E741" s="6">
        <v>1.6871776194872273E-2</v>
      </c>
    </row>
    <row r="742" spans="2:5" x14ac:dyDescent="0.3">
      <c r="B742" s="4">
        <v>44235</v>
      </c>
      <c r="C742" s="5">
        <v>2313.34</v>
      </c>
      <c r="D742" s="6">
        <f t="shared" si="14"/>
        <v>11.608131676477001</v>
      </c>
      <c r="E742" s="6">
        <v>1.6870626296726143E-2</v>
      </c>
    </row>
    <row r="743" spans="2:5" x14ac:dyDescent="0.3">
      <c r="B743" s="4">
        <v>40332</v>
      </c>
      <c r="C743" s="7">
        <v>183.48</v>
      </c>
      <c r="D743" s="6">
        <f t="shared" si="14"/>
        <v>-0.24775531958509289</v>
      </c>
      <c r="E743" s="6">
        <v>1.6847705608512481E-2</v>
      </c>
    </row>
    <row r="744" spans="2:5" x14ac:dyDescent="0.3">
      <c r="B744" s="4">
        <v>40445</v>
      </c>
      <c r="C744" s="7">
        <v>243.91</v>
      </c>
      <c r="D744" s="6">
        <f t="shared" si="14"/>
        <v>2.251266328978939</v>
      </c>
      <c r="E744" s="6">
        <v>1.6842456330512328E-2</v>
      </c>
    </row>
    <row r="745" spans="2:5" x14ac:dyDescent="0.3">
      <c r="B745" s="4">
        <v>39287</v>
      </c>
      <c r="C745" s="7">
        <v>75.02</v>
      </c>
      <c r="D745" s="6">
        <f t="shared" si="14"/>
        <v>-0.9742520498484708</v>
      </c>
      <c r="E745" s="6">
        <v>1.680672268907556E-2</v>
      </c>
    </row>
    <row r="746" spans="2:5" x14ac:dyDescent="0.3">
      <c r="B746" s="4">
        <v>45499</v>
      </c>
      <c r="C746" s="5">
        <v>2913.63</v>
      </c>
      <c r="D746" s="6">
        <f t="shared" si="14"/>
        <v>0.24356796530884012</v>
      </c>
      <c r="E746" s="6">
        <v>1.6803467481887883E-2</v>
      </c>
    </row>
    <row r="747" spans="2:5" x14ac:dyDescent="0.3">
      <c r="B747" s="4">
        <v>44228</v>
      </c>
      <c r="C747" s="5">
        <v>2342.96</v>
      </c>
      <c r="D747" s="6">
        <f t="shared" si="14"/>
        <v>1.0358180892994204E-2</v>
      </c>
      <c r="E747" s="6">
        <v>1.6799392427037013E-2</v>
      </c>
    </row>
    <row r="748" spans="2:5" x14ac:dyDescent="0.3">
      <c r="B748" s="4">
        <v>44264</v>
      </c>
      <c r="C748" s="5">
        <v>2318.94</v>
      </c>
      <c r="D748" s="6">
        <f t="shared" si="14"/>
        <v>-4.8600968244851085E-2</v>
      </c>
      <c r="E748" s="6">
        <v>1.6789073290509268E-2</v>
      </c>
    </row>
    <row r="749" spans="2:5" x14ac:dyDescent="0.3">
      <c r="B749" s="4">
        <v>46070</v>
      </c>
      <c r="C749" s="5">
        <v>2437.4</v>
      </c>
      <c r="D749" s="6">
        <f t="shared" si="14"/>
        <v>7.4808629088378575</v>
      </c>
      <c r="E749" s="6">
        <v>1.6769564491907338E-2</v>
      </c>
    </row>
    <row r="750" spans="2:5" x14ac:dyDescent="0.3">
      <c r="B750" s="4">
        <v>40998</v>
      </c>
      <c r="C750" s="7">
        <v>287.39999999999998</v>
      </c>
      <c r="D750" s="6">
        <f t="shared" si="14"/>
        <v>-0.47780583970783297</v>
      </c>
      <c r="E750" s="6">
        <v>1.6769263426024028E-2</v>
      </c>
    </row>
    <row r="751" spans="2:5" x14ac:dyDescent="0.3">
      <c r="B751" s="4">
        <v>41842</v>
      </c>
      <c r="C751" s="7">
        <v>550.37</v>
      </c>
      <c r="D751" s="6">
        <f t="shared" si="14"/>
        <v>-0.76258837637660093</v>
      </c>
      <c r="E751" s="6">
        <v>1.6755957879179845E-2</v>
      </c>
    </row>
    <row r="752" spans="2:5" x14ac:dyDescent="0.3">
      <c r="B752" s="4">
        <v>45659</v>
      </c>
      <c r="C752" s="5">
        <v>2318.21</v>
      </c>
      <c r="D752" s="6">
        <f t="shared" si="14"/>
        <v>19.506059265811587</v>
      </c>
      <c r="E752" s="6">
        <v>1.6749853071464309E-2</v>
      </c>
    </row>
    <row r="753" spans="2:5" x14ac:dyDescent="0.3">
      <c r="B753" s="4">
        <v>40018</v>
      </c>
      <c r="C753" s="7">
        <v>113.05</v>
      </c>
      <c r="D753" s="6">
        <f t="shared" si="14"/>
        <v>-0.96151214214462988</v>
      </c>
      <c r="E753" s="6">
        <v>1.6728123032646817E-2</v>
      </c>
    </row>
    <row r="754" spans="2:5" x14ac:dyDescent="0.3">
      <c r="B754" s="4">
        <v>44698</v>
      </c>
      <c r="C754" s="5">
        <v>2937.29</v>
      </c>
      <c r="D754" s="6">
        <f t="shared" si="14"/>
        <v>1.6580847752117571</v>
      </c>
      <c r="E754" s="6">
        <v>1.6701049483565475E-2</v>
      </c>
    </row>
    <row r="755" spans="2:5" x14ac:dyDescent="0.3">
      <c r="B755" s="4">
        <v>43213</v>
      </c>
      <c r="C755" s="5">
        <v>1105.04</v>
      </c>
      <c r="D755" s="6">
        <f t="shared" si="14"/>
        <v>1.2636840380203209</v>
      </c>
      <c r="E755" s="6">
        <v>1.6689667862728744E-2</v>
      </c>
    </row>
    <row r="756" spans="2:5" x14ac:dyDescent="0.3">
      <c r="B756" s="4">
        <v>41736</v>
      </c>
      <c r="C756" s="7">
        <v>488.16</v>
      </c>
      <c r="D756" s="6">
        <f t="shared" si="14"/>
        <v>5.5087999999999999</v>
      </c>
      <c r="E756" s="6">
        <v>1.6682286785379669E-2</v>
      </c>
    </row>
    <row r="757" spans="2:5" x14ac:dyDescent="0.3">
      <c r="B757" s="4">
        <v>39297</v>
      </c>
      <c r="C757" s="7">
        <v>75</v>
      </c>
      <c r="D757" s="6">
        <f t="shared" si="14"/>
        <v>-0.78670155281269549</v>
      </c>
      <c r="E757" s="6">
        <v>1.6673444489629985E-2</v>
      </c>
    </row>
    <row r="758" spans="2:5" x14ac:dyDescent="0.3">
      <c r="B758" s="4">
        <v>41180</v>
      </c>
      <c r="C758" s="7">
        <v>351.62</v>
      </c>
      <c r="D758" s="6">
        <f t="shared" si="14"/>
        <v>-0.8852639822489069</v>
      </c>
      <c r="E758" s="6">
        <v>1.6654137512288184E-2</v>
      </c>
    </row>
    <row r="759" spans="2:5" x14ac:dyDescent="0.3">
      <c r="B759" s="4">
        <v>44866</v>
      </c>
      <c r="C759" s="5">
        <v>3064.6</v>
      </c>
      <c r="D759" s="6">
        <f t="shared" si="14"/>
        <v>72.650564768084593</v>
      </c>
      <c r="E759" s="6">
        <v>1.6636534027766291E-2</v>
      </c>
    </row>
    <row r="760" spans="2:5" x14ac:dyDescent="0.3">
      <c r="B760" s="4">
        <v>38630</v>
      </c>
      <c r="C760" s="7">
        <v>41.61</v>
      </c>
      <c r="D760" s="6">
        <f t="shared" si="14"/>
        <v>-0.97442453670979445</v>
      </c>
      <c r="E760" s="6">
        <v>1.6613730759833856E-2</v>
      </c>
    </row>
    <row r="761" spans="2:5" x14ac:dyDescent="0.3">
      <c r="B761" s="4">
        <v>43794</v>
      </c>
      <c r="C761" s="5">
        <v>1626.95</v>
      </c>
      <c r="D761" s="6">
        <f t="shared" si="14"/>
        <v>20.609111435781642</v>
      </c>
      <c r="E761" s="6">
        <v>1.6608659247549101E-2</v>
      </c>
    </row>
    <row r="762" spans="2:5" x14ac:dyDescent="0.3">
      <c r="B762" s="4">
        <v>39301</v>
      </c>
      <c r="C762" s="7">
        <v>75.290000000000006</v>
      </c>
      <c r="D762" s="6">
        <f t="shared" si="14"/>
        <v>-0.95184367904314182</v>
      </c>
      <c r="E762" s="6">
        <v>1.6608155549554467E-2</v>
      </c>
    </row>
    <row r="763" spans="2:5" x14ac:dyDescent="0.3">
      <c r="B763" s="4">
        <v>43994</v>
      </c>
      <c r="C763" s="5">
        <v>1563.45</v>
      </c>
      <c r="D763" s="6">
        <f t="shared" si="14"/>
        <v>4.6877546565774164</v>
      </c>
      <c r="E763" s="6">
        <v>1.6606953592863016E-2</v>
      </c>
    </row>
    <row r="764" spans="2:5" x14ac:dyDescent="0.3">
      <c r="B764" s="4">
        <v>40694</v>
      </c>
      <c r="C764" s="7">
        <v>274.88</v>
      </c>
      <c r="D764" s="6">
        <f t="shared" si="14"/>
        <v>-0.91220079341250415</v>
      </c>
      <c r="E764" s="6">
        <v>1.6605643699841004E-2</v>
      </c>
    </row>
    <row r="765" spans="2:5" x14ac:dyDescent="0.3">
      <c r="B765" s="4">
        <v>44474</v>
      </c>
      <c r="C765" s="5">
        <v>3130.78</v>
      </c>
      <c r="D765" s="6">
        <f t="shared" si="14"/>
        <v>9.8970454537476882E-2</v>
      </c>
      <c r="E765" s="6">
        <v>1.6602536002467846E-2</v>
      </c>
    </row>
    <row r="766" spans="2:5" x14ac:dyDescent="0.3">
      <c r="B766" s="4">
        <v>44755</v>
      </c>
      <c r="C766" s="5">
        <v>2848.83</v>
      </c>
      <c r="D766" s="6">
        <f t="shared" si="14"/>
        <v>10.442922557840616</v>
      </c>
      <c r="E766" s="6">
        <v>1.6589707173290814E-2</v>
      </c>
    </row>
    <row r="767" spans="2:5" x14ac:dyDescent="0.3">
      <c r="B767" s="4">
        <v>40438</v>
      </c>
      <c r="C767" s="7">
        <v>248.96</v>
      </c>
      <c r="D767" s="6">
        <f t="shared" si="14"/>
        <v>-0.49394259695910231</v>
      </c>
      <c r="E767" s="6">
        <v>1.6578195181706827E-2</v>
      </c>
    </row>
    <row r="768" spans="2:5" x14ac:dyDescent="0.3">
      <c r="B768" s="4">
        <v>41746</v>
      </c>
      <c r="C768" s="7">
        <v>491.96</v>
      </c>
      <c r="D768" s="6">
        <f t="shared" si="14"/>
        <v>2.150358606557377</v>
      </c>
      <c r="E768" s="6">
        <v>1.6551296621551796E-2</v>
      </c>
    </row>
    <row r="769" spans="2:5" x14ac:dyDescent="0.3">
      <c r="B769" s="4">
        <v>40186</v>
      </c>
      <c r="C769" s="7">
        <v>156.16</v>
      </c>
      <c r="D769" s="6">
        <f t="shared" si="14"/>
        <v>-6.4032784785752103E-5</v>
      </c>
      <c r="E769" s="6">
        <v>1.6534305428980548E-2</v>
      </c>
    </row>
    <row r="770" spans="2:5" x14ac:dyDescent="0.3">
      <c r="B770" s="4">
        <v>40165</v>
      </c>
      <c r="C770" s="7">
        <v>156.16999999999999</v>
      </c>
      <c r="D770" s="6">
        <f t="shared" si="14"/>
        <v>0.69198266522210172</v>
      </c>
      <c r="E770" s="6">
        <v>1.6533229187007694E-2</v>
      </c>
    </row>
    <row r="771" spans="2:5" x14ac:dyDescent="0.3">
      <c r="B771" s="4">
        <v>39962</v>
      </c>
      <c r="C771" s="7">
        <v>92.3</v>
      </c>
      <c r="D771" s="6">
        <f t="shared" si="14"/>
        <v>1.0241228070175437</v>
      </c>
      <c r="E771" s="6">
        <v>1.6519823788546256E-2</v>
      </c>
    </row>
    <row r="772" spans="2:5" x14ac:dyDescent="0.3">
      <c r="B772" s="4">
        <v>38713</v>
      </c>
      <c r="C772" s="7">
        <v>45.6</v>
      </c>
      <c r="D772" s="6">
        <f t="shared" si="14"/>
        <v>-0.95722647456100851</v>
      </c>
      <c r="E772" s="6">
        <v>1.6495764600980872E-2</v>
      </c>
    </row>
    <row r="773" spans="2:5" x14ac:dyDescent="0.3">
      <c r="B773" s="4">
        <v>43087</v>
      </c>
      <c r="C773" s="5">
        <v>1066.08</v>
      </c>
      <c r="D773" s="6">
        <f t="shared" si="14"/>
        <v>6.1969216228988051</v>
      </c>
      <c r="E773" s="6">
        <v>1.6485664432345812E-2</v>
      </c>
    </row>
    <row r="774" spans="2:5" x14ac:dyDescent="0.3">
      <c r="B774" s="4">
        <v>40148</v>
      </c>
      <c r="C774" s="7">
        <v>148.13</v>
      </c>
      <c r="D774" s="6">
        <f t="shared" si="14"/>
        <v>1.5508868606853798</v>
      </c>
      <c r="E774" s="6">
        <v>1.6468812186921058E-2</v>
      </c>
    </row>
    <row r="775" spans="2:5" x14ac:dyDescent="0.3">
      <c r="B775" s="4">
        <v>39045</v>
      </c>
      <c r="C775" s="7">
        <v>58.07</v>
      </c>
      <c r="D775" s="6">
        <f t="shared" si="14"/>
        <v>1.5380244755244754</v>
      </c>
      <c r="E775" s="6">
        <v>1.6453702082968629E-2</v>
      </c>
    </row>
    <row r="776" spans="2:5" x14ac:dyDescent="0.3">
      <c r="B776" s="4">
        <v>38153</v>
      </c>
      <c r="C776" s="7">
        <v>22.88</v>
      </c>
      <c r="D776" s="6">
        <f t="shared" ref="D776:D839" si="15">((C776-C777)/C777)</f>
        <v>-0.70868347338935578</v>
      </c>
      <c r="E776" s="6">
        <v>1.6437139049311301E-2</v>
      </c>
    </row>
    <row r="777" spans="2:5" x14ac:dyDescent="0.3">
      <c r="B777" s="4">
        <v>39303</v>
      </c>
      <c r="C777" s="7">
        <v>78.540000000000006</v>
      </c>
      <c r="D777" s="6">
        <f t="shared" si="15"/>
        <v>-0.97369320122992831</v>
      </c>
      <c r="E777" s="6">
        <v>1.6435874207325098E-2</v>
      </c>
    </row>
    <row r="778" spans="2:5" x14ac:dyDescent="0.3">
      <c r="B778" s="4">
        <v>44699</v>
      </c>
      <c r="C778" s="5">
        <v>2985.54</v>
      </c>
      <c r="D778" s="6">
        <f t="shared" si="15"/>
        <v>70.888755116783045</v>
      </c>
      <c r="E778" s="6">
        <v>1.6426706249638271E-2</v>
      </c>
    </row>
    <row r="779" spans="2:5" x14ac:dyDescent="0.3">
      <c r="B779" s="4">
        <v>38680</v>
      </c>
      <c r="C779" s="7">
        <v>41.53</v>
      </c>
      <c r="D779" s="6">
        <f t="shared" si="15"/>
        <v>-0.29502631132235607</v>
      </c>
      <c r="E779" s="6">
        <v>1.6397454723445955E-2</v>
      </c>
    </row>
    <row r="780" spans="2:5" x14ac:dyDescent="0.3">
      <c r="B780" s="4">
        <v>39035</v>
      </c>
      <c r="C780" s="7">
        <v>58.91</v>
      </c>
      <c r="D780" s="6">
        <f t="shared" si="15"/>
        <v>-0.86154135426704592</v>
      </c>
      <c r="E780" s="6">
        <v>1.6390614216701099E-2</v>
      </c>
    </row>
    <row r="781" spans="2:5" x14ac:dyDescent="0.3">
      <c r="B781" s="4">
        <v>41456</v>
      </c>
      <c r="C781" s="7">
        <v>425.47</v>
      </c>
      <c r="D781" s="6">
        <f t="shared" si="15"/>
        <v>18.5798435342844</v>
      </c>
      <c r="E781" s="6">
        <v>1.6387568381070718E-2</v>
      </c>
    </row>
    <row r="782" spans="2:5" x14ac:dyDescent="0.3">
      <c r="B782" s="4">
        <v>37929</v>
      </c>
      <c r="C782" s="7">
        <v>21.73</v>
      </c>
      <c r="D782" s="6">
        <f t="shared" si="15"/>
        <v>-0.99276614301931132</v>
      </c>
      <c r="E782" s="6">
        <v>1.6370439663236737E-2</v>
      </c>
    </row>
    <row r="783" spans="2:5" x14ac:dyDescent="0.3">
      <c r="B783" s="4">
        <v>44617</v>
      </c>
      <c r="C783" s="5">
        <v>3003.93</v>
      </c>
      <c r="D783" s="6">
        <f t="shared" si="15"/>
        <v>1.8503800278971791</v>
      </c>
      <c r="E783" s="6">
        <v>1.634169364906965E-2</v>
      </c>
    </row>
    <row r="784" spans="2:5" x14ac:dyDescent="0.3">
      <c r="B784" s="4">
        <v>42921</v>
      </c>
      <c r="C784" s="5">
        <v>1053.8699999999999</v>
      </c>
      <c r="D784" s="6">
        <f t="shared" si="15"/>
        <v>-0.39345960598787927</v>
      </c>
      <c r="E784" s="6">
        <v>1.6326884872798653E-2</v>
      </c>
    </row>
    <row r="785" spans="2:5" x14ac:dyDescent="0.3">
      <c r="B785" s="4">
        <v>43776</v>
      </c>
      <c r="C785" s="5">
        <v>1737.51</v>
      </c>
      <c r="D785" s="6">
        <f t="shared" si="15"/>
        <v>106.05545286506469</v>
      </c>
      <c r="E785" s="6">
        <v>1.6325456247075387E-2</v>
      </c>
    </row>
    <row r="786" spans="2:5" x14ac:dyDescent="0.3">
      <c r="B786" s="4">
        <v>37581</v>
      </c>
      <c r="C786" s="7">
        <v>16.23</v>
      </c>
      <c r="D786" s="6">
        <f t="shared" si="15"/>
        <v>-0.31691919191919193</v>
      </c>
      <c r="E786" s="6">
        <v>1.6280525986224155E-2</v>
      </c>
    </row>
    <row r="787" spans="2:5" x14ac:dyDescent="0.3">
      <c r="B787" s="4">
        <v>38156</v>
      </c>
      <c r="C787" s="7">
        <v>23.76</v>
      </c>
      <c r="D787" s="6">
        <f t="shared" si="15"/>
        <v>-0.99230510143275374</v>
      </c>
      <c r="E787" s="6">
        <v>1.6253207869974449E-2</v>
      </c>
    </row>
    <row r="788" spans="2:5" x14ac:dyDescent="0.3">
      <c r="B788" s="4">
        <v>44659</v>
      </c>
      <c r="C788" s="5">
        <v>3087.76</v>
      </c>
      <c r="D788" s="6">
        <f t="shared" si="15"/>
        <v>139.80072959416327</v>
      </c>
      <c r="E788" s="6">
        <v>1.6242047649922285E-2</v>
      </c>
    </row>
    <row r="789" spans="2:5" x14ac:dyDescent="0.3">
      <c r="B789" s="4">
        <v>37918</v>
      </c>
      <c r="C789" s="7">
        <v>21.93</v>
      </c>
      <c r="D789" s="6">
        <f t="shared" si="15"/>
        <v>-0.99343080780394877</v>
      </c>
      <c r="E789" s="6">
        <v>1.6218721037998214E-2</v>
      </c>
    </row>
    <row r="790" spans="2:5" x14ac:dyDescent="0.3">
      <c r="B790" s="4">
        <v>44805</v>
      </c>
      <c r="C790" s="5">
        <v>3338.31</v>
      </c>
      <c r="D790" s="6">
        <f t="shared" si="15"/>
        <v>10.225738112852243</v>
      </c>
      <c r="E790" s="6">
        <v>1.6200469393532535E-2</v>
      </c>
    </row>
    <row r="791" spans="2:5" x14ac:dyDescent="0.3">
      <c r="B791" s="4">
        <v>41015</v>
      </c>
      <c r="C791" s="7">
        <v>297.38</v>
      </c>
      <c r="D791" s="6">
        <f t="shared" si="15"/>
        <v>0.23676440008317742</v>
      </c>
      <c r="E791" s="6">
        <v>1.6197375615090246E-2</v>
      </c>
    </row>
    <row r="792" spans="2:5" x14ac:dyDescent="0.3">
      <c r="B792" s="4">
        <v>40526</v>
      </c>
      <c r="C792" s="7">
        <v>240.45</v>
      </c>
      <c r="D792" s="6">
        <f t="shared" si="15"/>
        <v>-0.48526106223107057</v>
      </c>
      <c r="E792" s="6">
        <v>1.6186290254416296E-2</v>
      </c>
    </row>
    <row r="793" spans="2:5" x14ac:dyDescent="0.3">
      <c r="B793" s="4">
        <v>41603</v>
      </c>
      <c r="C793" s="7">
        <v>467.13</v>
      </c>
      <c r="D793" s="6">
        <f t="shared" si="15"/>
        <v>-0.49295545328238971</v>
      </c>
      <c r="E793" s="6">
        <v>1.6140610384807848E-2</v>
      </c>
    </row>
    <row r="794" spans="2:5" x14ac:dyDescent="0.3">
      <c r="B794" s="4">
        <v>42787</v>
      </c>
      <c r="C794" s="7">
        <v>921.28</v>
      </c>
      <c r="D794" s="6">
        <f t="shared" si="15"/>
        <v>0.3058540042523033</v>
      </c>
      <c r="E794" s="6">
        <v>1.6136326035405057E-2</v>
      </c>
    </row>
    <row r="795" spans="2:5" x14ac:dyDescent="0.3">
      <c r="B795" s="4">
        <v>42135</v>
      </c>
      <c r="C795" s="7">
        <v>705.5</v>
      </c>
      <c r="D795" s="6">
        <f t="shared" si="15"/>
        <v>21.816946959896509</v>
      </c>
      <c r="E795" s="6">
        <v>1.6131355321907022E-2</v>
      </c>
    </row>
    <row r="796" spans="2:5" x14ac:dyDescent="0.3">
      <c r="B796" s="4">
        <v>38441</v>
      </c>
      <c r="C796" s="7">
        <v>30.92</v>
      </c>
      <c r="D796" s="6">
        <f t="shared" si="15"/>
        <v>-0.40285824642719192</v>
      </c>
      <c r="E796" s="6">
        <v>1.6102530397633978E-2</v>
      </c>
    </row>
    <row r="797" spans="2:5" x14ac:dyDescent="0.3">
      <c r="B797" s="4">
        <v>38937</v>
      </c>
      <c r="C797" s="7">
        <v>51.78</v>
      </c>
      <c r="D797" s="6">
        <f t="shared" si="15"/>
        <v>-0.9795284991914982</v>
      </c>
      <c r="E797" s="6">
        <v>1.6091051805337524E-2</v>
      </c>
    </row>
    <row r="798" spans="2:5" x14ac:dyDescent="0.3">
      <c r="B798" s="4">
        <v>44188</v>
      </c>
      <c r="C798" s="5">
        <v>2529.37</v>
      </c>
      <c r="D798" s="6">
        <f t="shared" si="15"/>
        <v>7.9990749635322151</v>
      </c>
      <c r="E798" s="6">
        <v>1.6051996256141027E-2</v>
      </c>
    </row>
    <row r="799" spans="2:5" x14ac:dyDescent="0.3">
      <c r="B799" s="4">
        <v>40739</v>
      </c>
      <c r="C799" s="7">
        <v>281.07</v>
      </c>
      <c r="D799" s="6">
        <f t="shared" si="15"/>
        <v>-0.89604630520008866</v>
      </c>
      <c r="E799" s="6">
        <v>1.6050319921917355E-2</v>
      </c>
    </row>
    <row r="800" spans="2:5" x14ac:dyDescent="0.3">
      <c r="B800" s="4">
        <v>46044</v>
      </c>
      <c r="C800" s="5">
        <v>2703.8</v>
      </c>
      <c r="D800" s="6">
        <f t="shared" si="15"/>
        <v>11.938080199062112</v>
      </c>
      <c r="E800" s="6">
        <v>1.6045996016684931E-2</v>
      </c>
    </row>
    <row r="801" spans="2:5" x14ac:dyDescent="0.3">
      <c r="B801" s="4">
        <v>40352</v>
      </c>
      <c r="C801" s="7">
        <v>208.98</v>
      </c>
      <c r="D801" s="6">
        <f t="shared" si="15"/>
        <v>7.9117270788912579</v>
      </c>
      <c r="E801" s="6">
        <v>1.6044340723453825E-2</v>
      </c>
    </row>
    <row r="802" spans="2:5" x14ac:dyDescent="0.3">
      <c r="B802" s="4">
        <v>38047</v>
      </c>
      <c r="C802" s="7">
        <v>23.45</v>
      </c>
      <c r="D802" s="6">
        <f t="shared" si="15"/>
        <v>-0.76743032827531488</v>
      </c>
      <c r="E802" s="6">
        <v>1.6031195840554638E-2</v>
      </c>
    </row>
    <row r="803" spans="2:5" x14ac:dyDescent="0.3">
      <c r="B803" s="4">
        <v>39715</v>
      </c>
      <c r="C803" s="7">
        <v>100.83</v>
      </c>
      <c r="D803" s="6">
        <f t="shared" si="15"/>
        <v>-0.96242173524150276</v>
      </c>
      <c r="E803" s="6">
        <v>1.6021765417170531E-2</v>
      </c>
    </row>
    <row r="804" spans="2:5" x14ac:dyDescent="0.3">
      <c r="B804" s="4">
        <v>44956</v>
      </c>
      <c r="C804" s="5">
        <v>2683.2</v>
      </c>
      <c r="D804" s="6">
        <f t="shared" si="15"/>
        <v>2.0841379310344825</v>
      </c>
      <c r="E804" s="6">
        <v>1.5998031011567809E-2</v>
      </c>
    </row>
    <row r="805" spans="2:5" x14ac:dyDescent="0.3">
      <c r="B805" s="4">
        <v>42503</v>
      </c>
      <c r="C805" s="7">
        <v>870</v>
      </c>
      <c r="D805" s="6">
        <f t="shared" si="15"/>
        <v>9.9502831969792318</v>
      </c>
      <c r="E805" s="6">
        <v>1.5987200896871525E-2</v>
      </c>
    </row>
    <row r="806" spans="2:5" x14ac:dyDescent="0.3">
      <c r="B806" s="4">
        <v>39349</v>
      </c>
      <c r="C806" s="7">
        <v>79.45</v>
      </c>
      <c r="D806" s="6">
        <f t="shared" si="15"/>
        <v>-0.94043200851721054</v>
      </c>
      <c r="E806" s="6">
        <v>1.5984654731457801E-2</v>
      </c>
    </row>
    <row r="807" spans="2:5" x14ac:dyDescent="0.3">
      <c r="B807" s="4">
        <v>43496</v>
      </c>
      <c r="C807" s="5">
        <v>1333.77</v>
      </c>
      <c r="D807" s="6">
        <f t="shared" si="15"/>
        <v>50.12188577999234</v>
      </c>
      <c r="E807" s="6">
        <v>1.5965752850755278E-2</v>
      </c>
    </row>
    <row r="808" spans="2:5" x14ac:dyDescent="0.3">
      <c r="B808" s="4">
        <v>37991</v>
      </c>
      <c r="C808" s="7">
        <v>26.09</v>
      </c>
      <c r="D808" s="6">
        <f t="shared" si="15"/>
        <v>-0.92261145552160895</v>
      </c>
      <c r="E808" s="6">
        <v>1.596573208722742E-2</v>
      </c>
    </row>
    <row r="809" spans="2:5" x14ac:dyDescent="0.3">
      <c r="B809" s="4">
        <v>41134</v>
      </c>
      <c r="C809" s="7">
        <v>337.13</v>
      </c>
      <c r="D809" s="6">
        <f t="shared" si="15"/>
        <v>-0.64576766275795405</v>
      </c>
      <c r="E809" s="6">
        <v>1.594141755062687E-2</v>
      </c>
    </row>
    <row r="810" spans="2:5" x14ac:dyDescent="0.3">
      <c r="B810" s="4">
        <v>42562</v>
      </c>
      <c r="C810" s="7">
        <v>951.72</v>
      </c>
      <c r="D810" s="6">
        <f t="shared" si="15"/>
        <v>0.7571729256674421</v>
      </c>
      <c r="E810" s="6">
        <v>1.5926558497011179E-2</v>
      </c>
    </row>
    <row r="811" spans="2:5" x14ac:dyDescent="0.3">
      <c r="B811" s="4">
        <v>41820</v>
      </c>
      <c r="C811" s="7">
        <v>541.62</v>
      </c>
      <c r="D811" s="6">
        <f t="shared" si="15"/>
        <v>-0.28977183320220301</v>
      </c>
      <c r="E811" s="6">
        <v>1.5905765840117075E-2</v>
      </c>
    </row>
    <row r="812" spans="2:5" x14ac:dyDescent="0.3">
      <c r="B812" s="4">
        <v>42054</v>
      </c>
      <c r="C812" s="7">
        <v>762.6</v>
      </c>
      <c r="D812" s="6">
        <f t="shared" si="15"/>
        <v>0.76454255171456342</v>
      </c>
      <c r="E812" s="6">
        <v>1.5892469394008107E-2</v>
      </c>
    </row>
    <row r="813" spans="2:5" x14ac:dyDescent="0.3">
      <c r="B813" s="4">
        <v>41409</v>
      </c>
      <c r="C813" s="7">
        <v>432.18</v>
      </c>
      <c r="D813" s="6">
        <f t="shared" si="15"/>
        <v>0.7960354070564768</v>
      </c>
      <c r="E813" s="6">
        <v>1.5890179117107776E-2</v>
      </c>
    </row>
    <row r="814" spans="2:5" x14ac:dyDescent="0.3">
      <c r="B814" s="4">
        <v>40672</v>
      </c>
      <c r="C814" s="7">
        <v>240.63</v>
      </c>
      <c r="D814" s="6">
        <f t="shared" si="15"/>
        <v>8.3959390862944154</v>
      </c>
      <c r="E814" s="6">
        <v>1.5873685988094698E-2</v>
      </c>
    </row>
    <row r="815" spans="2:5" x14ac:dyDescent="0.3">
      <c r="B815" s="4">
        <v>38356</v>
      </c>
      <c r="C815" s="7">
        <v>25.61</v>
      </c>
      <c r="D815" s="6">
        <f t="shared" si="15"/>
        <v>-0.98953989421447097</v>
      </c>
      <c r="E815" s="6">
        <v>1.5866719555731795E-2</v>
      </c>
    </row>
    <row r="816" spans="2:5" x14ac:dyDescent="0.3">
      <c r="B816" s="4">
        <v>44312</v>
      </c>
      <c r="C816" s="5">
        <v>2448.35</v>
      </c>
      <c r="D816" s="6">
        <f t="shared" si="15"/>
        <v>51.88012958963283</v>
      </c>
      <c r="E816" s="6">
        <v>1.586649572011227E-2</v>
      </c>
    </row>
    <row r="817" spans="2:5" x14ac:dyDescent="0.3">
      <c r="B817" s="4">
        <v>38715</v>
      </c>
      <c r="C817" s="7">
        <v>46.3</v>
      </c>
      <c r="D817" s="6">
        <f t="shared" si="15"/>
        <v>0.49935233160621756</v>
      </c>
      <c r="E817" s="6">
        <v>1.5796401930671323E-2</v>
      </c>
    </row>
    <row r="818" spans="2:5" x14ac:dyDescent="0.3">
      <c r="B818" s="4">
        <v>38488</v>
      </c>
      <c r="C818" s="7">
        <v>30.88</v>
      </c>
      <c r="D818" s="6">
        <f t="shared" si="15"/>
        <v>-0.97034077375235317</v>
      </c>
      <c r="E818" s="6">
        <v>1.5789473684210541E-2</v>
      </c>
    </row>
    <row r="819" spans="2:5" x14ac:dyDescent="0.3">
      <c r="B819" s="4">
        <v>42608</v>
      </c>
      <c r="C819" s="5">
        <v>1041.1600000000001</v>
      </c>
      <c r="D819" s="6">
        <f t="shared" si="15"/>
        <v>3.1232426438556895</v>
      </c>
      <c r="E819" s="6">
        <v>1.573612479634753E-2</v>
      </c>
    </row>
    <row r="820" spans="2:5" x14ac:dyDescent="0.3">
      <c r="B820" s="4">
        <v>40933</v>
      </c>
      <c r="C820" s="7">
        <v>252.51</v>
      </c>
      <c r="D820" s="6">
        <f t="shared" si="15"/>
        <v>2.1774254435636089</v>
      </c>
      <c r="E820" s="6">
        <v>1.5728077232501997E-2</v>
      </c>
    </row>
    <row r="821" spans="2:5" x14ac:dyDescent="0.3">
      <c r="B821" s="4">
        <v>39828</v>
      </c>
      <c r="C821" s="7">
        <v>79.47</v>
      </c>
      <c r="D821" s="6">
        <f t="shared" si="15"/>
        <v>-0.93723343758885413</v>
      </c>
      <c r="E821" s="6">
        <v>1.5720858895705573E-2</v>
      </c>
    </row>
    <row r="822" spans="2:5" x14ac:dyDescent="0.3">
      <c r="B822" s="4">
        <v>43448</v>
      </c>
      <c r="C822" s="5">
        <v>1266.1199999999999</v>
      </c>
      <c r="D822" s="6">
        <f t="shared" si="15"/>
        <v>13.184629173201881</v>
      </c>
      <c r="E822" s="6">
        <v>1.5715626579384304E-2</v>
      </c>
    </row>
    <row r="823" spans="2:5" x14ac:dyDescent="0.3">
      <c r="B823" s="4">
        <v>39640</v>
      </c>
      <c r="C823" s="7">
        <v>89.26</v>
      </c>
      <c r="D823" s="6">
        <f t="shared" si="15"/>
        <v>-0.9148193035528539</v>
      </c>
      <c r="E823" s="6">
        <v>1.570323167956315E-2</v>
      </c>
    </row>
    <row r="824" spans="2:5" x14ac:dyDescent="0.3">
      <c r="B824" s="4">
        <v>42919</v>
      </c>
      <c r="C824" s="5">
        <v>1047.8900000000001</v>
      </c>
      <c r="D824" s="6">
        <f t="shared" si="15"/>
        <v>63.684567901234573</v>
      </c>
      <c r="E824" s="6">
        <v>1.5692546282834209E-2</v>
      </c>
    </row>
    <row r="825" spans="2:5" x14ac:dyDescent="0.3">
      <c r="B825" s="4">
        <v>37473</v>
      </c>
      <c r="C825" s="7">
        <v>16.2</v>
      </c>
      <c r="D825" s="6">
        <f t="shared" si="15"/>
        <v>-0.88998302207130742</v>
      </c>
      <c r="E825" s="6">
        <v>1.5673981191222573E-2</v>
      </c>
    </row>
    <row r="826" spans="2:5" x14ac:dyDescent="0.3">
      <c r="B826" s="4">
        <v>40155</v>
      </c>
      <c r="C826" s="7">
        <v>147.25</v>
      </c>
      <c r="D826" s="6">
        <f t="shared" si="15"/>
        <v>-0.45768267530936946</v>
      </c>
      <c r="E826" s="6">
        <v>1.5657332045799492E-2</v>
      </c>
    </row>
    <row r="827" spans="2:5" x14ac:dyDescent="0.3">
      <c r="B827" s="4">
        <v>40989</v>
      </c>
      <c r="C827" s="7">
        <v>271.52</v>
      </c>
      <c r="D827" s="6">
        <f t="shared" si="15"/>
        <v>-0.89150353436667107</v>
      </c>
      <c r="E827" s="6">
        <v>1.5635520311214211E-2</v>
      </c>
    </row>
    <row r="828" spans="2:5" x14ac:dyDescent="0.3">
      <c r="B828" s="4">
        <v>44314</v>
      </c>
      <c r="C828" s="5">
        <v>2502.5700000000002</v>
      </c>
      <c r="D828" s="6">
        <f t="shared" si="15"/>
        <v>8.9037160156713764</v>
      </c>
      <c r="E828" s="6">
        <v>1.5616312715850483E-2</v>
      </c>
    </row>
    <row r="829" spans="2:5" x14ac:dyDescent="0.3">
      <c r="B829" s="4">
        <v>40548</v>
      </c>
      <c r="C829" s="7">
        <v>252.69</v>
      </c>
      <c r="D829" s="6">
        <f t="shared" si="15"/>
        <v>7.8168178646196793</v>
      </c>
      <c r="E829" s="6">
        <v>1.5594228527792273E-2</v>
      </c>
    </row>
    <row r="830" spans="2:5" x14ac:dyDescent="0.3">
      <c r="B830" s="4">
        <v>38425</v>
      </c>
      <c r="C830" s="7">
        <v>28.66</v>
      </c>
      <c r="D830" s="6">
        <f t="shared" si="15"/>
        <v>-0.99079208620612114</v>
      </c>
      <c r="E830" s="6">
        <v>1.5591778880226835E-2</v>
      </c>
    </row>
    <row r="831" spans="2:5" x14ac:dyDescent="0.3">
      <c r="B831" s="4">
        <v>45525</v>
      </c>
      <c r="C831" s="5">
        <v>3112.54</v>
      </c>
      <c r="D831" s="6">
        <f t="shared" si="15"/>
        <v>2.4330116362433132</v>
      </c>
      <c r="E831" s="6">
        <v>1.5580186570694893E-2</v>
      </c>
    </row>
    <row r="832" spans="2:5" x14ac:dyDescent="0.3">
      <c r="B832" s="4">
        <v>42786</v>
      </c>
      <c r="C832" s="7">
        <v>906.65</v>
      </c>
      <c r="D832" s="6">
        <f t="shared" si="15"/>
        <v>8.1359330914953656</v>
      </c>
      <c r="E832" s="6">
        <v>1.5558492764012709E-2</v>
      </c>
    </row>
    <row r="833" spans="2:5" x14ac:dyDescent="0.3">
      <c r="B833" s="4">
        <v>39714</v>
      </c>
      <c r="C833" s="7">
        <v>99.24</v>
      </c>
      <c r="D833" s="6">
        <f t="shared" si="15"/>
        <v>-0.82373001776198929</v>
      </c>
      <c r="E833" s="6">
        <v>1.5554645927138724E-2</v>
      </c>
    </row>
    <row r="834" spans="2:5" x14ac:dyDescent="0.3">
      <c r="B834" s="4">
        <v>41878</v>
      </c>
      <c r="C834" s="7">
        <v>563</v>
      </c>
      <c r="D834" s="6">
        <f t="shared" si="15"/>
        <v>-0.80004261969029689</v>
      </c>
      <c r="E834" s="6">
        <v>1.5530583163477E-2</v>
      </c>
    </row>
    <row r="835" spans="2:5" x14ac:dyDescent="0.3">
      <c r="B835" s="4">
        <v>46027</v>
      </c>
      <c r="C835" s="5">
        <v>2815.6</v>
      </c>
      <c r="D835" s="6">
        <f t="shared" si="15"/>
        <v>45.195242001640686</v>
      </c>
      <c r="E835" s="6">
        <v>1.5508908605640916E-2</v>
      </c>
    </row>
    <row r="836" spans="2:5" x14ac:dyDescent="0.3">
      <c r="B836" s="4">
        <v>39080</v>
      </c>
      <c r="C836" s="7">
        <v>60.95</v>
      </c>
      <c r="D836" s="6">
        <f t="shared" si="15"/>
        <v>-0.93627809722948241</v>
      </c>
      <c r="E836" s="6">
        <v>1.5494835054981667E-2</v>
      </c>
    </row>
    <row r="837" spans="2:5" x14ac:dyDescent="0.3">
      <c r="B837" s="4">
        <v>42800</v>
      </c>
      <c r="C837" s="7">
        <v>956.5</v>
      </c>
      <c r="D837" s="6">
        <f t="shared" si="15"/>
        <v>-0.28765062484174153</v>
      </c>
      <c r="E837" s="6">
        <v>1.5489802635071326E-2</v>
      </c>
    </row>
    <row r="838" spans="2:5" x14ac:dyDescent="0.3">
      <c r="B838" s="4">
        <v>43486</v>
      </c>
      <c r="C838" s="5">
        <v>1342.74</v>
      </c>
      <c r="D838" s="6">
        <f t="shared" si="15"/>
        <v>-0.13330794503217644</v>
      </c>
      <c r="E838" s="6">
        <v>1.5457914240338846E-2</v>
      </c>
    </row>
    <row r="839" spans="2:5" x14ac:dyDescent="0.3">
      <c r="B839" s="4">
        <v>44001</v>
      </c>
      <c r="C839" s="5">
        <v>1549.27</v>
      </c>
      <c r="D839" s="6">
        <f t="shared" si="15"/>
        <v>14.307479498073313</v>
      </c>
      <c r="E839" s="6">
        <v>1.5455302191139698E-2</v>
      </c>
    </row>
    <row r="840" spans="2:5" x14ac:dyDescent="0.3">
      <c r="B840" s="4">
        <v>39993</v>
      </c>
      <c r="C840" s="7">
        <v>101.21</v>
      </c>
      <c r="D840" s="6">
        <f t="shared" ref="D840:D903" si="16">((C840-C841)/C841)</f>
        <v>-0.79139700729626128</v>
      </c>
      <c r="E840" s="6">
        <v>1.5450988261262085E-2</v>
      </c>
    </row>
    <row r="841" spans="2:5" x14ac:dyDescent="0.3">
      <c r="B841" s="4">
        <v>41800</v>
      </c>
      <c r="C841" s="7">
        <v>485.18</v>
      </c>
      <c r="D841" s="6">
        <f t="shared" si="16"/>
        <v>-0.84334579644446173</v>
      </c>
      <c r="E841" s="6">
        <v>1.5445793218920041E-2</v>
      </c>
    </row>
    <row r="842" spans="2:5" x14ac:dyDescent="0.3">
      <c r="B842" s="4">
        <v>45077</v>
      </c>
      <c r="C842" s="5">
        <v>3097.14</v>
      </c>
      <c r="D842" s="6">
        <f t="shared" si="16"/>
        <v>46.054694621695532</v>
      </c>
      <c r="E842" s="6">
        <v>1.5439091162439857E-2</v>
      </c>
    </row>
    <row r="843" spans="2:5" x14ac:dyDescent="0.3">
      <c r="B843" s="4">
        <v>39898</v>
      </c>
      <c r="C843" s="7">
        <v>65.819999999999993</v>
      </c>
      <c r="D843" s="6">
        <f t="shared" si="16"/>
        <v>-0.9112268018990074</v>
      </c>
      <c r="E843" s="6">
        <v>1.5427337241592103E-2</v>
      </c>
    </row>
    <row r="844" spans="2:5" x14ac:dyDescent="0.3">
      <c r="B844" s="4">
        <v>42271</v>
      </c>
      <c r="C844" s="7">
        <v>741.44</v>
      </c>
      <c r="D844" s="6">
        <f t="shared" si="16"/>
        <v>6.5943869712178644</v>
      </c>
      <c r="E844" s="6">
        <v>1.5420855131611528E-2</v>
      </c>
    </row>
    <row r="845" spans="2:5" x14ac:dyDescent="0.3">
      <c r="B845" s="4">
        <v>39973</v>
      </c>
      <c r="C845" s="7">
        <v>97.63</v>
      </c>
      <c r="D845" s="6">
        <f t="shared" si="16"/>
        <v>3.110736842105263</v>
      </c>
      <c r="E845" s="6">
        <v>1.5392615704628078E-2</v>
      </c>
    </row>
    <row r="846" spans="2:5" x14ac:dyDescent="0.3">
      <c r="B846" s="4">
        <v>38321</v>
      </c>
      <c r="C846" s="7">
        <v>23.75</v>
      </c>
      <c r="D846" s="6">
        <f t="shared" si="16"/>
        <v>-0.96901257763164761</v>
      </c>
      <c r="E846" s="6">
        <v>1.5391192817443328E-2</v>
      </c>
    </row>
    <row r="847" spans="2:5" x14ac:dyDescent="0.3">
      <c r="B847" s="4">
        <v>42066</v>
      </c>
      <c r="C847" s="7">
        <v>766.44</v>
      </c>
      <c r="D847" s="6">
        <f t="shared" si="16"/>
        <v>0.95985373462551482</v>
      </c>
      <c r="E847" s="6">
        <v>1.5380946703231209E-2</v>
      </c>
    </row>
    <row r="848" spans="2:5" x14ac:dyDescent="0.3">
      <c r="B848" s="4">
        <v>41288</v>
      </c>
      <c r="C848" s="7">
        <v>391.07</v>
      </c>
      <c r="D848" s="6">
        <f t="shared" si="16"/>
        <v>3.0237678773536372</v>
      </c>
      <c r="E848" s="6">
        <v>1.5370634817603573E-2</v>
      </c>
    </row>
    <row r="849" spans="2:5" x14ac:dyDescent="0.3">
      <c r="B849" s="4">
        <v>39967</v>
      </c>
      <c r="C849" s="7">
        <v>97.19</v>
      </c>
      <c r="D849" s="6">
        <f t="shared" si="16"/>
        <v>-0.97167066971364613</v>
      </c>
      <c r="E849" s="6">
        <v>1.535729210196405E-2</v>
      </c>
    </row>
    <row r="850" spans="2:5" x14ac:dyDescent="0.3">
      <c r="B850" s="4">
        <v>45125</v>
      </c>
      <c r="C850" s="5">
        <v>3430.72</v>
      </c>
      <c r="D850" s="6">
        <f t="shared" si="16"/>
        <v>64.55933498948977</v>
      </c>
      <c r="E850" s="6">
        <v>1.5330342239532077E-2</v>
      </c>
    </row>
    <row r="851" spans="2:5" x14ac:dyDescent="0.3">
      <c r="B851" s="4">
        <v>38841</v>
      </c>
      <c r="C851" s="7">
        <v>52.33</v>
      </c>
      <c r="D851" s="6">
        <f t="shared" si="16"/>
        <v>-0.98136296454582694</v>
      </c>
      <c r="E851" s="6">
        <v>1.5327900659681785E-2</v>
      </c>
    </row>
    <row r="852" spans="2:5" x14ac:dyDescent="0.3">
      <c r="B852" s="4">
        <v>45358</v>
      </c>
      <c r="C852" s="5">
        <v>2807.85</v>
      </c>
      <c r="D852" s="6">
        <f t="shared" si="16"/>
        <v>41.280530040656529</v>
      </c>
      <c r="E852" s="6">
        <v>1.5299001280039321E-2</v>
      </c>
    </row>
    <row r="853" spans="2:5" x14ac:dyDescent="0.3">
      <c r="B853" s="4">
        <v>39107</v>
      </c>
      <c r="C853" s="7">
        <v>66.41</v>
      </c>
      <c r="D853" s="6">
        <f t="shared" si="16"/>
        <v>-0.97937609664446212</v>
      </c>
      <c r="E853" s="6">
        <v>1.5288182235132244E-2</v>
      </c>
    </row>
    <row r="854" spans="2:5" x14ac:dyDescent="0.3">
      <c r="B854" s="4">
        <v>45100</v>
      </c>
      <c r="C854" s="5">
        <v>3220.05</v>
      </c>
      <c r="D854" s="6">
        <f t="shared" si="16"/>
        <v>65.379097093382811</v>
      </c>
      <c r="E854" s="6">
        <v>1.5285804822217393E-2</v>
      </c>
    </row>
    <row r="855" spans="2:5" x14ac:dyDescent="0.3">
      <c r="B855" s="4">
        <v>38740</v>
      </c>
      <c r="C855" s="7">
        <v>48.51</v>
      </c>
      <c r="D855" s="6">
        <f t="shared" si="16"/>
        <v>-0.38156552779194292</v>
      </c>
      <c r="E855" s="6">
        <v>1.5278359146086162E-2</v>
      </c>
    </row>
    <row r="856" spans="2:5" x14ac:dyDescent="0.3">
      <c r="B856" s="4">
        <v>39920</v>
      </c>
      <c r="C856" s="7">
        <v>78.44</v>
      </c>
      <c r="D856" s="6">
        <f t="shared" si="16"/>
        <v>-0.90668348045397229</v>
      </c>
      <c r="E856" s="6">
        <v>1.5273103805332547E-2</v>
      </c>
    </row>
    <row r="857" spans="2:5" x14ac:dyDescent="0.3">
      <c r="B857" s="4">
        <v>42737</v>
      </c>
      <c r="C857" s="7">
        <v>840.58</v>
      </c>
      <c r="D857" s="6">
        <f t="shared" si="16"/>
        <v>-0.16993689948354343</v>
      </c>
      <c r="E857" s="6">
        <v>1.5266806773437671E-2</v>
      </c>
    </row>
    <row r="858" spans="2:5" x14ac:dyDescent="0.3">
      <c r="B858" s="4">
        <v>42828</v>
      </c>
      <c r="C858" s="5">
        <v>1012.67</v>
      </c>
      <c r="D858" s="6">
        <f t="shared" si="16"/>
        <v>15.852554501580959</v>
      </c>
      <c r="E858" s="6">
        <v>1.5238553540457288E-2</v>
      </c>
    </row>
    <row r="859" spans="2:5" x14ac:dyDescent="0.3">
      <c r="B859" s="4">
        <v>39070</v>
      </c>
      <c r="C859" s="7">
        <v>60.09</v>
      </c>
      <c r="D859" s="6">
        <f t="shared" si="16"/>
        <v>-0.67886917486105169</v>
      </c>
      <c r="E859" s="6">
        <v>1.5205271160669128E-2</v>
      </c>
    </row>
    <row r="860" spans="2:5" x14ac:dyDescent="0.3">
      <c r="B860" s="4">
        <v>40316</v>
      </c>
      <c r="C860" s="7">
        <v>187.12</v>
      </c>
      <c r="D860" s="6">
        <f t="shared" si="16"/>
        <v>-0.59058288114825841</v>
      </c>
      <c r="E860" s="6">
        <v>1.5190972222222284E-2</v>
      </c>
    </row>
    <row r="861" spans="2:5" x14ac:dyDescent="0.3">
      <c r="B861" s="4">
        <v>41759</v>
      </c>
      <c r="C861" s="7">
        <v>457.04</v>
      </c>
      <c r="D861" s="6">
        <f t="shared" si="16"/>
        <v>-0.32447492498928421</v>
      </c>
      <c r="E861" s="6">
        <v>1.517069811865583E-2</v>
      </c>
    </row>
    <row r="862" spans="2:5" x14ac:dyDescent="0.3">
      <c r="B862" s="4">
        <v>42174</v>
      </c>
      <c r="C862" s="7">
        <v>676.57</v>
      </c>
      <c r="D862" s="6">
        <f t="shared" si="16"/>
        <v>6.5942305533729932</v>
      </c>
      <c r="E862" s="6">
        <v>1.5169702607808441E-2</v>
      </c>
    </row>
    <row r="863" spans="2:5" x14ac:dyDescent="0.3">
      <c r="B863" s="4">
        <v>39647</v>
      </c>
      <c r="C863" s="7">
        <v>89.09</v>
      </c>
      <c r="D863" s="6">
        <f t="shared" si="16"/>
        <v>2.6936152570480929</v>
      </c>
      <c r="E863" s="6">
        <v>1.5154968094803991E-2</v>
      </c>
    </row>
    <row r="864" spans="2:5" x14ac:dyDescent="0.3">
      <c r="B864" s="4">
        <v>38159</v>
      </c>
      <c r="C864" s="7">
        <v>24.12</v>
      </c>
      <c r="D864" s="6">
        <f t="shared" si="16"/>
        <v>-0.86872754979862843</v>
      </c>
      <c r="E864" s="6">
        <v>1.5151515151515126E-2</v>
      </c>
    </row>
    <row r="865" spans="2:5" x14ac:dyDescent="0.3">
      <c r="B865" s="4">
        <v>40308</v>
      </c>
      <c r="C865" s="7">
        <v>183.74</v>
      </c>
      <c r="D865" s="6">
        <f t="shared" si="16"/>
        <v>0.80119596118027647</v>
      </c>
      <c r="E865" s="6">
        <v>1.5138121546961376E-2</v>
      </c>
    </row>
    <row r="866" spans="2:5" x14ac:dyDescent="0.3">
      <c r="B866" s="4">
        <v>39680</v>
      </c>
      <c r="C866" s="7">
        <v>102.01</v>
      </c>
      <c r="D866" s="6">
        <f t="shared" si="16"/>
        <v>-0.79414376236025352</v>
      </c>
      <c r="E866" s="6">
        <v>1.5125883172455072E-2</v>
      </c>
    </row>
    <row r="867" spans="2:5" x14ac:dyDescent="0.3">
      <c r="B867" s="4">
        <v>41738</v>
      </c>
      <c r="C867" s="7">
        <v>495.54</v>
      </c>
      <c r="D867" s="6">
        <f t="shared" si="16"/>
        <v>20.077839217354317</v>
      </c>
      <c r="E867" s="6">
        <v>1.5117994100294975E-2</v>
      </c>
    </row>
    <row r="868" spans="2:5" x14ac:dyDescent="0.3">
      <c r="B868" s="4">
        <v>37875</v>
      </c>
      <c r="C868" s="7">
        <v>23.51</v>
      </c>
      <c r="D868" s="6">
        <f t="shared" si="16"/>
        <v>-0.9781218883481142</v>
      </c>
      <c r="E868" s="6">
        <v>1.5112262521589008E-2</v>
      </c>
    </row>
    <row r="869" spans="2:5" x14ac:dyDescent="0.3">
      <c r="B869" s="4">
        <v>43011</v>
      </c>
      <c r="C869" s="5">
        <v>1074.5899999999999</v>
      </c>
      <c r="D869" s="6">
        <f t="shared" si="16"/>
        <v>2.1710044853635502</v>
      </c>
      <c r="E869" s="6">
        <v>1.5104855469488013E-2</v>
      </c>
    </row>
    <row r="870" spans="2:5" x14ac:dyDescent="0.3">
      <c r="B870" s="4">
        <v>41057</v>
      </c>
      <c r="C870" s="7">
        <v>338.88</v>
      </c>
      <c r="D870" s="6">
        <f t="shared" si="16"/>
        <v>0.81948993288590599</v>
      </c>
      <c r="E870" s="6">
        <v>1.5097052480230112E-2</v>
      </c>
    </row>
    <row r="871" spans="2:5" x14ac:dyDescent="0.3">
      <c r="B871" s="4">
        <v>40333</v>
      </c>
      <c r="C871" s="7">
        <v>186.25</v>
      </c>
      <c r="D871" s="6">
        <f t="shared" si="16"/>
        <v>-0.69490220489466958</v>
      </c>
      <c r="E871" s="6">
        <v>1.5097013298452203E-2</v>
      </c>
    </row>
    <row r="872" spans="2:5" x14ac:dyDescent="0.3">
      <c r="B872" s="4">
        <v>41901</v>
      </c>
      <c r="C872" s="7">
        <v>610.46</v>
      </c>
      <c r="D872" s="6">
        <f t="shared" si="16"/>
        <v>-0.71487421883027713</v>
      </c>
      <c r="E872" s="6">
        <v>1.5081727331681687E-2</v>
      </c>
    </row>
    <row r="873" spans="2:5" x14ac:dyDescent="0.3">
      <c r="B873" s="4">
        <v>45721</v>
      </c>
      <c r="C873" s="5">
        <v>2141.02</v>
      </c>
      <c r="D873" s="6">
        <f t="shared" si="16"/>
        <v>26.780199818346958</v>
      </c>
      <c r="E873" s="6">
        <v>1.5028540003413336E-2</v>
      </c>
    </row>
    <row r="874" spans="2:5" x14ac:dyDescent="0.3">
      <c r="B874" s="4">
        <v>39940</v>
      </c>
      <c r="C874" s="7">
        <v>77.069999999999993</v>
      </c>
      <c r="D874" s="6">
        <f t="shared" si="16"/>
        <v>-0.84454171373245124</v>
      </c>
      <c r="E874" s="6">
        <v>1.5013828526274019E-2</v>
      </c>
    </row>
    <row r="875" spans="2:5" x14ac:dyDescent="0.3">
      <c r="B875" s="4">
        <v>41729</v>
      </c>
      <c r="C875" s="7">
        <v>495.76</v>
      </c>
      <c r="D875" s="6">
        <f t="shared" si="16"/>
        <v>0.7747547791222168</v>
      </c>
      <c r="E875" s="6">
        <v>1.5007268185819839E-2</v>
      </c>
    </row>
    <row r="876" spans="2:5" x14ac:dyDescent="0.3">
      <c r="B876" s="4">
        <v>40722</v>
      </c>
      <c r="C876" s="7">
        <v>279.33999999999997</v>
      </c>
      <c r="D876" s="6">
        <f t="shared" si="16"/>
        <v>-0.911136136613795</v>
      </c>
      <c r="E876" s="6">
        <v>1.5006722139457127E-2</v>
      </c>
    </row>
    <row r="877" spans="2:5" x14ac:dyDescent="0.3">
      <c r="B877" s="4">
        <v>45078</v>
      </c>
      <c r="C877" s="5">
        <v>3143.46</v>
      </c>
      <c r="D877" s="6">
        <f t="shared" si="16"/>
        <v>1.0359592479128481</v>
      </c>
      <c r="E877" s="6">
        <v>1.4955733353997613E-2</v>
      </c>
    </row>
    <row r="878" spans="2:5" x14ac:dyDescent="0.3">
      <c r="B878" s="4">
        <v>43916</v>
      </c>
      <c r="C878" s="5">
        <v>1543.97</v>
      </c>
      <c r="D878" s="6">
        <f t="shared" si="16"/>
        <v>89.875220718069457</v>
      </c>
      <c r="E878" s="6">
        <v>1.4935086277732147E-2</v>
      </c>
    </row>
    <row r="879" spans="2:5" x14ac:dyDescent="0.3">
      <c r="B879" s="4">
        <v>37756</v>
      </c>
      <c r="C879" s="7">
        <v>16.989999999999998</v>
      </c>
      <c r="D879" s="6">
        <f t="shared" si="16"/>
        <v>-0.99390932457671788</v>
      </c>
      <c r="E879" s="6">
        <v>1.4934289127837517E-2</v>
      </c>
    </row>
    <row r="880" spans="2:5" x14ac:dyDescent="0.3">
      <c r="B880" s="4">
        <v>45433</v>
      </c>
      <c r="C880" s="5">
        <v>2789.51</v>
      </c>
      <c r="D880" s="6">
        <f t="shared" si="16"/>
        <v>0.77741458628028193</v>
      </c>
      <c r="E880" s="6">
        <v>1.4913480709618353E-2</v>
      </c>
    </row>
    <row r="881" spans="2:5" x14ac:dyDescent="0.3">
      <c r="B881" s="4">
        <v>43979</v>
      </c>
      <c r="C881" s="5">
        <v>1569.42</v>
      </c>
      <c r="D881" s="6">
        <f t="shared" si="16"/>
        <v>49.109195402298852</v>
      </c>
      <c r="E881" s="6">
        <v>1.491243953542524E-2</v>
      </c>
    </row>
    <row r="882" spans="2:5" x14ac:dyDescent="0.3">
      <c r="B882" s="4">
        <v>38510</v>
      </c>
      <c r="C882" s="7">
        <v>31.32</v>
      </c>
      <c r="D882" s="6">
        <f t="shared" si="16"/>
        <v>-0.86192302605475468</v>
      </c>
      <c r="E882" s="6">
        <v>1.4906027219701908E-2</v>
      </c>
    </row>
    <row r="883" spans="2:5" x14ac:dyDescent="0.3">
      <c r="B883" s="4">
        <v>40511</v>
      </c>
      <c r="C883" s="7">
        <v>226.83</v>
      </c>
      <c r="D883" s="6">
        <f t="shared" si="16"/>
        <v>-0.82279598453185432</v>
      </c>
      <c r="E883" s="6">
        <v>1.4899328859060458E-2</v>
      </c>
    </row>
    <row r="884" spans="2:5" x14ac:dyDescent="0.3">
      <c r="B884" s="4">
        <v>43452</v>
      </c>
      <c r="C884" s="5">
        <v>1280.05</v>
      </c>
      <c r="D884" s="6">
        <f t="shared" si="16"/>
        <v>0.4915694659690743</v>
      </c>
      <c r="E884" s="6">
        <v>1.4865614841829859E-2</v>
      </c>
    </row>
    <row r="885" spans="2:5" x14ac:dyDescent="0.3">
      <c r="B885" s="4">
        <v>42745</v>
      </c>
      <c r="C885" s="7">
        <v>858.19</v>
      </c>
      <c r="D885" s="6">
        <f t="shared" si="16"/>
        <v>-0.71052960005936538</v>
      </c>
      <c r="E885" s="6">
        <v>1.4828829894164345E-2</v>
      </c>
    </row>
    <row r="886" spans="2:5" x14ac:dyDescent="0.3">
      <c r="B886" s="4">
        <v>45593</v>
      </c>
      <c r="C886" s="5">
        <v>2964.69</v>
      </c>
      <c r="D886" s="6">
        <f t="shared" si="16"/>
        <v>1.1685660366317516</v>
      </c>
      <c r="E886" s="6">
        <v>1.4825185357604949E-2</v>
      </c>
    </row>
    <row r="887" spans="2:5" x14ac:dyDescent="0.3">
      <c r="B887" s="4">
        <v>43312</v>
      </c>
      <c r="C887" s="5">
        <v>1367.12</v>
      </c>
      <c r="D887" s="6">
        <f t="shared" si="16"/>
        <v>59.465280849181781</v>
      </c>
      <c r="E887" s="6">
        <v>1.4823887466132056E-2</v>
      </c>
    </row>
    <row r="888" spans="2:5" x14ac:dyDescent="0.3">
      <c r="B888" s="4">
        <v>38145</v>
      </c>
      <c r="C888" s="7">
        <v>22.61</v>
      </c>
      <c r="D888" s="6">
        <f t="shared" si="16"/>
        <v>-0.60719249478804727</v>
      </c>
      <c r="E888" s="6">
        <v>1.4811490125673172E-2</v>
      </c>
    </row>
    <row r="889" spans="2:5" x14ac:dyDescent="0.3">
      <c r="B889" s="4">
        <v>39160</v>
      </c>
      <c r="C889" s="7">
        <v>57.56</v>
      </c>
      <c r="D889" s="6">
        <f t="shared" si="16"/>
        <v>1.4682675814751287</v>
      </c>
      <c r="E889" s="6">
        <v>1.4809590973201753E-2</v>
      </c>
    </row>
    <row r="890" spans="2:5" x14ac:dyDescent="0.3">
      <c r="B890" s="4">
        <v>38295</v>
      </c>
      <c r="C890" s="7">
        <v>23.32</v>
      </c>
      <c r="D890" s="6">
        <f t="shared" si="16"/>
        <v>-0.60481274360277915</v>
      </c>
      <c r="E890" s="6">
        <v>1.4795474325500428E-2</v>
      </c>
    </row>
    <row r="891" spans="2:5" x14ac:dyDescent="0.3">
      <c r="B891" s="4">
        <v>39051</v>
      </c>
      <c r="C891" s="7">
        <v>59.01</v>
      </c>
      <c r="D891" s="6">
        <f t="shared" si="16"/>
        <v>-0.98181510015408313</v>
      </c>
      <c r="E891" s="6">
        <v>1.478933791917454E-2</v>
      </c>
    </row>
    <row r="892" spans="2:5" x14ac:dyDescent="0.3">
      <c r="B892" s="4">
        <v>45194</v>
      </c>
      <c r="C892" s="5">
        <v>3245</v>
      </c>
      <c r="D892" s="6">
        <f t="shared" si="16"/>
        <v>0.11879191159992422</v>
      </c>
      <c r="E892" s="6">
        <v>1.4779187801384798E-2</v>
      </c>
    </row>
    <row r="893" spans="2:5" x14ac:dyDescent="0.3">
      <c r="B893" s="4">
        <v>44425</v>
      </c>
      <c r="C893" s="5">
        <v>2900.45</v>
      </c>
      <c r="D893" s="6">
        <f t="shared" si="16"/>
        <v>1.4680689930989881</v>
      </c>
      <c r="E893" s="6">
        <v>1.4774929851446012E-2</v>
      </c>
    </row>
    <row r="894" spans="2:5" x14ac:dyDescent="0.3">
      <c r="B894" s="4">
        <v>42990</v>
      </c>
      <c r="C894" s="5">
        <v>1175.19</v>
      </c>
      <c r="D894" s="6">
        <f t="shared" si="16"/>
        <v>-0.64524279581967359</v>
      </c>
      <c r="E894" s="6">
        <v>1.4774454269135231E-2</v>
      </c>
    </row>
    <row r="895" spans="2:5" x14ac:dyDescent="0.3">
      <c r="B895" s="4">
        <v>45118</v>
      </c>
      <c r="C895" s="5">
        <v>3312.66</v>
      </c>
      <c r="D895" s="6">
        <f t="shared" si="16"/>
        <v>3.037859580692345</v>
      </c>
      <c r="E895" s="6">
        <v>1.4774401656644504E-2</v>
      </c>
    </row>
    <row r="896" spans="2:5" x14ac:dyDescent="0.3">
      <c r="B896" s="4">
        <v>42487</v>
      </c>
      <c r="C896" s="7">
        <v>820.4</v>
      </c>
      <c r="D896" s="6">
        <f t="shared" si="16"/>
        <v>24.360123647604325</v>
      </c>
      <c r="E896" s="6">
        <v>1.4768819731340994E-2</v>
      </c>
    </row>
    <row r="897" spans="2:5" x14ac:dyDescent="0.3">
      <c r="B897" s="4">
        <v>38525</v>
      </c>
      <c r="C897" s="7">
        <v>32.35</v>
      </c>
      <c r="D897" s="6">
        <f t="shared" si="16"/>
        <v>-0.77871263424310833</v>
      </c>
      <c r="E897" s="6">
        <v>1.4742785445420403E-2</v>
      </c>
    </row>
    <row r="898" spans="2:5" x14ac:dyDescent="0.3">
      <c r="B898" s="4">
        <v>40121</v>
      </c>
      <c r="C898" s="7">
        <v>146.19</v>
      </c>
      <c r="D898" s="6">
        <f t="shared" si="16"/>
        <v>1.983469387755102</v>
      </c>
      <c r="E898" s="6">
        <v>1.4715069063649647E-2</v>
      </c>
    </row>
    <row r="899" spans="2:5" x14ac:dyDescent="0.3">
      <c r="B899" s="4">
        <v>38744</v>
      </c>
      <c r="C899" s="7">
        <v>49</v>
      </c>
      <c r="D899" s="6">
        <f t="shared" si="16"/>
        <v>-0.78238664120442336</v>
      </c>
      <c r="E899" s="6">
        <v>1.4702837026299459E-2</v>
      </c>
    </row>
    <row r="900" spans="2:5" x14ac:dyDescent="0.3">
      <c r="B900" s="4">
        <v>40638</v>
      </c>
      <c r="C900" s="7">
        <v>225.17</v>
      </c>
      <c r="D900" s="6">
        <f t="shared" si="16"/>
        <v>-0.15151857713467484</v>
      </c>
      <c r="E900" s="6">
        <v>1.4690640349691276E-2</v>
      </c>
    </row>
    <row r="901" spans="2:5" x14ac:dyDescent="0.3">
      <c r="B901" s="4">
        <v>40945</v>
      </c>
      <c r="C901" s="7">
        <v>265.38</v>
      </c>
      <c r="D901" s="6">
        <f t="shared" si="16"/>
        <v>13.21424745581146</v>
      </c>
      <c r="E901" s="6">
        <v>1.4682266574902405E-2</v>
      </c>
    </row>
    <row r="902" spans="2:5" x14ac:dyDescent="0.3">
      <c r="B902" s="4">
        <v>37783</v>
      </c>
      <c r="C902" s="7">
        <v>18.670000000000002</v>
      </c>
      <c r="D902" s="6">
        <f t="shared" si="16"/>
        <v>-0.99388189802071047</v>
      </c>
      <c r="E902" s="6">
        <v>1.4673913043478431E-2</v>
      </c>
    </row>
    <row r="903" spans="2:5" x14ac:dyDescent="0.3">
      <c r="B903" s="4">
        <v>44515</v>
      </c>
      <c r="C903" s="5">
        <v>3051.6</v>
      </c>
      <c r="D903" s="6">
        <f t="shared" si="16"/>
        <v>6.164052962719504</v>
      </c>
      <c r="E903" s="6">
        <v>1.4666715433800322E-2</v>
      </c>
    </row>
    <row r="904" spans="2:5" x14ac:dyDescent="0.3">
      <c r="B904" s="4">
        <v>41694</v>
      </c>
      <c r="C904" s="7">
        <v>425.96</v>
      </c>
      <c r="D904" s="6">
        <f t="shared" ref="D904:D967" si="17">((C904-C905)/C905)</f>
        <v>-0.8725357591717039</v>
      </c>
      <c r="E904" s="6">
        <v>1.464948429051232E-2</v>
      </c>
    </row>
    <row r="905" spans="2:5" x14ac:dyDescent="0.3">
      <c r="B905" s="4">
        <v>44812</v>
      </c>
      <c r="C905" s="5">
        <v>3341.8</v>
      </c>
      <c r="D905" s="6">
        <f t="shared" si="17"/>
        <v>29.902533752543004</v>
      </c>
      <c r="E905" s="6">
        <v>1.4646765202395049E-2</v>
      </c>
    </row>
    <row r="906" spans="2:5" x14ac:dyDescent="0.3">
      <c r="B906" s="4">
        <v>39673</v>
      </c>
      <c r="C906" s="7">
        <v>108.14</v>
      </c>
      <c r="D906" s="6">
        <f t="shared" si="17"/>
        <v>5.3996101364522479E-2</v>
      </c>
      <c r="E906" s="6">
        <v>1.463689247513607E-2</v>
      </c>
    </row>
    <row r="907" spans="2:5" x14ac:dyDescent="0.3">
      <c r="B907" s="4">
        <v>39555</v>
      </c>
      <c r="C907" s="7">
        <v>102.6</v>
      </c>
      <c r="D907" s="6">
        <f t="shared" si="17"/>
        <v>-0.11931330472103009</v>
      </c>
      <c r="E907" s="6">
        <v>1.4636075949366986E-2</v>
      </c>
    </row>
    <row r="908" spans="2:5" x14ac:dyDescent="0.3">
      <c r="B908" s="4">
        <v>40036</v>
      </c>
      <c r="C908" s="7">
        <v>116.5</v>
      </c>
      <c r="D908" s="6">
        <f t="shared" si="17"/>
        <v>-0.92952677075330736</v>
      </c>
      <c r="E908" s="6">
        <v>1.4631597282703423E-2</v>
      </c>
    </row>
    <row r="909" spans="2:5" x14ac:dyDescent="0.3">
      <c r="B909" s="4">
        <v>43810</v>
      </c>
      <c r="C909" s="5">
        <v>1653.11</v>
      </c>
      <c r="D909" s="6">
        <f t="shared" si="17"/>
        <v>7.7665404756244076E-3</v>
      </c>
      <c r="E909" s="6">
        <v>1.4626092507119664E-2</v>
      </c>
    </row>
    <row r="910" spans="2:5" x14ac:dyDescent="0.3">
      <c r="B910" s="4">
        <v>44029</v>
      </c>
      <c r="C910" s="5">
        <v>1640.37</v>
      </c>
      <c r="D910" s="6">
        <f t="shared" si="17"/>
        <v>23.571150389454761</v>
      </c>
      <c r="E910" s="6">
        <v>1.4590729722040055E-2</v>
      </c>
    </row>
    <row r="911" spans="2:5" x14ac:dyDescent="0.3">
      <c r="B911" s="4">
        <v>39182</v>
      </c>
      <c r="C911" s="7">
        <v>66.760000000000005</v>
      </c>
      <c r="D911" s="6">
        <f t="shared" si="17"/>
        <v>-0.97503543128947445</v>
      </c>
      <c r="E911" s="6">
        <v>1.4589665653495563E-2</v>
      </c>
    </row>
    <row r="912" spans="2:5" x14ac:dyDescent="0.3">
      <c r="B912" s="4">
        <v>44201</v>
      </c>
      <c r="C912" s="5">
        <v>2674.19</v>
      </c>
      <c r="D912" s="6">
        <f t="shared" si="17"/>
        <v>39.002842183994019</v>
      </c>
      <c r="E912" s="6">
        <v>1.4580234922754664E-2</v>
      </c>
    </row>
    <row r="913" spans="2:5" x14ac:dyDescent="0.3">
      <c r="B913" s="4">
        <v>39849</v>
      </c>
      <c r="C913" s="7">
        <v>66.849999999999994</v>
      </c>
      <c r="D913" s="6">
        <f t="shared" si="17"/>
        <v>-0.97221471767908729</v>
      </c>
      <c r="E913" s="6">
        <v>1.4569737441189766E-2</v>
      </c>
    </row>
    <row r="914" spans="2:5" x14ac:dyDescent="0.3">
      <c r="B914" s="4">
        <v>45946</v>
      </c>
      <c r="C914" s="5">
        <v>2405.9499999999998</v>
      </c>
      <c r="D914" s="6">
        <f t="shared" si="17"/>
        <v>-0.1407014536233438</v>
      </c>
      <c r="E914" s="6">
        <v>1.4569452644007644E-2</v>
      </c>
    </row>
    <row r="915" spans="2:5" x14ac:dyDescent="0.3">
      <c r="B915" s="4">
        <v>46010</v>
      </c>
      <c r="C915" s="5">
        <v>2799.9</v>
      </c>
      <c r="D915" s="6">
        <f t="shared" si="17"/>
        <v>7.5160289555325752</v>
      </c>
      <c r="E915" s="6">
        <v>1.4566800739210883E-2</v>
      </c>
    </row>
    <row r="916" spans="2:5" x14ac:dyDescent="0.3">
      <c r="B916" s="4">
        <v>41038</v>
      </c>
      <c r="C916" s="7">
        <v>328.78</v>
      </c>
      <c r="D916" s="6">
        <f t="shared" si="17"/>
        <v>4.3029032258064515</v>
      </c>
      <c r="E916" s="6">
        <v>1.4565203974572519E-2</v>
      </c>
    </row>
    <row r="917" spans="2:5" x14ac:dyDescent="0.3">
      <c r="B917" s="4">
        <v>39169</v>
      </c>
      <c r="C917" s="7">
        <v>62</v>
      </c>
      <c r="D917" s="6">
        <f t="shared" si="17"/>
        <v>-0.97445626872005309</v>
      </c>
      <c r="E917" s="6">
        <v>1.4563901161839315E-2</v>
      </c>
    </row>
    <row r="918" spans="2:5" x14ac:dyDescent="0.3">
      <c r="B918" s="4">
        <v>45870</v>
      </c>
      <c r="C918" s="5">
        <v>2427.21</v>
      </c>
      <c r="D918" s="6">
        <f t="shared" si="17"/>
        <v>8.203040873587625</v>
      </c>
      <c r="E918" s="6">
        <v>1.4562964758795732E-2</v>
      </c>
    </row>
    <row r="919" spans="2:5" x14ac:dyDescent="0.3">
      <c r="B919" s="4">
        <v>40688</v>
      </c>
      <c r="C919" s="7">
        <v>263.74</v>
      </c>
      <c r="D919" s="6">
        <f t="shared" si="17"/>
        <v>10.422260718925942</v>
      </c>
      <c r="E919" s="6">
        <v>1.450167326999262E-2</v>
      </c>
    </row>
    <row r="920" spans="2:5" x14ac:dyDescent="0.3">
      <c r="B920" s="4">
        <v>37868</v>
      </c>
      <c r="C920" s="7">
        <v>23.09</v>
      </c>
      <c r="D920" s="6">
        <f t="shared" si="17"/>
        <v>-0.98612738294791613</v>
      </c>
      <c r="E920" s="6">
        <v>1.4499121265377781E-2</v>
      </c>
    </row>
    <row r="921" spans="2:5" x14ac:dyDescent="0.3">
      <c r="B921" s="4">
        <v>43937</v>
      </c>
      <c r="C921" s="5">
        <v>1664.43</v>
      </c>
      <c r="D921" s="6">
        <f t="shared" si="17"/>
        <v>8.4280616290925572</v>
      </c>
      <c r="E921" s="6">
        <v>1.4494255325633115E-2</v>
      </c>
    </row>
    <row r="922" spans="2:5" x14ac:dyDescent="0.3">
      <c r="B922" s="4">
        <v>40266</v>
      </c>
      <c r="C922" s="7">
        <v>176.54</v>
      </c>
      <c r="D922" s="6">
        <f t="shared" si="17"/>
        <v>-0.9462602242252115</v>
      </c>
      <c r="E922" s="6">
        <v>1.448109412711172E-2</v>
      </c>
    </row>
    <row r="923" spans="2:5" x14ac:dyDescent="0.3">
      <c r="B923" s="4">
        <v>44803</v>
      </c>
      <c r="C923" s="5">
        <v>3285.09</v>
      </c>
      <c r="D923" s="6">
        <f t="shared" si="17"/>
        <v>42.276116453695174</v>
      </c>
      <c r="E923" s="6">
        <v>1.4461470048729851E-2</v>
      </c>
    </row>
    <row r="924" spans="2:5" x14ac:dyDescent="0.3">
      <c r="B924" s="4">
        <v>39932</v>
      </c>
      <c r="C924" s="7">
        <v>75.91</v>
      </c>
      <c r="D924" s="6">
        <f t="shared" si="17"/>
        <v>-0.90247067439260986</v>
      </c>
      <c r="E924" s="6">
        <v>1.4432714152078021E-2</v>
      </c>
    </row>
    <row r="925" spans="2:5" x14ac:dyDescent="0.3">
      <c r="B925" s="4">
        <v>42025</v>
      </c>
      <c r="C925" s="7">
        <v>778.33</v>
      </c>
      <c r="D925" s="6">
        <f t="shared" si="17"/>
        <v>2.7331766511583289</v>
      </c>
      <c r="E925" s="6">
        <v>1.4427964444907919E-2</v>
      </c>
    </row>
    <row r="926" spans="2:5" x14ac:dyDescent="0.3">
      <c r="B926" s="4">
        <v>40368</v>
      </c>
      <c r="C926" s="7">
        <v>208.49</v>
      </c>
      <c r="D926" s="6">
        <f t="shared" si="17"/>
        <v>11.322104018912528</v>
      </c>
      <c r="E926" s="6">
        <v>1.4401790492872126E-2</v>
      </c>
    </row>
    <row r="927" spans="2:5" x14ac:dyDescent="0.3">
      <c r="B927" s="4">
        <v>37550</v>
      </c>
      <c r="C927" s="7">
        <v>16.920000000000002</v>
      </c>
      <c r="D927" s="6">
        <f t="shared" si="17"/>
        <v>-0.94916018148493131</v>
      </c>
      <c r="E927" s="6">
        <v>1.4388489208633212E-2</v>
      </c>
    </row>
    <row r="928" spans="2:5" x14ac:dyDescent="0.3">
      <c r="B928" s="4">
        <v>41050</v>
      </c>
      <c r="C928" s="7">
        <v>332.81</v>
      </c>
      <c r="D928" s="6">
        <f t="shared" si="17"/>
        <v>-0.1601433366139248</v>
      </c>
      <c r="E928" s="6">
        <v>1.4386296443049248E-2</v>
      </c>
    </row>
    <row r="929" spans="2:5" x14ac:dyDescent="0.3">
      <c r="B929" s="4">
        <v>41269</v>
      </c>
      <c r="C929" s="7">
        <v>396.27</v>
      </c>
      <c r="D929" s="6">
        <f t="shared" si="17"/>
        <v>0.77436976671293578</v>
      </c>
      <c r="E929" s="6">
        <v>1.4360313315926781E-2</v>
      </c>
    </row>
    <row r="930" spans="2:5" x14ac:dyDescent="0.3">
      <c r="B930" s="4">
        <v>40625</v>
      </c>
      <c r="C930" s="7">
        <v>223.33</v>
      </c>
      <c r="D930" s="6">
        <f t="shared" si="17"/>
        <v>-0.52721383661113108</v>
      </c>
      <c r="E930" s="6">
        <v>1.4352545760094588E-2</v>
      </c>
    </row>
    <row r="931" spans="2:5" x14ac:dyDescent="0.3">
      <c r="B931" s="4">
        <v>41569</v>
      </c>
      <c r="C931" s="7">
        <v>472.37</v>
      </c>
      <c r="D931" s="6">
        <f t="shared" si="17"/>
        <v>-0.7360840293879376</v>
      </c>
      <c r="E931" s="6">
        <v>1.4344306298181208E-2</v>
      </c>
    </row>
    <row r="932" spans="2:5" x14ac:dyDescent="0.3">
      <c r="B932" s="4">
        <v>43895</v>
      </c>
      <c r="C932" s="5">
        <v>1789.85</v>
      </c>
      <c r="D932" s="6">
        <f t="shared" si="17"/>
        <v>0.8209333319768447</v>
      </c>
      <c r="E932" s="6">
        <v>1.4337933184097902E-2</v>
      </c>
    </row>
    <row r="933" spans="2:5" x14ac:dyDescent="0.3">
      <c r="B933" s="4">
        <v>42822</v>
      </c>
      <c r="C933" s="7">
        <v>982.93</v>
      </c>
      <c r="D933" s="6">
        <f t="shared" si="17"/>
        <v>-0.11061546535406007</v>
      </c>
      <c r="E933" s="6">
        <v>1.4333773631635419E-2</v>
      </c>
    </row>
    <row r="934" spans="2:5" x14ac:dyDescent="0.3">
      <c r="B934" s="4">
        <v>43206</v>
      </c>
      <c r="C934" s="5">
        <v>1105.18</v>
      </c>
      <c r="D934" s="6">
        <f t="shared" si="17"/>
        <v>3.6389355271994628</v>
      </c>
      <c r="E934" s="6">
        <v>1.4326752755674374E-2</v>
      </c>
    </row>
    <row r="935" spans="2:5" x14ac:dyDescent="0.3">
      <c r="B935" s="4">
        <v>40898</v>
      </c>
      <c r="C935" s="7">
        <v>238.24</v>
      </c>
      <c r="D935" s="6">
        <f t="shared" si="17"/>
        <v>-0.70640573780593008</v>
      </c>
      <c r="E935" s="6">
        <v>1.430517711171668E-2</v>
      </c>
    </row>
    <row r="936" spans="2:5" x14ac:dyDescent="0.3">
      <c r="B936" s="4">
        <v>42293</v>
      </c>
      <c r="C936" s="7">
        <v>811.46</v>
      </c>
      <c r="D936" s="6">
        <f t="shared" si="17"/>
        <v>-0.43421905831003393</v>
      </c>
      <c r="E936" s="6">
        <v>1.4299642508937345E-2</v>
      </c>
    </row>
    <row r="937" spans="2:5" x14ac:dyDescent="0.3">
      <c r="B937" s="4">
        <v>43559</v>
      </c>
      <c r="C937" s="5">
        <v>1434.23</v>
      </c>
      <c r="D937" s="6">
        <f t="shared" si="17"/>
        <v>3.1712133550488604</v>
      </c>
      <c r="E937" s="6">
        <v>1.4285411200611052E-2</v>
      </c>
    </row>
    <row r="938" spans="2:5" x14ac:dyDescent="0.3">
      <c r="B938" s="4">
        <v>41067</v>
      </c>
      <c r="C938" s="7">
        <v>343.84</v>
      </c>
      <c r="D938" s="6">
        <f t="shared" si="17"/>
        <v>-0.62686923494302771</v>
      </c>
      <c r="E938" s="6">
        <v>1.4277286135693141E-2</v>
      </c>
    </row>
    <row r="939" spans="2:5" x14ac:dyDescent="0.3">
      <c r="B939" s="4">
        <v>42550</v>
      </c>
      <c r="C939" s="7">
        <v>921.5</v>
      </c>
      <c r="D939" s="6">
        <f t="shared" si="17"/>
        <v>25.968100673105063</v>
      </c>
      <c r="E939" s="6">
        <v>1.4275808173643168E-2</v>
      </c>
    </row>
    <row r="940" spans="2:5" x14ac:dyDescent="0.3">
      <c r="B940" s="4">
        <v>38539</v>
      </c>
      <c r="C940" s="7">
        <v>34.17</v>
      </c>
      <c r="D940" s="6">
        <f t="shared" si="17"/>
        <v>-0.86287571732413015</v>
      </c>
      <c r="E940" s="6">
        <v>1.4247551202137252E-2</v>
      </c>
    </row>
    <row r="941" spans="2:5" x14ac:dyDescent="0.3">
      <c r="B941" s="4">
        <v>40427</v>
      </c>
      <c r="C941" s="7">
        <v>249.19</v>
      </c>
      <c r="D941" s="6">
        <f t="shared" si="17"/>
        <v>-0.76485963670677037</v>
      </c>
      <c r="E941" s="6">
        <v>1.4245594041271521E-2</v>
      </c>
    </row>
    <row r="942" spans="2:5" x14ac:dyDescent="0.3">
      <c r="B942" s="4">
        <v>42587</v>
      </c>
      <c r="C942" s="5">
        <v>1059.75</v>
      </c>
      <c r="D942" s="6">
        <f t="shared" si="17"/>
        <v>60.973684210526315</v>
      </c>
      <c r="E942" s="6">
        <v>1.4241006058170021E-2</v>
      </c>
    </row>
    <row r="943" spans="2:5" x14ac:dyDescent="0.3">
      <c r="B943" s="4">
        <v>37700</v>
      </c>
      <c r="C943" s="7">
        <v>17.100000000000001</v>
      </c>
      <c r="D943" s="6">
        <f t="shared" si="17"/>
        <v>-0.82877741063382404</v>
      </c>
      <c r="E943" s="6">
        <v>1.4234875444839977E-2</v>
      </c>
    </row>
    <row r="944" spans="2:5" x14ac:dyDescent="0.3">
      <c r="B944" s="4">
        <v>39625</v>
      </c>
      <c r="C944" s="7">
        <v>99.87</v>
      </c>
      <c r="D944" s="6">
        <f t="shared" si="17"/>
        <v>-0.88436555628886027</v>
      </c>
      <c r="E944" s="6">
        <v>1.4217528181171989E-2</v>
      </c>
    </row>
    <row r="945" spans="2:5" x14ac:dyDescent="0.3">
      <c r="B945" s="4">
        <v>42741</v>
      </c>
      <c r="C945" s="7">
        <v>863.67</v>
      </c>
      <c r="D945" s="6">
        <f t="shared" si="17"/>
        <v>15.101230425055927</v>
      </c>
      <c r="E945" s="6">
        <v>1.4185229981563812E-2</v>
      </c>
    </row>
    <row r="946" spans="2:5" x14ac:dyDescent="0.3">
      <c r="B946" s="4">
        <v>38967</v>
      </c>
      <c r="C946" s="7">
        <v>53.64</v>
      </c>
      <c r="D946" s="6">
        <f t="shared" si="17"/>
        <v>-0.86401663033007148</v>
      </c>
      <c r="E946" s="6">
        <v>1.4180374361883153E-2</v>
      </c>
    </row>
    <row r="947" spans="2:5" x14ac:dyDescent="0.3">
      <c r="B947" s="4">
        <v>41498</v>
      </c>
      <c r="C947" s="7">
        <v>394.46</v>
      </c>
      <c r="D947" s="6">
        <f t="shared" si="17"/>
        <v>4.4506010777946656</v>
      </c>
      <c r="E947" s="6">
        <v>1.4166345288597483E-2</v>
      </c>
    </row>
    <row r="948" spans="2:5" x14ac:dyDescent="0.3">
      <c r="B948" s="4">
        <v>39276</v>
      </c>
      <c r="C948" s="7">
        <v>72.37</v>
      </c>
      <c r="D948" s="6">
        <f t="shared" si="17"/>
        <v>-0.94444657675154109</v>
      </c>
      <c r="E948" s="6">
        <v>1.415358744394626E-2</v>
      </c>
    </row>
    <row r="949" spans="2:5" x14ac:dyDescent="0.3">
      <c r="B949" s="4">
        <v>43662</v>
      </c>
      <c r="C949" s="5">
        <v>1302.71</v>
      </c>
      <c r="D949" s="6">
        <f t="shared" si="17"/>
        <v>15.654436205574022</v>
      </c>
      <c r="E949" s="6">
        <v>1.415303651919384E-2</v>
      </c>
    </row>
    <row r="950" spans="2:5" x14ac:dyDescent="0.3">
      <c r="B950" s="4">
        <v>39818</v>
      </c>
      <c r="C950" s="7">
        <v>78.22</v>
      </c>
      <c r="D950" s="6">
        <f t="shared" si="17"/>
        <v>0.19767263818710759</v>
      </c>
      <c r="E950" s="6">
        <v>1.4131984960456418E-2</v>
      </c>
    </row>
    <row r="951" spans="2:5" x14ac:dyDescent="0.3">
      <c r="B951" s="4">
        <v>39128</v>
      </c>
      <c r="C951" s="7">
        <v>65.31</v>
      </c>
      <c r="D951" s="6">
        <f t="shared" si="17"/>
        <v>-0.94624691358024693</v>
      </c>
      <c r="E951" s="6">
        <v>1.4130434782608642E-2</v>
      </c>
    </row>
    <row r="952" spans="2:5" x14ac:dyDescent="0.3">
      <c r="B952" s="4">
        <v>43368</v>
      </c>
      <c r="C952" s="5">
        <v>1215</v>
      </c>
      <c r="D952" s="6">
        <f t="shared" si="17"/>
        <v>3.3329410506044717</v>
      </c>
      <c r="E952" s="6">
        <v>1.41141316595582E-2</v>
      </c>
    </row>
    <row r="953" spans="2:5" x14ac:dyDescent="0.3">
      <c r="B953" s="4">
        <v>40826</v>
      </c>
      <c r="C953" s="7">
        <v>280.41000000000003</v>
      </c>
      <c r="D953" s="6">
        <f t="shared" si="17"/>
        <v>-0.4223114956736711</v>
      </c>
      <c r="E953" s="6">
        <v>1.4104372355430307E-2</v>
      </c>
    </row>
    <row r="954" spans="2:5" x14ac:dyDescent="0.3">
      <c r="B954" s="4">
        <v>41775</v>
      </c>
      <c r="C954" s="7">
        <v>485.4</v>
      </c>
      <c r="D954" s="6">
        <f t="shared" si="17"/>
        <v>18.804161566707464</v>
      </c>
      <c r="E954" s="6">
        <v>1.4080976058162269E-2</v>
      </c>
    </row>
    <row r="955" spans="2:5" x14ac:dyDescent="0.3">
      <c r="B955" s="4">
        <v>38188</v>
      </c>
      <c r="C955" s="7">
        <v>24.51</v>
      </c>
      <c r="D955" s="6">
        <f t="shared" si="17"/>
        <v>-0.55845793550711575</v>
      </c>
      <c r="E955" s="6">
        <v>1.4067025237898214E-2</v>
      </c>
    </row>
    <row r="956" spans="2:5" x14ac:dyDescent="0.3">
      <c r="B956" s="4">
        <v>38989</v>
      </c>
      <c r="C956" s="7">
        <v>55.51</v>
      </c>
      <c r="D956" s="6">
        <f t="shared" si="17"/>
        <v>1.2620211898940505</v>
      </c>
      <c r="E956" s="6">
        <v>1.4066496163682791E-2</v>
      </c>
    </row>
    <row r="957" spans="2:5" x14ac:dyDescent="0.3">
      <c r="B957" s="4">
        <v>38176</v>
      </c>
      <c r="C957" s="7">
        <v>24.54</v>
      </c>
      <c r="D957" s="6">
        <f t="shared" si="17"/>
        <v>-0.96593937375083283</v>
      </c>
      <c r="E957" s="6">
        <v>1.4049586776859498E-2</v>
      </c>
    </row>
    <row r="958" spans="2:5" x14ac:dyDescent="0.3">
      <c r="B958" s="4">
        <v>42191</v>
      </c>
      <c r="C958" s="7">
        <v>720.48</v>
      </c>
      <c r="D958" s="6">
        <f t="shared" si="17"/>
        <v>10.086013232805048</v>
      </c>
      <c r="E958" s="6">
        <v>1.4046446164672792E-2</v>
      </c>
    </row>
    <row r="959" spans="2:5" x14ac:dyDescent="0.3">
      <c r="B959" s="4">
        <v>39896</v>
      </c>
      <c r="C959" s="7">
        <v>64.989999999999995</v>
      </c>
      <c r="D959" s="6">
        <f t="shared" si="17"/>
        <v>-0.97593809585516211</v>
      </c>
      <c r="E959" s="6">
        <v>1.4042752379466242E-2</v>
      </c>
    </row>
    <row r="960" spans="2:5" x14ac:dyDescent="0.3">
      <c r="B960" s="4">
        <v>44334</v>
      </c>
      <c r="C960" s="5">
        <v>2700.95</v>
      </c>
      <c r="D960" s="6">
        <f t="shared" si="17"/>
        <v>2.468626393383675</v>
      </c>
      <c r="E960" s="6">
        <v>1.403379674647171E-2</v>
      </c>
    </row>
    <row r="961" spans="2:5" x14ac:dyDescent="0.3">
      <c r="B961" s="4">
        <v>42214</v>
      </c>
      <c r="C961" s="7">
        <v>778.68</v>
      </c>
      <c r="D961" s="6">
        <f t="shared" si="17"/>
        <v>1.0804745110612375</v>
      </c>
      <c r="E961" s="6">
        <v>1.401187623710802E-2</v>
      </c>
    </row>
    <row r="962" spans="2:5" x14ac:dyDescent="0.3">
      <c r="B962" s="4">
        <v>41221</v>
      </c>
      <c r="C962" s="7">
        <v>374.28</v>
      </c>
      <c r="D962" s="6">
        <f t="shared" si="17"/>
        <v>-0.85856318516251173</v>
      </c>
      <c r="E962" s="6">
        <v>1.4006664679905608E-2</v>
      </c>
    </row>
    <row r="963" spans="2:5" x14ac:dyDescent="0.3">
      <c r="B963" s="4">
        <v>45971</v>
      </c>
      <c r="C963" s="5">
        <v>2646.27</v>
      </c>
      <c r="D963" s="6">
        <f t="shared" si="17"/>
        <v>-6.3433020704300125E-2</v>
      </c>
      <c r="E963" s="6">
        <v>1.4001448425699196E-2</v>
      </c>
    </row>
    <row r="964" spans="2:5" x14ac:dyDescent="0.3">
      <c r="B964" s="4">
        <v>46031</v>
      </c>
      <c r="C964" s="5">
        <v>2825.5</v>
      </c>
      <c r="D964" s="6">
        <f t="shared" si="17"/>
        <v>138.18719211822659</v>
      </c>
      <c r="E964" s="6">
        <v>1.3996052395478199E-2</v>
      </c>
    </row>
    <row r="965" spans="2:5" x14ac:dyDescent="0.3">
      <c r="B965" s="4">
        <v>37820</v>
      </c>
      <c r="C965" s="7">
        <v>20.3</v>
      </c>
      <c r="D965" s="6">
        <f t="shared" si="17"/>
        <v>-0.9567357899448008</v>
      </c>
      <c r="E965" s="6">
        <v>1.3986013986014043E-2</v>
      </c>
    </row>
    <row r="966" spans="2:5" x14ac:dyDescent="0.3">
      <c r="B966" s="4">
        <v>41764</v>
      </c>
      <c r="C966" s="7">
        <v>469.21</v>
      </c>
      <c r="D966" s="6">
        <f t="shared" si="17"/>
        <v>0.60336932750136685</v>
      </c>
      <c r="E966" s="6">
        <v>1.3981933699269504E-2</v>
      </c>
    </row>
    <row r="967" spans="2:5" x14ac:dyDescent="0.3">
      <c r="B967" s="4">
        <v>41012</v>
      </c>
      <c r="C967" s="7">
        <v>292.64</v>
      </c>
      <c r="D967" s="6">
        <f t="shared" si="17"/>
        <v>-0.9049292914854149</v>
      </c>
      <c r="E967" s="6">
        <v>1.3963480128893568E-2</v>
      </c>
    </row>
    <row r="968" spans="2:5" x14ac:dyDescent="0.3">
      <c r="B968" s="4">
        <v>44593</v>
      </c>
      <c r="C968" s="5">
        <v>3078.13</v>
      </c>
      <c r="D968" s="6">
        <f t="shared" ref="D968:D1031" si="18">((C968-C969)/C969)</f>
        <v>73.315065185900522</v>
      </c>
      <c r="E968" s="6">
        <v>1.3956966295095755E-2</v>
      </c>
    </row>
    <row r="969" spans="2:5" x14ac:dyDescent="0.3">
      <c r="B969" s="4">
        <v>38665</v>
      </c>
      <c r="C969" s="7">
        <v>41.42</v>
      </c>
      <c r="D969" s="6">
        <f t="shared" si="18"/>
        <v>-0.94650375842740175</v>
      </c>
      <c r="E969" s="6">
        <v>1.395348837209303E-2</v>
      </c>
    </row>
    <row r="970" spans="2:5" x14ac:dyDescent="0.3">
      <c r="B970" s="4">
        <v>42102</v>
      </c>
      <c r="C970" s="7">
        <v>774.26</v>
      </c>
      <c r="D970" s="6">
        <f t="shared" si="18"/>
        <v>-0.70417492902964518</v>
      </c>
      <c r="E970" s="6">
        <v>1.3946910071895309E-2</v>
      </c>
    </row>
    <row r="971" spans="2:5" x14ac:dyDescent="0.3">
      <c r="B971" s="4">
        <v>44195</v>
      </c>
      <c r="C971" s="5">
        <v>2617.29</v>
      </c>
      <c r="D971" s="6">
        <f t="shared" si="18"/>
        <v>127.23566878980893</v>
      </c>
      <c r="E971" s="6">
        <v>1.3942587068531275E-2</v>
      </c>
    </row>
    <row r="972" spans="2:5" x14ac:dyDescent="0.3">
      <c r="B972" s="4">
        <v>37834</v>
      </c>
      <c r="C972" s="7">
        <v>20.41</v>
      </c>
      <c r="D972" s="6">
        <f t="shared" si="18"/>
        <v>-0.90565339989830351</v>
      </c>
      <c r="E972" s="6">
        <v>1.3909587680079541E-2</v>
      </c>
    </row>
    <row r="973" spans="2:5" x14ac:dyDescent="0.3">
      <c r="B973" s="4">
        <v>40375</v>
      </c>
      <c r="C973" s="7">
        <v>216.33</v>
      </c>
      <c r="D973" s="6">
        <f t="shared" si="18"/>
        <v>-0.92365218741618083</v>
      </c>
      <c r="E973" s="6">
        <v>1.3872615644186192E-2</v>
      </c>
    </row>
    <row r="974" spans="2:5" x14ac:dyDescent="0.3">
      <c r="B974" s="4">
        <v>45392</v>
      </c>
      <c r="C974" s="5">
        <v>2833.48</v>
      </c>
      <c r="D974" s="6">
        <f t="shared" si="18"/>
        <v>0.1972535017852238</v>
      </c>
      <c r="E974" s="6">
        <v>1.386175458182165E-2</v>
      </c>
    </row>
    <row r="975" spans="2:5" x14ac:dyDescent="0.3">
      <c r="B975" s="4">
        <v>44172</v>
      </c>
      <c r="C975" s="5">
        <v>2366.65</v>
      </c>
      <c r="D975" s="6">
        <f t="shared" si="18"/>
        <v>0.38010764915472683</v>
      </c>
      <c r="E975" s="6">
        <v>1.3858544317354199E-2</v>
      </c>
    </row>
    <row r="976" spans="2:5" x14ac:dyDescent="0.3">
      <c r="B976" s="4">
        <v>43818</v>
      </c>
      <c r="C976" s="5">
        <v>1714.83</v>
      </c>
      <c r="D976" s="6">
        <f t="shared" si="18"/>
        <v>27.570976341219591</v>
      </c>
      <c r="E976" s="6">
        <v>1.3858424136361115E-2</v>
      </c>
    </row>
    <row r="977" spans="2:5" x14ac:dyDescent="0.3">
      <c r="B977" s="4">
        <v>39079</v>
      </c>
      <c r="C977" s="7">
        <v>60.02</v>
      </c>
      <c r="D977" s="6">
        <f t="shared" si="18"/>
        <v>-0.98036405988274711</v>
      </c>
      <c r="E977" s="6">
        <v>1.3851351351351356E-2</v>
      </c>
    </row>
    <row r="978" spans="2:5" x14ac:dyDescent="0.3">
      <c r="B978" s="4">
        <v>44893</v>
      </c>
      <c r="C978" s="5">
        <v>3056.64</v>
      </c>
      <c r="D978" s="6">
        <f t="shared" si="18"/>
        <v>1.5599999999999998</v>
      </c>
      <c r="E978" s="6">
        <v>1.3851297564082073E-2</v>
      </c>
    </row>
    <row r="979" spans="2:5" x14ac:dyDescent="0.3">
      <c r="B979" s="4">
        <v>43389</v>
      </c>
      <c r="C979" s="5">
        <v>1194</v>
      </c>
      <c r="D979" s="6">
        <f t="shared" si="18"/>
        <v>-9.4734447856249321E-2</v>
      </c>
      <c r="E979" s="6">
        <v>1.3840536639211984E-2</v>
      </c>
    </row>
    <row r="980" spans="2:5" x14ac:dyDescent="0.3">
      <c r="B980" s="4">
        <v>43516</v>
      </c>
      <c r="C980" s="5">
        <v>1318.95</v>
      </c>
      <c r="D980" s="6">
        <f t="shared" si="18"/>
        <v>-0.4115245616383349</v>
      </c>
      <c r="E980" s="6">
        <v>1.382824990776043E-2</v>
      </c>
    </row>
    <row r="981" spans="2:5" x14ac:dyDescent="0.3">
      <c r="B981" s="4">
        <v>45824</v>
      </c>
      <c r="C981" s="5">
        <v>2241.3000000000002</v>
      </c>
      <c r="D981" s="6">
        <f t="shared" si="18"/>
        <v>-4.1729017914404164E-2</v>
      </c>
      <c r="E981" s="6">
        <v>1.3818839760262438E-2</v>
      </c>
    </row>
    <row r="982" spans="2:5" x14ac:dyDescent="0.3">
      <c r="B982" s="4">
        <v>44279</v>
      </c>
      <c r="C982" s="5">
        <v>2338.9</v>
      </c>
      <c r="D982" s="6">
        <f t="shared" si="18"/>
        <v>137.31460674157304</v>
      </c>
      <c r="E982" s="6">
        <v>1.3796720515632349E-2</v>
      </c>
    </row>
    <row r="983" spans="2:5" x14ac:dyDescent="0.3">
      <c r="B983" s="4">
        <v>37532</v>
      </c>
      <c r="C983" s="7">
        <v>16.91</v>
      </c>
      <c r="D983" s="6">
        <f t="shared" si="18"/>
        <v>-0.96562099741801688</v>
      </c>
      <c r="E983" s="6">
        <v>1.3788968824940073E-2</v>
      </c>
    </row>
    <row r="984" spans="2:5" x14ac:dyDescent="0.3">
      <c r="B984" s="4">
        <v>41801</v>
      </c>
      <c r="C984" s="7">
        <v>491.87</v>
      </c>
      <c r="D984" s="6">
        <f t="shared" si="18"/>
        <v>-0.83290926817337196</v>
      </c>
      <c r="E984" s="6">
        <v>1.3788696978440986E-2</v>
      </c>
    </row>
    <row r="985" spans="2:5" x14ac:dyDescent="0.3">
      <c r="B985" s="4">
        <v>44364</v>
      </c>
      <c r="C985" s="5">
        <v>2943.73</v>
      </c>
      <c r="D985" s="6">
        <f t="shared" si="18"/>
        <v>2.0458891211224466</v>
      </c>
      <c r="E985" s="6">
        <v>1.3778876751201983E-2</v>
      </c>
    </row>
    <row r="986" spans="2:5" x14ac:dyDescent="0.3">
      <c r="B986" s="4">
        <v>42572</v>
      </c>
      <c r="C986" s="7">
        <v>966.46</v>
      </c>
      <c r="D986" s="6">
        <f t="shared" si="18"/>
        <v>2.433494386812562</v>
      </c>
      <c r="E986" s="6">
        <v>1.3762141523485854E-2</v>
      </c>
    </row>
    <row r="987" spans="2:5" x14ac:dyDescent="0.3">
      <c r="B987" s="4">
        <v>40724</v>
      </c>
      <c r="C987" s="7">
        <v>281.48</v>
      </c>
      <c r="D987" s="6">
        <f t="shared" si="18"/>
        <v>-0.20591305329082857</v>
      </c>
      <c r="E987" s="6">
        <v>1.3757833321328218E-2</v>
      </c>
    </row>
    <row r="988" spans="2:5" x14ac:dyDescent="0.3">
      <c r="B988" s="4">
        <v>41218</v>
      </c>
      <c r="C988" s="7">
        <v>354.47</v>
      </c>
      <c r="D988" s="6">
        <f t="shared" si="18"/>
        <v>-0.86925667326893363</v>
      </c>
      <c r="E988" s="6">
        <v>1.3756220328318945E-2</v>
      </c>
    </row>
    <row r="989" spans="2:5" x14ac:dyDescent="0.3">
      <c r="B989" s="4">
        <v>44337</v>
      </c>
      <c r="C989" s="5">
        <v>2711.19</v>
      </c>
      <c r="D989" s="6">
        <f t="shared" si="18"/>
        <v>10.487606457353504</v>
      </c>
      <c r="E989" s="6">
        <v>1.3744984912673064E-2</v>
      </c>
    </row>
    <row r="990" spans="2:5" x14ac:dyDescent="0.3">
      <c r="B990" s="4">
        <v>40465</v>
      </c>
      <c r="C990" s="7">
        <v>236.01</v>
      </c>
      <c r="D990" s="6">
        <f t="shared" si="18"/>
        <v>4.7916564417177909</v>
      </c>
      <c r="E990" s="6">
        <v>1.370157202989433E-2</v>
      </c>
    </row>
    <row r="991" spans="2:5" x14ac:dyDescent="0.3">
      <c r="B991" s="4">
        <v>38663</v>
      </c>
      <c r="C991" s="7">
        <v>40.75</v>
      </c>
      <c r="D991" s="6">
        <f t="shared" si="18"/>
        <v>-0.96085870713668231</v>
      </c>
      <c r="E991" s="6">
        <v>1.3681592039800924E-2</v>
      </c>
    </row>
    <row r="992" spans="2:5" x14ac:dyDescent="0.3">
      <c r="B992" s="4">
        <v>42853</v>
      </c>
      <c r="C992" s="5">
        <v>1041.0999999999999</v>
      </c>
      <c r="D992" s="6">
        <f t="shared" si="18"/>
        <v>59.918665886483325</v>
      </c>
      <c r="E992" s="6">
        <v>1.3660217901408837E-2</v>
      </c>
    </row>
    <row r="993" spans="2:5" x14ac:dyDescent="0.3">
      <c r="B993" s="4">
        <v>37748</v>
      </c>
      <c r="C993" s="7">
        <v>17.09</v>
      </c>
      <c r="D993" s="6">
        <f t="shared" si="18"/>
        <v>-0.96072979618097853</v>
      </c>
      <c r="E993" s="6">
        <v>1.3641755634638222E-2</v>
      </c>
    </row>
    <row r="994" spans="2:5" x14ac:dyDescent="0.3">
      <c r="B994" s="4">
        <v>41705</v>
      </c>
      <c r="C994" s="7">
        <v>435.19</v>
      </c>
      <c r="D994" s="6">
        <f t="shared" si="18"/>
        <v>7.5853225488261984</v>
      </c>
      <c r="E994" s="6">
        <v>1.3601956445790089E-2</v>
      </c>
    </row>
    <row r="995" spans="2:5" x14ac:dyDescent="0.3">
      <c r="B995" s="4">
        <v>38932</v>
      </c>
      <c r="C995" s="7">
        <v>50.69</v>
      </c>
      <c r="D995" s="6">
        <f t="shared" si="18"/>
        <v>-0.95475561426684274</v>
      </c>
      <c r="E995" s="6">
        <v>1.3597280543891217E-2</v>
      </c>
    </row>
    <row r="996" spans="2:5" x14ac:dyDescent="0.3">
      <c r="B996" s="4">
        <v>42648</v>
      </c>
      <c r="C996" s="5">
        <v>1120.3599999999999</v>
      </c>
      <c r="D996" s="6">
        <f t="shared" si="18"/>
        <v>11.101533808597969</v>
      </c>
      <c r="E996" s="6">
        <v>1.3579409236893285E-2</v>
      </c>
    </row>
    <row r="997" spans="2:5" x14ac:dyDescent="0.3">
      <c r="B997" s="4">
        <v>39444</v>
      </c>
      <c r="C997" s="7">
        <v>92.58</v>
      </c>
      <c r="D997" s="6">
        <f t="shared" si="18"/>
        <v>-0.9007663861943298</v>
      </c>
      <c r="E997" s="6">
        <v>1.3575651412305614E-2</v>
      </c>
    </row>
    <row r="998" spans="2:5" x14ac:dyDescent="0.3">
      <c r="B998" s="4">
        <v>42537</v>
      </c>
      <c r="C998" s="7">
        <v>932.95</v>
      </c>
      <c r="D998" s="6">
        <f t="shared" si="18"/>
        <v>-0.67237437710922487</v>
      </c>
      <c r="E998" s="6">
        <v>1.3547279680166899E-2</v>
      </c>
    </row>
    <row r="999" spans="2:5" x14ac:dyDescent="0.3">
      <c r="B999" s="4">
        <v>45440</v>
      </c>
      <c r="C999" s="5">
        <v>2847.61</v>
      </c>
      <c r="D999" s="6">
        <f t="shared" si="18"/>
        <v>0.92111423694738481</v>
      </c>
      <c r="E999" s="6">
        <v>1.354304588618865E-2</v>
      </c>
    </row>
    <row r="1000" spans="2:5" x14ac:dyDescent="0.3">
      <c r="B1000" s="4">
        <v>43719</v>
      </c>
      <c r="C1000" s="5">
        <v>1482.27</v>
      </c>
      <c r="D1000" s="6">
        <f t="shared" si="18"/>
        <v>-0.51608195725842787</v>
      </c>
      <c r="E1000" s="6">
        <v>1.3531808982003148E-2</v>
      </c>
    </row>
    <row r="1001" spans="2:5" x14ac:dyDescent="0.3">
      <c r="B1001" s="4">
        <v>44532</v>
      </c>
      <c r="C1001" s="5">
        <v>3063.06</v>
      </c>
      <c r="D1001" s="6">
        <f t="shared" si="18"/>
        <v>34.81269729919326</v>
      </c>
      <c r="E1001" s="6">
        <v>1.3526659563626293E-2</v>
      </c>
    </row>
    <row r="1002" spans="2:5" x14ac:dyDescent="0.3">
      <c r="B1002" s="4">
        <v>39471</v>
      </c>
      <c r="C1002" s="7">
        <v>85.53</v>
      </c>
      <c r="D1002" s="6">
        <f t="shared" si="18"/>
        <v>-0.68860814795936942</v>
      </c>
      <c r="E1002" s="6">
        <v>1.3508709562744407E-2</v>
      </c>
    </row>
    <row r="1003" spans="2:5" x14ac:dyDescent="0.3">
      <c r="B1003" s="4">
        <v>40861</v>
      </c>
      <c r="C1003" s="7">
        <v>274.67</v>
      </c>
      <c r="D1003" s="6">
        <f t="shared" si="18"/>
        <v>-0.85531728849628375</v>
      </c>
      <c r="E1003" s="6">
        <v>1.3505036714512472E-2</v>
      </c>
    </row>
    <row r="1004" spans="2:5" x14ac:dyDescent="0.3">
      <c r="B1004" s="4">
        <v>44104</v>
      </c>
      <c r="C1004" s="5">
        <v>1898.43</v>
      </c>
      <c r="D1004" s="6">
        <f t="shared" si="18"/>
        <v>-0.35660835202971536</v>
      </c>
      <c r="E1004" s="6">
        <v>1.3495982702933547E-2</v>
      </c>
    </row>
    <row r="1005" spans="2:5" x14ac:dyDescent="0.3">
      <c r="B1005" s="4">
        <v>45337</v>
      </c>
      <c r="C1005" s="5">
        <v>2950.66</v>
      </c>
      <c r="D1005" s="6">
        <f t="shared" si="18"/>
        <v>7.4633432767324459</v>
      </c>
      <c r="E1005" s="6">
        <v>1.3488402446941146E-2</v>
      </c>
    </row>
    <row r="1006" spans="2:5" x14ac:dyDescent="0.3">
      <c r="B1006" s="4">
        <v>41166</v>
      </c>
      <c r="C1006" s="7">
        <v>348.64</v>
      </c>
      <c r="D1006" s="6">
        <f t="shared" si="18"/>
        <v>13.035426731078905</v>
      </c>
      <c r="E1006" s="6">
        <v>1.3488372093023216E-2</v>
      </c>
    </row>
    <row r="1007" spans="2:5" x14ac:dyDescent="0.3">
      <c r="B1007" s="4">
        <v>37977</v>
      </c>
      <c r="C1007" s="7">
        <v>24.84</v>
      </c>
      <c r="D1007" s="6">
        <f t="shared" si="18"/>
        <v>-0.9095938273402242</v>
      </c>
      <c r="E1007" s="6">
        <v>1.3463892288861619E-2</v>
      </c>
    </row>
    <row r="1008" spans="2:5" x14ac:dyDescent="0.3">
      <c r="B1008" s="4">
        <v>40949</v>
      </c>
      <c r="C1008" s="7">
        <v>274.76</v>
      </c>
      <c r="D1008" s="6">
        <f t="shared" si="18"/>
        <v>-0.8930457969209209</v>
      </c>
      <c r="E1008" s="6">
        <v>1.3463169931024224E-2</v>
      </c>
    </row>
    <row r="1009" spans="2:5" x14ac:dyDescent="0.3">
      <c r="B1009" s="4">
        <v>44193</v>
      </c>
      <c r="C1009" s="5">
        <v>2568.9499999999998</v>
      </c>
      <c r="D1009" s="6">
        <f t="shared" si="18"/>
        <v>-8.1080404346799667E-2</v>
      </c>
      <c r="E1009" s="6">
        <v>1.3460468749383545E-2</v>
      </c>
    </row>
    <row r="1010" spans="2:5" x14ac:dyDescent="0.3">
      <c r="B1010" s="4">
        <v>45037</v>
      </c>
      <c r="C1010" s="5">
        <v>2795.62</v>
      </c>
      <c r="D1010" s="6">
        <f t="shared" si="18"/>
        <v>118.67551369863013</v>
      </c>
      <c r="E1010" s="6">
        <v>1.3452914798206159E-2</v>
      </c>
    </row>
    <row r="1011" spans="2:5" x14ac:dyDescent="0.3">
      <c r="B1011" s="4">
        <v>38079</v>
      </c>
      <c r="C1011" s="7">
        <v>23.36</v>
      </c>
      <c r="D1011" s="6">
        <f t="shared" si="18"/>
        <v>-0.97799071011993943</v>
      </c>
      <c r="E1011" s="6">
        <v>1.3449023861171311E-2</v>
      </c>
    </row>
    <row r="1012" spans="2:5" x14ac:dyDescent="0.3">
      <c r="B1012" s="4">
        <v>42593</v>
      </c>
      <c r="C1012" s="5">
        <v>1061.3699999999999</v>
      </c>
      <c r="D1012" s="6">
        <f t="shared" si="18"/>
        <v>2.2098530212302658</v>
      </c>
      <c r="E1012" s="6">
        <v>1.3405516885795275E-2</v>
      </c>
    </row>
    <row r="1013" spans="2:5" x14ac:dyDescent="0.3">
      <c r="B1013" s="4">
        <v>41158</v>
      </c>
      <c r="C1013" s="7">
        <v>330.66</v>
      </c>
      <c r="D1013" s="6">
        <f t="shared" si="18"/>
        <v>4.5248120300751875</v>
      </c>
      <c r="E1013" s="6">
        <v>1.3392993962426075E-2</v>
      </c>
    </row>
    <row r="1014" spans="2:5" x14ac:dyDescent="0.3">
      <c r="B1014" s="4">
        <v>39163</v>
      </c>
      <c r="C1014" s="7">
        <v>59.85</v>
      </c>
      <c r="D1014" s="6">
        <f t="shared" si="18"/>
        <v>0.71539122957867585</v>
      </c>
      <c r="E1014" s="6">
        <v>1.3376227565187929E-2</v>
      </c>
    </row>
    <row r="1015" spans="2:5" x14ac:dyDescent="0.3">
      <c r="B1015" s="4">
        <v>38544</v>
      </c>
      <c r="C1015" s="7">
        <v>34.89</v>
      </c>
      <c r="D1015" s="6">
        <f t="shared" si="18"/>
        <v>-0.97169145388603551</v>
      </c>
      <c r="E1015" s="6">
        <v>1.3360441475457474E-2</v>
      </c>
    </row>
    <row r="1016" spans="2:5" x14ac:dyDescent="0.3">
      <c r="B1016" s="4">
        <v>43235</v>
      </c>
      <c r="C1016" s="5">
        <v>1232.49</v>
      </c>
      <c r="D1016" s="6">
        <f t="shared" si="18"/>
        <v>-0.57835912804302314</v>
      </c>
      <c r="E1016" s="6">
        <v>1.3335854703314253E-2</v>
      </c>
    </row>
    <row r="1017" spans="2:5" x14ac:dyDescent="0.3">
      <c r="B1017" s="4">
        <v>44760</v>
      </c>
      <c r="C1017" s="5">
        <v>2923.08</v>
      </c>
      <c r="D1017" s="6">
        <f t="shared" si="18"/>
        <v>1.6612163146394754</v>
      </c>
      <c r="E1017" s="6">
        <v>1.3332778667554146E-2</v>
      </c>
    </row>
    <row r="1018" spans="2:5" x14ac:dyDescent="0.3">
      <c r="B1018" s="4">
        <v>43021</v>
      </c>
      <c r="C1018" s="5">
        <v>1098.4000000000001</v>
      </c>
      <c r="D1018" s="6">
        <f t="shared" si="18"/>
        <v>2.9679209554343215E-2</v>
      </c>
      <c r="E1018" s="6">
        <v>1.3330873195258126E-2</v>
      </c>
    </row>
    <row r="1019" spans="2:5" x14ac:dyDescent="0.3">
      <c r="B1019" s="4">
        <v>42870</v>
      </c>
      <c r="C1019" s="5">
        <v>1066.74</v>
      </c>
      <c r="D1019" s="6">
        <f t="shared" si="18"/>
        <v>-0.2208628837290835</v>
      </c>
      <c r="E1019" s="6">
        <v>1.332750710072097E-2</v>
      </c>
    </row>
    <row r="1020" spans="2:5" x14ac:dyDescent="0.3">
      <c r="B1020" s="4">
        <v>43579</v>
      </c>
      <c r="C1020" s="5">
        <v>1369.13</v>
      </c>
      <c r="D1020" s="6">
        <f t="shared" si="18"/>
        <v>2.0851548064356216</v>
      </c>
      <c r="E1020" s="6">
        <v>1.331468241632992E-2</v>
      </c>
    </row>
    <row r="1021" spans="2:5" x14ac:dyDescent="0.3">
      <c r="B1021" s="4">
        <v>41677</v>
      </c>
      <c r="C1021" s="7">
        <v>443.78</v>
      </c>
      <c r="D1021" s="6">
        <f t="shared" si="18"/>
        <v>-0.85381584842016511</v>
      </c>
      <c r="E1021" s="6">
        <v>1.3312021920310502E-2</v>
      </c>
    </row>
    <row r="1022" spans="2:5" x14ac:dyDescent="0.3">
      <c r="B1022" s="4">
        <v>44592</v>
      </c>
      <c r="C1022" s="5">
        <v>3035.76</v>
      </c>
      <c r="D1022" s="6">
        <f t="shared" si="18"/>
        <v>77.160659114315138</v>
      </c>
      <c r="E1022" s="6">
        <v>1.3308232278221279E-2</v>
      </c>
    </row>
    <row r="1023" spans="2:5" x14ac:dyDescent="0.3">
      <c r="B1023" s="4">
        <v>38618</v>
      </c>
      <c r="C1023" s="7">
        <v>38.840000000000003</v>
      </c>
      <c r="D1023" s="6">
        <f t="shared" si="18"/>
        <v>-0.95117045083100749</v>
      </c>
      <c r="E1023" s="6">
        <v>1.3305504826506788E-2</v>
      </c>
    </row>
    <row r="1024" spans="2:5" x14ac:dyDescent="0.3">
      <c r="B1024" s="4">
        <v>42284</v>
      </c>
      <c r="C1024" s="7">
        <v>795.42</v>
      </c>
      <c r="D1024" s="6">
        <f t="shared" si="18"/>
        <v>-0.59945211825785683</v>
      </c>
      <c r="E1024" s="6">
        <v>1.3299701903233128E-2</v>
      </c>
    </row>
    <row r="1025" spans="2:5" x14ac:dyDescent="0.3">
      <c r="B1025" s="4">
        <v>44116</v>
      </c>
      <c r="C1025" s="5">
        <v>1985.83</v>
      </c>
      <c r="D1025" s="6">
        <f t="shared" si="18"/>
        <v>0.58828281212508993</v>
      </c>
      <c r="E1025" s="6">
        <v>1.3292308320321645E-2</v>
      </c>
    </row>
    <row r="1026" spans="2:5" x14ac:dyDescent="0.3">
      <c r="B1026" s="4">
        <v>43425</v>
      </c>
      <c r="C1026" s="5">
        <v>1250.3</v>
      </c>
      <c r="D1026" s="6">
        <f t="shared" si="18"/>
        <v>-0.56656336016529041</v>
      </c>
      <c r="E1026" s="6">
        <v>1.3274766597510276E-2</v>
      </c>
    </row>
    <row r="1027" spans="2:5" x14ac:dyDescent="0.3">
      <c r="B1027" s="4">
        <v>44757</v>
      </c>
      <c r="C1027" s="5">
        <v>2884.62</v>
      </c>
      <c r="D1027" s="6">
        <f t="shared" si="18"/>
        <v>14.529582772543741</v>
      </c>
      <c r="E1027" s="6">
        <v>1.3267295431793029E-2</v>
      </c>
    </row>
    <row r="1028" spans="2:5" x14ac:dyDescent="0.3">
      <c r="B1028" s="4">
        <v>40312</v>
      </c>
      <c r="C1028" s="7">
        <v>185.75</v>
      </c>
      <c r="D1028" s="6">
        <f t="shared" si="18"/>
        <v>-0.58703868385949309</v>
      </c>
      <c r="E1028" s="6">
        <v>1.3255509491599426E-2</v>
      </c>
    </row>
    <row r="1029" spans="2:5" x14ac:dyDescent="0.3">
      <c r="B1029" s="4">
        <v>41626</v>
      </c>
      <c r="C1029" s="7">
        <v>449.8</v>
      </c>
      <c r="D1029" s="6">
        <f t="shared" si="18"/>
        <v>-0.58849844932163542</v>
      </c>
      <c r="E1029" s="6">
        <v>1.3245629843214982E-2</v>
      </c>
    </row>
    <row r="1030" spans="2:5" x14ac:dyDescent="0.3">
      <c r="B1030" s="4">
        <v>42978</v>
      </c>
      <c r="C1030" s="5">
        <v>1093.07</v>
      </c>
      <c r="D1030" s="6">
        <f t="shared" si="18"/>
        <v>-0.61033595231644544</v>
      </c>
      <c r="E1030" s="6">
        <v>1.3180701673077841E-2</v>
      </c>
    </row>
    <row r="1031" spans="2:5" x14ac:dyDescent="0.3">
      <c r="B1031" s="4">
        <v>44630</v>
      </c>
      <c r="C1031" s="5">
        <v>2805.16</v>
      </c>
      <c r="D1031" s="6">
        <f t="shared" si="18"/>
        <v>0.48082689302757714</v>
      </c>
      <c r="E1031" s="6">
        <v>1.316497574682788E-2</v>
      </c>
    </row>
    <row r="1032" spans="2:5" x14ac:dyDescent="0.3">
      <c r="B1032" s="4">
        <v>44081</v>
      </c>
      <c r="C1032" s="5">
        <v>1894.32</v>
      </c>
      <c r="D1032" s="6">
        <f t="shared" ref="D1032:D1095" si="19">((C1032-C1033)/C1033)</f>
        <v>5.867459396751741</v>
      </c>
      <c r="E1032" s="6">
        <v>1.3162469046001733E-2</v>
      </c>
    </row>
    <row r="1033" spans="2:5" x14ac:dyDescent="0.3">
      <c r="B1033" s="4">
        <v>40991</v>
      </c>
      <c r="C1033" s="7">
        <v>275.83999999999997</v>
      </c>
      <c r="D1033" s="6">
        <f t="shared" si="19"/>
        <v>-0.8011820671760127</v>
      </c>
      <c r="E1033" s="6">
        <v>1.3149195621832014E-2</v>
      </c>
    </row>
    <row r="1034" spans="2:5" x14ac:dyDescent="0.3">
      <c r="B1034" s="4">
        <v>43502</v>
      </c>
      <c r="C1034" s="5">
        <v>1387.4</v>
      </c>
      <c r="D1034" s="6">
        <f t="shared" si="19"/>
        <v>-0.55208894943970754</v>
      </c>
      <c r="E1034" s="6">
        <v>1.3137044420589895E-2</v>
      </c>
    </row>
    <row r="1035" spans="2:5" x14ac:dyDescent="0.3">
      <c r="B1035" s="4">
        <v>44600</v>
      </c>
      <c r="C1035" s="5">
        <v>3097.49</v>
      </c>
      <c r="D1035" s="6">
        <f t="shared" si="19"/>
        <v>132.62769628990509</v>
      </c>
      <c r="E1035" s="6">
        <v>1.3119075810007154E-2</v>
      </c>
    </row>
    <row r="1036" spans="2:5" x14ac:dyDescent="0.3">
      <c r="B1036" s="4">
        <v>37886</v>
      </c>
      <c r="C1036" s="7">
        <v>23.18</v>
      </c>
      <c r="D1036" s="6">
        <f t="shared" si="19"/>
        <v>0.42733990147783263</v>
      </c>
      <c r="E1036" s="6">
        <v>1.3111888111888143E-2</v>
      </c>
    </row>
    <row r="1037" spans="2:5" x14ac:dyDescent="0.3">
      <c r="B1037" s="4">
        <v>37616</v>
      </c>
      <c r="C1037" s="7">
        <v>16.239999999999998</v>
      </c>
      <c r="D1037" s="6">
        <f t="shared" si="19"/>
        <v>-0.9614233455271034</v>
      </c>
      <c r="E1037" s="6">
        <v>1.3100436681222538E-2</v>
      </c>
    </row>
    <row r="1038" spans="2:5" x14ac:dyDescent="0.3">
      <c r="B1038" s="4">
        <v>41407</v>
      </c>
      <c r="C1038" s="7">
        <v>420.98</v>
      </c>
      <c r="D1038" s="6">
        <f t="shared" si="19"/>
        <v>-0.75232099782314521</v>
      </c>
      <c r="E1038" s="6">
        <v>1.3091399143283432E-2</v>
      </c>
    </row>
    <row r="1039" spans="2:5" x14ac:dyDescent="0.3">
      <c r="B1039" s="4">
        <v>43762</v>
      </c>
      <c r="C1039" s="5">
        <v>1699.7</v>
      </c>
      <c r="D1039" s="6">
        <f t="shared" si="19"/>
        <v>3.8193830100941364</v>
      </c>
      <c r="E1039" s="6">
        <v>1.3070921520828281E-2</v>
      </c>
    </row>
    <row r="1040" spans="2:5" x14ac:dyDescent="0.3">
      <c r="B1040" s="4">
        <v>41173</v>
      </c>
      <c r="C1040" s="7">
        <v>352.68</v>
      </c>
      <c r="D1040" s="6">
        <f t="shared" si="19"/>
        <v>0.43517538862212091</v>
      </c>
      <c r="E1040" s="6">
        <v>1.3069830235831475E-2</v>
      </c>
    </row>
    <row r="1041" spans="2:5" x14ac:dyDescent="0.3">
      <c r="B1041" s="4">
        <v>40921</v>
      </c>
      <c r="C1041" s="7">
        <v>245.74</v>
      </c>
      <c r="D1041" s="6">
        <f t="shared" si="19"/>
        <v>-0.77131743269526054</v>
      </c>
      <c r="E1041" s="6">
        <v>1.306839262893192E-2</v>
      </c>
    </row>
    <row r="1042" spans="2:5" x14ac:dyDescent="0.3">
      <c r="B1042" s="4">
        <v>42943</v>
      </c>
      <c r="C1042" s="5">
        <v>1074.5899999999999</v>
      </c>
      <c r="D1042" s="6">
        <f t="shared" si="19"/>
        <v>9.4807373451672667</v>
      </c>
      <c r="E1042" s="6">
        <v>1.3047372142352033E-2</v>
      </c>
    </row>
    <row r="1043" spans="2:5" x14ac:dyDescent="0.3">
      <c r="B1043" s="4">
        <v>39994</v>
      </c>
      <c r="C1043" s="7">
        <v>102.53</v>
      </c>
      <c r="D1043" s="6">
        <f t="shared" si="19"/>
        <v>-0.86144969054890408</v>
      </c>
      <c r="E1043" s="6">
        <v>1.3042189506965788E-2</v>
      </c>
    </row>
    <row r="1044" spans="2:5" x14ac:dyDescent="0.3">
      <c r="B1044" s="4">
        <v>42276</v>
      </c>
      <c r="C1044" s="7">
        <v>740.02</v>
      </c>
      <c r="D1044" s="6">
        <f t="shared" si="19"/>
        <v>-0.58138692944297687</v>
      </c>
      <c r="E1044" s="6">
        <v>1.3032169746748777E-2</v>
      </c>
    </row>
    <row r="1045" spans="2:5" x14ac:dyDescent="0.3">
      <c r="B1045" s="4">
        <v>43948</v>
      </c>
      <c r="C1045" s="5">
        <v>1767.79</v>
      </c>
      <c r="D1045" s="6">
        <f t="shared" si="19"/>
        <v>-0.26256048723510761</v>
      </c>
      <c r="E1045" s="6">
        <v>1.3019535032978636E-2</v>
      </c>
    </row>
    <row r="1046" spans="2:5" x14ac:dyDescent="0.3">
      <c r="B1046" s="4">
        <v>46069</v>
      </c>
      <c r="C1046" s="5">
        <v>2397.1999999999998</v>
      </c>
      <c r="D1046" s="6">
        <f t="shared" si="19"/>
        <v>2.1392988567462443</v>
      </c>
      <c r="E1046" s="6">
        <v>1.3015551048005293E-2</v>
      </c>
    </row>
    <row r="1047" spans="2:5" x14ac:dyDescent="0.3">
      <c r="B1047" s="4">
        <v>42101</v>
      </c>
      <c r="C1047" s="7">
        <v>763.61</v>
      </c>
      <c r="D1047" s="6">
        <f t="shared" si="19"/>
        <v>15.038857382902751</v>
      </c>
      <c r="E1047" s="6">
        <v>1.2987185269692982E-2</v>
      </c>
    </row>
    <row r="1048" spans="2:5" x14ac:dyDescent="0.3">
      <c r="B1048" s="4">
        <v>38923</v>
      </c>
      <c r="C1048" s="7">
        <v>47.61</v>
      </c>
      <c r="D1048" s="6">
        <f t="shared" si="19"/>
        <v>-0.88944875307667304</v>
      </c>
      <c r="E1048" s="6">
        <v>1.2978723404255307E-2</v>
      </c>
    </row>
    <row r="1049" spans="2:5" x14ac:dyDescent="0.3">
      <c r="B1049" s="4">
        <v>41674</v>
      </c>
      <c r="C1049" s="7">
        <v>430.66</v>
      </c>
      <c r="D1049" s="6">
        <f t="shared" si="19"/>
        <v>-0.32795480790237508</v>
      </c>
      <c r="E1049" s="6">
        <v>1.2960131718217213E-2</v>
      </c>
    </row>
    <row r="1050" spans="2:5" x14ac:dyDescent="0.3">
      <c r="B1050" s="4">
        <v>41961</v>
      </c>
      <c r="C1050" s="7">
        <v>640.82000000000005</v>
      </c>
      <c r="D1050" s="6">
        <f t="shared" si="19"/>
        <v>0.75991431396243003</v>
      </c>
      <c r="E1050" s="6">
        <v>1.294595577193629E-2</v>
      </c>
    </row>
    <row r="1051" spans="2:5" x14ac:dyDescent="0.3">
      <c r="B1051" s="4">
        <v>41521</v>
      </c>
      <c r="C1051" s="7">
        <v>364.12</v>
      </c>
      <c r="D1051" s="6">
        <f t="shared" si="19"/>
        <v>1.4195627616452919</v>
      </c>
      <c r="E1051" s="6">
        <v>1.2935710907725198E-2</v>
      </c>
    </row>
    <row r="1052" spans="2:5" x14ac:dyDescent="0.3">
      <c r="B1052" s="4">
        <v>40162</v>
      </c>
      <c r="C1052" s="7">
        <v>150.49</v>
      </c>
      <c r="D1052" s="6">
        <f t="shared" si="19"/>
        <v>0.89820887991927356</v>
      </c>
      <c r="E1052" s="6">
        <v>1.2923201184626884E-2</v>
      </c>
    </row>
    <row r="1053" spans="2:5" x14ac:dyDescent="0.3">
      <c r="B1053" s="4">
        <v>39324</v>
      </c>
      <c r="C1053" s="7">
        <v>79.28</v>
      </c>
      <c r="D1053" s="6">
        <f t="shared" si="19"/>
        <v>-0.95096426229913777</v>
      </c>
      <c r="E1053" s="6">
        <v>1.2904050083045933E-2</v>
      </c>
    </row>
    <row r="1054" spans="2:5" x14ac:dyDescent="0.3">
      <c r="B1054" s="4">
        <v>44028</v>
      </c>
      <c r="C1054" s="5">
        <v>1616.78</v>
      </c>
      <c r="D1054" s="6">
        <f t="shared" si="19"/>
        <v>7.9181973633405045</v>
      </c>
      <c r="E1054" s="6">
        <v>1.2893121162761513E-2</v>
      </c>
    </row>
    <row r="1055" spans="2:5" x14ac:dyDescent="0.3">
      <c r="B1055" s="4">
        <v>40296</v>
      </c>
      <c r="C1055" s="7">
        <v>181.29</v>
      </c>
      <c r="D1055" s="6">
        <f t="shared" si="19"/>
        <v>-0.744841660802252</v>
      </c>
      <c r="E1055" s="6">
        <v>1.2849879881557533E-2</v>
      </c>
    </row>
    <row r="1056" spans="2:5" x14ac:dyDescent="0.3">
      <c r="B1056" s="4">
        <v>42188</v>
      </c>
      <c r="C1056" s="7">
        <v>710.5</v>
      </c>
      <c r="D1056" s="6">
        <f t="shared" si="19"/>
        <v>5.6732412886259036</v>
      </c>
      <c r="E1056" s="6">
        <v>1.2844089010534706E-2</v>
      </c>
    </row>
    <row r="1057" spans="2:5" x14ac:dyDescent="0.3">
      <c r="B1057" s="4">
        <v>39671</v>
      </c>
      <c r="C1057" s="7">
        <v>106.47</v>
      </c>
      <c r="D1057" s="6">
        <f t="shared" si="19"/>
        <v>-0.72571296081613734</v>
      </c>
      <c r="E1057" s="6">
        <v>1.2842465753424603E-2</v>
      </c>
    </row>
    <row r="1058" spans="2:5" x14ac:dyDescent="0.3">
      <c r="B1058" s="4">
        <v>41291</v>
      </c>
      <c r="C1058" s="7">
        <v>388.17</v>
      </c>
      <c r="D1058" s="6">
        <f t="shared" si="19"/>
        <v>5.4727363681840933</v>
      </c>
      <c r="E1058" s="6">
        <v>1.2837573385518632E-2</v>
      </c>
    </row>
    <row r="1059" spans="2:5" x14ac:dyDescent="0.3">
      <c r="B1059" s="4">
        <v>39056</v>
      </c>
      <c r="C1059" s="7">
        <v>59.97</v>
      </c>
      <c r="D1059" s="6">
        <f t="shared" si="19"/>
        <v>-0.92017410749940098</v>
      </c>
      <c r="E1059" s="6">
        <v>1.2835669650396859E-2</v>
      </c>
    </row>
    <row r="1060" spans="2:5" x14ac:dyDescent="0.3">
      <c r="B1060" s="4">
        <v>42095</v>
      </c>
      <c r="C1060" s="7">
        <v>751.26</v>
      </c>
      <c r="D1060" s="6">
        <f t="shared" si="19"/>
        <v>3.3412886449003176</v>
      </c>
      <c r="E1060" s="6">
        <v>1.2821031344792708E-2</v>
      </c>
    </row>
    <row r="1061" spans="2:5" x14ac:dyDescent="0.3">
      <c r="B1061" s="4">
        <v>40255</v>
      </c>
      <c r="C1061" s="7">
        <v>173.05</v>
      </c>
      <c r="D1061" s="6">
        <f t="shared" si="19"/>
        <v>-0.94805845787197252</v>
      </c>
      <c r="E1061" s="6">
        <v>1.2817511412852613E-2</v>
      </c>
    </row>
    <row r="1062" spans="2:5" x14ac:dyDescent="0.3">
      <c r="B1062" s="4">
        <v>44776</v>
      </c>
      <c r="C1062" s="5">
        <v>3331.63</v>
      </c>
      <c r="D1062" s="6">
        <f t="shared" si="19"/>
        <v>0.12264166837957051</v>
      </c>
      <c r="E1062" s="6">
        <v>1.2810496459937658E-2</v>
      </c>
    </row>
    <row r="1063" spans="2:5" x14ac:dyDescent="0.3">
      <c r="B1063" s="4">
        <v>44650</v>
      </c>
      <c r="C1063" s="5">
        <v>2967.67</v>
      </c>
      <c r="D1063" s="6">
        <f t="shared" si="19"/>
        <v>5.7924057586230573</v>
      </c>
      <c r="E1063" s="6">
        <v>1.2801348731809941E-2</v>
      </c>
    </row>
    <row r="1064" spans="2:5" x14ac:dyDescent="0.3">
      <c r="B1064" s="4">
        <v>41668</v>
      </c>
      <c r="C1064" s="7">
        <v>436.91</v>
      </c>
      <c r="D1064" s="6">
        <f t="shared" si="19"/>
        <v>-0.85814011630361031</v>
      </c>
      <c r="E1064" s="6">
        <v>1.2795845986230648E-2</v>
      </c>
    </row>
    <row r="1065" spans="2:5" x14ac:dyDescent="0.3">
      <c r="B1065" s="4">
        <v>44895</v>
      </c>
      <c r="C1065" s="5">
        <v>3079.87</v>
      </c>
      <c r="D1065" s="6">
        <f t="shared" si="19"/>
        <v>31.058603101904861</v>
      </c>
      <c r="E1065" s="6">
        <v>1.2788640504047995E-2</v>
      </c>
    </row>
    <row r="1066" spans="2:5" x14ac:dyDescent="0.3">
      <c r="B1066" s="4">
        <v>39981</v>
      </c>
      <c r="C1066" s="7">
        <v>96.07</v>
      </c>
      <c r="D1066" s="6">
        <f t="shared" si="19"/>
        <v>-0.96886797649948631</v>
      </c>
      <c r="E1066" s="6">
        <v>1.2755639890364682E-2</v>
      </c>
    </row>
    <row r="1067" spans="2:5" x14ac:dyDescent="0.3">
      <c r="B1067" s="4">
        <v>44869</v>
      </c>
      <c r="C1067" s="5">
        <v>3085.89</v>
      </c>
      <c r="D1067" s="6">
        <f t="shared" si="19"/>
        <v>2.8476951658956873</v>
      </c>
      <c r="E1067" s="6">
        <v>1.2750078764965313E-2</v>
      </c>
    </row>
    <row r="1068" spans="2:5" x14ac:dyDescent="0.3">
      <c r="B1068" s="4">
        <v>42398</v>
      </c>
      <c r="C1068" s="7">
        <v>802.01</v>
      </c>
      <c r="D1068" s="6">
        <f t="shared" si="19"/>
        <v>33.719047619047615</v>
      </c>
      <c r="E1068" s="6">
        <v>1.2741185978381695E-2</v>
      </c>
    </row>
    <row r="1069" spans="2:5" x14ac:dyDescent="0.3">
      <c r="B1069" s="4">
        <v>37872</v>
      </c>
      <c r="C1069" s="7">
        <v>23.1</v>
      </c>
      <c r="D1069" s="6">
        <f t="shared" si="19"/>
        <v>-0.77890505359877482</v>
      </c>
      <c r="E1069" s="6">
        <v>1.2713722051731815E-2</v>
      </c>
    </row>
    <row r="1070" spans="2:5" x14ac:dyDescent="0.3">
      <c r="B1070" s="4">
        <v>39595</v>
      </c>
      <c r="C1070" s="7">
        <v>104.48</v>
      </c>
      <c r="D1070" s="6">
        <f t="shared" si="19"/>
        <v>-0.94036733901807013</v>
      </c>
      <c r="E1070" s="6">
        <v>1.2697489580304373E-2</v>
      </c>
    </row>
    <row r="1071" spans="2:5" x14ac:dyDescent="0.3">
      <c r="B1071" s="4">
        <v>43845</v>
      </c>
      <c r="C1071" s="5">
        <v>1752.06</v>
      </c>
      <c r="D1071" s="6">
        <f t="shared" si="19"/>
        <v>28.660741493143728</v>
      </c>
      <c r="E1071" s="6">
        <v>1.2692907924397456E-2</v>
      </c>
    </row>
    <row r="1072" spans="2:5" x14ac:dyDescent="0.3">
      <c r="B1072" s="4">
        <v>39064</v>
      </c>
      <c r="C1072" s="7">
        <v>59.07</v>
      </c>
      <c r="D1072" s="6">
        <f t="shared" si="19"/>
        <v>-0.15974395448079654</v>
      </c>
      <c r="E1072" s="6">
        <v>1.2686439225098612E-2</v>
      </c>
    </row>
    <row r="1073" spans="2:5" x14ac:dyDescent="0.3">
      <c r="B1073" s="4">
        <v>39268</v>
      </c>
      <c r="C1073" s="7">
        <v>70.3</v>
      </c>
      <c r="D1073" s="6">
        <f t="shared" si="19"/>
        <v>-0.91093261032066797</v>
      </c>
      <c r="E1073" s="6">
        <v>1.2676462114664297E-2</v>
      </c>
    </row>
    <row r="1074" spans="2:5" x14ac:dyDescent="0.3">
      <c r="B1074" s="4">
        <v>42458</v>
      </c>
      <c r="C1074" s="7">
        <v>789.29</v>
      </c>
      <c r="D1074" s="6">
        <f t="shared" si="19"/>
        <v>-0.56119107582656458</v>
      </c>
      <c r="E1074" s="6">
        <v>1.2663262425906451E-2</v>
      </c>
    </row>
    <row r="1075" spans="2:5" x14ac:dyDescent="0.3">
      <c r="B1075" s="4">
        <v>43865</v>
      </c>
      <c r="C1075" s="5">
        <v>1798.71</v>
      </c>
      <c r="D1075" s="6">
        <f t="shared" si="19"/>
        <v>1.2811215948866232</v>
      </c>
      <c r="E1075" s="6">
        <v>1.2661719832002797E-2</v>
      </c>
    </row>
    <row r="1076" spans="2:5" x14ac:dyDescent="0.3">
      <c r="B1076" s="4">
        <v>42215</v>
      </c>
      <c r="C1076" s="7">
        <v>788.52</v>
      </c>
      <c r="D1076" s="6">
        <f t="shared" si="19"/>
        <v>8.930982367758185</v>
      </c>
      <c r="E1076" s="6">
        <v>1.2636769918323357E-2</v>
      </c>
    </row>
    <row r="1077" spans="2:5" x14ac:dyDescent="0.3">
      <c r="B1077" s="4">
        <v>39335</v>
      </c>
      <c r="C1077" s="7">
        <v>79.400000000000006</v>
      </c>
      <c r="D1077" s="6">
        <f t="shared" si="19"/>
        <v>-0.97142435551844641</v>
      </c>
      <c r="E1077" s="6">
        <v>1.2625940568805116E-2</v>
      </c>
    </row>
    <row r="1078" spans="2:5" x14ac:dyDescent="0.3">
      <c r="B1078" s="4">
        <v>44991</v>
      </c>
      <c r="C1078" s="5">
        <v>2778.59</v>
      </c>
      <c r="D1078" s="6">
        <f t="shared" si="19"/>
        <v>-0.16560863402681011</v>
      </c>
      <c r="E1078" s="6">
        <v>1.2616756014096491E-2</v>
      </c>
    </row>
    <row r="1079" spans="2:5" x14ac:dyDescent="0.3">
      <c r="B1079" s="4">
        <v>44830</v>
      </c>
      <c r="C1079" s="5">
        <v>3330.08</v>
      </c>
      <c r="D1079" s="6">
        <f t="shared" si="19"/>
        <v>19.398652373660031</v>
      </c>
      <c r="E1079" s="6">
        <v>1.2607111797653739E-2</v>
      </c>
    </row>
    <row r="1080" spans="2:5" x14ac:dyDescent="0.3">
      <c r="B1080" s="4">
        <v>40192</v>
      </c>
      <c r="C1080" s="7">
        <v>163.25</v>
      </c>
      <c r="D1080" s="6">
        <f t="shared" si="19"/>
        <v>-0.95067156173986611</v>
      </c>
      <c r="E1080" s="6">
        <v>1.259148988959187E-2</v>
      </c>
    </row>
    <row r="1081" spans="2:5" x14ac:dyDescent="0.3">
      <c r="B1081" s="4">
        <v>45286</v>
      </c>
      <c r="C1081" s="5">
        <v>3309.45</v>
      </c>
      <c r="D1081" s="6">
        <f t="shared" si="19"/>
        <v>43.667971386151969</v>
      </c>
      <c r="E1081" s="6">
        <v>1.2584447055367789E-2</v>
      </c>
    </row>
    <row r="1082" spans="2:5" x14ac:dyDescent="0.3">
      <c r="B1082" s="4">
        <v>39280</v>
      </c>
      <c r="C1082" s="7">
        <v>74.09</v>
      </c>
      <c r="D1082" s="6">
        <f t="shared" si="19"/>
        <v>9.4548677795834035E-2</v>
      </c>
      <c r="E1082" s="6">
        <v>1.2573459067924035E-2</v>
      </c>
    </row>
    <row r="1083" spans="2:5" x14ac:dyDescent="0.3">
      <c r="B1083" s="4">
        <v>39850</v>
      </c>
      <c r="C1083" s="7">
        <v>67.69</v>
      </c>
      <c r="D1083" s="6">
        <f t="shared" si="19"/>
        <v>-0.9765041965469603</v>
      </c>
      <c r="E1083" s="6">
        <v>1.2565445026178063E-2</v>
      </c>
    </row>
    <row r="1084" spans="2:5" x14ac:dyDescent="0.3">
      <c r="B1084" s="4">
        <v>45471</v>
      </c>
      <c r="C1084" s="5">
        <v>2880.94</v>
      </c>
      <c r="D1084" s="6">
        <f t="shared" si="19"/>
        <v>1.8909426616091678</v>
      </c>
      <c r="E1084" s="6">
        <v>1.2565065953416115E-2</v>
      </c>
    </row>
    <row r="1085" spans="2:5" x14ac:dyDescent="0.3">
      <c r="B1085" s="4">
        <v>42836</v>
      </c>
      <c r="C1085" s="7">
        <v>996.54</v>
      </c>
      <c r="D1085" s="6">
        <f t="shared" si="19"/>
        <v>-9.2255561020932381E-2</v>
      </c>
      <c r="E1085" s="6">
        <v>1.2548390046637244E-2</v>
      </c>
    </row>
    <row r="1086" spans="2:5" x14ac:dyDescent="0.3">
      <c r="B1086" s="4">
        <v>43067</v>
      </c>
      <c r="C1086" s="5">
        <v>1097.82</v>
      </c>
      <c r="D1086" s="6">
        <f t="shared" si="19"/>
        <v>22.034410407049936</v>
      </c>
      <c r="E1086" s="6">
        <v>1.2543579716293657E-2</v>
      </c>
    </row>
    <row r="1087" spans="2:5" x14ac:dyDescent="0.3">
      <c r="B1087" s="4">
        <v>38895</v>
      </c>
      <c r="C1087" s="7">
        <v>47.66</v>
      </c>
      <c r="D1087" s="6">
        <f t="shared" si="19"/>
        <v>-0.95527318455676724</v>
      </c>
      <c r="E1087" s="6">
        <v>1.2534523050775362E-2</v>
      </c>
    </row>
    <row r="1088" spans="2:5" x14ac:dyDescent="0.3">
      <c r="B1088" s="4">
        <v>42860</v>
      </c>
      <c r="C1088" s="5">
        <v>1065.58</v>
      </c>
      <c r="D1088" s="6">
        <f t="shared" si="19"/>
        <v>-0.63561194131929011</v>
      </c>
      <c r="E1088" s="6">
        <v>1.2533376409885904E-2</v>
      </c>
    </row>
    <row r="1089" spans="2:5" x14ac:dyDescent="0.3">
      <c r="B1089" s="4">
        <v>44384</v>
      </c>
      <c r="C1089" s="5">
        <v>2924.3</v>
      </c>
      <c r="D1089" s="6">
        <f t="shared" si="19"/>
        <v>94.161080377481298</v>
      </c>
      <c r="E1089" s="6">
        <v>1.2523674488336769E-2</v>
      </c>
    </row>
    <row r="1090" spans="2:5" x14ac:dyDescent="0.3">
      <c r="B1090" s="4">
        <v>38504</v>
      </c>
      <c r="C1090" s="7">
        <v>30.73</v>
      </c>
      <c r="D1090" s="6">
        <f t="shared" si="19"/>
        <v>-0.93117581187010079</v>
      </c>
      <c r="E1090" s="6">
        <v>1.2520593080724843E-2</v>
      </c>
    </row>
    <row r="1091" spans="2:5" x14ac:dyDescent="0.3">
      <c r="B1091" s="4">
        <v>41654</v>
      </c>
      <c r="C1091" s="7">
        <v>446.5</v>
      </c>
      <c r="D1091" s="6">
        <f t="shared" si="19"/>
        <v>-0.84333223391041345</v>
      </c>
      <c r="E1091" s="6">
        <v>1.2517574493174251E-2</v>
      </c>
    </row>
    <row r="1092" spans="2:5" x14ac:dyDescent="0.3">
      <c r="B1092" s="4">
        <v>44347</v>
      </c>
      <c r="C1092" s="5">
        <v>2849.98</v>
      </c>
      <c r="D1092" s="6">
        <f t="shared" si="19"/>
        <v>116.28312757201645</v>
      </c>
      <c r="E1092" s="6">
        <v>1.2516209254818373E-2</v>
      </c>
    </row>
    <row r="1093" spans="2:5" x14ac:dyDescent="0.3">
      <c r="B1093" s="4">
        <v>37960</v>
      </c>
      <c r="C1093" s="7">
        <v>24.3</v>
      </c>
      <c r="D1093" s="6">
        <f t="shared" si="19"/>
        <v>-0.97065004710486269</v>
      </c>
      <c r="E1093" s="6">
        <v>1.250000000000003E-2</v>
      </c>
    </row>
    <row r="1094" spans="2:5" x14ac:dyDescent="0.3">
      <c r="B1094" s="4">
        <v>42734</v>
      </c>
      <c r="C1094" s="7">
        <v>827.94</v>
      </c>
      <c r="D1094" s="6">
        <f t="shared" si="19"/>
        <v>-0.37631168596373604</v>
      </c>
      <c r="E1094" s="6">
        <v>1.2498165631267459E-2</v>
      </c>
    </row>
    <row r="1095" spans="2:5" x14ac:dyDescent="0.3">
      <c r="B1095" s="4">
        <v>43480</v>
      </c>
      <c r="C1095" s="5">
        <v>1327.49</v>
      </c>
      <c r="D1095" s="6">
        <f t="shared" si="19"/>
        <v>53.517043121149896</v>
      </c>
      <c r="E1095" s="6">
        <v>1.2493230926466972E-2</v>
      </c>
    </row>
    <row r="1096" spans="2:5" x14ac:dyDescent="0.3">
      <c r="B1096" s="4">
        <v>38324</v>
      </c>
      <c r="C1096" s="7">
        <v>24.35</v>
      </c>
      <c r="D1096" s="6">
        <f t="shared" ref="D1096:D1159" si="20">((C1096-C1097)/C1097)</f>
        <v>-0.94737865756148154</v>
      </c>
      <c r="E1096" s="6">
        <v>1.2474012474012502E-2</v>
      </c>
    </row>
    <row r="1097" spans="2:5" x14ac:dyDescent="0.3">
      <c r="B1097" s="4">
        <v>41761</v>
      </c>
      <c r="C1097" s="7">
        <v>462.74</v>
      </c>
      <c r="D1097" s="6">
        <f t="shared" si="20"/>
        <v>13.985103626943006</v>
      </c>
      <c r="E1097" s="6">
        <v>1.2471556100122502E-2</v>
      </c>
    </row>
    <row r="1098" spans="2:5" x14ac:dyDescent="0.3">
      <c r="B1098" s="4">
        <v>38506</v>
      </c>
      <c r="C1098" s="7">
        <v>30.88</v>
      </c>
      <c r="D1098" s="6">
        <f t="shared" si="20"/>
        <v>-0.97101422067865006</v>
      </c>
      <c r="E1098" s="6">
        <v>1.2459016393442591E-2</v>
      </c>
    </row>
    <row r="1099" spans="2:5" x14ac:dyDescent="0.3">
      <c r="B1099" s="4">
        <v>42884</v>
      </c>
      <c r="C1099" s="5">
        <v>1065.3499999999999</v>
      </c>
      <c r="D1099" s="6">
        <f t="shared" si="20"/>
        <v>0.3053840121550751</v>
      </c>
      <c r="E1099" s="6">
        <v>1.2449512948443724E-2</v>
      </c>
    </row>
    <row r="1100" spans="2:5" x14ac:dyDescent="0.3">
      <c r="B1100" s="4">
        <v>42478</v>
      </c>
      <c r="C1100" s="7">
        <v>816.12</v>
      </c>
      <c r="D1100" s="6">
        <f t="shared" si="20"/>
        <v>0.39003951492028888</v>
      </c>
      <c r="E1100" s="6">
        <v>1.2417660120827172E-2</v>
      </c>
    </row>
    <row r="1101" spans="2:5" x14ac:dyDescent="0.3">
      <c r="B1101" s="4">
        <v>41850</v>
      </c>
      <c r="C1101" s="7">
        <v>587.12</v>
      </c>
      <c r="D1101" s="6">
        <f t="shared" si="20"/>
        <v>0.54721058318180615</v>
      </c>
      <c r="E1101" s="6">
        <v>1.2415505586977594E-2</v>
      </c>
    </row>
    <row r="1102" spans="2:5" x14ac:dyDescent="0.3">
      <c r="B1102" s="4">
        <v>41508</v>
      </c>
      <c r="C1102" s="7">
        <v>379.47</v>
      </c>
      <c r="D1102" s="6">
        <f t="shared" si="20"/>
        <v>19.206070287539937</v>
      </c>
      <c r="E1102" s="6">
        <v>1.240595485833209E-2</v>
      </c>
    </row>
    <row r="1103" spans="2:5" x14ac:dyDescent="0.3">
      <c r="B1103" s="4">
        <v>37789</v>
      </c>
      <c r="C1103" s="7">
        <v>18.78</v>
      </c>
      <c r="D1103" s="6">
        <f t="shared" si="20"/>
        <v>-0.94588831902264725</v>
      </c>
      <c r="E1103" s="6">
        <v>1.239892183288412E-2</v>
      </c>
    </row>
    <row r="1104" spans="2:5" x14ac:dyDescent="0.3">
      <c r="B1104" s="4">
        <v>41072</v>
      </c>
      <c r="C1104" s="7">
        <v>347.06</v>
      </c>
      <c r="D1104" s="6">
        <f t="shared" si="20"/>
        <v>5.4258470653582673</v>
      </c>
      <c r="E1104" s="6">
        <v>1.239753799480762E-2</v>
      </c>
    </row>
    <row r="1105" spans="2:5" x14ac:dyDescent="0.3">
      <c r="B1105" s="4">
        <v>39010</v>
      </c>
      <c r="C1105" s="7">
        <v>54.01</v>
      </c>
      <c r="D1105" s="6">
        <f t="shared" si="20"/>
        <v>-0.91093337730870716</v>
      </c>
      <c r="E1105" s="6">
        <v>1.2371134020618492E-2</v>
      </c>
    </row>
    <row r="1106" spans="2:5" x14ac:dyDescent="0.3">
      <c r="B1106" s="4">
        <v>41922</v>
      </c>
      <c r="C1106" s="7">
        <v>606.4</v>
      </c>
      <c r="D1106" s="6">
        <f t="shared" si="20"/>
        <v>5.7235835458476556</v>
      </c>
      <c r="E1106" s="6">
        <v>1.2370824220771579E-2</v>
      </c>
    </row>
    <row r="1107" spans="2:5" x14ac:dyDescent="0.3">
      <c r="B1107" s="4">
        <v>39650</v>
      </c>
      <c r="C1107" s="7">
        <v>90.19</v>
      </c>
      <c r="D1107" s="6">
        <f t="shared" si="20"/>
        <v>-0.9709034480978681</v>
      </c>
      <c r="E1107" s="6">
        <v>1.2347064765966935E-2</v>
      </c>
    </row>
    <row r="1108" spans="2:5" x14ac:dyDescent="0.3">
      <c r="B1108" s="4">
        <v>45247</v>
      </c>
      <c r="C1108" s="5">
        <v>3099.68</v>
      </c>
      <c r="D1108" s="6">
        <f t="shared" si="20"/>
        <v>1.8539545161587332</v>
      </c>
      <c r="E1108" s="6">
        <v>1.2328825283399687E-2</v>
      </c>
    </row>
    <row r="1109" spans="2:5" x14ac:dyDescent="0.3">
      <c r="B1109" s="4">
        <v>43098</v>
      </c>
      <c r="C1109" s="5">
        <v>1086.0999999999999</v>
      </c>
      <c r="D1109" s="6">
        <f t="shared" si="20"/>
        <v>34.715225254850374</v>
      </c>
      <c r="E1109" s="6">
        <v>1.2321974498545782E-2</v>
      </c>
    </row>
    <row r="1110" spans="2:5" x14ac:dyDescent="0.3">
      <c r="B1110" s="4">
        <v>38483</v>
      </c>
      <c r="C1110" s="7">
        <v>30.41</v>
      </c>
      <c r="D1110" s="6">
        <f t="shared" si="20"/>
        <v>-0.93299253024260176</v>
      </c>
      <c r="E1110" s="6">
        <v>1.2316910785619207E-2</v>
      </c>
    </row>
    <row r="1111" spans="2:5" x14ac:dyDescent="0.3">
      <c r="B1111" s="4">
        <v>41716</v>
      </c>
      <c r="C1111" s="7">
        <v>453.83</v>
      </c>
      <c r="D1111" s="6">
        <f t="shared" si="20"/>
        <v>0.11932420767048957</v>
      </c>
      <c r="E1111" s="6">
        <v>1.2312908478508135E-2</v>
      </c>
    </row>
    <row r="1112" spans="2:5" x14ac:dyDescent="0.3">
      <c r="B1112" s="4">
        <v>41319</v>
      </c>
      <c r="C1112" s="7">
        <v>405.45</v>
      </c>
      <c r="D1112" s="6">
        <f t="shared" si="20"/>
        <v>-0.68723483036857613</v>
      </c>
      <c r="E1112" s="6">
        <v>1.2308998302207148E-2</v>
      </c>
    </row>
    <row r="1113" spans="2:5" x14ac:dyDescent="0.3">
      <c r="B1113" s="4">
        <v>43298</v>
      </c>
      <c r="C1113" s="5">
        <v>1296.3399999999999</v>
      </c>
      <c r="D1113" s="6">
        <f t="shared" si="20"/>
        <v>7.5000327847354269</v>
      </c>
      <c r="E1113" s="6">
        <v>1.2283208783314218E-2</v>
      </c>
    </row>
    <row r="1114" spans="2:5" x14ac:dyDescent="0.3">
      <c r="B1114" s="4">
        <v>40170</v>
      </c>
      <c r="C1114" s="7">
        <v>152.51</v>
      </c>
      <c r="D1114" s="6">
        <f t="shared" si="20"/>
        <v>-0.57095031789793504</v>
      </c>
      <c r="E1114" s="6">
        <v>1.2279304393999697E-2</v>
      </c>
    </row>
    <row r="1115" spans="2:5" x14ac:dyDescent="0.3">
      <c r="B1115" s="4">
        <v>41235</v>
      </c>
      <c r="C1115" s="7">
        <v>355.46</v>
      </c>
      <c r="D1115" s="6">
        <f t="shared" si="20"/>
        <v>2.418870828123497</v>
      </c>
      <c r="E1115" s="6">
        <v>1.2273956998433725E-2</v>
      </c>
    </row>
    <row r="1116" spans="2:5" x14ac:dyDescent="0.3">
      <c r="B1116" s="4">
        <v>39664</v>
      </c>
      <c r="C1116" s="7">
        <v>103.97</v>
      </c>
      <c r="D1116" s="6">
        <f t="shared" si="20"/>
        <v>0.5550403828896201</v>
      </c>
      <c r="E1116" s="6">
        <v>1.2267549410962955E-2</v>
      </c>
    </row>
    <row r="1117" spans="2:5" x14ac:dyDescent="0.3">
      <c r="B1117" s="4">
        <v>39196</v>
      </c>
      <c r="C1117" s="7">
        <v>66.86</v>
      </c>
      <c r="D1117" s="6">
        <f t="shared" si="20"/>
        <v>-0.62861745264678115</v>
      </c>
      <c r="E1117" s="6">
        <v>1.2263436790310406E-2</v>
      </c>
    </row>
    <row r="1118" spans="2:5" x14ac:dyDescent="0.3">
      <c r="B1118" s="4">
        <v>40290</v>
      </c>
      <c r="C1118" s="7">
        <v>180.03</v>
      </c>
      <c r="D1118" s="6">
        <f t="shared" si="20"/>
        <v>-0.86228236590067631</v>
      </c>
      <c r="E1118" s="6">
        <v>1.2257520382344711E-2</v>
      </c>
    </row>
    <row r="1119" spans="2:5" x14ac:dyDescent="0.3">
      <c r="B1119" s="4">
        <v>43609</v>
      </c>
      <c r="C1119" s="5">
        <v>1307.24</v>
      </c>
      <c r="D1119" s="6">
        <f t="shared" si="20"/>
        <v>0.24216307642603965</v>
      </c>
      <c r="E1119" s="6">
        <v>1.2250081305849325E-2</v>
      </c>
    </row>
    <row r="1120" spans="2:5" x14ac:dyDescent="0.3">
      <c r="B1120" s="4">
        <v>42859</v>
      </c>
      <c r="C1120" s="5">
        <v>1052.3900000000001</v>
      </c>
      <c r="D1120" s="6">
        <f t="shared" si="20"/>
        <v>-0.65007115686430983</v>
      </c>
      <c r="E1120" s="6">
        <v>1.2244387588250021E-2</v>
      </c>
    </row>
    <row r="1121" spans="2:5" x14ac:dyDescent="0.3">
      <c r="B1121" s="4">
        <v>44767</v>
      </c>
      <c r="C1121" s="5">
        <v>3007.44</v>
      </c>
      <c r="D1121" s="6">
        <f t="shared" si="20"/>
        <v>29.307769827673081</v>
      </c>
      <c r="E1121" s="6">
        <v>1.2241381051271054E-2</v>
      </c>
    </row>
    <row r="1122" spans="2:5" x14ac:dyDescent="0.3">
      <c r="B1122" s="4">
        <v>39535</v>
      </c>
      <c r="C1122" s="7">
        <v>99.23</v>
      </c>
      <c r="D1122" s="6">
        <f t="shared" si="20"/>
        <v>0.24974811083123422</v>
      </c>
      <c r="E1122" s="6">
        <v>1.2241150668162837E-2</v>
      </c>
    </row>
    <row r="1123" spans="2:5" x14ac:dyDescent="0.3">
      <c r="B1123" s="4">
        <v>39923</v>
      </c>
      <c r="C1123" s="7">
        <v>79.400000000000006</v>
      </c>
      <c r="D1123" s="6">
        <f t="shared" si="20"/>
        <v>-0.66444087566562415</v>
      </c>
      <c r="E1123" s="6">
        <v>1.2238653748087813E-2</v>
      </c>
    </row>
    <row r="1124" spans="2:5" x14ac:dyDescent="0.3">
      <c r="B1124" s="4">
        <v>40525</v>
      </c>
      <c r="C1124" s="7">
        <v>236.62</v>
      </c>
      <c r="D1124" s="6">
        <f t="shared" si="20"/>
        <v>8.5257648953301128</v>
      </c>
      <c r="E1124" s="6">
        <v>1.2234770704996636E-2</v>
      </c>
    </row>
    <row r="1125" spans="2:5" x14ac:dyDescent="0.3">
      <c r="B1125" s="4">
        <v>37965</v>
      </c>
      <c r="C1125" s="7">
        <v>24.84</v>
      </c>
      <c r="D1125" s="6">
        <f t="shared" si="20"/>
        <v>-0.92925495557074511</v>
      </c>
      <c r="E1125" s="6">
        <v>1.2224938875305652E-2</v>
      </c>
    </row>
    <row r="1126" spans="2:5" x14ac:dyDescent="0.3">
      <c r="B1126" s="4">
        <v>41204</v>
      </c>
      <c r="C1126" s="7">
        <v>351.12</v>
      </c>
      <c r="D1126" s="6">
        <f t="shared" si="20"/>
        <v>0.75078534031413602</v>
      </c>
      <c r="E1126" s="6">
        <v>1.2223247232472352E-2</v>
      </c>
    </row>
    <row r="1127" spans="2:5" x14ac:dyDescent="0.3">
      <c r="B1127" s="4">
        <v>40339</v>
      </c>
      <c r="C1127" s="7">
        <v>200.55</v>
      </c>
      <c r="D1127" s="6">
        <f t="shared" si="20"/>
        <v>-0.81518002783127985</v>
      </c>
      <c r="E1127" s="6">
        <v>1.2214202796144026E-2</v>
      </c>
    </row>
    <row r="1128" spans="2:5" x14ac:dyDescent="0.3">
      <c r="B1128" s="4">
        <v>43199</v>
      </c>
      <c r="C1128" s="5">
        <v>1085.1099999999999</v>
      </c>
      <c r="D1128" s="6">
        <f t="shared" si="20"/>
        <v>8.004314994606256</v>
      </c>
      <c r="E1128" s="6">
        <v>1.2191709264579621E-2</v>
      </c>
    </row>
    <row r="1129" spans="2:5" x14ac:dyDescent="0.3">
      <c r="B1129" s="4">
        <v>40085</v>
      </c>
      <c r="C1129" s="7">
        <v>120.51</v>
      </c>
      <c r="D1129" s="6">
        <f t="shared" si="20"/>
        <v>-0.84545839264417344</v>
      </c>
      <c r="E1129" s="6">
        <v>1.2178733411725205E-2</v>
      </c>
    </row>
    <row r="1130" spans="2:5" x14ac:dyDescent="0.3">
      <c r="B1130" s="4">
        <v>42201</v>
      </c>
      <c r="C1130" s="7">
        <v>779.79</v>
      </c>
      <c r="D1130" s="6">
        <f t="shared" si="20"/>
        <v>0.90942481451553658</v>
      </c>
      <c r="E1130" s="6">
        <v>1.2175335211121345E-2</v>
      </c>
    </row>
    <row r="1131" spans="2:5" x14ac:dyDescent="0.3">
      <c r="B1131" s="4">
        <v>41324</v>
      </c>
      <c r="C1131" s="7">
        <v>408.39</v>
      </c>
      <c r="D1131" s="6">
        <f t="shared" si="20"/>
        <v>-0.68875322953106066</v>
      </c>
      <c r="E1131" s="6">
        <v>1.2169128581342243E-2</v>
      </c>
    </row>
    <row r="1132" spans="2:5" x14ac:dyDescent="0.3">
      <c r="B1132" s="4">
        <v>43299</v>
      </c>
      <c r="C1132" s="5">
        <v>1312.11</v>
      </c>
      <c r="D1132" s="6">
        <f t="shared" si="20"/>
        <v>-0.52434103918419739</v>
      </c>
      <c r="E1132" s="6">
        <v>1.216501843652127E-2</v>
      </c>
    </row>
    <row r="1133" spans="2:5" x14ac:dyDescent="0.3">
      <c r="B1133" s="4">
        <v>45036</v>
      </c>
      <c r="C1133" s="5">
        <v>2758.51</v>
      </c>
      <c r="D1133" s="6">
        <f t="shared" si="20"/>
        <v>10.645670621015748</v>
      </c>
      <c r="E1133" s="6">
        <v>1.2152389199344074E-2</v>
      </c>
    </row>
    <row r="1134" spans="2:5" x14ac:dyDescent="0.3">
      <c r="B1134" s="4">
        <v>40669</v>
      </c>
      <c r="C1134" s="7">
        <v>236.87</v>
      </c>
      <c r="D1134" s="6">
        <f t="shared" si="20"/>
        <v>-0.89987784310658936</v>
      </c>
      <c r="E1134" s="6">
        <v>1.2135196342349285E-2</v>
      </c>
    </row>
    <row r="1135" spans="2:5" x14ac:dyDescent="0.3">
      <c r="B1135" s="4">
        <v>45839</v>
      </c>
      <c r="C1135" s="5">
        <v>2365.81</v>
      </c>
      <c r="D1135" s="6">
        <f t="shared" si="20"/>
        <v>7.6981506673039437</v>
      </c>
      <c r="E1135" s="6">
        <v>1.2132879847697332E-2</v>
      </c>
    </row>
    <row r="1136" spans="2:5" x14ac:dyDescent="0.3">
      <c r="B1136" s="4">
        <v>40955</v>
      </c>
      <c r="C1136" s="7">
        <v>271.99</v>
      </c>
      <c r="D1136" s="6">
        <f t="shared" si="20"/>
        <v>0.33511682701747503</v>
      </c>
      <c r="E1136" s="6">
        <v>1.2131135340304361E-2</v>
      </c>
    </row>
    <row r="1137" spans="2:5" x14ac:dyDescent="0.3">
      <c r="B1137" s="4">
        <v>40360</v>
      </c>
      <c r="C1137" s="7">
        <v>203.72</v>
      </c>
      <c r="D1137" s="6">
        <f t="shared" si="20"/>
        <v>-0.80788562914344453</v>
      </c>
      <c r="E1137" s="6">
        <v>1.2122416534181229E-2</v>
      </c>
    </row>
    <row r="1138" spans="2:5" x14ac:dyDescent="0.3">
      <c r="B1138" s="4">
        <v>43186</v>
      </c>
      <c r="C1138" s="5">
        <v>1060.4100000000001</v>
      </c>
      <c r="D1138" s="6">
        <f t="shared" si="20"/>
        <v>9.3748165541532149</v>
      </c>
      <c r="E1138" s="6">
        <v>1.2121674890952693E-2</v>
      </c>
    </row>
    <row r="1139" spans="2:5" x14ac:dyDescent="0.3">
      <c r="B1139" s="4">
        <v>39660</v>
      </c>
      <c r="C1139" s="7">
        <v>102.21</v>
      </c>
      <c r="D1139" s="6">
        <f t="shared" si="20"/>
        <v>3.0656324582338899</v>
      </c>
      <c r="E1139" s="6">
        <v>1.2080404000396068E-2</v>
      </c>
    </row>
    <row r="1140" spans="2:5" x14ac:dyDescent="0.3">
      <c r="B1140" s="4">
        <v>37966</v>
      </c>
      <c r="C1140" s="7">
        <v>25.14</v>
      </c>
      <c r="D1140" s="6">
        <f t="shared" si="20"/>
        <v>-0.98540281608361147</v>
      </c>
      <c r="E1140" s="6">
        <v>1.2077294685990368E-2</v>
      </c>
    </row>
    <row r="1141" spans="2:5" x14ac:dyDescent="0.3">
      <c r="B1141" s="4">
        <v>43767</v>
      </c>
      <c r="C1141" s="5">
        <v>1722.25</v>
      </c>
      <c r="D1141" s="6">
        <f t="shared" si="20"/>
        <v>0.60525874282305558</v>
      </c>
      <c r="E1141" s="6">
        <v>1.2076159134982637E-2</v>
      </c>
    </row>
    <row r="1142" spans="2:5" x14ac:dyDescent="0.3">
      <c r="B1142" s="4">
        <v>43143</v>
      </c>
      <c r="C1142" s="5">
        <v>1072.8800000000001</v>
      </c>
      <c r="D1142" s="6">
        <f t="shared" si="20"/>
        <v>0.16556579176082054</v>
      </c>
      <c r="E1142" s="6">
        <v>1.2074560410535227E-2</v>
      </c>
    </row>
    <row r="1143" spans="2:5" x14ac:dyDescent="0.3">
      <c r="B1143" s="4">
        <v>42536</v>
      </c>
      <c r="C1143" s="7">
        <v>920.48</v>
      </c>
      <c r="D1143" s="6">
        <f t="shared" si="20"/>
        <v>-0.16389168960223818</v>
      </c>
      <c r="E1143" s="6">
        <v>1.2061439676309252E-2</v>
      </c>
    </row>
    <row r="1144" spans="2:5" x14ac:dyDescent="0.3">
      <c r="B1144" s="4">
        <v>43061</v>
      </c>
      <c r="C1144" s="5">
        <v>1100.9100000000001</v>
      </c>
      <c r="D1144" s="6">
        <f t="shared" si="20"/>
        <v>-2.4707654145995635E-2</v>
      </c>
      <c r="E1144" s="6">
        <v>1.206115150902299E-2</v>
      </c>
    </row>
    <row r="1145" spans="2:5" x14ac:dyDescent="0.3">
      <c r="B1145" s="4">
        <v>43115</v>
      </c>
      <c r="C1145" s="5">
        <v>1128.8</v>
      </c>
      <c r="D1145" s="6">
        <f t="shared" si="20"/>
        <v>-0.13028068634475967</v>
      </c>
      <c r="E1145" s="6">
        <v>1.2058994934325589E-2</v>
      </c>
    </row>
    <row r="1146" spans="2:5" x14ac:dyDescent="0.3">
      <c r="B1146" s="4">
        <v>43615</v>
      </c>
      <c r="C1146" s="5">
        <v>1297.8900000000001</v>
      </c>
      <c r="D1146" s="6">
        <f t="shared" si="20"/>
        <v>-0.51139730379885029</v>
      </c>
      <c r="E1146" s="6">
        <v>1.2039455729268241E-2</v>
      </c>
    </row>
    <row r="1147" spans="2:5" x14ac:dyDescent="0.3">
      <c r="B1147" s="4">
        <v>44981</v>
      </c>
      <c r="C1147" s="5">
        <v>2656.33</v>
      </c>
      <c r="D1147" s="6">
        <f t="shared" si="20"/>
        <v>94.620230381569456</v>
      </c>
      <c r="E1147" s="6">
        <v>1.2031622059243709E-2</v>
      </c>
    </row>
    <row r="1148" spans="2:5" x14ac:dyDescent="0.3">
      <c r="B1148" s="4">
        <v>38391</v>
      </c>
      <c r="C1148" s="7">
        <v>27.78</v>
      </c>
      <c r="D1148" s="6">
        <f t="shared" si="20"/>
        <v>-0.89970032855543924</v>
      </c>
      <c r="E1148" s="6">
        <v>1.2021857923497335E-2</v>
      </c>
    </row>
    <row r="1149" spans="2:5" x14ac:dyDescent="0.3">
      <c r="B1149" s="4">
        <v>40814</v>
      </c>
      <c r="C1149" s="7">
        <v>276.97000000000003</v>
      </c>
      <c r="D1149" s="6">
        <f t="shared" si="20"/>
        <v>-0.87556440127414292</v>
      </c>
      <c r="E1149" s="6">
        <v>1.2021338789827611E-2</v>
      </c>
    </row>
    <row r="1150" spans="2:5" x14ac:dyDescent="0.3">
      <c r="B1150" s="4">
        <v>45687</v>
      </c>
      <c r="C1150" s="5">
        <v>2225.81</v>
      </c>
      <c r="D1150" s="6">
        <f t="shared" si="20"/>
        <v>1.5629389954632336</v>
      </c>
      <c r="E1150" s="6">
        <v>1.2012421625996333E-2</v>
      </c>
    </row>
    <row r="1151" spans="2:5" x14ac:dyDescent="0.3">
      <c r="B1151" s="4">
        <v>42746</v>
      </c>
      <c r="C1151" s="7">
        <v>868.46</v>
      </c>
      <c r="D1151" s="6">
        <f t="shared" si="20"/>
        <v>-0.6787205942740453</v>
      </c>
      <c r="E1151" s="6">
        <v>1.1967046924340741E-2</v>
      </c>
    </row>
    <row r="1152" spans="2:5" x14ac:dyDescent="0.3">
      <c r="B1152" s="4">
        <v>45028</v>
      </c>
      <c r="C1152" s="5">
        <v>2703.13</v>
      </c>
      <c r="D1152" s="6">
        <f t="shared" si="20"/>
        <v>1.1688544056998895</v>
      </c>
      <c r="E1152" s="6">
        <v>1.196479445336689E-2</v>
      </c>
    </row>
    <row r="1153" spans="2:5" x14ac:dyDescent="0.3">
      <c r="B1153" s="4">
        <v>43602</v>
      </c>
      <c r="C1153" s="5">
        <v>1246.3399999999999</v>
      </c>
      <c r="D1153" s="6">
        <f t="shared" si="20"/>
        <v>51.56600590468156</v>
      </c>
      <c r="E1153" s="6">
        <v>1.195995485583912E-2</v>
      </c>
    </row>
    <row r="1154" spans="2:5" x14ac:dyDescent="0.3">
      <c r="B1154" s="4">
        <v>38112</v>
      </c>
      <c r="C1154" s="7">
        <v>23.71</v>
      </c>
      <c r="D1154" s="6">
        <f t="shared" si="20"/>
        <v>-3.4609120521172557E-2</v>
      </c>
      <c r="E1154" s="6">
        <v>1.1950490823730309E-2</v>
      </c>
    </row>
    <row r="1155" spans="2:5" x14ac:dyDescent="0.3">
      <c r="B1155" s="4">
        <v>38229</v>
      </c>
      <c r="C1155" s="7">
        <v>24.56</v>
      </c>
      <c r="D1155" s="6">
        <f t="shared" si="20"/>
        <v>-0.95424227745277057</v>
      </c>
      <c r="E1155" s="6">
        <v>1.1948908117016859E-2</v>
      </c>
    </row>
    <row r="1156" spans="2:5" x14ac:dyDescent="0.3">
      <c r="B1156" s="4">
        <v>41824</v>
      </c>
      <c r="C1156" s="7">
        <v>536.74</v>
      </c>
      <c r="D1156" s="6">
        <f t="shared" si="20"/>
        <v>1.2826401292846816</v>
      </c>
      <c r="E1156" s="6">
        <v>1.1934164137176979E-2</v>
      </c>
    </row>
    <row r="1157" spans="2:5" x14ac:dyDescent="0.3">
      <c r="B1157" s="4">
        <v>40513</v>
      </c>
      <c r="C1157" s="7">
        <v>235.14</v>
      </c>
      <c r="D1157" s="6">
        <f t="shared" si="20"/>
        <v>-0.91669736991270834</v>
      </c>
      <c r="E1157" s="6">
        <v>1.1920643800834798E-2</v>
      </c>
    </row>
    <row r="1158" spans="2:5" x14ac:dyDescent="0.3">
      <c r="B1158" s="4">
        <v>45434</v>
      </c>
      <c r="C1158" s="5">
        <v>2822.72</v>
      </c>
      <c r="D1158" s="6">
        <f t="shared" si="20"/>
        <v>0.12249669938123339</v>
      </c>
      <c r="E1158" s="6">
        <v>1.1905316704367282E-2</v>
      </c>
    </row>
    <row r="1159" spans="2:5" x14ac:dyDescent="0.3">
      <c r="B1159" s="4">
        <v>45898</v>
      </c>
      <c r="C1159" s="5">
        <v>2514.6799999999998</v>
      </c>
      <c r="D1159" s="6">
        <f t="shared" si="20"/>
        <v>9.906381937220822E-2</v>
      </c>
      <c r="E1159" s="6">
        <v>1.1894797836724161E-2</v>
      </c>
    </row>
    <row r="1160" spans="2:5" x14ac:dyDescent="0.3">
      <c r="B1160" s="4">
        <v>44257</v>
      </c>
      <c r="C1160" s="5">
        <v>2288.02</v>
      </c>
      <c r="D1160" s="6">
        <f t="shared" ref="D1160:D1223" si="21">((C1160-C1161)/C1161)</f>
        <v>-4.3257912497334204E-2</v>
      </c>
      <c r="E1160" s="6">
        <v>1.1892283946522256E-2</v>
      </c>
    </row>
    <row r="1161" spans="2:5" x14ac:dyDescent="0.3">
      <c r="B1161" s="4">
        <v>45637</v>
      </c>
      <c r="C1161" s="5">
        <v>2391.4699999999998</v>
      </c>
      <c r="D1161" s="6">
        <f t="shared" si="21"/>
        <v>-0.132830998734494</v>
      </c>
      <c r="E1161" s="6">
        <v>1.1889801427622382E-2</v>
      </c>
    </row>
    <row r="1162" spans="2:5" x14ac:dyDescent="0.3">
      <c r="B1162" s="4">
        <v>45033</v>
      </c>
      <c r="C1162" s="5">
        <v>2757.79</v>
      </c>
      <c r="D1162" s="6">
        <f t="shared" si="21"/>
        <v>-7.9106979689040988E-3</v>
      </c>
      <c r="E1162" s="6">
        <v>1.1869643066807527E-2</v>
      </c>
    </row>
    <row r="1163" spans="2:5" x14ac:dyDescent="0.3">
      <c r="B1163" s="4">
        <v>45404</v>
      </c>
      <c r="C1163" s="5">
        <v>2779.78</v>
      </c>
      <c r="D1163" s="6">
        <f t="shared" si="21"/>
        <v>7.8998527245949939</v>
      </c>
      <c r="E1163" s="6">
        <v>1.1859347699475969E-2</v>
      </c>
    </row>
    <row r="1164" spans="2:5" x14ac:dyDescent="0.3">
      <c r="B1164" s="4">
        <v>41026</v>
      </c>
      <c r="C1164" s="7">
        <v>312.33999999999997</v>
      </c>
      <c r="D1164" s="6">
        <f t="shared" si="21"/>
        <v>0.3554070473876062</v>
      </c>
      <c r="E1164" s="6">
        <v>1.1856939225087366E-2</v>
      </c>
    </row>
    <row r="1165" spans="2:5" x14ac:dyDescent="0.3">
      <c r="B1165" s="4">
        <v>40472</v>
      </c>
      <c r="C1165" s="7">
        <v>230.44</v>
      </c>
      <c r="D1165" s="6">
        <f t="shared" si="21"/>
        <v>-0.74429933089956835</v>
      </c>
      <c r="E1165" s="6">
        <v>1.1855624835338493E-2</v>
      </c>
    </row>
    <row r="1166" spans="2:5" x14ac:dyDescent="0.3">
      <c r="B1166" s="4">
        <v>42704</v>
      </c>
      <c r="C1166" s="7">
        <v>901.21</v>
      </c>
      <c r="D1166" s="6">
        <f t="shared" si="21"/>
        <v>7.6447002398081541</v>
      </c>
      <c r="E1166" s="6">
        <v>1.1845148541531077E-2</v>
      </c>
    </row>
    <row r="1167" spans="2:5" x14ac:dyDescent="0.3">
      <c r="B1167" s="4">
        <v>40001</v>
      </c>
      <c r="C1167" s="7">
        <v>104.25</v>
      </c>
      <c r="D1167" s="6">
        <f t="shared" si="21"/>
        <v>1.6493011435832274</v>
      </c>
      <c r="E1167" s="6">
        <v>1.1841211297680275E-2</v>
      </c>
    </row>
    <row r="1168" spans="2:5" x14ac:dyDescent="0.3">
      <c r="B1168" s="4">
        <v>38603</v>
      </c>
      <c r="C1168" s="7">
        <v>39.35</v>
      </c>
      <c r="D1168" s="6">
        <f t="shared" si="21"/>
        <v>0.31385642737896502</v>
      </c>
      <c r="E1168" s="6">
        <v>1.1828233479043477E-2</v>
      </c>
    </row>
    <row r="1169" spans="2:5" x14ac:dyDescent="0.3">
      <c r="B1169" s="4">
        <v>38478</v>
      </c>
      <c r="C1169" s="7">
        <v>29.95</v>
      </c>
      <c r="D1169" s="6">
        <f t="shared" si="21"/>
        <v>-0.86842683301849499</v>
      </c>
      <c r="E1169" s="6">
        <v>1.1824324324324252E-2</v>
      </c>
    </row>
    <row r="1170" spans="2:5" x14ac:dyDescent="0.3">
      <c r="B1170" s="4">
        <v>40591</v>
      </c>
      <c r="C1170" s="7">
        <v>227.63</v>
      </c>
      <c r="D1170" s="6">
        <f t="shared" si="21"/>
        <v>2.577621558289396E-2</v>
      </c>
      <c r="E1170" s="6">
        <v>1.182379872871937E-2</v>
      </c>
    </row>
    <row r="1171" spans="2:5" x14ac:dyDescent="0.3">
      <c r="B1171" s="4">
        <v>40613</v>
      </c>
      <c r="C1171" s="7">
        <v>221.91</v>
      </c>
      <c r="D1171" s="6">
        <f t="shared" si="21"/>
        <v>12.622467771639043</v>
      </c>
      <c r="E1171" s="6">
        <v>1.1809228524530382E-2</v>
      </c>
    </row>
    <row r="1172" spans="2:5" x14ac:dyDescent="0.3">
      <c r="B1172" s="4">
        <v>37656</v>
      </c>
      <c r="C1172" s="7">
        <v>16.29</v>
      </c>
      <c r="D1172" s="6">
        <f t="shared" si="21"/>
        <v>-0.75076499388004903</v>
      </c>
      <c r="E1172" s="6">
        <v>1.1801242236024703E-2</v>
      </c>
    </row>
    <row r="1173" spans="2:5" x14ac:dyDescent="0.3">
      <c r="B1173" s="4">
        <v>39212</v>
      </c>
      <c r="C1173" s="7">
        <v>65.36</v>
      </c>
      <c r="D1173" s="6">
        <f t="shared" si="21"/>
        <v>-0.90550133738162364</v>
      </c>
      <c r="E1173" s="6">
        <v>1.1764705882353021E-2</v>
      </c>
    </row>
    <row r="1174" spans="2:5" x14ac:dyDescent="0.3">
      <c r="B1174" s="4">
        <v>42178</v>
      </c>
      <c r="C1174" s="7">
        <v>691.65</v>
      </c>
      <c r="D1174" s="6">
        <f t="shared" si="21"/>
        <v>1.5194885618534169</v>
      </c>
      <c r="E1174" s="6">
        <v>1.1761091850616526E-2</v>
      </c>
    </row>
    <row r="1175" spans="2:5" x14ac:dyDescent="0.3">
      <c r="B1175" s="4">
        <v>40995</v>
      </c>
      <c r="C1175" s="7">
        <v>274.52</v>
      </c>
      <c r="D1175" s="6">
        <f t="shared" si="21"/>
        <v>4.0593438997419833</v>
      </c>
      <c r="E1175" s="6">
        <v>1.1756901190432307E-2</v>
      </c>
    </row>
    <row r="1176" spans="2:5" x14ac:dyDescent="0.3">
      <c r="B1176" s="4">
        <v>38803</v>
      </c>
      <c r="C1176" s="7">
        <v>54.26</v>
      </c>
      <c r="D1176" s="6">
        <f t="shared" si="21"/>
        <v>-0.96844046088792468</v>
      </c>
      <c r="E1176" s="6">
        <v>1.1747156442289677E-2</v>
      </c>
    </row>
    <row r="1177" spans="2:5" x14ac:dyDescent="0.3">
      <c r="B1177" s="4">
        <v>43893</v>
      </c>
      <c r="C1177" s="5">
        <v>1719.29</v>
      </c>
      <c r="D1177" s="6">
        <f t="shared" si="21"/>
        <v>82.137814313346226</v>
      </c>
      <c r="E1177" s="6">
        <v>1.1745805699893509E-2</v>
      </c>
    </row>
    <row r="1178" spans="2:5" x14ac:dyDescent="0.3">
      <c r="B1178" s="4">
        <v>37841</v>
      </c>
      <c r="C1178" s="7">
        <v>20.68</v>
      </c>
      <c r="D1178" s="6">
        <f t="shared" si="21"/>
        <v>-0.98294798641116121</v>
      </c>
      <c r="E1178" s="6">
        <v>1.174168297455961E-2</v>
      </c>
    </row>
    <row r="1179" spans="2:5" x14ac:dyDescent="0.3">
      <c r="B1179" s="4">
        <v>43244</v>
      </c>
      <c r="C1179" s="5">
        <v>1212.76</v>
      </c>
      <c r="D1179" s="6">
        <f t="shared" si="21"/>
        <v>1.5635337369880053E-2</v>
      </c>
      <c r="E1179" s="6">
        <v>1.173781378004316E-2</v>
      </c>
    </row>
    <row r="1180" spans="2:5" x14ac:dyDescent="0.3">
      <c r="B1180" s="4">
        <v>43273</v>
      </c>
      <c r="C1180" s="5">
        <v>1194.0899999999999</v>
      </c>
      <c r="D1180" s="6">
        <f t="shared" si="21"/>
        <v>1.0167373203398129</v>
      </c>
      <c r="E1180" s="6">
        <v>1.1734901375991246E-2</v>
      </c>
    </row>
    <row r="1181" spans="2:5" x14ac:dyDescent="0.3">
      <c r="B1181" s="4">
        <v>41932</v>
      </c>
      <c r="C1181" s="7">
        <v>592.09</v>
      </c>
      <c r="D1181" s="6">
        <f t="shared" si="21"/>
        <v>-0.76640996709721698</v>
      </c>
      <c r="E1181" s="6">
        <v>1.1721887121302758E-2</v>
      </c>
    </row>
    <row r="1182" spans="2:5" x14ac:dyDescent="0.3">
      <c r="B1182" s="4">
        <v>45959</v>
      </c>
      <c r="C1182" s="5">
        <v>2534.7399999999998</v>
      </c>
      <c r="D1182" s="6">
        <f t="shared" si="21"/>
        <v>132.40736842105261</v>
      </c>
      <c r="E1182" s="6">
        <v>1.1714743014061647E-2</v>
      </c>
    </row>
    <row r="1183" spans="2:5" x14ac:dyDescent="0.3">
      <c r="B1183" s="4">
        <v>37790</v>
      </c>
      <c r="C1183" s="7">
        <v>19</v>
      </c>
      <c r="D1183" s="6">
        <f t="shared" si="21"/>
        <v>-0.99367290939606256</v>
      </c>
      <c r="E1183" s="6">
        <v>1.1714589989350311E-2</v>
      </c>
    </row>
    <row r="1184" spans="2:5" x14ac:dyDescent="0.3">
      <c r="B1184" s="4">
        <v>45513</v>
      </c>
      <c r="C1184" s="5">
        <v>3002.96</v>
      </c>
      <c r="D1184" s="6">
        <f t="shared" si="21"/>
        <v>101.14149659863946</v>
      </c>
      <c r="E1184" s="6">
        <v>1.1710801158951628E-2</v>
      </c>
    </row>
    <row r="1185" spans="2:5" x14ac:dyDescent="0.3">
      <c r="B1185" s="4">
        <v>38471</v>
      </c>
      <c r="C1185" s="7">
        <v>29.4</v>
      </c>
      <c r="D1185" s="6">
        <f t="shared" si="21"/>
        <v>-0.9910799076436696</v>
      </c>
      <c r="E1185" s="6">
        <v>1.1699931176875426E-2</v>
      </c>
    </row>
    <row r="1186" spans="2:5" x14ac:dyDescent="0.3">
      <c r="B1186" s="4">
        <v>44564</v>
      </c>
      <c r="C1186" s="5">
        <v>3295.93</v>
      </c>
      <c r="D1186" s="6">
        <f t="shared" si="21"/>
        <v>6.5052487760446311</v>
      </c>
      <c r="E1186" s="6">
        <v>1.1663847903423339E-2</v>
      </c>
    </row>
    <row r="1187" spans="2:5" x14ac:dyDescent="0.3">
      <c r="B1187" s="4">
        <v>41564</v>
      </c>
      <c r="C1187" s="7">
        <v>439.15</v>
      </c>
      <c r="D1187" s="6">
        <f t="shared" si="21"/>
        <v>13.445723684210527</v>
      </c>
      <c r="E1187" s="6">
        <v>1.1656568914280454E-2</v>
      </c>
    </row>
    <row r="1188" spans="2:5" x14ac:dyDescent="0.3">
      <c r="B1188" s="4">
        <v>38485</v>
      </c>
      <c r="C1188" s="7">
        <v>30.4</v>
      </c>
      <c r="D1188" s="6">
        <f t="shared" si="21"/>
        <v>0.84019370460048426</v>
      </c>
      <c r="E1188" s="6">
        <v>1.1647254575707084E-2</v>
      </c>
    </row>
    <row r="1189" spans="2:5" x14ac:dyDescent="0.3">
      <c r="B1189" s="4">
        <v>37691</v>
      </c>
      <c r="C1189" s="7">
        <v>16.52</v>
      </c>
      <c r="D1189" s="6">
        <f t="shared" si="21"/>
        <v>-0.99412538672166706</v>
      </c>
      <c r="E1189" s="6">
        <v>1.1635027556644292E-2</v>
      </c>
    </row>
    <row r="1190" spans="2:5" x14ac:dyDescent="0.3">
      <c r="B1190" s="4">
        <v>45405</v>
      </c>
      <c r="C1190" s="5">
        <v>2812.1</v>
      </c>
      <c r="D1190" s="6">
        <f t="shared" si="21"/>
        <v>-0.13958853478239591</v>
      </c>
      <c r="E1190" s="6">
        <v>1.1626819388584602E-2</v>
      </c>
    </row>
    <row r="1191" spans="2:5" x14ac:dyDescent="0.3">
      <c r="B1191" s="4">
        <v>45282</v>
      </c>
      <c r="C1191" s="5">
        <v>3268.32</v>
      </c>
      <c r="D1191" s="6">
        <f t="shared" si="21"/>
        <v>51.706337687469762</v>
      </c>
      <c r="E1191" s="6">
        <v>1.1613222731212078E-2</v>
      </c>
    </row>
    <row r="1192" spans="2:5" x14ac:dyDescent="0.3">
      <c r="B1192" s="4">
        <v>39086</v>
      </c>
      <c r="C1192" s="7">
        <v>62.01</v>
      </c>
      <c r="D1192" s="6">
        <f t="shared" si="21"/>
        <v>-0.97951409995507033</v>
      </c>
      <c r="E1192" s="6">
        <v>1.1582381729200668E-2</v>
      </c>
    </row>
    <row r="1193" spans="2:5" x14ac:dyDescent="0.3">
      <c r="B1193" s="4">
        <v>45069</v>
      </c>
      <c r="C1193" s="5">
        <v>3026.96</v>
      </c>
      <c r="D1193" s="6">
        <f t="shared" si="21"/>
        <v>8.1717722631275969</v>
      </c>
      <c r="E1193" s="6">
        <v>1.1572921435804243E-2</v>
      </c>
    </row>
    <row r="1194" spans="2:5" x14ac:dyDescent="0.3">
      <c r="B1194" s="4">
        <v>41156</v>
      </c>
      <c r="C1194" s="7">
        <v>330.03</v>
      </c>
      <c r="D1194" s="6">
        <f t="shared" si="21"/>
        <v>-6.2920582640052319E-2</v>
      </c>
      <c r="E1194" s="6">
        <v>1.1555201373137933E-2</v>
      </c>
    </row>
    <row r="1195" spans="2:5" x14ac:dyDescent="0.3">
      <c r="B1195" s="4">
        <v>41211</v>
      </c>
      <c r="C1195" s="7">
        <v>352.19</v>
      </c>
      <c r="D1195" s="6">
        <f t="shared" si="21"/>
        <v>-0.8893580258548921</v>
      </c>
      <c r="E1195" s="6">
        <v>1.1546083809633172E-2</v>
      </c>
    </row>
    <row r="1196" spans="2:5" x14ac:dyDescent="0.3">
      <c r="B1196" s="4">
        <v>44460</v>
      </c>
      <c r="C1196" s="5">
        <v>3183.15</v>
      </c>
      <c r="D1196" s="6">
        <f t="shared" si="21"/>
        <v>3.1854915058118132</v>
      </c>
      <c r="E1196" s="6">
        <v>1.1506415756258472E-2</v>
      </c>
    </row>
    <row r="1197" spans="2:5" x14ac:dyDescent="0.3">
      <c r="B1197" s="4">
        <v>42304</v>
      </c>
      <c r="C1197" s="7">
        <v>760.52</v>
      </c>
      <c r="D1197" s="6">
        <f t="shared" si="21"/>
        <v>1.8214431459840472</v>
      </c>
      <c r="E1197" s="6">
        <v>1.1491195403521821E-2</v>
      </c>
    </row>
    <row r="1198" spans="2:5" x14ac:dyDescent="0.3">
      <c r="B1198" s="4">
        <v>40840</v>
      </c>
      <c r="C1198" s="7">
        <v>269.55</v>
      </c>
      <c r="D1198" s="6">
        <f t="shared" si="21"/>
        <v>-0.36052856329474275</v>
      </c>
      <c r="E1198" s="6">
        <v>1.1482607227288086E-2</v>
      </c>
    </row>
    <row r="1199" spans="2:5" x14ac:dyDescent="0.3">
      <c r="B1199" s="4">
        <v>41390</v>
      </c>
      <c r="C1199" s="7">
        <v>421.52</v>
      </c>
      <c r="D1199" s="6">
        <f t="shared" si="21"/>
        <v>-0.86536133514333624</v>
      </c>
      <c r="E1199" s="6">
        <v>1.1469981283294075E-2</v>
      </c>
    </row>
    <row r="1200" spans="2:5" x14ac:dyDescent="0.3">
      <c r="B1200" s="4">
        <v>45204</v>
      </c>
      <c r="C1200" s="5">
        <v>3130.75</v>
      </c>
      <c r="D1200" s="6">
        <f t="shared" si="21"/>
        <v>10.260475488256665</v>
      </c>
      <c r="E1200" s="6">
        <v>1.1465918856574175E-2</v>
      </c>
    </row>
    <row r="1201" spans="2:5" x14ac:dyDescent="0.3">
      <c r="B1201" s="4">
        <v>40695</v>
      </c>
      <c r="C1201" s="7">
        <v>278.02999999999997</v>
      </c>
      <c r="D1201" s="6">
        <f t="shared" si="21"/>
        <v>-0.52405162969049579</v>
      </c>
      <c r="E1201" s="6">
        <v>1.1459545983701896E-2</v>
      </c>
    </row>
    <row r="1202" spans="2:5" x14ac:dyDescent="0.3">
      <c r="B1202" s="4">
        <v>41857</v>
      </c>
      <c r="C1202" s="7">
        <v>584.16</v>
      </c>
      <c r="D1202" s="6">
        <f t="shared" si="21"/>
        <v>-0.27645659928656369</v>
      </c>
      <c r="E1202" s="6">
        <v>1.144489654575364E-2</v>
      </c>
    </row>
    <row r="1203" spans="2:5" x14ac:dyDescent="0.3">
      <c r="B1203" s="4">
        <v>42437</v>
      </c>
      <c r="C1203" s="7">
        <v>807.36</v>
      </c>
      <c r="D1203" s="6">
        <f t="shared" si="21"/>
        <v>-0.54962262151141061</v>
      </c>
      <c r="E1203" s="6">
        <v>1.1437806146098236E-2</v>
      </c>
    </row>
    <row r="1204" spans="2:5" x14ac:dyDescent="0.3">
      <c r="B1204" s="4">
        <v>43880</v>
      </c>
      <c r="C1204" s="5">
        <v>1792.63</v>
      </c>
      <c r="D1204" s="6">
        <f t="shared" si="21"/>
        <v>13.538767234387674</v>
      </c>
      <c r="E1204" s="6">
        <v>1.1402489251983184E-2</v>
      </c>
    </row>
    <row r="1205" spans="2:5" x14ac:dyDescent="0.3">
      <c r="B1205" s="4">
        <v>40030</v>
      </c>
      <c r="C1205" s="7">
        <v>123.3</v>
      </c>
      <c r="D1205" s="6">
        <f t="shared" si="21"/>
        <v>-0.95116367496316478</v>
      </c>
      <c r="E1205" s="6">
        <v>1.1401853826593394E-2</v>
      </c>
    </row>
    <row r="1206" spans="2:5" x14ac:dyDescent="0.3">
      <c r="B1206" s="4">
        <v>45883</v>
      </c>
      <c r="C1206" s="5">
        <v>2524.7600000000002</v>
      </c>
      <c r="D1206" s="6">
        <f t="shared" si="21"/>
        <v>7.9766052762568442</v>
      </c>
      <c r="E1206" s="6">
        <v>1.1400873292472873E-2</v>
      </c>
    </row>
    <row r="1207" spans="2:5" x14ac:dyDescent="0.3">
      <c r="B1207" s="4">
        <v>40701</v>
      </c>
      <c r="C1207" s="7">
        <v>281.26</v>
      </c>
      <c r="D1207" s="6">
        <f t="shared" si="21"/>
        <v>11.186308492201041</v>
      </c>
      <c r="E1207" s="6">
        <v>1.139918731345973E-2</v>
      </c>
    </row>
    <row r="1208" spans="2:5" x14ac:dyDescent="0.3">
      <c r="B1208" s="4">
        <v>38301</v>
      </c>
      <c r="C1208" s="7">
        <v>23.08</v>
      </c>
      <c r="D1208" s="6">
        <f t="shared" si="21"/>
        <v>-0.95684206589625642</v>
      </c>
      <c r="E1208" s="6">
        <v>1.1393514460999036E-2</v>
      </c>
    </row>
    <row r="1209" spans="2:5" x14ac:dyDescent="0.3">
      <c r="B1209" s="4">
        <v>41815</v>
      </c>
      <c r="C1209" s="7">
        <v>534.78</v>
      </c>
      <c r="D1209" s="6">
        <f t="shared" si="21"/>
        <v>-0.77975371689798612</v>
      </c>
      <c r="E1209" s="6">
        <v>1.1385127468038395E-2</v>
      </c>
    </row>
    <row r="1210" spans="2:5" x14ac:dyDescent="0.3">
      <c r="B1210" s="4">
        <v>46073</v>
      </c>
      <c r="C1210" s="5">
        <v>2428.1</v>
      </c>
      <c r="D1210" s="6">
        <f t="shared" si="21"/>
        <v>108.03008531656937</v>
      </c>
      <c r="E1210" s="6">
        <v>1.1371209596800953E-2</v>
      </c>
    </row>
    <row r="1211" spans="2:5" x14ac:dyDescent="0.3">
      <c r="B1211" s="4">
        <v>37855</v>
      </c>
      <c r="C1211" s="7">
        <v>22.27</v>
      </c>
      <c r="D1211" s="6">
        <f t="shared" si="21"/>
        <v>-0.99182521299596582</v>
      </c>
      <c r="E1211" s="6">
        <v>1.1353315168029064E-2</v>
      </c>
    </row>
    <row r="1212" spans="2:5" x14ac:dyDescent="0.3">
      <c r="B1212" s="4">
        <v>45021</v>
      </c>
      <c r="C1212" s="5">
        <v>2724.23</v>
      </c>
      <c r="D1212" s="6">
        <f t="shared" si="21"/>
        <v>0.16704365334361471</v>
      </c>
      <c r="E1212" s="6">
        <v>1.1345116513901089E-2</v>
      </c>
    </row>
    <row r="1213" spans="2:5" x14ac:dyDescent="0.3">
      <c r="B1213" s="4">
        <v>44169</v>
      </c>
      <c r="C1213" s="5">
        <v>2334.3000000000002</v>
      </c>
      <c r="D1213" s="6">
        <f t="shared" si="21"/>
        <v>21.299388612915553</v>
      </c>
      <c r="E1213" s="6">
        <v>1.1342564511377351E-2</v>
      </c>
    </row>
    <row r="1214" spans="2:5" x14ac:dyDescent="0.3">
      <c r="B1214" s="4">
        <v>39566</v>
      </c>
      <c r="C1214" s="7">
        <v>104.68</v>
      </c>
      <c r="D1214" s="6">
        <f t="shared" si="21"/>
        <v>-0.63718286427284065</v>
      </c>
      <c r="E1214" s="6">
        <v>1.1303255724084645E-2</v>
      </c>
    </row>
    <row r="1215" spans="2:5" x14ac:dyDescent="0.3">
      <c r="B1215" s="4">
        <v>40780</v>
      </c>
      <c r="C1215" s="7">
        <v>288.52</v>
      </c>
      <c r="D1215" s="6">
        <f t="shared" si="21"/>
        <v>-0.83076020647583293</v>
      </c>
      <c r="E1215" s="6">
        <v>1.1286365229582792E-2</v>
      </c>
    </row>
    <row r="1216" spans="2:5" x14ac:dyDescent="0.3">
      <c r="B1216" s="4">
        <v>43840</v>
      </c>
      <c r="C1216" s="5">
        <v>1704.8</v>
      </c>
      <c r="D1216" s="6">
        <f t="shared" si="21"/>
        <v>1.3498924849754643</v>
      </c>
      <c r="E1216" s="6">
        <v>1.1282611016858655E-2</v>
      </c>
    </row>
    <row r="1217" spans="2:5" x14ac:dyDescent="0.3">
      <c r="B1217" s="4">
        <v>41981</v>
      </c>
      <c r="C1217" s="7">
        <v>725.48</v>
      </c>
      <c r="D1217" s="6">
        <f t="shared" si="21"/>
        <v>0.65661178727193847</v>
      </c>
      <c r="E1217" s="6">
        <v>1.1276990200588288E-2</v>
      </c>
    </row>
    <row r="1218" spans="2:5" x14ac:dyDescent="0.3">
      <c r="B1218" s="4">
        <v>41558</v>
      </c>
      <c r="C1218" s="7">
        <v>437.93</v>
      </c>
      <c r="D1218" s="6">
        <f t="shared" si="21"/>
        <v>-0.6058874349790313</v>
      </c>
      <c r="E1218" s="6">
        <v>1.1268906592772186E-2</v>
      </c>
    </row>
    <row r="1219" spans="2:5" x14ac:dyDescent="0.3">
      <c r="B1219" s="4">
        <v>43105</v>
      </c>
      <c r="C1219" s="5">
        <v>1111.18</v>
      </c>
      <c r="D1219" s="6">
        <f t="shared" si="21"/>
        <v>-0.65401261668566013</v>
      </c>
      <c r="E1219" s="6">
        <v>1.1266836548962605E-2</v>
      </c>
    </row>
    <row r="1220" spans="2:5" x14ac:dyDescent="0.3">
      <c r="B1220" s="4">
        <v>44442</v>
      </c>
      <c r="C1220" s="5">
        <v>3211.62</v>
      </c>
      <c r="D1220" s="6">
        <f t="shared" si="21"/>
        <v>1.9810644736109306</v>
      </c>
      <c r="E1220" s="6">
        <v>1.1266310645372483E-2</v>
      </c>
    </row>
    <row r="1221" spans="2:5" x14ac:dyDescent="0.3">
      <c r="B1221" s="4">
        <v>42885</v>
      </c>
      <c r="C1221" s="5">
        <v>1077.3399999999999</v>
      </c>
      <c r="D1221" s="6">
        <f t="shared" si="21"/>
        <v>12.773203784198413</v>
      </c>
      <c r="E1221" s="6">
        <v>1.125451729478576E-2</v>
      </c>
    </row>
    <row r="1222" spans="2:5" x14ac:dyDescent="0.3">
      <c r="B1222" s="4">
        <v>39314</v>
      </c>
      <c r="C1222" s="7">
        <v>78.22</v>
      </c>
      <c r="D1222" s="6">
        <f t="shared" si="21"/>
        <v>0.49732006125574263</v>
      </c>
      <c r="E1222" s="6">
        <v>1.1247575953458365E-2</v>
      </c>
    </row>
    <row r="1223" spans="2:5" x14ac:dyDescent="0.3">
      <c r="B1223" s="4">
        <v>38939</v>
      </c>
      <c r="C1223" s="7">
        <v>52.24</v>
      </c>
      <c r="D1223" s="6">
        <f t="shared" si="21"/>
        <v>-0.97696750584189418</v>
      </c>
      <c r="E1223" s="6">
        <v>1.1227255129694259E-2</v>
      </c>
    </row>
    <row r="1224" spans="2:5" x14ac:dyDescent="0.3">
      <c r="B1224" s="4">
        <v>45664</v>
      </c>
      <c r="C1224" s="5">
        <v>2268.1</v>
      </c>
      <c r="D1224" s="6">
        <f t="shared" ref="D1224:D1287" si="22">((C1224-C1225)/C1225)</f>
        <v>-0.19828777654847715</v>
      </c>
      <c r="E1224" s="6">
        <v>1.1226436966097693E-2</v>
      </c>
    </row>
    <row r="1225" spans="2:5" x14ac:dyDescent="0.3">
      <c r="B1225" s="4">
        <v>45365</v>
      </c>
      <c r="C1225" s="5">
        <v>2829.07</v>
      </c>
      <c r="D1225" s="6">
        <f t="shared" si="22"/>
        <v>59.295609548167093</v>
      </c>
      <c r="E1225" s="6">
        <v>1.1220010866146353E-2</v>
      </c>
    </row>
    <row r="1226" spans="2:5" x14ac:dyDescent="0.3">
      <c r="B1226" s="4">
        <v>38888</v>
      </c>
      <c r="C1226" s="7">
        <v>46.92</v>
      </c>
      <c r="D1226" s="6">
        <f t="shared" si="22"/>
        <v>-0.95650843969856225</v>
      </c>
      <c r="E1226" s="6">
        <v>1.1206896551724205E-2</v>
      </c>
    </row>
    <row r="1227" spans="2:5" x14ac:dyDescent="0.3">
      <c r="B1227" s="4">
        <v>43095</v>
      </c>
      <c r="C1227" s="5">
        <v>1078.83</v>
      </c>
      <c r="D1227" s="6">
        <f t="shared" si="22"/>
        <v>3.1003002546463452</v>
      </c>
      <c r="E1227" s="6">
        <v>1.1200884823035221E-2</v>
      </c>
    </row>
    <row r="1228" spans="2:5" x14ac:dyDescent="0.3">
      <c r="B1228" s="4">
        <v>40941</v>
      </c>
      <c r="C1228" s="7">
        <v>263.11</v>
      </c>
      <c r="D1228" s="6">
        <f t="shared" si="22"/>
        <v>5.7654924145024431</v>
      </c>
      <c r="E1228" s="6">
        <v>1.1183704842428997E-2</v>
      </c>
    </row>
    <row r="1229" spans="2:5" x14ac:dyDescent="0.3">
      <c r="B1229" s="4">
        <v>38601</v>
      </c>
      <c r="C1229" s="7">
        <v>38.89</v>
      </c>
      <c r="D1229" s="6">
        <f t="shared" si="22"/>
        <v>-0.32855662983425415</v>
      </c>
      <c r="E1229" s="6">
        <v>1.1180447217888708E-2</v>
      </c>
    </row>
    <row r="1230" spans="2:5" x14ac:dyDescent="0.3">
      <c r="B1230" s="4">
        <v>39027</v>
      </c>
      <c r="C1230" s="7">
        <v>57.92</v>
      </c>
      <c r="D1230" s="6">
        <f t="shared" si="22"/>
        <v>-0.97597537808085078</v>
      </c>
      <c r="E1230" s="6">
        <v>1.1173184357541908E-2</v>
      </c>
    </row>
    <row r="1231" spans="2:5" x14ac:dyDescent="0.3">
      <c r="B1231" s="4">
        <v>45782</v>
      </c>
      <c r="C1231" s="5">
        <v>2410.86</v>
      </c>
      <c r="D1231" s="6">
        <f t="shared" si="22"/>
        <v>15.733948774901091</v>
      </c>
      <c r="E1231" s="6">
        <v>1.116074237181509E-2</v>
      </c>
    </row>
    <row r="1232" spans="2:5" x14ac:dyDescent="0.3">
      <c r="B1232" s="4">
        <v>40120</v>
      </c>
      <c r="C1232" s="7">
        <v>144.07</v>
      </c>
      <c r="D1232" s="6">
        <f t="shared" si="22"/>
        <v>-0.82897470292857223</v>
      </c>
      <c r="E1232" s="6">
        <v>1.115946097697925E-2</v>
      </c>
    </row>
    <row r="1233" spans="2:5" x14ac:dyDescent="0.3">
      <c r="B1233" s="4">
        <v>42739</v>
      </c>
      <c r="C1233" s="7">
        <v>842.39</v>
      </c>
      <c r="D1233" s="6">
        <f t="shared" si="22"/>
        <v>5.8721651166585085</v>
      </c>
      <c r="E1233" s="6">
        <v>1.1151122314247945E-2</v>
      </c>
    </row>
    <row r="1234" spans="2:5" x14ac:dyDescent="0.3">
      <c r="B1234" s="4">
        <v>40092</v>
      </c>
      <c r="C1234" s="7">
        <v>122.58</v>
      </c>
      <c r="D1234" s="6">
        <f t="shared" si="22"/>
        <v>-0.8521475870553753</v>
      </c>
      <c r="E1234" s="6">
        <v>1.1135857461024452E-2</v>
      </c>
    </row>
    <row r="1235" spans="2:5" x14ac:dyDescent="0.3">
      <c r="B1235" s="4">
        <v>42405</v>
      </c>
      <c r="C1235" s="7">
        <v>829.07</v>
      </c>
      <c r="D1235" s="6">
        <f t="shared" si="22"/>
        <v>1.105948994106889</v>
      </c>
      <c r="E1235" s="6">
        <v>1.113496109471424E-2</v>
      </c>
    </row>
    <row r="1236" spans="2:5" x14ac:dyDescent="0.3">
      <c r="B1236" s="4">
        <v>41271</v>
      </c>
      <c r="C1236" s="7">
        <v>393.68</v>
      </c>
      <c r="D1236" s="6">
        <f t="shared" si="22"/>
        <v>15.653130287648054</v>
      </c>
      <c r="E1236" s="6">
        <v>1.1121099268010746E-2</v>
      </c>
    </row>
    <row r="1237" spans="2:5" x14ac:dyDescent="0.3">
      <c r="B1237" s="4">
        <v>38107</v>
      </c>
      <c r="C1237" s="7">
        <v>23.64</v>
      </c>
      <c r="D1237" s="6">
        <f t="shared" si="22"/>
        <v>-0.99248844192364527</v>
      </c>
      <c r="E1237" s="6">
        <v>1.112061591103514E-2</v>
      </c>
    </row>
    <row r="1238" spans="2:5" x14ac:dyDescent="0.3">
      <c r="B1238" s="4">
        <v>45526</v>
      </c>
      <c r="C1238" s="5">
        <v>3147.15</v>
      </c>
      <c r="D1238" s="6">
        <f t="shared" si="22"/>
        <v>191.25106902871104</v>
      </c>
      <c r="E1238" s="6">
        <v>1.1119535813194409E-2</v>
      </c>
    </row>
    <row r="1239" spans="2:5" x14ac:dyDescent="0.3">
      <c r="B1239" s="4">
        <v>37475</v>
      </c>
      <c r="C1239" s="7">
        <v>16.37</v>
      </c>
      <c r="D1239" s="6">
        <f t="shared" si="22"/>
        <v>-0.99454164124211841</v>
      </c>
      <c r="E1239" s="6">
        <v>1.1117974058060512E-2</v>
      </c>
    </row>
    <row r="1240" spans="2:5" x14ac:dyDescent="0.3">
      <c r="B1240" s="4">
        <v>44652</v>
      </c>
      <c r="C1240" s="5">
        <v>2999.07</v>
      </c>
      <c r="D1240" s="6">
        <f t="shared" si="22"/>
        <v>181.7586837294333</v>
      </c>
      <c r="E1240" s="6">
        <v>1.1105379737233382E-2</v>
      </c>
    </row>
    <row r="1241" spans="2:5" x14ac:dyDescent="0.3">
      <c r="B1241" s="4">
        <v>37582</v>
      </c>
      <c r="C1241" s="7">
        <v>16.41</v>
      </c>
      <c r="D1241" s="6">
        <f t="shared" si="22"/>
        <v>-0.98428010345818562</v>
      </c>
      <c r="E1241" s="6">
        <v>1.1090573012938984E-2</v>
      </c>
    </row>
    <row r="1242" spans="2:5" x14ac:dyDescent="0.3">
      <c r="B1242" s="4">
        <v>42605</v>
      </c>
      <c r="C1242" s="5">
        <v>1043.9000000000001</v>
      </c>
      <c r="D1242" s="6">
        <f t="shared" si="22"/>
        <v>-7.6497076178596218E-2</v>
      </c>
      <c r="E1242" s="6">
        <v>1.1090125429802939E-2</v>
      </c>
    </row>
    <row r="1243" spans="2:5" x14ac:dyDescent="0.3">
      <c r="B1243" s="4">
        <v>43398</v>
      </c>
      <c r="C1243" s="5">
        <v>1130.3699999999999</v>
      </c>
      <c r="D1243" s="6">
        <f t="shared" si="22"/>
        <v>0.39944040706671768</v>
      </c>
      <c r="E1243" s="6">
        <v>1.1082488058820259E-2</v>
      </c>
    </row>
    <row r="1244" spans="2:5" x14ac:dyDescent="0.3">
      <c r="B1244" s="4">
        <v>42355</v>
      </c>
      <c r="C1244" s="7">
        <v>807.73</v>
      </c>
      <c r="D1244" s="6">
        <f t="shared" si="22"/>
        <v>-0.52443669891137312</v>
      </c>
      <c r="E1244" s="6">
        <v>1.1078009212898086E-2</v>
      </c>
    </row>
    <row r="1245" spans="2:5" x14ac:dyDescent="0.3">
      <c r="B1245" s="4">
        <v>43773</v>
      </c>
      <c r="C1245" s="5">
        <v>1698.47</v>
      </c>
      <c r="D1245" s="6">
        <f t="shared" si="22"/>
        <v>83.458975634012944</v>
      </c>
      <c r="E1245" s="6">
        <v>1.1066266638093148E-2</v>
      </c>
    </row>
    <row r="1246" spans="2:5" x14ac:dyDescent="0.3">
      <c r="B1246" s="4">
        <v>37830</v>
      </c>
      <c r="C1246" s="7">
        <v>20.11</v>
      </c>
      <c r="D1246" s="6">
        <f t="shared" si="22"/>
        <v>-0.72516058493918278</v>
      </c>
      <c r="E1246" s="6">
        <v>1.1060834590246298E-2</v>
      </c>
    </row>
    <row r="1247" spans="2:5" x14ac:dyDescent="0.3">
      <c r="B1247" s="4">
        <v>39279</v>
      </c>
      <c r="C1247" s="7">
        <v>73.17</v>
      </c>
      <c r="D1247" s="6">
        <f t="shared" si="22"/>
        <v>-0.93063797516352265</v>
      </c>
      <c r="E1247" s="6">
        <v>1.1054304269724985E-2</v>
      </c>
    </row>
    <row r="1248" spans="2:5" x14ac:dyDescent="0.3">
      <c r="B1248" s="4">
        <v>42926</v>
      </c>
      <c r="C1248" s="5">
        <v>1054.9000000000001</v>
      </c>
      <c r="D1248" s="6">
        <f t="shared" si="22"/>
        <v>21.535782952360609</v>
      </c>
      <c r="E1248" s="6">
        <v>1.1021659957830169E-2</v>
      </c>
    </row>
    <row r="1249" spans="2:5" x14ac:dyDescent="0.3">
      <c r="B1249" s="4">
        <v>38716</v>
      </c>
      <c r="C1249" s="7">
        <v>46.81</v>
      </c>
      <c r="D1249" s="6">
        <f t="shared" si="22"/>
        <v>-0.98230981444389853</v>
      </c>
      <c r="E1249" s="6">
        <v>1.1015118790496872E-2</v>
      </c>
    </row>
    <row r="1250" spans="2:5" x14ac:dyDescent="0.3">
      <c r="B1250" s="4">
        <v>44196</v>
      </c>
      <c r="C1250" s="5">
        <v>2646.1</v>
      </c>
      <c r="D1250" s="6">
        <f t="shared" si="22"/>
        <v>7.8851877522730096E-2</v>
      </c>
      <c r="E1250" s="6">
        <v>1.1007568897600168E-2</v>
      </c>
    </row>
    <row r="1251" spans="2:5" x14ac:dyDescent="0.3">
      <c r="B1251" s="4">
        <v>46057</v>
      </c>
      <c r="C1251" s="5">
        <v>2452.6999999999998</v>
      </c>
      <c r="D1251" s="6">
        <f t="shared" si="22"/>
        <v>77.511523687580038</v>
      </c>
      <c r="E1251" s="6">
        <v>1.100577081615821E-2</v>
      </c>
    </row>
    <row r="1252" spans="2:5" x14ac:dyDescent="0.3">
      <c r="B1252" s="4">
        <v>38517</v>
      </c>
      <c r="C1252" s="7">
        <v>31.24</v>
      </c>
      <c r="D1252" s="6">
        <f t="shared" si="22"/>
        <v>0</v>
      </c>
      <c r="E1252" s="6">
        <v>1.1003236245954688E-2</v>
      </c>
    </row>
    <row r="1253" spans="2:5" x14ac:dyDescent="0.3">
      <c r="B1253" s="4">
        <v>38450</v>
      </c>
      <c r="C1253" s="7">
        <v>31.24</v>
      </c>
      <c r="D1253" s="6">
        <f t="shared" si="22"/>
        <v>-0.97873759579652342</v>
      </c>
      <c r="E1253" s="6">
        <v>1.1003236245954688E-2</v>
      </c>
    </row>
    <row r="1254" spans="2:5" x14ac:dyDescent="0.3">
      <c r="B1254" s="4">
        <v>43726</v>
      </c>
      <c r="C1254" s="5">
        <v>1469.26</v>
      </c>
      <c r="D1254" s="6">
        <f t="shared" si="22"/>
        <v>25.607388627308946</v>
      </c>
      <c r="E1254" s="6">
        <v>1.1002773056624034E-2</v>
      </c>
    </row>
    <row r="1255" spans="2:5" x14ac:dyDescent="0.3">
      <c r="B1255" s="4">
        <v>39017</v>
      </c>
      <c r="C1255" s="7">
        <v>55.22</v>
      </c>
      <c r="D1255" s="6">
        <f t="shared" si="22"/>
        <v>1.724222989639862</v>
      </c>
      <c r="E1255" s="6">
        <v>1.0984987184181646E-2</v>
      </c>
    </row>
    <row r="1256" spans="2:5" x14ac:dyDescent="0.3">
      <c r="B1256" s="4">
        <v>37816</v>
      </c>
      <c r="C1256" s="7">
        <v>20.27</v>
      </c>
      <c r="D1256" s="6">
        <f t="shared" si="22"/>
        <v>-0.8336206188951818</v>
      </c>
      <c r="E1256" s="6">
        <v>1.0972568578553559E-2</v>
      </c>
    </row>
    <row r="1257" spans="2:5" x14ac:dyDescent="0.3">
      <c r="B1257" s="4">
        <v>40025</v>
      </c>
      <c r="C1257" s="7">
        <v>121.83</v>
      </c>
      <c r="D1257" s="6">
        <f t="shared" si="22"/>
        <v>-0.96231883161469511</v>
      </c>
      <c r="E1257" s="6">
        <v>1.0953447846651672E-2</v>
      </c>
    </row>
    <row r="1258" spans="2:5" x14ac:dyDescent="0.3">
      <c r="B1258" s="4">
        <v>45541</v>
      </c>
      <c r="C1258" s="5">
        <v>3233.18</v>
      </c>
      <c r="D1258" s="6">
        <f t="shared" si="22"/>
        <v>4.6806170496872586</v>
      </c>
      <c r="E1258" s="6">
        <v>1.0950046276609044E-2</v>
      </c>
    </row>
    <row r="1259" spans="2:5" x14ac:dyDescent="0.3">
      <c r="B1259" s="4">
        <v>41879</v>
      </c>
      <c r="C1259" s="7">
        <v>569.16</v>
      </c>
      <c r="D1259" s="6">
        <f t="shared" si="22"/>
        <v>-0.66144402012919801</v>
      </c>
      <c r="E1259" s="6">
        <v>1.0941385435168682E-2</v>
      </c>
    </row>
    <row r="1260" spans="2:5" x14ac:dyDescent="0.3">
      <c r="B1260" s="4">
        <v>43734</v>
      </c>
      <c r="C1260" s="5">
        <v>1681.14</v>
      </c>
      <c r="D1260" s="6">
        <f t="shared" si="22"/>
        <v>25.710200190657773</v>
      </c>
      <c r="E1260" s="6">
        <v>1.0926234387872344E-2</v>
      </c>
    </row>
    <row r="1261" spans="2:5" x14ac:dyDescent="0.3">
      <c r="B1261" s="4">
        <v>39878</v>
      </c>
      <c r="C1261" s="7">
        <v>62.94</v>
      </c>
      <c r="D1261" s="6">
        <f t="shared" si="22"/>
        <v>-0.92609119411923591</v>
      </c>
      <c r="E1261" s="6">
        <v>1.0921940250562154E-2</v>
      </c>
    </row>
    <row r="1262" spans="2:5" x14ac:dyDescent="0.3">
      <c r="B1262" s="4">
        <v>42740</v>
      </c>
      <c r="C1262" s="7">
        <v>851.59</v>
      </c>
      <c r="D1262" s="6">
        <f t="shared" si="22"/>
        <v>0.34883978775639501</v>
      </c>
      <c r="E1262" s="6">
        <v>1.0921307232991898E-2</v>
      </c>
    </row>
    <row r="1263" spans="2:5" x14ac:dyDescent="0.3">
      <c r="B1263" s="4">
        <v>41963</v>
      </c>
      <c r="C1263" s="7">
        <v>631.35</v>
      </c>
      <c r="D1263" s="6">
        <f t="shared" si="22"/>
        <v>18.450092421441774</v>
      </c>
      <c r="E1263" s="6">
        <v>1.0904025362667017E-2</v>
      </c>
    </row>
    <row r="1264" spans="2:5" x14ac:dyDescent="0.3">
      <c r="B1264" s="4">
        <v>38530</v>
      </c>
      <c r="C1264" s="7">
        <v>32.46</v>
      </c>
      <c r="D1264" s="6">
        <f t="shared" si="22"/>
        <v>-0.98844687734683923</v>
      </c>
      <c r="E1264" s="6">
        <v>1.0900031142946166E-2</v>
      </c>
    </row>
    <row r="1265" spans="2:5" x14ac:dyDescent="0.3">
      <c r="B1265" s="4">
        <v>44350</v>
      </c>
      <c r="C1265" s="5">
        <v>2809.63</v>
      </c>
      <c r="D1265" s="6">
        <f t="shared" si="22"/>
        <v>120.15696420871065</v>
      </c>
      <c r="E1265" s="6">
        <v>1.089827081249504E-2</v>
      </c>
    </row>
    <row r="1266" spans="2:5" x14ac:dyDescent="0.3">
      <c r="B1266" s="4">
        <v>38279</v>
      </c>
      <c r="C1266" s="7">
        <v>23.19</v>
      </c>
      <c r="D1266" s="6">
        <f t="shared" si="22"/>
        <v>-0.98292806819938594</v>
      </c>
      <c r="E1266" s="6">
        <v>1.0897994768962511E-2</v>
      </c>
    </row>
    <row r="1267" spans="2:5" x14ac:dyDescent="0.3">
      <c r="B1267" s="4">
        <v>43567</v>
      </c>
      <c r="C1267" s="5">
        <v>1358.37</v>
      </c>
      <c r="D1267" s="6">
        <f t="shared" si="22"/>
        <v>0.26489431045721185</v>
      </c>
      <c r="E1267" s="6">
        <v>1.0895045879752534E-2</v>
      </c>
    </row>
    <row r="1268" spans="2:5" x14ac:dyDescent="0.3">
      <c r="B1268" s="4">
        <v>42895</v>
      </c>
      <c r="C1268" s="5">
        <v>1073.9000000000001</v>
      </c>
      <c r="D1268" s="6">
        <f t="shared" si="22"/>
        <v>3.4146181040861636</v>
      </c>
      <c r="E1268" s="6">
        <v>1.0891154349401942E-2</v>
      </c>
    </row>
    <row r="1269" spans="2:5" x14ac:dyDescent="0.3">
      <c r="B1269" s="4">
        <v>40666</v>
      </c>
      <c r="C1269" s="7">
        <v>243.26</v>
      </c>
      <c r="D1269" s="6">
        <f t="shared" si="22"/>
        <v>-0.57592134165475406</v>
      </c>
      <c r="E1269" s="6">
        <v>1.0887632978723423E-2</v>
      </c>
    </row>
    <row r="1270" spans="2:5" x14ac:dyDescent="0.3">
      <c r="B1270" s="4">
        <v>41908</v>
      </c>
      <c r="C1270" s="7">
        <v>573.62</v>
      </c>
      <c r="D1270" s="6">
        <f t="shared" si="22"/>
        <v>-0.45701006238108316</v>
      </c>
      <c r="E1270" s="6">
        <v>1.0873204687637604E-2</v>
      </c>
    </row>
    <row r="1271" spans="2:5" x14ac:dyDescent="0.3">
      <c r="B1271" s="4">
        <v>42668</v>
      </c>
      <c r="C1271" s="5">
        <v>1056.4100000000001</v>
      </c>
      <c r="D1271" s="6">
        <f t="shared" si="22"/>
        <v>20.826652892561984</v>
      </c>
      <c r="E1271" s="6">
        <v>1.087029328740264E-2</v>
      </c>
    </row>
    <row r="1272" spans="2:5" x14ac:dyDescent="0.3">
      <c r="B1272" s="4">
        <v>38925</v>
      </c>
      <c r="C1272" s="7">
        <v>48.4</v>
      </c>
      <c r="D1272" s="6">
        <f t="shared" si="22"/>
        <v>-0.78344519015659952</v>
      </c>
      <c r="E1272" s="6">
        <v>1.0860484544694987E-2</v>
      </c>
    </row>
    <row r="1273" spans="2:5" x14ac:dyDescent="0.3">
      <c r="B1273" s="4">
        <v>40508</v>
      </c>
      <c r="C1273" s="7">
        <v>223.5</v>
      </c>
      <c r="D1273" s="6">
        <f t="shared" si="22"/>
        <v>1.7582376897445391</v>
      </c>
      <c r="E1273" s="6">
        <v>1.0854816824966104E-2</v>
      </c>
    </row>
    <row r="1274" spans="2:5" x14ac:dyDescent="0.3">
      <c r="B1274" s="4">
        <v>39738</v>
      </c>
      <c r="C1274" s="7">
        <v>81.03</v>
      </c>
      <c r="D1274" s="6">
        <f t="shared" si="22"/>
        <v>-0.94656916401809388</v>
      </c>
      <c r="E1274" s="6">
        <v>1.085329341317371E-2</v>
      </c>
    </row>
    <row r="1275" spans="2:5" x14ac:dyDescent="0.3">
      <c r="B1275" s="4">
        <v>43703</v>
      </c>
      <c r="C1275" s="5">
        <v>1516.54</v>
      </c>
      <c r="D1275" s="6">
        <f t="shared" si="22"/>
        <v>2.9412146885314066</v>
      </c>
      <c r="E1275" s="6">
        <v>1.085145241491473E-2</v>
      </c>
    </row>
    <row r="1276" spans="2:5" x14ac:dyDescent="0.3">
      <c r="B1276" s="4">
        <v>41261</v>
      </c>
      <c r="C1276" s="7">
        <v>384.79</v>
      </c>
      <c r="D1276" s="6">
        <f t="shared" si="22"/>
        <v>-0.10866342367384751</v>
      </c>
      <c r="E1276" s="6">
        <v>1.0849577050386158E-2</v>
      </c>
    </row>
    <row r="1277" spans="2:5" x14ac:dyDescent="0.3">
      <c r="B1277" s="4">
        <v>41696</v>
      </c>
      <c r="C1277" s="7">
        <v>431.7</v>
      </c>
      <c r="D1277" s="6">
        <f t="shared" si="22"/>
        <v>-0.82300268140482646</v>
      </c>
      <c r="E1277" s="6">
        <v>1.0793977850101884E-2</v>
      </c>
    </row>
    <row r="1278" spans="2:5" x14ac:dyDescent="0.3">
      <c r="B1278" s="4">
        <v>44179</v>
      </c>
      <c r="C1278" s="5">
        <v>2439.02</v>
      </c>
      <c r="D1278" s="6">
        <f t="shared" si="22"/>
        <v>-0.26788254999309613</v>
      </c>
      <c r="E1278" s="6">
        <v>1.079163523941349E-2</v>
      </c>
    </row>
    <row r="1279" spans="2:5" x14ac:dyDescent="0.3">
      <c r="B1279" s="4">
        <v>44565</v>
      </c>
      <c r="C1279" s="5">
        <v>3331.46</v>
      </c>
      <c r="D1279" s="6">
        <f t="shared" si="22"/>
        <v>6.7017292398742372</v>
      </c>
      <c r="E1279" s="6">
        <v>1.0779961953075521E-2</v>
      </c>
    </row>
    <row r="1280" spans="2:5" x14ac:dyDescent="0.3">
      <c r="B1280" s="4">
        <v>41663</v>
      </c>
      <c r="C1280" s="7">
        <v>432.56</v>
      </c>
      <c r="D1280" s="6">
        <f t="shared" si="22"/>
        <v>24.610420367081112</v>
      </c>
      <c r="E1280" s="6">
        <v>1.0772286482065694E-2</v>
      </c>
    </row>
    <row r="1281" spans="2:5" x14ac:dyDescent="0.3">
      <c r="B1281" s="4">
        <v>37546</v>
      </c>
      <c r="C1281" s="7">
        <v>16.89</v>
      </c>
      <c r="D1281" s="6">
        <f t="shared" si="22"/>
        <v>-0.28219294517637061</v>
      </c>
      <c r="E1281" s="6">
        <v>1.0771992818671437E-2</v>
      </c>
    </row>
    <row r="1282" spans="2:5" x14ac:dyDescent="0.3">
      <c r="B1282" s="4">
        <v>38275</v>
      </c>
      <c r="C1282" s="7">
        <v>23.53</v>
      </c>
      <c r="D1282" s="6">
        <f t="shared" si="22"/>
        <v>-0.99173167474875246</v>
      </c>
      <c r="E1282" s="6">
        <v>1.0738831615120275E-2</v>
      </c>
    </row>
    <row r="1283" spans="2:5" x14ac:dyDescent="0.3">
      <c r="B1283" s="4">
        <v>46028</v>
      </c>
      <c r="C1283" s="5">
        <v>2845.8</v>
      </c>
      <c r="D1283" s="6">
        <f t="shared" si="22"/>
        <v>11.450997549877496</v>
      </c>
      <c r="E1283" s="6">
        <v>1.072595539139092E-2</v>
      </c>
    </row>
    <row r="1284" spans="2:5" x14ac:dyDescent="0.3">
      <c r="B1284" s="4">
        <v>40388</v>
      </c>
      <c r="C1284" s="7">
        <v>228.56</v>
      </c>
      <c r="D1284" s="6">
        <f t="shared" si="22"/>
        <v>2.5033721643163704</v>
      </c>
      <c r="E1284" s="6">
        <v>1.0701335455912338E-2</v>
      </c>
    </row>
    <row r="1285" spans="2:5" x14ac:dyDescent="0.3">
      <c r="B1285" s="4">
        <v>39098</v>
      </c>
      <c r="C1285" s="7">
        <v>65.239999999999995</v>
      </c>
      <c r="D1285" s="6">
        <f t="shared" si="22"/>
        <v>0.76898047722342711</v>
      </c>
      <c r="E1285" s="6">
        <v>1.0689388071262552E-2</v>
      </c>
    </row>
    <row r="1286" spans="2:5" x14ac:dyDescent="0.3">
      <c r="B1286" s="4">
        <v>38565</v>
      </c>
      <c r="C1286" s="7">
        <v>36.880000000000003</v>
      </c>
      <c r="D1286" s="6">
        <f t="shared" si="22"/>
        <v>-0.98369656513858794</v>
      </c>
      <c r="E1286" s="6">
        <v>1.0687859687585654E-2</v>
      </c>
    </row>
    <row r="1287" spans="2:5" x14ac:dyDescent="0.3">
      <c r="B1287" s="4">
        <v>46099</v>
      </c>
      <c r="C1287" s="5">
        <v>2262.1</v>
      </c>
      <c r="D1287" s="6">
        <f t="shared" si="22"/>
        <v>2.2450616132780556</v>
      </c>
      <c r="E1287" s="6">
        <v>1.0678223572513669E-2</v>
      </c>
    </row>
    <row r="1288" spans="2:5" x14ac:dyDescent="0.3">
      <c r="B1288" s="4">
        <v>42124</v>
      </c>
      <c r="C1288" s="7">
        <v>697.09</v>
      </c>
      <c r="D1288" s="6">
        <f t="shared" ref="D1288:D1351" si="23">((C1288-C1289)/C1289)</f>
        <v>13.718961148648649</v>
      </c>
      <c r="E1288" s="6">
        <v>1.0670842213619842E-2</v>
      </c>
    </row>
    <row r="1289" spans="2:5" x14ac:dyDescent="0.3">
      <c r="B1289" s="4">
        <v>38729</v>
      </c>
      <c r="C1289" s="7">
        <v>47.36</v>
      </c>
      <c r="D1289" s="6">
        <f t="shared" si="23"/>
        <v>-0.984920703148631</v>
      </c>
      <c r="E1289" s="6">
        <v>1.0670081092616303E-2</v>
      </c>
    </row>
    <row r="1290" spans="2:5" x14ac:dyDescent="0.3">
      <c r="B1290" s="4">
        <v>44522</v>
      </c>
      <c r="C1290" s="5">
        <v>3140.73</v>
      </c>
      <c r="D1290" s="6">
        <f t="shared" si="23"/>
        <v>3.4767165072622825</v>
      </c>
      <c r="E1290" s="6">
        <v>1.0660960226541418E-2</v>
      </c>
    </row>
    <row r="1291" spans="2:5" x14ac:dyDescent="0.3">
      <c r="B1291" s="4">
        <v>42152</v>
      </c>
      <c r="C1291" s="7">
        <v>701.57</v>
      </c>
      <c r="D1291" s="6">
        <f t="shared" si="23"/>
        <v>-0.72418226136184927</v>
      </c>
      <c r="E1291" s="6">
        <v>1.0660212916144591E-2</v>
      </c>
    </row>
    <row r="1292" spans="2:5" x14ac:dyDescent="0.3">
      <c r="B1292" s="4">
        <v>46133</v>
      </c>
      <c r="C1292" s="5">
        <v>2543.6</v>
      </c>
      <c r="D1292" s="6">
        <f t="shared" si="23"/>
        <v>7.1184769078548404</v>
      </c>
      <c r="E1292" s="6">
        <v>1.0648442466624176E-2</v>
      </c>
    </row>
    <row r="1293" spans="2:5" x14ac:dyDescent="0.3">
      <c r="B1293" s="4">
        <v>41117</v>
      </c>
      <c r="C1293" s="7">
        <v>313.31</v>
      </c>
      <c r="D1293" s="6">
        <f t="shared" si="23"/>
        <v>-0.70804912594580494</v>
      </c>
      <c r="E1293" s="6">
        <v>1.0644817909099744E-2</v>
      </c>
    </row>
    <row r="1294" spans="2:5" x14ac:dyDescent="0.3">
      <c r="B1294" s="4">
        <v>42872</v>
      </c>
      <c r="C1294" s="5">
        <v>1073.1600000000001</v>
      </c>
      <c r="D1294" s="6">
        <f t="shared" si="23"/>
        <v>1.4773996952767903</v>
      </c>
      <c r="E1294" s="6">
        <v>1.0594118145605558E-2</v>
      </c>
    </row>
    <row r="1295" spans="2:5" x14ac:dyDescent="0.3">
      <c r="B1295" s="4">
        <v>41416</v>
      </c>
      <c r="C1295" s="7">
        <v>433.18</v>
      </c>
      <c r="D1295" s="6">
        <f t="shared" si="23"/>
        <v>-0.48246117084826762</v>
      </c>
      <c r="E1295" s="6">
        <v>1.0591638671145999E-2</v>
      </c>
    </row>
    <row r="1296" spans="2:5" x14ac:dyDescent="0.3">
      <c r="B1296" s="4">
        <v>42501</v>
      </c>
      <c r="C1296" s="7">
        <v>837</v>
      </c>
      <c r="D1296" s="6">
        <f t="shared" si="23"/>
        <v>18.904875148632584</v>
      </c>
      <c r="E1296" s="6">
        <v>1.057664445088379E-2</v>
      </c>
    </row>
    <row r="1297" spans="2:5" x14ac:dyDescent="0.3">
      <c r="B1297" s="4">
        <v>38631</v>
      </c>
      <c r="C1297" s="7">
        <v>42.05</v>
      </c>
      <c r="D1297" s="6">
        <f t="shared" si="23"/>
        <v>-0.81048314404182431</v>
      </c>
      <c r="E1297" s="6">
        <v>1.0574381158375336E-2</v>
      </c>
    </row>
    <row r="1298" spans="2:5" x14ac:dyDescent="0.3">
      <c r="B1298" s="4">
        <v>40627</v>
      </c>
      <c r="C1298" s="7">
        <v>221.88</v>
      </c>
      <c r="D1298" s="6">
        <f t="shared" si="23"/>
        <v>-0.71200124607357029</v>
      </c>
      <c r="E1298" s="6">
        <v>1.0566587720896307E-2</v>
      </c>
    </row>
    <row r="1299" spans="2:5" x14ac:dyDescent="0.3">
      <c r="B1299" s="4">
        <v>42018</v>
      </c>
      <c r="C1299" s="7">
        <v>770.42</v>
      </c>
      <c r="D1299" s="6">
        <f t="shared" si="23"/>
        <v>-0.76169604662024848</v>
      </c>
      <c r="E1299" s="6">
        <v>1.0559177302359687E-2</v>
      </c>
    </row>
    <row r="1300" spans="2:5" x14ac:dyDescent="0.3">
      <c r="B1300" s="4">
        <v>44838</v>
      </c>
      <c r="C1300" s="5">
        <v>3232.93</v>
      </c>
      <c r="D1300" s="6">
        <f t="shared" si="23"/>
        <v>6.5993841380283005</v>
      </c>
      <c r="E1300" s="6">
        <v>1.0552737116189438E-2</v>
      </c>
    </row>
    <row r="1301" spans="2:5" x14ac:dyDescent="0.3">
      <c r="B1301" s="4">
        <v>41408</v>
      </c>
      <c r="C1301" s="7">
        <v>425.42</v>
      </c>
      <c r="D1301" s="6">
        <f t="shared" si="23"/>
        <v>0.82701309856130567</v>
      </c>
      <c r="E1301" s="6">
        <v>1.0546819326333787E-2</v>
      </c>
    </row>
    <row r="1302" spans="2:5" x14ac:dyDescent="0.3">
      <c r="B1302" s="4">
        <v>40906</v>
      </c>
      <c r="C1302" s="7">
        <v>232.85</v>
      </c>
      <c r="D1302" s="6">
        <f t="shared" si="23"/>
        <v>1.8577565046637212</v>
      </c>
      <c r="E1302" s="6">
        <v>1.0545959552122243E-2</v>
      </c>
    </row>
    <row r="1303" spans="2:5" x14ac:dyDescent="0.3">
      <c r="B1303" s="4">
        <v>39759</v>
      </c>
      <c r="C1303" s="7">
        <v>81.48</v>
      </c>
      <c r="D1303" s="6">
        <f t="shared" si="23"/>
        <v>3.9987730061349698</v>
      </c>
      <c r="E1303" s="6">
        <v>1.0541981892595914E-2</v>
      </c>
    </row>
    <row r="1304" spans="2:5" x14ac:dyDescent="0.3">
      <c r="B1304" s="4">
        <v>37728</v>
      </c>
      <c r="C1304" s="7">
        <v>16.3</v>
      </c>
      <c r="D1304" s="6">
        <f t="shared" si="23"/>
        <v>-1.2254901960784053E-3</v>
      </c>
      <c r="E1304" s="6">
        <v>1.053936763794183E-2</v>
      </c>
    </row>
    <row r="1305" spans="2:5" x14ac:dyDescent="0.3">
      <c r="B1305" s="4">
        <v>37439</v>
      </c>
      <c r="C1305" s="7">
        <v>16.32</v>
      </c>
      <c r="D1305" s="6">
        <f t="shared" si="23"/>
        <v>-0.97969618930317615</v>
      </c>
      <c r="E1305" s="6">
        <v>1.0526315789473792E-2</v>
      </c>
    </row>
    <row r="1306" spans="2:5" x14ac:dyDescent="0.3">
      <c r="B1306" s="4">
        <v>42285</v>
      </c>
      <c r="C1306" s="7">
        <v>803.79</v>
      </c>
      <c r="D1306" s="6">
        <f t="shared" si="23"/>
        <v>-0.71038769186423578</v>
      </c>
      <c r="E1306" s="6">
        <v>1.0522742701968778E-2</v>
      </c>
    </row>
    <row r="1307" spans="2:5" x14ac:dyDescent="0.3">
      <c r="B1307" s="4">
        <v>46020</v>
      </c>
      <c r="C1307" s="5">
        <v>2775.4</v>
      </c>
      <c r="D1307" s="6">
        <f t="shared" si="23"/>
        <v>-0.10960398326617557</v>
      </c>
      <c r="E1307" s="6">
        <v>1.052248316038598E-2</v>
      </c>
    </row>
    <row r="1308" spans="2:5" x14ac:dyDescent="0.3">
      <c r="B1308" s="4">
        <v>44596</v>
      </c>
      <c r="C1308" s="5">
        <v>3117.04</v>
      </c>
      <c r="D1308" s="6">
        <f t="shared" si="23"/>
        <v>9.2429494166424264E-2</v>
      </c>
      <c r="E1308" s="6">
        <v>1.0506932760168919E-2</v>
      </c>
    </row>
    <row r="1309" spans="2:5" x14ac:dyDescent="0.3">
      <c r="B1309" s="4">
        <v>44634</v>
      </c>
      <c r="C1309" s="5">
        <v>2853.31</v>
      </c>
      <c r="D1309" s="6">
        <f t="shared" si="23"/>
        <v>28.9528658408566</v>
      </c>
      <c r="E1309" s="6">
        <v>1.0504134719246314E-2</v>
      </c>
    </row>
    <row r="1310" spans="2:5" x14ac:dyDescent="0.3">
      <c r="B1310" s="4">
        <v>39653</v>
      </c>
      <c r="C1310" s="7">
        <v>95.26</v>
      </c>
      <c r="D1310" s="6">
        <f t="shared" si="23"/>
        <v>-0.91077015305644538</v>
      </c>
      <c r="E1310" s="6">
        <v>1.0501750291715383E-2</v>
      </c>
    </row>
    <row r="1311" spans="2:5" x14ac:dyDescent="0.3">
      <c r="B1311" s="4">
        <v>42970</v>
      </c>
      <c r="C1311" s="5">
        <v>1067.58</v>
      </c>
      <c r="D1311" s="6">
        <f t="shared" si="23"/>
        <v>-0.61880311361851037</v>
      </c>
      <c r="E1311" s="6">
        <v>1.0497023161601074E-2</v>
      </c>
    </row>
    <row r="1312" spans="2:5" x14ac:dyDescent="0.3">
      <c r="B1312" s="4">
        <v>44749</v>
      </c>
      <c r="C1312" s="5">
        <v>2800.6</v>
      </c>
      <c r="D1312" s="6">
        <f t="shared" si="23"/>
        <v>1.4434847096802335</v>
      </c>
      <c r="E1312" s="6">
        <v>1.0485145442605896E-2</v>
      </c>
    </row>
    <row r="1313" spans="2:5" x14ac:dyDescent="0.3">
      <c r="B1313" s="4">
        <v>43229</v>
      </c>
      <c r="C1313" s="5">
        <v>1146.1500000000001</v>
      </c>
      <c r="D1313" s="6">
        <f t="shared" si="23"/>
        <v>-0.63986425979167649</v>
      </c>
      <c r="E1313" s="6">
        <v>1.0455879889622696E-2</v>
      </c>
    </row>
    <row r="1314" spans="2:5" x14ac:dyDescent="0.3">
      <c r="B1314" s="4">
        <v>45163</v>
      </c>
      <c r="C1314" s="5">
        <v>3182.55</v>
      </c>
      <c r="D1314" s="6">
        <f t="shared" si="23"/>
        <v>1.3212162763389179</v>
      </c>
      <c r="E1314" s="6">
        <v>1.044560506722972E-2</v>
      </c>
    </row>
    <row r="1315" spans="2:5" x14ac:dyDescent="0.3">
      <c r="B1315" s="4">
        <v>43508</v>
      </c>
      <c r="C1315" s="5">
        <v>1371.07</v>
      </c>
      <c r="D1315" s="6">
        <f t="shared" si="23"/>
        <v>0.93561001778806774</v>
      </c>
      <c r="E1315" s="6">
        <v>1.0442921364875705E-2</v>
      </c>
    </row>
    <row r="1316" spans="2:5" x14ac:dyDescent="0.3">
      <c r="B1316" s="4">
        <v>42143</v>
      </c>
      <c r="C1316" s="7">
        <v>708.34</v>
      </c>
      <c r="D1316" s="6">
        <f t="shared" si="23"/>
        <v>24.234770217313859</v>
      </c>
      <c r="E1316" s="6">
        <v>1.0441927477104861E-2</v>
      </c>
    </row>
    <row r="1317" spans="2:5" x14ac:dyDescent="0.3">
      <c r="B1317" s="4">
        <v>38392</v>
      </c>
      <c r="C1317" s="7">
        <v>28.07</v>
      </c>
      <c r="D1317" s="6">
        <f t="shared" si="23"/>
        <v>-0.60850767085076707</v>
      </c>
      <c r="E1317" s="6">
        <v>1.0439164866810624E-2</v>
      </c>
    </row>
    <row r="1318" spans="2:5" x14ac:dyDescent="0.3">
      <c r="B1318" s="4">
        <v>39272</v>
      </c>
      <c r="C1318" s="7">
        <v>71.7</v>
      </c>
      <c r="D1318" s="6">
        <f t="shared" si="23"/>
        <v>-0.89511563610830736</v>
      </c>
      <c r="E1318" s="6">
        <v>1.0428410372040715E-2</v>
      </c>
    </row>
    <row r="1319" spans="2:5" x14ac:dyDescent="0.3">
      <c r="B1319" s="4">
        <v>42177</v>
      </c>
      <c r="C1319" s="7">
        <v>683.61</v>
      </c>
      <c r="D1319" s="6">
        <f t="shared" si="23"/>
        <v>-0.75944387164428051</v>
      </c>
      <c r="E1319" s="6">
        <v>1.0405427376324642E-2</v>
      </c>
    </row>
    <row r="1320" spans="2:5" x14ac:dyDescent="0.3">
      <c r="B1320" s="4">
        <v>45049</v>
      </c>
      <c r="C1320" s="5">
        <v>2841.79</v>
      </c>
      <c r="D1320" s="6">
        <f t="shared" si="23"/>
        <v>4.7181174292728079</v>
      </c>
      <c r="E1320" s="6">
        <v>1.0399852090992484E-2</v>
      </c>
    </row>
    <row r="1321" spans="2:5" x14ac:dyDescent="0.3">
      <c r="B1321" s="4">
        <v>41802</v>
      </c>
      <c r="C1321" s="7">
        <v>496.98</v>
      </c>
      <c r="D1321" s="6">
        <f t="shared" si="23"/>
        <v>-0.73272454461851211</v>
      </c>
      <c r="E1321" s="6">
        <v>1.0388923902657233E-2</v>
      </c>
    </row>
    <row r="1322" spans="2:5" x14ac:dyDescent="0.3">
      <c r="B1322" s="4">
        <v>44102</v>
      </c>
      <c r="C1322" s="5">
        <v>1859.43</v>
      </c>
      <c r="D1322" s="6">
        <f t="shared" si="23"/>
        <v>0.51297406813725099</v>
      </c>
      <c r="E1322" s="6">
        <v>1.0384063641105964E-2</v>
      </c>
    </row>
    <row r="1323" spans="2:5" x14ac:dyDescent="0.3">
      <c r="B1323" s="4">
        <v>43364</v>
      </c>
      <c r="C1323" s="5">
        <v>1228.99</v>
      </c>
      <c r="D1323" s="6">
        <f t="shared" si="23"/>
        <v>49.47186858316222</v>
      </c>
      <c r="E1323" s="6">
        <v>1.0375132566571126E-2</v>
      </c>
    </row>
    <row r="1324" spans="2:5" x14ac:dyDescent="0.3">
      <c r="B1324" s="4">
        <v>38252</v>
      </c>
      <c r="C1324" s="7">
        <v>24.35</v>
      </c>
      <c r="D1324" s="6">
        <f t="shared" si="23"/>
        <v>-0.98247129539646549</v>
      </c>
      <c r="E1324" s="6">
        <v>1.0373443983402489E-2</v>
      </c>
    </row>
    <row r="1325" spans="2:5" x14ac:dyDescent="0.3">
      <c r="B1325" s="4">
        <v>43546</v>
      </c>
      <c r="C1325" s="5">
        <v>1389.15</v>
      </c>
      <c r="D1325" s="6">
        <f t="shared" si="23"/>
        <v>5.5105216290949999</v>
      </c>
      <c r="E1325" s="6">
        <v>1.0371738830015485E-2</v>
      </c>
    </row>
    <row r="1326" spans="2:5" x14ac:dyDescent="0.3">
      <c r="B1326" s="4">
        <v>40374</v>
      </c>
      <c r="C1326" s="7">
        <v>213.37</v>
      </c>
      <c r="D1326" s="6">
        <f t="shared" si="23"/>
        <v>11.822716346153847</v>
      </c>
      <c r="E1326" s="6">
        <v>1.0370300217823647E-2</v>
      </c>
    </row>
    <row r="1327" spans="2:5" x14ac:dyDescent="0.3">
      <c r="B1327" s="4">
        <v>37441</v>
      </c>
      <c r="C1327" s="7">
        <v>16.64</v>
      </c>
      <c r="D1327" s="6">
        <f t="shared" si="23"/>
        <v>-0.76057553956834534</v>
      </c>
      <c r="E1327" s="6">
        <v>1.0321797207043213E-2</v>
      </c>
    </row>
    <row r="1328" spans="2:5" x14ac:dyDescent="0.3">
      <c r="B1328" s="4">
        <v>39231</v>
      </c>
      <c r="C1328" s="7">
        <v>69.5</v>
      </c>
      <c r="D1328" s="6">
        <f t="shared" si="23"/>
        <v>0.31404802420117223</v>
      </c>
      <c r="E1328" s="6">
        <v>1.0321267626108355E-2</v>
      </c>
    </row>
    <row r="1329" spans="2:5" x14ac:dyDescent="0.3">
      <c r="B1329" s="4">
        <v>38966</v>
      </c>
      <c r="C1329" s="7">
        <v>52.89</v>
      </c>
      <c r="D1329" s="6">
        <f t="shared" si="23"/>
        <v>-0.48080887405516837</v>
      </c>
      <c r="E1329" s="6">
        <v>1.0315186246418322E-2</v>
      </c>
    </row>
    <row r="1330" spans="2:5" x14ac:dyDescent="0.3">
      <c r="B1330" s="4">
        <v>39716</v>
      </c>
      <c r="C1330" s="7">
        <v>101.87</v>
      </c>
      <c r="D1330" s="6">
        <f t="shared" si="23"/>
        <v>0.99784271425769755</v>
      </c>
      <c r="E1330" s="6">
        <v>1.0314390558365628E-2</v>
      </c>
    </row>
    <row r="1331" spans="2:5" x14ac:dyDescent="0.3">
      <c r="B1331" s="4">
        <v>38832</v>
      </c>
      <c r="C1331" s="7">
        <v>50.99</v>
      </c>
      <c r="D1331" s="6">
        <f t="shared" si="23"/>
        <v>-0.82498712888278702</v>
      </c>
      <c r="E1331" s="6">
        <v>1.0303150386368202E-2</v>
      </c>
    </row>
    <row r="1332" spans="2:5" x14ac:dyDescent="0.3">
      <c r="B1332" s="4">
        <v>40784</v>
      </c>
      <c r="C1332" s="7">
        <v>291.35000000000002</v>
      </c>
      <c r="D1332" s="6">
        <f t="shared" si="23"/>
        <v>-0.9108958734100564</v>
      </c>
      <c r="E1332" s="6">
        <v>1.0298911158887673E-2</v>
      </c>
    </row>
    <row r="1333" spans="2:5" x14ac:dyDescent="0.3">
      <c r="B1333" s="4">
        <v>45562</v>
      </c>
      <c r="C1333" s="5">
        <v>3269.77</v>
      </c>
      <c r="D1333" s="6">
        <f t="shared" si="23"/>
        <v>0.31311845402557353</v>
      </c>
      <c r="E1333" s="6">
        <v>1.0285866126161745E-2</v>
      </c>
    </row>
    <row r="1334" spans="2:5" x14ac:dyDescent="0.3">
      <c r="B1334" s="4">
        <v>44183</v>
      </c>
      <c r="C1334" s="5">
        <v>2490.08</v>
      </c>
      <c r="D1334" s="6">
        <f t="shared" si="23"/>
        <v>34.086374524446953</v>
      </c>
      <c r="E1334" s="6">
        <v>1.0272805465846455E-2</v>
      </c>
    </row>
    <row r="1335" spans="2:5" x14ac:dyDescent="0.3">
      <c r="B1335" s="4">
        <v>39240</v>
      </c>
      <c r="C1335" s="7">
        <v>70.97</v>
      </c>
      <c r="D1335" s="6">
        <f t="shared" si="23"/>
        <v>-0.2727738497796906</v>
      </c>
      <c r="E1335" s="6">
        <v>1.0249110320284681E-2</v>
      </c>
    </row>
    <row r="1336" spans="2:5" x14ac:dyDescent="0.3">
      <c r="B1336" s="4">
        <v>39658</v>
      </c>
      <c r="C1336" s="7">
        <v>97.59</v>
      </c>
      <c r="D1336" s="6">
        <f t="shared" si="23"/>
        <v>-0.94449594767524536</v>
      </c>
      <c r="E1336" s="6">
        <v>1.0248447204969039E-2</v>
      </c>
    </row>
    <row r="1337" spans="2:5" x14ac:dyDescent="0.3">
      <c r="B1337" s="4">
        <v>43850</v>
      </c>
      <c r="C1337" s="5">
        <v>1758.25</v>
      </c>
      <c r="D1337" s="6">
        <f t="shared" si="23"/>
        <v>-0.22884448382031736</v>
      </c>
      <c r="E1337" s="6">
        <v>1.022143571239785E-2</v>
      </c>
    </row>
    <row r="1338" spans="2:5" x14ac:dyDescent="0.3">
      <c r="B1338" s="4">
        <v>45658</v>
      </c>
      <c r="C1338" s="5">
        <v>2280.02</v>
      </c>
      <c r="D1338" s="6">
        <f t="shared" si="23"/>
        <v>1.124446763508288</v>
      </c>
      <c r="E1338" s="6">
        <v>1.0212807436518954E-2</v>
      </c>
    </row>
    <row r="1339" spans="2:5" x14ac:dyDescent="0.3">
      <c r="B1339" s="4">
        <v>42613</v>
      </c>
      <c r="C1339" s="5">
        <v>1073.23</v>
      </c>
      <c r="D1339" s="6">
        <f t="shared" si="23"/>
        <v>0.21733853587713528</v>
      </c>
      <c r="E1339" s="6">
        <v>1.0203409294138609E-2</v>
      </c>
    </row>
    <row r="1340" spans="2:5" x14ac:dyDescent="0.3">
      <c r="B1340" s="4">
        <v>42514</v>
      </c>
      <c r="C1340" s="7">
        <v>881.62</v>
      </c>
      <c r="D1340" s="6">
        <f t="shared" si="23"/>
        <v>-0.54522147768716112</v>
      </c>
      <c r="E1340" s="6">
        <v>1.0198001650013723E-2</v>
      </c>
    </row>
    <row r="1341" spans="2:5" x14ac:dyDescent="0.3">
      <c r="B1341" s="4">
        <v>44092</v>
      </c>
      <c r="C1341" s="5">
        <v>1938.57</v>
      </c>
      <c r="D1341" s="6">
        <f t="shared" si="23"/>
        <v>113.98042704626336</v>
      </c>
      <c r="E1341" s="6">
        <v>1.018749153213617E-2</v>
      </c>
    </row>
    <row r="1342" spans="2:5" x14ac:dyDescent="0.3">
      <c r="B1342" s="4">
        <v>37502</v>
      </c>
      <c r="C1342" s="7">
        <v>16.86</v>
      </c>
      <c r="D1342" s="6">
        <f t="shared" si="23"/>
        <v>-0.85839072736435407</v>
      </c>
      <c r="E1342" s="6">
        <v>1.0185739964050217E-2</v>
      </c>
    </row>
    <row r="1343" spans="2:5" x14ac:dyDescent="0.3">
      <c r="B1343" s="4">
        <v>40081</v>
      </c>
      <c r="C1343" s="7">
        <v>119.06</v>
      </c>
      <c r="D1343" s="6">
        <f t="shared" si="23"/>
        <v>-0.47379121364801552</v>
      </c>
      <c r="E1343" s="6">
        <v>1.0181571355845943E-2</v>
      </c>
    </row>
    <row r="1344" spans="2:5" x14ac:dyDescent="0.3">
      <c r="B1344" s="4">
        <v>40619</v>
      </c>
      <c r="C1344" s="7">
        <v>226.26</v>
      </c>
      <c r="D1344" s="6">
        <f t="shared" si="23"/>
        <v>1.959581425768476</v>
      </c>
      <c r="E1344" s="6">
        <v>1.0179480310742036E-2</v>
      </c>
    </row>
    <row r="1345" spans="2:5" x14ac:dyDescent="0.3">
      <c r="B1345" s="4">
        <v>39938</v>
      </c>
      <c r="C1345" s="7">
        <v>76.45</v>
      </c>
      <c r="D1345" s="6">
        <f t="shared" si="23"/>
        <v>-0.96716699950610929</v>
      </c>
      <c r="E1345" s="6">
        <v>1.017441860465111E-2</v>
      </c>
    </row>
    <row r="1346" spans="2:5" x14ac:dyDescent="0.3">
      <c r="B1346" s="4">
        <v>45793</v>
      </c>
      <c r="C1346" s="5">
        <v>2328.4499999999998</v>
      </c>
      <c r="D1346" s="6">
        <f t="shared" si="23"/>
        <v>2.102738356985808</v>
      </c>
      <c r="E1346" s="6">
        <v>1.0173535791756972E-2</v>
      </c>
    </row>
    <row r="1347" spans="2:5" x14ac:dyDescent="0.3">
      <c r="B1347" s="4">
        <v>42258</v>
      </c>
      <c r="C1347" s="7">
        <v>750.45</v>
      </c>
      <c r="D1347" s="6">
        <f t="shared" si="23"/>
        <v>-0.54240295613361134</v>
      </c>
      <c r="E1347" s="6">
        <v>1.0149277839846116E-2</v>
      </c>
    </row>
    <row r="1348" spans="2:5" x14ac:dyDescent="0.3">
      <c r="B1348" s="4">
        <v>43837</v>
      </c>
      <c r="C1348" s="5">
        <v>1639.98</v>
      </c>
      <c r="D1348" s="6">
        <f t="shared" si="23"/>
        <v>-0.4388511363403067</v>
      </c>
      <c r="E1348" s="6">
        <v>1.0101134529866156E-2</v>
      </c>
    </row>
    <row r="1349" spans="2:5" x14ac:dyDescent="0.3">
      <c r="B1349" s="4">
        <v>45051</v>
      </c>
      <c r="C1349" s="5">
        <v>2922.54</v>
      </c>
      <c r="D1349" s="6">
        <f t="shared" si="23"/>
        <v>4.5271578788108027</v>
      </c>
      <c r="E1349" s="6">
        <v>1.0092142644832552E-2</v>
      </c>
    </row>
    <row r="1350" spans="2:5" x14ac:dyDescent="0.3">
      <c r="B1350" s="4">
        <v>41814</v>
      </c>
      <c r="C1350" s="7">
        <v>528.76</v>
      </c>
      <c r="D1350" s="6">
        <f t="shared" si="23"/>
        <v>8.9521927348014305</v>
      </c>
      <c r="E1350" s="6">
        <v>1.0086345228088892E-2</v>
      </c>
    </row>
    <row r="1351" spans="2:5" x14ac:dyDescent="0.3">
      <c r="B1351" s="4">
        <v>38846</v>
      </c>
      <c r="C1351" s="7">
        <v>53.13</v>
      </c>
      <c r="D1351" s="6">
        <f t="shared" si="23"/>
        <v>-0.11802788844621513</v>
      </c>
      <c r="E1351" s="6">
        <v>1.0076045627376446E-2</v>
      </c>
    </row>
    <row r="1352" spans="2:5" x14ac:dyDescent="0.3">
      <c r="B1352" s="4">
        <v>39093</v>
      </c>
      <c r="C1352" s="7">
        <v>60.24</v>
      </c>
      <c r="D1352" s="6">
        <f t="shared" ref="D1352:D1415" si="24">((C1352-C1353)/C1353)</f>
        <v>-0.66871975362956437</v>
      </c>
      <c r="E1352" s="6">
        <v>1.0060362173038254E-2</v>
      </c>
    </row>
    <row r="1353" spans="2:5" x14ac:dyDescent="0.3">
      <c r="B1353" s="4">
        <v>40291</v>
      </c>
      <c r="C1353" s="7">
        <v>181.84</v>
      </c>
      <c r="D1353" s="6">
        <f t="shared" si="24"/>
        <v>-0.84604703930101421</v>
      </c>
      <c r="E1353" s="6">
        <v>1.0053879908904084E-2</v>
      </c>
    </row>
    <row r="1354" spans="2:5" x14ac:dyDescent="0.3">
      <c r="B1354" s="4">
        <v>43411</v>
      </c>
      <c r="C1354" s="5">
        <v>1181.1400000000001</v>
      </c>
      <c r="D1354" s="6">
        <f t="shared" si="24"/>
        <v>50.043215211754536</v>
      </c>
      <c r="E1354" s="6">
        <v>1.0047973729893363E-2</v>
      </c>
    </row>
    <row r="1355" spans="2:5" x14ac:dyDescent="0.3">
      <c r="B1355" s="4">
        <v>37890</v>
      </c>
      <c r="C1355" s="7">
        <v>23.14</v>
      </c>
      <c r="D1355" s="6">
        <f t="shared" si="24"/>
        <v>-0.65682930446388854</v>
      </c>
      <c r="E1355" s="6">
        <v>1.0039284155390679E-2</v>
      </c>
    </row>
    <row r="1356" spans="2:5" x14ac:dyDescent="0.3">
      <c r="B1356" s="4">
        <v>39183</v>
      </c>
      <c r="C1356" s="7">
        <v>67.430000000000007</v>
      </c>
      <c r="D1356" s="6">
        <f t="shared" si="24"/>
        <v>-0.83542419213121155</v>
      </c>
      <c r="E1356" s="6">
        <v>1.003594967046138E-2</v>
      </c>
    </row>
    <row r="1357" spans="2:5" x14ac:dyDescent="0.3">
      <c r="B1357" s="4">
        <v>41452</v>
      </c>
      <c r="C1357" s="7">
        <v>409.72</v>
      </c>
      <c r="D1357" s="6">
        <f t="shared" si="24"/>
        <v>-0.76025465482334487</v>
      </c>
      <c r="E1357" s="6">
        <v>1.0033279921114385E-2</v>
      </c>
    </row>
    <row r="1358" spans="2:5" x14ac:dyDescent="0.3">
      <c r="B1358" s="4">
        <v>43859</v>
      </c>
      <c r="C1358" s="5">
        <v>1708.98</v>
      </c>
      <c r="D1358" s="6">
        <f t="shared" si="24"/>
        <v>4.0645448079658602</v>
      </c>
      <c r="E1358" s="6">
        <v>1.0029491551468388E-2</v>
      </c>
    </row>
    <row r="1359" spans="2:5" x14ac:dyDescent="0.3">
      <c r="B1359" s="4">
        <v>41163</v>
      </c>
      <c r="C1359" s="7">
        <v>337.44</v>
      </c>
      <c r="D1359" s="6">
        <f t="shared" si="24"/>
        <v>-0.85676933002818434</v>
      </c>
      <c r="E1359" s="6">
        <v>1.0027238169355631E-2</v>
      </c>
    </row>
    <row r="1360" spans="2:5" x14ac:dyDescent="0.3">
      <c r="B1360" s="4">
        <v>45866</v>
      </c>
      <c r="C1360" s="5">
        <v>2355.92</v>
      </c>
      <c r="D1360" s="6">
        <f t="shared" si="24"/>
        <v>0.79082513017369171</v>
      </c>
      <c r="E1360" s="6">
        <v>1.0014747744966959E-2</v>
      </c>
    </row>
    <row r="1361" spans="2:5" x14ac:dyDescent="0.3">
      <c r="B1361" s="4">
        <v>43494</v>
      </c>
      <c r="C1361" s="5">
        <v>1315.55</v>
      </c>
      <c r="D1361" s="6">
        <f t="shared" si="24"/>
        <v>5.5427463072561798</v>
      </c>
      <c r="E1361" s="6">
        <v>1.0003685164143333E-2</v>
      </c>
    </row>
    <row r="1362" spans="2:5" x14ac:dyDescent="0.3">
      <c r="B1362" s="4">
        <v>40345</v>
      </c>
      <c r="C1362" s="7">
        <v>201.07</v>
      </c>
      <c r="D1362" s="6">
        <f t="shared" si="24"/>
        <v>-0.91711871393239897</v>
      </c>
      <c r="E1362" s="6">
        <v>9.9959815149687596E-3</v>
      </c>
    </row>
    <row r="1363" spans="2:5" x14ac:dyDescent="0.3">
      <c r="B1363" s="4">
        <v>46056</v>
      </c>
      <c r="C1363" s="5">
        <v>2426</v>
      </c>
      <c r="D1363" s="6">
        <f t="shared" si="24"/>
        <v>1.7615567621714532</v>
      </c>
      <c r="E1363" s="6">
        <v>9.9916736053288924E-3</v>
      </c>
    </row>
    <row r="1364" spans="2:5" x14ac:dyDescent="0.3">
      <c r="B1364" s="4">
        <v>42699</v>
      </c>
      <c r="C1364" s="7">
        <v>878.49</v>
      </c>
      <c r="D1364" s="6">
        <f t="shared" si="24"/>
        <v>10.560600078957759</v>
      </c>
      <c r="E1364" s="6">
        <v>9.9908024833295639E-3</v>
      </c>
    </row>
    <row r="1365" spans="2:5" x14ac:dyDescent="0.3">
      <c r="B1365" s="4">
        <v>39825</v>
      </c>
      <c r="C1365" s="7">
        <v>75.989999999999995</v>
      </c>
      <c r="D1365" s="6">
        <f t="shared" si="24"/>
        <v>-0.84679126595294263</v>
      </c>
      <c r="E1365" s="6">
        <v>9.9681020733652318E-3</v>
      </c>
    </row>
    <row r="1366" spans="2:5" x14ac:dyDescent="0.3">
      <c r="B1366" s="4">
        <v>41583</v>
      </c>
      <c r="C1366" s="7">
        <v>495.99</v>
      </c>
      <c r="D1366" s="6">
        <f t="shared" si="24"/>
        <v>-5.2513945136394909E-2</v>
      </c>
      <c r="E1366" s="6">
        <v>9.9572388515576996E-3</v>
      </c>
    </row>
    <row r="1367" spans="2:5" x14ac:dyDescent="0.3">
      <c r="B1367" s="4">
        <v>41813</v>
      </c>
      <c r="C1367" s="7">
        <v>523.48</v>
      </c>
      <c r="D1367" s="6">
        <f t="shared" si="24"/>
        <v>-0.83825637729879376</v>
      </c>
      <c r="E1367" s="6">
        <v>9.9552400061737305E-3</v>
      </c>
    </row>
    <row r="1368" spans="2:5" x14ac:dyDescent="0.3">
      <c r="B1368" s="4">
        <v>45561</v>
      </c>
      <c r="C1368" s="5">
        <v>3236.48</v>
      </c>
      <c r="D1368" s="6">
        <f t="shared" si="24"/>
        <v>1.3427289178429245</v>
      </c>
      <c r="E1368" s="6">
        <v>9.9545026181278324E-3</v>
      </c>
    </row>
    <row r="1369" spans="2:5" x14ac:dyDescent="0.3">
      <c r="B1369" s="4">
        <v>43585</v>
      </c>
      <c r="C1369" s="5">
        <v>1381.5</v>
      </c>
      <c r="D1369" s="6">
        <f t="shared" si="24"/>
        <v>0.70549238917077151</v>
      </c>
      <c r="E1369" s="6">
        <v>9.9422472402952763E-3</v>
      </c>
    </row>
    <row r="1370" spans="2:5" x14ac:dyDescent="0.3">
      <c r="B1370" s="4">
        <v>42394</v>
      </c>
      <c r="C1370" s="7">
        <v>810.03</v>
      </c>
      <c r="D1370" s="6">
        <f t="shared" si="24"/>
        <v>-0.74331860902851277</v>
      </c>
      <c r="E1370" s="6">
        <v>9.9369124504401513E-3</v>
      </c>
    </row>
    <row r="1371" spans="2:5" x14ac:dyDescent="0.3">
      <c r="B1371" s="4">
        <v>45265</v>
      </c>
      <c r="C1371" s="5">
        <v>3155.78</v>
      </c>
      <c r="D1371" s="6">
        <f t="shared" si="24"/>
        <v>7.5425261220291269</v>
      </c>
      <c r="E1371" s="6">
        <v>9.9239304012776041E-3</v>
      </c>
    </row>
    <row r="1372" spans="2:5" x14ac:dyDescent="0.3">
      <c r="B1372" s="4">
        <v>41240</v>
      </c>
      <c r="C1372" s="7">
        <v>369.42</v>
      </c>
      <c r="D1372" s="6">
        <f t="shared" si="24"/>
        <v>-0.53407829684189279</v>
      </c>
      <c r="E1372" s="6">
        <v>9.923726728450738E-3</v>
      </c>
    </row>
    <row r="1373" spans="2:5" x14ac:dyDescent="0.3">
      <c r="B1373" s="4">
        <v>42471</v>
      </c>
      <c r="C1373" s="7">
        <v>792.88</v>
      </c>
      <c r="D1373" s="6">
        <f t="shared" si="24"/>
        <v>-0.73987986076709322</v>
      </c>
      <c r="E1373" s="6">
        <v>9.9224292756244035E-3</v>
      </c>
    </row>
    <row r="1374" spans="2:5" x14ac:dyDescent="0.3">
      <c r="B1374" s="4">
        <v>45245</v>
      </c>
      <c r="C1374" s="5">
        <v>3048.13</v>
      </c>
      <c r="D1374" s="6">
        <f t="shared" si="24"/>
        <v>29.514866352988289</v>
      </c>
      <c r="E1374" s="6">
        <v>9.9165065270692115E-3</v>
      </c>
    </row>
    <row r="1375" spans="2:5" x14ac:dyDescent="0.3">
      <c r="B1375" s="4">
        <v>39979</v>
      </c>
      <c r="C1375" s="7">
        <v>99.89</v>
      </c>
      <c r="D1375" s="6">
        <f t="shared" si="24"/>
        <v>-0.9527335875912063</v>
      </c>
      <c r="E1375" s="6">
        <v>9.907997169143706E-3</v>
      </c>
    </row>
    <row r="1376" spans="2:5" x14ac:dyDescent="0.3">
      <c r="B1376" s="4">
        <v>44159</v>
      </c>
      <c r="C1376" s="5">
        <v>2113.34</v>
      </c>
      <c r="D1376" s="6">
        <f t="shared" si="24"/>
        <v>10.564103967168263</v>
      </c>
      <c r="E1376" s="6">
        <v>9.9014632374727646E-3</v>
      </c>
    </row>
    <row r="1377" spans="2:5" x14ac:dyDescent="0.3">
      <c r="B1377" s="4">
        <v>40325</v>
      </c>
      <c r="C1377" s="7">
        <v>182.75</v>
      </c>
      <c r="D1377" s="6">
        <f t="shared" si="24"/>
        <v>10.170537897310513</v>
      </c>
      <c r="E1377" s="6">
        <v>9.8916887709990711E-3</v>
      </c>
    </row>
    <row r="1378" spans="2:5" x14ac:dyDescent="0.3">
      <c r="B1378" s="4">
        <v>37740</v>
      </c>
      <c r="C1378" s="7">
        <v>16.36</v>
      </c>
      <c r="D1378" s="6">
        <f t="shared" si="24"/>
        <v>-0.96314651288520448</v>
      </c>
      <c r="E1378" s="6">
        <v>9.8765432098765517E-3</v>
      </c>
    </row>
    <row r="1379" spans="2:5" x14ac:dyDescent="0.3">
      <c r="B1379" s="4">
        <v>41625</v>
      </c>
      <c r="C1379" s="7">
        <v>443.92</v>
      </c>
      <c r="D1379" s="6">
        <f t="shared" si="24"/>
        <v>7.8465524113192506</v>
      </c>
      <c r="E1379" s="6">
        <v>9.8730606488012015E-3</v>
      </c>
    </row>
    <row r="1380" spans="2:5" x14ac:dyDescent="0.3">
      <c r="B1380" s="4">
        <v>38749</v>
      </c>
      <c r="C1380" s="7">
        <v>50.18</v>
      </c>
      <c r="D1380" s="6">
        <f t="shared" si="24"/>
        <v>-0.98182055313629879</v>
      </c>
      <c r="E1380" s="6">
        <v>9.8611390621855914E-3</v>
      </c>
    </row>
    <row r="1381" spans="2:5" x14ac:dyDescent="0.3">
      <c r="B1381" s="4">
        <v>45351</v>
      </c>
      <c r="C1381" s="5">
        <v>2760.26</v>
      </c>
      <c r="D1381" s="6">
        <f t="shared" si="24"/>
        <v>3.7521864885338476</v>
      </c>
      <c r="E1381" s="6">
        <v>9.8598402669292078E-3</v>
      </c>
    </row>
    <row r="1382" spans="2:5" x14ac:dyDescent="0.3">
      <c r="B1382" s="4">
        <v>41920</v>
      </c>
      <c r="C1382" s="7">
        <v>580.84</v>
      </c>
      <c r="D1382" s="6">
        <f t="shared" si="24"/>
        <v>-0.78867556583969112</v>
      </c>
      <c r="E1382" s="6">
        <v>9.8579550393797892E-3</v>
      </c>
    </row>
    <row r="1383" spans="2:5" x14ac:dyDescent="0.3">
      <c r="B1383" s="4">
        <v>44974</v>
      </c>
      <c r="C1383" s="5">
        <v>2748.57</v>
      </c>
      <c r="D1383" s="6">
        <f t="shared" si="24"/>
        <v>5.4904363842448287</v>
      </c>
      <c r="E1383" s="6">
        <v>9.853954257371237E-3</v>
      </c>
    </row>
    <row r="1384" spans="2:5" x14ac:dyDescent="0.3">
      <c r="B1384" s="4">
        <v>41396</v>
      </c>
      <c r="C1384" s="7">
        <v>423.48</v>
      </c>
      <c r="D1384" s="6">
        <f t="shared" si="24"/>
        <v>-0.86558153412517536</v>
      </c>
      <c r="E1384" s="6">
        <v>9.8485751758674023E-3</v>
      </c>
    </row>
    <row r="1385" spans="2:5" x14ac:dyDescent="0.3">
      <c r="B1385" s="4">
        <v>44551</v>
      </c>
      <c r="C1385" s="5">
        <v>3150.46</v>
      </c>
      <c r="D1385" s="6">
        <f t="shared" si="24"/>
        <v>6.5023456290334103</v>
      </c>
      <c r="E1385" s="6">
        <v>9.8469744273562074E-3</v>
      </c>
    </row>
    <row r="1386" spans="2:5" x14ac:dyDescent="0.3">
      <c r="B1386" s="4">
        <v>41380</v>
      </c>
      <c r="C1386" s="7">
        <v>419.93</v>
      </c>
      <c r="D1386" s="6">
        <f t="shared" si="24"/>
        <v>17.572755417956657</v>
      </c>
      <c r="E1386" s="6">
        <v>9.8355136590997302E-3</v>
      </c>
    </row>
    <row r="1387" spans="2:5" x14ac:dyDescent="0.3">
      <c r="B1387" s="4">
        <v>38138</v>
      </c>
      <c r="C1387" s="7">
        <v>22.61</v>
      </c>
      <c r="D1387" s="6">
        <f t="shared" si="24"/>
        <v>-0.91765305750810355</v>
      </c>
      <c r="E1387" s="6">
        <v>9.8258150960249604E-3</v>
      </c>
    </row>
    <row r="1388" spans="2:5" x14ac:dyDescent="0.3">
      <c r="B1388" s="4">
        <v>40966</v>
      </c>
      <c r="C1388" s="7">
        <v>274.57</v>
      </c>
      <c r="D1388" s="6">
        <f t="shared" si="24"/>
        <v>-0.75367155609384118</v>
      </c>
      <c r="E1388" s="6">
        <v>9.8197866862817802E-3</v>
      </c>
    </row>
    <row r="1389" spans="2:5" x14ac:dyDescent="0.3">
      <c r="B1389" s="4">
        <v>43111</v>
      </c>
      <c r="C1389" s="5">
        <v>1114.6500000000001</v>
      </c>
      <c r="D1389" s="6">
        <f t="shared" si="24"/>
        <v>9.8040127944169821</v>
      </c>
      <c r="E1389" s="6">
        <v>9.8113822905909979E-3</v>
      </c>
    </row>
    <row r="1390" spans="2:5" x14ac:dyDescent="0.3">
      <c r="B1390" s="4">
        <v>39588</v>
      </c>
      <c r="C1390" s="7">
        <v>103.17</v>
      </c>
      <c r="D1390" s="6">
        <f t="shared" si="24"/>
        <v>0.92301957129543344</v>
      </c>
      <c r="E1390" s="6">
        <v>9.7876088871488697E-3</v>
      </c>
    </row>
    <row r="1391" spans="2:5" x14ac:dyDescent="0.3">
      <c r="B1391" s="4">
        <v>38847</v>
      </c>
      <c r="C1391" s="7">
        <v>53.65</v>
      </c>
      <c r="D1391" s="6">
        <f t="shared" si="24"/>
        <v>0.18145782867209873</v>
      </c>
      <c r="E1391" s="6">
        <v>9.7873141351401474E-3</v>
      </c>
    </row>
    <row r="1392" spans="2:5" x14ac:dyDescent="0.3">
      <c r="B1392" s="4">
        <v>38706</v>
      </c>
      <c r="C1392" s="7">
        <v>45.41</v>
      </c>
      <c r="D1392" s="6">
        <f t="shared" si="24"/>
        <v>0.91280539174389219</v>
      </c>
      <c r="E1392" s="6">
        <v>9.7843006448743112E-3</v>
      </c>
    </row>
    <row r="1393" spans="2:5" x14ac:dyDescent="0.3">
      <c r="B1393" s="4">
        <v>37876</v>
      </c>
      <c r="C1393" s="7">
        <v>23.74</v>
      </c>
      <c r="D1393" s="6">
        <f t="shared" si="24"/>
        <v>-0.97741284822651853</v>
      </c>
      <c r="E1393" s="6">
        <v>9.7830710336025885E-3</v>
      </c>
    </row>
    <row r="1394" spans="2:5" x14ac:dyDescent="0.3">
      <c r="B1394" s="4">
        <v>43138</v>
      </c>
      <c r="C1394" s="5">
        <v>1051.04</v>
      </c>
      <c r="D1394" s="6">
        <f t="shared" si="24"/>
        <v>0.14938104194917096</v>
      </c>
      <c r="E1394" s="6">
        <v>9.7803739215649218E-3</v>
      </c>
    </row>
    <row r="1395" spans="2:5" x14ac:dyDescent="0.3">
      <c r="B1395" s="4">
        <v>42516</v>
      </c>
      <c r="C1395" s="7">
        <v>914.44</v>
      </c>
      <c r="D1395" s="6">
        <f t="shared" si="24"/>
        <v>-0.64523312564498481</v>
      </c>
      <c r="E1395" s="6">
        <v>9.7726344151327013E-3</v>
      </c>
    </row>
    <row r="1396" spans="2:5" x14ac:dyDescent="0.3">
      <c r="B1396" s="4">
        <v>44727</v>
      </c>
      <c r="C1396" s="5">
        <v>2577.58</v>
      </c>
      <c r="D1396" s="6">
        <f t="shared" si="24"/>
        <v>1.381048275352412</v>
      </c>
      <c r="E1396" s="6">
        <v>9.7702770465087352E-3</v>
      </c>
    </row>
    <row r="1397" spans="2:5" x14ac:dyDescent="0.3">
      <c r="B1397" s="4">
        <v>42951</v>
      </c>
      <c r="C1397" s="5">
        <v>1082.54</v>
      </c>
      <c r="D1397" s="6">
        <f t="shared" si="24"/>
        <v>12.192054594199366</v>
      </c>
      <c r="E1397" s="6">
        <v>9.7661533295400754E-3</v>
      </c>
    </row>
    <row r="1398" spans="2:5" x14ac:dyDescent="0.3">
      <c r="B1398" s="4">
        <v>39948</v>
      </c>
      <c r="C1398" s="7">
        <v>82.06</v>
      </c>
      <c r="D1398" s="6">
        <f t="shared" si="24"/>
        <v>1.6318152661962797</v>
      </c>
      <c r="E1398" s="6">
        <v>9.7206841392888672E-3</v>
      </c>
    </row>
    <row r="1399" spans="2:5" x14ac:dyDescent="0.3">
      <c r="B1399" s="4">
        <v>38489</v>
      </c>
      <c r="C1399" s="7">
        <v>31.18</v>
      </c>
      <c r="D1399" s="6">
        <f t="shared" si="24"/>
        <v>-0.98734577922077926</v>
      </c>
      <c r="E1399" s="6">
        <v>9.7150259067357754E-3</v>
      </c>
    </row>
    <row r="1400" spans="2:5" x14ac:dyDescent="0.3">
      <c r="B1400" s="4">
        <v>46129</v>
      </c>
      <c r="C1400" s="5">
        <v>2464</v>
      </c>
      <c r="D1400" s="6">
        <f t="shared" si="24"/>
        <v>101.92397660818713</v>
      </c>
      <c r="E1400" s="6">
        <v>9.7119206654918723E-3</v>
      </c>
    </row>
    <row r="1401" spans="2:5" x14ac:dyDescent="0.3">
      <c r="B1401" s="4">
        <v>38113</v>
      </c>
      <c r="C1401" s="7">
        <v>23.94</v>
      </c>
      <c r="D1401" s="6">
        <f t="shared" si="24"/>
        <v>-0.97587812103258564</v>
      </c>
      <c r="E1401" s="6">
        <v>9.7005482918599926E-3</v>
      </c>
    </row>
    <row r="1402" spans="2:5" x14ac:dyDescent="0.3">
      <c r="B1402" s="4">
        <v>42823</v>
      </c>
      <c r="C1402" s="7">
        <v>992.46</v>
      </c>
      <c r="D1402" s="6">
        <f t="shared" si="24"/>
        <v>-0.51022281442001627</v>
      </c>
      <c r="E1402" s="6">
        <v>9.6955022229457712E-3</v>
      </c>
    </row>
    <row r="1403" spans="2:5" x14ac:dyDescent="0.3">
      <c r="B1403" s="4">
        <v>44127</v>
      </c>
      <c r="C1403" s="5">
        <v>2026.35</v>
      </c>
      <c r="D1403" s="6">
        <f t="shared" si="24"/>
        <v>52.892287234042549</v>
      </c>
      <c r="E1403" s="6">
        <v>9.6915641038416555E-3</v>
      </c>
    </row>
    <row r="1404" spans="2:5" x14ac:dyDescent="0.3">
      <c r="B1404" s="4">
        <v>38582</v>
      </c>
      <c r="C1404" s="7">
        <v>37.6</v>
      </c>
      <c r="D1404" s="6">
        <f t="shared" si="24"/>
        <v>-0.98706352291923993</v>
      </c>
      <c r="E1404" s="6">
        <v>9.6670247046186739E-3</v>
      </c>
    </row>
    <row r="1405" spans="2:5" x14ac:dyDescent="0.3">
      <c r="B1405" s="4">
        <v>44378</v>
      </c>
      <c r="C1405" s="5">
        <v>2906.51</v>
      </c>
      <c r="D1405" s="6">
        <f t="shared" si="24"/>
        <v>-6.3757196187557734E-3</v>
      </c>
      <c r="E1405" s="6">
        <v>9.6571033553224123E-3</v>
      </c>
    </row>
    <row r="1406" spans="2:5" x14ac:dyDescent="0.3">
      <c r="B1406" s="4">
        <v>45230</v>
      </c>
      <c r="C1406" s="5">
        <v>2925.16</v>
      </c>
      <c r="D1406" s="6">
        <f t="shared" si="24"/>
        <v>2.6044113116875112</v>
      </c>
      <c r="E1406" s="6">
        <v>9.6402425765299386E-3</v>
      </c>
    </row>
    <row r="1407" spans="2:5" x14ac:dyDescent="0.3">
      <c r="B1407" s="4">
        <v>42432</v>
      </c>
      <c r="C1407" s="7">
        <v>811.55</v>
      </c>
      <c r="D1407" s="6">
        <f t="shared" si="24"/>
        <v>1.9088856231406142</v>
      </c>
      <c r="E1407" s="6">
        <v>9.6291412149637472E-3</v>
      </c>
    </row>
    <row r="1408" spans="2:5" x14ac:dyDescent="0.3">
      <c r="B1408" s="4">
        <v>40836</v>
      </c>
      <c r="C1408" s="7">
        <v>278.99</v>
      </c>
      <c r="D1408" s="6">
        <f t="shared" si="24"/>
        <v>1.0394031580472274E-2</v>
      </c>
      <c r="E1408" s="6">
        <v>9.6261716064127145E-3</v>
      </c>
    </row>
    <row r="1409" spans="2:5" x14ac:dyDescent="0.3">
      <c r="B1409" s="4">
        <v>40737</v>
      </c>
      <c r="C1409" s="7">
        <v>276.12</v>
      </c>
      <c r="D1409" s="6">
        <f t="shared" si="24"/>
        <v>8.7396825396825388</v>
      </c>
      <c r="E1409" s="6">
        <v>9.6164393579289756E-3</v>
      </c>
    </row>
    <row r="1410" spans="2:5" x14ac:dyDescent="0.3">
      <c r="B1410" s="4">
        <v>38394</v>
      </c>
      <c r="C1410" s="7">
        <v>28.35</v>
      </c>
      <c r="D1410" s="6">
        <f t="shared" si="24"/>
        <v>-3.5260930888568443E-4</v>
      </c>
      <c r="E1410" s="6">
        <v>9.6153846153847269E-3</v>
      </c>
    </row>
    <row r="1411" spans="2:5" x14ac:dyDescent="0.3">
      <c r="B1411" s="4">
        <v>38412</v>
      </c>
      <c r="C1411" s="7">
        <v>28.36</v>
      </c>
      <c r="D1411" s="6">
        <f t="shared" si="24"/>
        <v>-0.9876571150029595</v>
      </c>
      <c r="E1411" s="6">
        <v>9.6119615521537763E-3</v>
      </c>
    </row>
    <row r="1412" spans="2:5" x14ac:dyDescent="0.3">
      <c r="B1412" s="4">
        <v>45740</v>
      </c>
      <c r="C1412" s="5">
        <v>2297.6799999999998</v>
      </c>
      <c r="D1412" s="6">
        <f t="shared" si="24"/>
        <v>59.704887714663137</v>
      </c>
      <c r="E1412" s="6">
        <v>9.6053290682038429E-3</v>
      </c>
    </row>
    <row r="1413" spans="2:5" x14ac:dyDescent="0.3">
      <c r="B1413" s="4">
        <v>38587</v>
      </c>
      <c r="C1413" s="7">
        <v>37.85</v>
      </c>
      <c r="D1413" s="6">
        <f t="shared" si="24"/>
        <v>-5.3986503374156378E-2</v>
      </c>
      <c r="E1413" s="6">
        <v>9.6025606828487441E-3</v>
      </c>
    </row>
    <row r="1414" spans="2:5" x14ac:dyDescent="0.3">
      <c r="B1414" s="4">
        <v>38608</v>
      </c>
      <c r="C1414" s="7">
        <v>40.01</v>
      </c>
      <c r="D1414" s="6">
        <f t="shared" si="24"/>
        <v>-0.93060927175289199</v>
      </c>
      <c r="E1414" s="6">
        <v>9.5886954327528487E-3</v>
      </c>
    </row>
    <row r="1415" spans="2:5" x14ac:dyDescent="0.3">
      <c r="B1415" s="4">
        <v>41886</v>
      </c>
      <c r="C1415" s="7">
        <v>576.59</v>
      </c>
      <c r="D1415" s="6">
        <f t="shared" si="24"/>
        <v>1.0013536966331134</v>
      </c>
      <c r="E1415" s="6">
        <v>9.577671942849187E-3</v>
      </c>
    </row>
    <row r="1416" spans="2:5" x14ac:dyDescent="0.3">
      <c r="B1416" s="4">
        <v>40771</v>
      </c>
      <c r="C1416" s="7">
        <v>288.10000000000002</v>
      </c>
      <c r="D1416" s="6">
        <f t="shared" ref="D1416:D1479" si="25">((C1416-C1417)/C1417)</f>
        <v>3.6147685407656578</v>
      </c>
      <c r="E1416" s="6">
        <v>9.5665276658373974E-3</v>
      </c>
    </row>
    <row r="1417" spans="2:5" x14ac:dyDescent="0.3">
      <c r="B1417" s="4">
        <v>39175</v>
      </c>
      <c r="C1417" s="7">
        <v>62.43</v>
      </c>
      <c r="D1417" s="6">
        <f t="shared" si="25"/>
        <v>-0.9289195035864739</v>
      </c>
      <c r="E1417" s="6">
        <v>9.540750323415205E-3</v>
      </c>
    </row>
    <row r="1418" spans="2:5" x14ac:dyDescent="0.3">
      <c r="B1418" s="4">
        <v>42506</v>
      </c>
      <c r="C1418" s="7">
        <v>878.3</v>
      </c>
      <c r="D1418" s="6">
        <f t="shared" si="25"/>
        <v>-0.5356349793803532</v>
      </c>
      <c r="E1418" s="6">
        <v>9.5402298850574187E-3</v>
      </c>
    </row>
    <row r="1419" spans="2:5" x14ac:dyDescent="0.3">
      <c r="B1419" s="4">
        <v>44083</v>
      </c>
      <c r="C1419" s="5">
        <v>1891.4</v>
      </c>
      <c r="D1419" s="6">
        <f t="shared" si="25"/>
        <v>6.9755429053341764</v>
      </c>
      <c r="E1419" s="6">
        <v>9.5381445720111868E-3</v>
      </c>
    </row>
    <row r="1420" spans="2:5" x14ac:dyDescent="0.3">
      <c r="B1420" s="4">
        <v>40554</v>
      </c>
      <c r="C1420" s="7">
        <v>237.15</v>
      </c>
      <c r="D1420" s="6">
        <f t="shared" si="25"/>
        <v>-0.40824932628006783</v>
      </c>
      <c r="E1420" s="6">
        <v>9.53556681282197E-3</v>
      </c>
    </row>
    <row r="1421" spans="2:5" x14ac:dyDescent="0.3">
      <c r="B1421" s="4">
        <v>41304</v>
      </c>
      <c r="C1421" s="7">
        <v>400.76</v>
      </c>
      <c r="D1421" s="6">
        <f t="shared" si="25"/>
        <v>0.68719740664337137</v>
      </c>
      <c r="E1421" s="6">
        <v>9.5218902715501347E-3</v>
      </c>
    </row>
    <row r="1422" spans="2:5" x14ac:dyDescent="0.3">
      <c r="B1422" s="4">
        <v>40519</v>
      </c>
      <c r="C1422" s="7">
        <v>237.53</v>
      </c>
      <c r="D1422" s="6">
        <f t="shared" si="25"/>
        <v>-0.89289353835054341</v>
      </c>
      <c r="E1422" s="6">
        <v>9.5201666029155908E-3</v>
      </c>
    </row>
    <row r="1423" spans="2:5" x14ac:dyDescent="0.3">
      <c r="B1423" s="4">
        <v>46097</v>
      </c>
      <c r="C1423" s="5">
        <v>2217.6999999999998</v>
      </c>
      <c r="D1423" s="6">
        <f t="shared" si="25"/>
        <v>3.6134803411691281</v>
      </c>
      <c r="E1423" s="6">
        <v>9.5138383102693173E-3</v>
      </c>
    </row>
    <row r="1424" spans="2:5" x14ac:dyDescent="0.3">
      <c r="B1424" s="4">
        <v>41597</v>
      </c>
      <c r="C1424" s="7">
        <v>480.7</v>
      </c>
      <c r="D1424" s="6">
        <f t="shared" si="25"/>
        <v>4.8765281173594133</v>
      </c>
      <c r="E1424" s="6">
        <v>9.5134090765902363E-3</v>
      </c>
    </row>
    <row r="1425" spans="2:5" x14ac:dyDescent="0.3">
      <c r="B1425" s="4">
        <v>39741</v>
      </c>
      <c r="C1425" s="7">
        <v>81.8</v>
      </c>
      <c r="D1425" s="6">
        <f t="shared" si="25"/>
        <v>-0.69984955784684244</v>
      </c>
      <c r="E1425" s="6">
        <v>9.502653338269728E-3</v>
      </c>
    </row>
    <row r="1426" spans="2:5" x14ac:dyDescent="0.3">
      <c r="B1426" s="4">
        <v>40961</v>
      </c>
      <c r="C1426" s="7">
        <v>272.52999999999997</v>
      </c>
      <c r="D1426" s="6">
        <f t="shared" si="25"/>
        <v>-0.91892969226421539</v>
      </c>
      <c r="E1426" s="6">
        <v>9.4825350964920004E-3</v>
      </c>
    </row>
    <row r="1427" spans="2:5" x14ac:dyDescent="0.3">
      <c r="B1427" s="4">
        <v>44831</v>
      </c>
      <c r="C1427" s="5">
        <v>3361.65</v>
      </c>
      <c r="D1427" s="6">
        <f t="shared" si="25"/>
        <v>1.0596452531936402</v>
      </c>
      <c r="E1427" s="6">
        <v>9.4802527266612709E-3</v>
      </c>
    </row>
    <row r="1428" spans="2:5" x14ac:dyDescent="0.3">
      <c r="B1428" s="4">
        <v>43984</v>
      </c>
      <c r="C1428" s="5">
        <v>1632.15</v>
      </c>
      <c r="D1428" s="6">
        <f t="shared" si="25"/>
        <v>-0.46020002513543362</v>
      </c>
      <c r="E1428" s="6">
        <v>9.4753313582752446E-3</v>
      </c>
    </row>
    <row r="1429" spans="2:5" x14ac:dyDescent="0.3">
      <c r="B1429" s="4">
        <v>44858</v>
      </c>
      <c r="C1429" s="5">
        <v>3023.62</v>
      </c>
      <c r="D1429" s="6">
        <f t="shared" si="25"/>
        <v>27.613797671997727</v>
      </c>
      <c r="E1429" s="6">
        <v>9.4615528431397696E-3</v>
      </c>
    </row>
    <row r="1430" spans="2:5" x14ac:dyDescent="0.3">
      <c r="B1430" s="4">
        <v>39567</v>
      </c>
      <c r="C1430" s="7">
        <v>105.67</v>
      </c>
      <c r="D1430" s="6">
        <f t="shared" si="25"/>
        <v>-0.8701778957196914</v>
      </c>
      <c r="E1430" s="6">
        <v>9.4573939625524923E-3</v>
      </c>
    </row>
    <row r="1431" spans="2:5" x14ac:dyDescent="0.3">
      <c r="B1431" s="4">
        <v>42731</v>
      </c>
      <c r="C1431" s="7">
        <v>813.96</v>
      </c>
      <c r="D1431" s="6">
        <f t="shared" si="25"/>
        <v>-0.74545772952147449</v>
      </c>
      <c r="E1431" s="6">
        <v>9.4501078949326637E-3</v>
      </c>
    </row>
    <row r="1432" spans="2:5" x14ac:dyDescent="0.3">
      <c r="B1432" s="4">
        <v>45191</v>
      </c>
      <c r="C1432" s="5">
        <v>3197.74</v>
      </c>
      <c r="D1432" s="6">
        <f t="shared" si="25"/>
        <v>46.493539284122974</v>
      </c>
      <c r="E1432" s="6">
        <v>9.4481676615705609E-3</v>
      </c>
    </row>
    <row r="1433" spans="2:5" x14ac:dyDescent="0.3">
      <c r="B1433" s="4">
        <v>39192</v>
      </c>
      <c r="C1433" s="7">
        <v>67.33</v>
      </c>
      <c r="D1433" s="6">
        <f t="shared" si="25"/>
        <v>-0.8662999662423797</v>
      </c>
      <c r="E1433" s="6">
        <v>9.4452773613192716E-3</v>
      </c>
    </row>
    <row r="1434" spans="2:5" x14ac:dyDescent="0.3">
      <c r="B1434" s="4">
        <v>41586</v>
      </c>
      <c r="C1434" s="7">
        <v>503.59</v>
      </c>
      <c r="D1434" s="6">
        <f t="shared" si="25"/>
        <v>-0.62522977086170595</v>
      </c>
      <c r="E1434" s="6">
        <v>9.4411481719050266E-3</v>
      </c>
    </row>
    <row r="1435" spans="2:5" x14ac:dyDescent="0.3">
      <c r="B1435" s="4">
        <v>43566</v>
      </c>
      <c r="C1435" s="5">
        <v>1343.73</v>
      </c>
      <c r="D1435" s="6">
        <f t="shared" si="25"/>
        <v>6.9988689802964457</v>
      </c>
      <c r="E1435" s="6">
        <v>9.435308788509315E-3</v>
      </c>
    </row>
    <row r="1436" spans="2:5" x14ac:dyDescent="0.3">
      <c r="B1436" s="4">
        <v>40214</v>
      </c>
      <c r="C1436" s="7">
        <v>167.99</v>
      </c>
      <c r="D1436" s="6">
        <f t="shared" si="25"/>
        <v>-0.49044528027177869</v>
      </c>
      <c r="E1436" s="6">
        <v>9.4339622641510731E-3</v>
      </c>
    </row>
    <row r="1437" spans="2:5" x14ac:dyDescent="0.3">
      <c r="B1437" s="4">
        <v>41065</v>
      </c>
      <c r="C1437" s="7">
        <v>329.68</v>
      </c>
      <c r="D1437" s="6">
        <f t="shared" si="25"/>
        <v>-0.66489464429107237</v>
      </c>
      <c r="E1437" s="6">
        <v>9.4304960195957868E-3</v>
      </c>
    </row>
    <row r="1438" spans="2:5" x14ac:dyDescent="0.3">
      <c r="B1438" s="4">
        <v>42845</v>
      </c>
      <c r="C1438" s="7">
        <v>983.81</v>
      </c>
      <c r="D1438" s="6">
        <f t="shared" si="25"/>
        <v>-0.58209189806850092</v>
      </c>
      <c r="E1438" s="6">
        <v>9.4293160411236601E-3</v>
      </c>
    </row>
    <row r="1439" spans="2:5" x14ac:dyDescent="0.3">
      <c r="B1439" s="4">
        <v>45933</v>
      </c>
      <c r="C1439" s="5">
        <v>2354.13</v>
      </c>
      <c r="D1439" s="6">
        <f t="shared" si="25"/>
        <v>103.58151932474455</v>
      </c>
      <c r="E1439" s="6">
        <v>9.4204514270034029E-3</v>
      </c>
    </row>
    <row r="1440" spans="2:5" x14ac:dyDescent="0.3">
      <c r="B1440" s="4">
        <v>38131</v>
      </c>
      <c r="C1440" s="7">
        <v>22.51</v>
      </c>
      <c r="D1440" s="6">
        <f t="shared" si="25"/>
        <v>-0.4484195050232786</v>
      </c>
      <c r="E1440" s="6">
        <v>9.4170403587444333E-3</v>
      </c>
    </row>
    <row r="1441" spans="2:5" x14ac:dyDescent="0.3">
      <c r="B1441" s="4">
        <v>38628</v>
      </c>
      <c r="C1441" s="7">
        <v>40.81</v>
      </c>
      <c r="D1441" s="6">
        <f t="shared" si="25"/>
        <v>-0.98503077476102796</v>
      </c>
      <c r="E1441" s="6">
        <v>9.3989611674499766E-3</v>
      </c>
    </row>
    <row r="1442" spans="2:5" x14ac:dyDescent="0.3">
      <c r="B1442" s="4">
        <v>44950</v>
      </c>
      <c r="C1442" s="5">
        <v>2726.26</v>
      </c>
      <c r="D1442" s="6">
        <f t="shared" si="25"/>
        <v>0.55471788496412988</v>
      </c>
      <c r="E1442" s="6">
        <v>9.3894627716687492E-3</v>
      </c>
    </row>
    <row r="1443" spans="2:5" x14ac:dyDescent="0.3">
      <c r="B1443" s="4">
        <v>43888</v>
      </c>
      <c r="C1443" s="5">
        <v>1753.54</v>
      </c>
      <c r="D1443" s="6">
        <f t="shared" si="25"/>
        <v>23.711668545659528</v>
      </c>
      <c r="E1443" s="6">
        <v>9.388509293530474E-3</v>
      </c>
    </row>
    <row r="1444" spans="2:5" x14ac:dyDescent="0.3">
      <c r="B1444" s="4">
        <v>39269</v>
      </c>
      <c r="C1444" s="7">
        <v>70.959999999999994</v>
      </c>
      <c r="D1444" s="6">
        <f t="shared" si="25"/>
        <v>4.6916494541162472E-2</v>
      </c>
      <c r="E1444" s="6">
        <v>9.3883357041251291E-3</v>
      </c>
    </row>
    <row r="1445" spans="2:5" x14ac:dyDescent="0.3">
      <c r="B1445" s="4">
        <v>39185</v>
      </c>
      <c r="C1445" s="7">
        <v>67.78</v>
      </c>
      <c r="D1445" s="6">
        <f t="shared" si="25"/>
        <v>-0.97673037376279259</v>
      </c>
      <c r="E1445" s="6">
        <v>9.3819806403573399E-3</v>
      </c>
    </row>
    <row r="1446" spans="2:5" x14ac:dyDescent="0.3">
      <c r="B1446" s="4">
        <v>45233</v>
      </c>
      <c r="C1446" s="5">
        <v>2912.81</v>
      </c>
      <c r="D1446" s="6">
        <f t="shared" si="25"/>
        <v>1.6042342801455534</v>
      </c>
      <c r="E1446" s="6">
        <v>9.3561253166355371E-3</v>
      </c>
    </row>
    <row r="1447" spans="2:5" x14ac:dyDescent="0.3">
      <c r="B1447" s="4">
        <v>43109</v>
      </c>
      <c r="C1447" s="5">
        <v>1118.49</v>
      </c>
      <c r="D1447" s="6">
        <f t="shared" si="25"/>
        <v>-0.60275393254037313</v>
      </c>
      <c r="E1447" s="6">
        <v>9.3490835912753006E-3</v>
      </c>
    </row>
    <row r="1448" spans="2:5" x14ac:dyDescent="0.3">
      <c r="B1448" s="4">
        <v>44342</v>
      </c>
      <c r="C1448" s="5">
        <v>2815.61</v>
      </c>
      <c r="D1448" s="6">
        <f t="shared" si="25"/>
        <v>22.342812137290665</v>
      </c>
      <c r="E1448" s="6">
        <v>9.3311537937611402E-3</v>
      </c>
    </row>
    <row r="1449" spans="2:5" x14ac:dyDescent="0.3">
      <c r="B1449" s="4">
        <v>40023</v>
      </c>
      <c r="C1449" s="7">
        <v>120.62</v>
      </c>
      <c r="D1449" s="6">
        <f t="shared" si="25"/>
        <v>-0.96192322140532427</v>
      </c>
      <c r="E1449" s="6">
        <v>9.2879256965944217E-3</v>
      </c>
    </row>
    <row r="1450" spans="2:5" x14ac:dyDescent="0.3">
      <c r="B1450" s="4">
        <v>45190</v>
      </c>
      <c r="C1450" s="5">
        <v>3167.81</v>
      </c>
      <c r="D1450" s="6">
        <f t="shared" si="25"/>
        <v>65.161445279866328</v>
      </c>
      <c r="E1450" s="6">
        <v>9.287402904424211E-3</v>
      </c>
    </row>
    <row r="1451" spans="2:5" x14ac:dyDescent="0.3">
      <c r="B1451" s="4">
        <v>38736</v>
      </c>
      <c r="C1451" s="7">
        <v>47.88</v>
      </c>
      <c r="D1451" s="6">
        <f t="shared" si="25"/>
        <v>1.928440366972477</v>
      </c>
      <c r="E1451" s="6">
        <v>9.274873524452042E-3</v>
      </c>
    </row>
    <row r="1452" spans="2:5" x14ac:dyDescent="0.3">
      <c r="B1452" s="4">
        <v>37459</v>
      </c>
      <c r="C1452" s="7">
        <v>16.350000000000001</v>
      </c>
      <c r="D1452" s="6">
        <f t="shared" si="25"/>
        <v>-0.9926950227861675</v>
      </c>
      <c r="E1452" s="6">
        <v>9.2592592592593906E-3</v>
      </c>
    </row>
    <row r="1453" spans="2:5" x14ac:dyDescent="0.3">
      <c r="B1453" s="4">
        <v>46098</v>
      </c>
      <c r="C1453" s="5">
        <v>2238.1999999999998</v>
      </c>
      <c r="D1453" s="6">
        <f t="shared" si="25"/>
        <v>-6.3471540531154183E-2</v>
      </c>
      <c r="E1453" s="6">
        <v>9.2438111557018535E-3</v>
      </c>
    </row>
    <row r="1454" spans="2:5" x14ac:dyDescent="0.3">
      <c r="B1454" s="4">
        <v>45762</v>
      </c>
      <c r="C1454" s="5">
        <v>2389.89</v>
      </c>
      <c r="D1454" s="6">
        <f t="shared" si="25"/>
        <v>42.738836017569547</v>
      </c>
      <c r="E1454" s="6">
        <v>9.2355638888184603E-3</v>
      </c>
    </row>
    <row r="1455" spans="2:5" x14ac:dyDescent="0.3">
      <c r="B1455" s="4">
        <v>38974</v>
      </c>
      <c r="C1455" s="7">
        <v>54.64</v>
      </c>
      <c r="D1455" s="6">
        <f t="shared" si="25"/>
        <v>-0.98201578555864955</v>
      </c>
      <c r="E1455" s="6">
        <v>9.2353158478019944E-3</v>
      </c>
    </row>
    <row r="1456" spans="2:5" x14ac:dyDescent="0.3">
      <c r="B1456" s="4">
        <v>45523</v>
      </c>
      <c r="C1456" s="5">
        <v>3038.22</v>
      </c>
      <c r="D1456" s="6">
        <f t="shared" si="25"/>
        <v>27.954731725912509</v>
      </c>
      <c r="E1456" s="6">
        <v>9.2345918509708705E-3</v>
      </c>
    </row>
    <row r="1457" spans="2:5" x14ac:dyDescent="0.3">
      <c r="B1457" s="4">
        <v>39665</v>
      </c>
      <c r="C1457" s="7">
        <v>104.93</v>
      </c>
      <c r="D1457" s="6">
        <f t="shared" si="25"/>
        <v>-0.94747906520444269</v>
      </c>
      <c r="E1457" s="6">
        <v>9.2334327209772811E-3</v>
      </c>
    </row>
    <row r="1458" spans="2:5" x14ac:dyDescent="0.3">
      <c r="B1458" s="4">
        <v>44119</v>
      </c>
      <c r="C1458" s="5">
        <v>1997.87</v>
      </c>
      <c r="D1458" s="6">
        <f t="shared" si="25"/>
        <v>34.740071556350621</v>
      </c>
      <c r="E1458" s="6">
        <v>9.224039078404328E-3</v>
      </c>
    </row>
    <row r="1459" spans="2:5" x14ac:dyDescent="0.3">
      <c r="B1459" s="4">
        <v>38995</v>
      </c>
      <c r="C1459" s="7">
        <v>55.9</v>
      </c>
      <c r="D1459" s="6">
        <f t="shared" si="25"/>
        <v>-0.86262656050329312</v>
      </c>
      <c r="E1459" s="6">
        <v>9.2074381657338503E-3</v>
      </c>
    </row>
    <row r="1460" spans="2:5" x14ac:dyDescent="0.3">
      <c r="B1460" s="4">
        <v>41306</v>
      </c>
      <c r="C1460" s="7">
        <v>406.92</v>
      </c>
      <c r="D1460" s="6">
        <f t="shared" si="25"/>
        <v>0.74150475049216824</v>
      </c>
      <c r="E1460" s="6">
        <v>9.201160685498963E-3</v>
      </c>
    </row>
    <row r="1461" spans="2:5" x14ac:dyDescent="0.3">
      <c r="B1461" s="4">
        <v>40497</v>
      </c>
      <c r="C1461" s="7">
        <v>233.66</v>
      </c>
      <c r="D1461" s="6">
        <f t="shared" si="25"/>
        <v>-0.92286234001181866</v>
      </c>
      <c r="E1461" s="6">
        <v>9.1996717488014319E-3</v>
      </c>
    </row>
    <row r="1462" spans="2:5" x14ac:dyDescent="0.3">
      <c r="B1462" s="4">
        <v>45580</v>
      </c>
      <c r="C1462" s="5">
        <v>3029.13</v>
      </c>
      <c r="D1462" s="6">
        <f t="shared" si="25"/>
        <v>182.91803278688528</v>
      </c>
      <c r="E1462" s="6">
        <v>9.1953103917002017E-3</v>
      </c>
    </row>
    <row r="1463" spans="2:5" x14ac:dyDescent="0.3">
      <c r="B1463" s="4">
        <v>37440</v>
      </c>
      <c r="C1463" s="7">
        <v>16.47</v>
      </c>
      <c r="D1463" s="6">
        <f t="shared" si="25"/>
        <v>-0.99508209937921588</v>
      </c>
      <c r="E1463" s="6">
        <v>9.1911764705881489E-3</v>
      </c>
    </row>
    <row r="1464" spans="2:5" x14ac:dyDescent="0.3">
      <c r="B1464" s="4">
        <v>45121</v>
      </c>
      <c r="C1464" s="5">
        <v>3348.99</v>
      </c>
      <c r="D1464" s="6">
        <f t="shared" si="25"/>
        <v>116.01572327044025</v>
      </c>
      <c r="E1464" s="6">
        <v>9.1818039366946113E-3</v>
      </c>
    </row>
    <row r="1465" spans="2:5" x14ac:dyDescent="0.3">
      <c r="B1465" s="4">
        <v>38413</v>
      </c>
      <c r="C1465" s="7">
        <v>28.62</v>
      </c>
      <c r="D1465" s="6">
        <f t="shared" si="25"/>
        <v>-0.97355338298619465</v>
      </c>
      <c r="E1465" s="6">
        <v>9.1678420310296743E-3</v>
      </c>
    </row>
    <row r="1466" spans="2:5" x14ac:dyDescent="0.3">
      <c r="B1466" s="4">
        <v>42615</v>
      </c>
      <c r="C1466" s="5">
        <v>1082.18</v>
      </c>
      <c r="D1466" s="6">
        <f t="shared" si="25"/>
        <v>0.67904797368584391</v>
      </c>
      <c r="E1466" s="6">
        <v>9.166783233086357E-3</v>
      </c>
    </row>
    <row r="1467" spans="2:5" x14ac:dyDescent="0.3">
      <c r="B1467" s="4">
        <v>42171</v>
      </c>
      <c r="C1467" s="7">
        <v>644.52</v>
      </c>
      <c r="D1467" s="6">
        <f t="shared" si="25"/>
        <v>-0.30692302729208343</v>
      </c>
      <c r="E1467" s="6">
        <v>9.1596599182676864E-3</v>
      </c>
    </row>
    <row r="1468" spans="2:5" x14ac:dyDescent="0.3">
      <c r="B1468" s="4">
        <v>42551</v>
      </c>
      <c r="C1468" s="7">
        <v>929.94</v>
      </c>
      <c r="D1468" s="6">
        <f t="shared" si="25"/>
        <v>1.0657529377790613</v>
      </c>
      <c r="E1468" s="6">
        <v>9.1589799240369557E-3</v>
      </c>
    </row>
    <row r="1469" spans="2:5" x14ac:dyDescent="0.3">
      <c r="B1469" s="4">
        <v>41479</v>
      </c>
      <c r="C1469" s="7">
        <v>450.17</v>
      </c>
      <c r="D1469" s="6">
        <f t="shared" si="25"/>
        <v>5.777627220716651</v>
      </c>
      <c r="E1469" s="6">
        <v>9.1235149069715145E-3</v>
      </c>
    </row>
    <row r="1470" spans="2:5" x14ac:dyDescent="0.3">
      <c r="B1470" s="4">
        <v>39899</v>
      </c>
      <c r="C1470" s="7">
        <v>66.42</v>
      </c>
      <c r="D1470" s="6">
        <f t="shared" si="25"/>
        <v>-0.95133816386188297</v>
      </c>
      <c r="E1470" s="6">
        <v>9.11577028258901E-3</v>
      </c>
    </row>
    <row r="1471" spans="2:5" x14ac:dyDescent="0.3">
      <c r="B1471" s="4">
        <v>43542</v>
      </c>
      <c r="C1471" s="5">
        <v>1364.93</v>
      </c>
      <c r="D1471" s="6">
        <f t="shared" si="25"/>
        <v>-0.53111946246015163</v>
      </c>
      <c r="E1471" s="6">
        <v>9.108316513998984E-3</v>
      </c>
    </row>
    <row r="1472" spans="2:5" x14ac:dyDescent="0.3">
      <c r="B1472" s="4">
        <v>45320</v>
      </c>
      <c r="C1472" s="5">
        <v>2911.04</v>
      </c>
      <c r="D1472" s="6">
        <f t="shared" si="25"/>
        <v>0.39109824048322206</v>
      </c>
      <c r="E1472" s="6">
        <v>9.1029471918135044E-3</v>
      </c>
    </row>
    <row r="1473" spans="2:5" x14ac:dyDescent="0.3">
      <c r="B1473" s="4">
        <v>44158</v>
      </c>
      <c r="C1473" s="5">
        <v>2092.62</v>
      </c>
      <c r="D1473" s="6">
        <f t="shared" si="25"/>
        <v>1.3135399276956583</v>
      </c>
      <c r="E1473" s="6">
        <v>9.0945914667076577E-3</v>
      </c>
    </row>
    <row r="1474" spans="2:5" x14ac:dyDescent="0.3">
      <c r="B1474" s="4">
        <v>42759</v>
      </c>
      <c r="C1474" s="7">
        <v>904.51</v>
      </c>
      <c r="D1474" s="6">
        <f t="shared" si="25"/>
        <v>2.6909736391087899</v>
      </c>
      <c r="E1474" s="6">
        <v>9.0698141413239862E-3</v>
      </c>
    </row>
    <row r="1475" spans="2:5" x14ac:dyDescent="0.3">
      <c r="B1475" s="4">
        <v>40679</v>
      </c>
      <c r="C1475" s="7">
        <v>245.06</v>
      </c>
      <c r="D1475" s="6">
        <f t="shared" si="25"/>
        <v>-0.44170046019957171</v>
      </c>
      <c r="E1475" s="6">
        <v>9.058716956271055E-3</v>
      </c>
    </row>
    <row r="1476" spans="2:5" x14ac:dyDescent="0.3">
      <c r="B1476" s="4">
        <v>41401</v>
      </c>
      <c r="C1476" s="7">
        <v>438.94</v>
      </c>
      <c r="D1476" s="6">
        <f t="shared" si="25"/>
        <v>-0.45133871653208668</v>
      </c>
      <c r="E1476" s="6">
        <v>9.0574712643678116E-3</v>
      </c>
    </row>
    <row r="1477" spans="2:5" x14ac:dyDescent="0.3">
      <c r="B1477" s="4">
        <v>42292</v>
      </c>
      <c r="C1477" s="7">
        <v>800.02</v>
      </c>
      <c r="D1477" s="6">
        <f t="shared" si="25"/>
        <v>16.945715567519066</v>
      </c>
      <c r="E1477" s="6">
        <v>9.0560516623782224E-3</v>
      </c>
    </row>
    <row r="1478" spans="2:5" x14ac:dyDescent="0.3">
      <c r="B1478" s="4">
        <v>38863</v>
      </c>
      <c r="C1478" s="7">
        <v>44.58</v>
      </c>
      <c r="D1478" s="6">
        <f t="shared" si="25"/>
        <v>-0.92236965834291085</v>
      </c>
      <c r="E1478" s="6">
        <v>9.0538705296513942E-3</v>
      </c>
    </row>
    <row r="1479" spans="2:5" x14ac:dyDescent="0.3">
      <c r="B1479" s="4">
        <v>41883</v>
      </c>
      <c r="C1479" s="7">
        <v>574.26</v>
      </c>
      <c r="D1479" s="6">
        <f t="shared" si="25"/>
        <v>-0.24702025830984067</v>
      </c>
      <c r="E1479" s="6">
        <v>8.9605734767025502E-3</v>
      </c>
    </row>
    <row r="1480" spans="2:5" x14ac:dyDescent="0.3">
      <c r="B1480" s="4">
        <v>42051</v>
      </c>
      <c r="C1480" s="7">
        <v>762.65</v>
      </c>
      <c r="D1480" s="6">
        <f t="shared" ref="D1480:D1543" si="26">((C1480-C1481)/C1481)</f>
        <v>7.4550997782705091</v>
      </c>
      <c r="E1480" s="6">
        <v>8.9564481134571383E-3</v>
      </c>
    </row>
    <row r="1481" spans="2:5" x14ac:dyDescent="0.3">
      <c r="B1481" s="4">
        <v>39959</v>
      </c>
      <c r="C1481" s="7">
        <v>90.2</v>
      </c>
      <c r="D1481" s="6">
        <f t="shared" si="26"/>
        <v>-0.97330507972961777</v>
      </c>
      <c r="E1481" s="6">
        <v>8.948545861297506E-3</v>
      </c>
    </row>
    <row r="1482" spans="2:5" x14ac:dyDescent="0.3">
      <c r="B1482" s="4">
        <v>45124</v>
      </c>
      <c r="C1482" s="5">
        <v>3378.92</v>
      </c>
      <c r="D1482" s="6">
        <f t="shared" si="26"/>
        <v>81.918282208588963</v>
      </c>
      <c r="E1482" s="6">
        <v>8.9370228038902159E-3</v>
      </c>
    </row>
    <row r="1483" spans="2:5" x14ac:dyDescent="0.3">
      <c r="B1483" s="4">
        <v>38672</v>
      </c>
      <c r="C1483" s="7">
        <v>40.75</v>
      </c>
      <c r="D1483" s="6">
        <f t="shared" si="26"/>
        <v>-0.51360706612556695</v>
      </c>
      <c r="E1483" s="6">
        <v>8.9130973013121922E-3</v>
      </c>
    </row>
    <row r="1484" spans="2:5" x14ac:dyDescent="0.3">
      <c r="B1484" s="4">
        <v>39420</v>
      </c>
      <c r="C1484" s="7">
        <v>83.78</v>
      </c>
      <c r="D1484" s="6">
        <f t="shared" si="26"/>
        <v>-0.96295002365927107</v>
      </c>
      <c r="E1484" s="6">
        <v>8.9113680154141953E-3</v>
      </c>
    </row>
    <row r="1485" spans="2:5" x14ac:dyDescent="0.3">
      <c r="B1485" s="4">
        <v>45825</v>
      </c>
      <c r="C1485" s="5">
        <v>2261.27</v>
      </c>
      <c r="D1485" s="6">
        <f t="shared" si="26"/>
        <v>7.3134926470588235</v>
      </c>
      <c r="E1485" s="6">
        <v>8.9100075848836825E-3</v>
      </c>
    </row>
    <row r="1486" spans="2:5" x14ac:dyDescent="0.3">
      <c r="B1486" s="4">
        <v>40806</v>
      </c>
      <c r="C1486" s="7">
        <v>272</v>
      </c>
      <c r="D1486" s="6">
        <f t="shared" si="26"/>
        <v>-0.7281223449447749</v>
      </c>
      <c r="E1486" s="6">
        <v>8.8646563554763778E-3</v>
      </c>
    </row>
    <row r="1487" spans="2:5" x14ac:dyDescent="0.3">
      <c r="B1487" s="4">
        <v>42675</v>
      </c>
      <c r="C1487" s="5">
        <v>1000.45</v>
      </c>
      <c r="D1487" s="6">
        <f t="shared" si="26"/>
        <v>0.24364472621045433</v>
      </c>
      <c r="E1487" s="6">
        <v>8.853751752095039E-3</v>
      </c>
    </row>
    <row r="1488" spans="2:5" x14ac:dyDescent="0.3">
      <c r="B1488" s="4">
        <v>42446</v>
      </c>
      <c r="C1488" s="7">
        <v>804.45</v>
      </c>
      <c r="D1488" s="6">
        <f t="shared" si="26"/>
        <v>-0.67774305972839799</v>
      </c>
      <c r="E1488" s="6">
        <v>8.8412340105343216E-3</v>
      </c>
    </row>
    <row r="1489" spans="2:5" x14ac:dyDescent="0.3">
      <c r="B1489" s="4">
        <v>45882</v>
      </c>
      <c r="C1489" s="5">
        <v>2496.3000000000002</v>
      </c>
      <c r="D1489" s="6">
        <f t="shared" si="26"/>
        <v>-0.20106639697363446</v>
      </c>
      <c r="E1489" s="6">
        <v>8.8343221092449711E-3</v>
      </c>
    </row>
    <row r="1490" spans="2:5" x14ac:dyDescent="0.3">
      <c r="B1490" s="4">
        <v>44852</v>
      </c>
      <c r="C1490" s="5">
        <v>3124.54</v>
      </c>
      <c r="D1490" s="6">
        <f t="shared" si="26"/>
        <v>1.8945398625238543</v>
      </c>
      <c r="E1490" s="6">
        <v>8.8338423985690629E-3</v>
      </c>
    </row>
    <row r="1491" spans="2:5" x14ac:dyDescent="0.3">
      <c r="B1491" s="4">
        <v>42961</v>
      </c>
      <c r="C1491" s="5">
        <v>1079.46</v>
      </c>
      <c r="D1491" s="6">
        <f t="shared" si="26"/>
        <v>17.114784359791912</v>
      </c>
      <c r="E1491" s="6">
        <v>8.8316931617461944E-3</v>
      </c>
    </row>
    <row r="1492" spans="2:5" x14ac:dyDescent="0.3">
      <c r="B1492" s="4">
        <v>39065</v>
      </c>
      <c r="C1492" s="7">
        <v>59.59</v>
      </c>
      <c r="D1492" s="6">
        <f t="shared" si="26"/>
        <v>-0.97929867711633589</v>
      </c>
      <c r="E1492" s="6">
        <v>8.8031149483663983E-3</v>
      </c>
    </row>
    <row r="1493" spans="2:5" x14ac:dyDescent="0.3">
      <c r="B1493" s="4">
        <v>44417</v>
      </c>
      <c r="C1493" s="5">
        <v>2878.56</v>
      </c>
      <c r="D1493" s="6">
        <f t="shared" si="26"/>
        <v>118.49190535491904</v>
      </c>
      <c r="E1493" s="6">
        <v>8.7963384803010757E-3</v>
      </c>
    </row>
    <row r="1494" spans="2:5" x14ac:dyDescent="0.3">
      <c r="B1494" s="4">
        <v>38183</v>
      </c>
      <c r="C1494" s="7">
        <v>24.09</v>
      </c>
      <c r="D1494" s="6">
        <f t="shared" si="26"/>
        <v>-4.5562599049128315E-2</v>
      </c>
      <c r="E1494" s="6">
        <v>8.7939698492462675E-3</v>
      </c>
    </row>
    <row r="1495" spans="2:5" x14ac:dyDescent="0.3">
      <c r="B1495" s="4">
        <v>38366</v>
      </c>
      <c r="C1495" s="7">
        <v>25.24</v>
      </c>
      <c r="D1495" s="6">
        <f t="shared" si="26"/>
        <v>-0.93680204316690874</v>
      </c>
      <c r="E1495" s="6">
        <v>8.7929656274979562E-3</v>
      </c>
    </row>
    <row r="1496" spans="2:5" x14ac:dyDescent="0.3">
      <c r="B1496" s="4">
        <v>41530</v>
      </c>
      <c r="C1496" s="7">
        <v>399.38</v>
      </c>
      <c r="D1496" s="6">
        <f t="shared" si="26"/>
        <v>16.379460400348126</v>
      </c>
      <c r="E1496" s="6">
        <v>8.7900985097247239E-3</v>
      </c>
    </row>
    <row r="1497" spans="2:5" x14ac:dyDescent="0.3">
      <c r="B1497" s="4">
        <v>37901</v>
      </c>
      <c r="C1497" s="7">
        <v>22.98</v>
      </c>
      <c r="D1497" s="6">
        <f t="shared" si="26"/>
        <v>-0.74036831996384589</v>
      </c>
      <c r="E1497" s="6">
        <v>8.7796312554872386E-3</v>
      </c>
    </row>
    <row r="1498" spans="2:5" x14ac:dyDescent="0.3">
      <c r="B1498" s="4">
        <v>39393</v>
      </c>
      <c r="C1498" s="7">
        <v>88.51</v>
      </c>
      <c r="D1498" s="6">
        <f t="shared" si="26"/>
        <v>-0.88464145139848294</v>
      </c>
      <c r="E1498" s="6">
        <v>8.7759288807842516E-3</v>
      </c>
    </row>
    <row r="1499" spans="2:5" x14ac:dyDescent="0.3">
      <c r="B1499" s="4">
        <v>42024</v>
      </c>
      <c r="C1499" s="7">
        <v>767.26</v>
      </c>
      <c r="D1499" s="6">
        <f t="shared" si="26"/>
        <v>-0.68722840487546366</v>
      </c>
      <c r="E1499" s="6">
        <v>8.7695078820388891E-3</v>
      </c>
    </row>
    <row r="1500" spans="2:5" x14ac:dyDescent="0.3">
      <c r="B1500" s="4">
        <v>45625</v>
      </c>
      <c r="C1500" s="5">
        <v>2453.1</v>
      </c>
      <c r="D1500" s="6">
        <f t="shared" si="26"/>
        <v>0.10162565115861312</v>
      </c>
      <c r="E1500" s="6">
        <v>8.7672404576070641E-3</v>
      </c>
    </row>
    <row r="1501" spans="2:5" x14ac:dyDescent="0.3">
      <c r="B1501" s="4">
        <v>45705</v>
      </c>
      <c r="C1501" s="5">
        <v>2226.8000000000002</v>
      </c>
      <c r="D1501" s="6">
        <f t="shared" si="26"/>
        <v>-0.27342493286652586</v>
      </c>
      <c r="E1501" s="6">
        <v>8.7612006559575923E-3</v>
      </c>
    </row>
    <row r="1502" spans="2:5" x14ac:dyDescent="0.3">
      <c r="B1502" s="4">
        <v>45524</v>
      </c>
      <c r="C1502" s="5">
        <v>3064.79</v>
      </c>
      <c r="D1502" s="6">
        <f t="shared" si="26"/>
        <v>12.482271687489002</v>
      </c>
      <c r="E1502" s="6">
        <v>8.7452521542219341E-3</v>
      </c>
    </row>
    <row r="1503" spans="2:5" x14ac:dyDescent="0.3">
      <c r="B1503" s="4">
        <v>40654</v>
      </c>
      <c r="C1503" s="7">
        <v>227.32</v>
      </c>
      <c r="D1503" s="6">
        <f t="shared" si="26"/>
        <v>-0.69336606685191671</v>
      </c>
      <c r="E1503" s="6">
        <v>8.7419569558464562E-3</v>
      </c>
    </row>
    <row r="1504" spans="2:5" x14ac:dyDescent="0.3">
      <c r="B1504" s="4">
        <v>42040</v>
      </c>
      <c r="C1504" s="7">
        <v>741.34</v>
      </c>
      <c r="D1504" s="6">
        <f t="shared" si="26"/>
        <v>2.3098490936690776</v>
      </c>
      <c r="E1504" s="6">
        <v>8.7081938661659145E-3</v>
      </c>
    </row>
    <row r="1505" spans="2:5" x14ac:dyDescent="0.3">
      <c r="B1505" s="4">
        <v>40618</v>
      </c>
      <c r="C1505" s="7">
        <v>223.98</v>
      </c>
      <c r="D1505" s="6">
        <f t="shared" si="26"/>
        <v>-0.90770904326112845</v>
      </c>
      <c r="E1505" s="6">
        <v>8.6917360954738947E-3</v>
      </c>
    </row>
    <row r="1506" spans="2:5" x14ac:dyDescent="0.3">
      <c r="B1506" s="4">
        <v>45770</v>
      </c>
      <c r="C1506" s="5">
        <v>2426.89</v>
      </c>
      <c r="D1506" s="6">
        <f t="shared" si="26"/>
        <v>8.4050922337622058</v>
      </c>
      <c r="E1506" s="6">
        <v>8.6782681701238363E-3</v>
      </c>
    </row>
    <row r="1507" spans="2:5" x14ac:dyDescent="0.3">
      <c r="B1507" s="4">
        <v>40534</v>
      </c>
      <c r="C1507" s="7">
        <v>258.04000000000002</v>
      </c>
      <c r="D1507" s="6">
        <f t="shared" si="26"/>
        <v>-0.88562969266636526</v>
      </c>
      <c r="E1507" s="6">
        <v>8.6779767023689603E-3</v>
      </c>
    </row>
    <row r="1508" spans="2:5" x14ac:dyDescent="0.3">
      <c r="B1508" s="4">
        <v>45677</v>
      </c>
      <c r="C1508" s="5">
        <v>2256.1799999999998</v>
      </c>
      <c r="D1508" s="6">
        <f t="shared" si="26"/>
        <v>91.051407588739266</v>
      </c>
      <c r="E1508" s="6">
        <v>8.6461257845888342E-3</v>
      </c>
    </row>
    <row r="1509" spans="2:5" x14ac:dyDescent="0.3">
      <c r="B1509" s="4">
        <v>37963</v>
      </c>
      <c r="C1509" s="7">
        <v>24.51</v>
      </c>
      <c r="D1509" s="6">
        <f t="shared" si="26"/>
        <v>-0.48809523809523808</v>
      </c>
      <c r="E1509" s="6">
        <v>8.6419753086420109E-3</v>
      </c>
    </row>
    <row r="1510" spans="2:5" x14ac:dyDescent="0.3">
      <c r="B1510" s="4">
        <v>38918</v>
      </c>
      <c r="C1510" s="7">
        <v>47.88</v>
      </c>
      <c r="D1510" s="6">
        <f t="shared" si="26"/>
        <v>-0.72122270742358086</v>
      </c>
      <c r="E1510" s="6">
        <v>8.637033916157652E-3</v>
      </c>
    </row>
    <row r="1511" spans="2:5" x14ac:dyDescent="0.3">
      <c r="B1511" s="4">
        <v>40219</v>
      </c>
      <c r="C1511" s="7">
        <v>171.75</v>
      </c>
      <c r="D1511" s="6">
        <f t="shared" si="26"/>
        <v>1.9984287709497206</v>
      </c>
      <c r="E1511" s="6">
        <v>8.6328400281888585E-3</v>
      </c>
    </row>
    <row r="1512" spans="2:5" x14ac:dyDescent="0.3">
      <c r="B1512" s="4">
        <v>39024</v>
      </c>
      <c r="C1512" s="7">
        <v>57.28</v>
      </c>
      <c r="D1512" s="6">
        <f t="shared" si="26"/>
        <v>1.8812877263581493</v>
      </c>
      <c r="E1512" s="6">
        <v>8.6282796266948757E-3</v>
      </c>
    </row>
    <row r="1513" spans="2:5" x14ac:dyDescent="0.3">
      <c r="B1513" s="4">
        <v>37809</v>
      </c>
      <c r="C1513" s="7">
        <v>19.88</v>
      </c>
      <c r="D1513" s="6">
        <f t="shared" si="26"/>
        <v>-0.94993326113783461</v>
      </c>
      <c r="E1513" s="6">
        <v>8.6250634195838734E-3</v>
      </c>
    </row>
    <row r="1514" spans="2:5" x14ac:dyDescent="0.3">
      <c r="B1514" s="4">
        <v>41274</v>
      </c>
      <c r="C1514" s="7">
        <v>397.07</v>
      </c>
      <c r="D1514" s="6">
        <f t="shared" si="26"/>
        <v>-0.52923671543404549</v>
      </c>
      <c r="E1514" s="6">
        <v>8.6110546636862084E-3</v>
      </c>
    </row>
    <row r="1515" spans="2:5" x14ac:dyDescent="0.3">
      <c r="B1515" s="4">
        <v>42696</v>
      </c>
      <c r="C1515" s="7">
        <v>843.46</v>
      </c>
      <c r="D1515" s="6">
        <f t="shared" si="26"/>
        <v>2.6155000214325521</v>
      </c>
      <c r="E1515" s="6">
        <v>8.6097625140507082E-3</v>
      </c>
    </row>
    <row r="1516" spans="2:5" x14ac:dyDescent="0.3">
      <c r="B1516" s="4">
        <v>40504</v>
      </c>
      <c r="C1516" s="7">
        <v>233.29</v>
      </c>
      <c r="D1516" s="6">
        <f t="shared" si="26"/>
        <v>-0.41999403311620515</v>
      </c>
      <c r="E1516" s="6">
        <v>8.6035451794205815E-3</v>
      </c>
    </row>
    <row r="1517" spans="2:5" x14ac:dyDescent="0.3">
      <c r="B1517" s="4">
        <v>41535</v>
      </c>
      <c r="C1517" s="7">
        <v>402.22</v>
      </c>
      <c r="D1517" s="6">
        <f t="shared" si="26"/>
        <v>-0.50103583878130775</v>
      </c>
      <c r="E1517" s="6">
        <v>8.6010180796910821E-3</v>
      </c>
    </row>
    <row r="1518" spans="2:5" x14ac:dyDescent="0.3">
      <c r="B1518" s="4">
        <v>42473</v>
      </c>
      <c r="C1518" s="7">
        <v>806.11</v>
      </c>
      <c r="D1518" s="6">
        <f t="shared" si="26"/>
        <v>33.33177172061329</v>
      </c>
      <c r="E1518" s="6">
        <v>8.5956658825884647E-3</v>
      </c>
    </row>
    <row r="1519" spans="2:5" x14ac:dyDescent="0.3">
      <c r="B1519" s="4">
        <v>38272</v>
      </c>
      <c r="C1519" s="7">
        <v>23.48</v>
      </c>
      <c r="D1519" s="6">
        <f t="shared" si="26"/>
        <v>-0.90052954882440162</v>
      </c>
      <c r="E1519" s="6">
        <v>8.5910652920961894E-3</v>
      </c>
    </row>
    <row r="1520" spans="2:5" x14ac:dyDescent="0.3">
      <c r="B1520" s="4">
        <v>40661</v>
      </c>
      <c r="C1520" s="7">
        <v>236.05</v>
      </c>
      <c r="D1520" s="6">
        <f t="shared" si="26"/>
        <v>-0.8192724961909793</v>
      </c>
      <c r="E1520" s="6">
        <v>8.5882755084601744E-3</v>
      </c>
    </row>
    <row r="1521" spans="2:5" x14ac:dyDescent="0.3">
      <c r="B1521" s="4">
        <v>43467</v>
      </c>
      <c r="C1521" s="5">
        <v>1306.1099999999999</v>
      </c>
      <c r="D1521" s="6">
        <f t="shared" si="26"/>
        <v>23.129133567337885</v>
      </c>
      <c r="E1521" s="6">
        <v>8.5713623833019899E-3</v>
      </c>
    </row>
    <row r="1522" spans="2:5" x14ac:dyDescent="0.3">
      <c r="B1522" s="4">
        <v>38798</v>
      </c>
      <c r="C1522" s="7">
        <v>54.13</v>
      </c>
      <c r="D1522" s="6">
        <f t="shared" si="26"/>
        <v>-0.90574776688547998</v>
      </c>
      <c r="E1522" s="6">
        <v>8.5708962176262501E-3</v>
      </c>
    </row>
    <row r="1523" spans="2:5" x14ac:dyDescent="0.3">
      <c r="B1523" s="4">
        <v>41855</v>
      </c>
      <c r="C1523" s="7">
        <v>574.30999999999995</v>
      </c>
      <c r="D1523" s="6">
        <f t="shared" si="26"/>
        <v>-0.47201537132035232</v>
      </c>
      <c r="E1523" s="6">
        <v>8.5699734822541774E-3</v>
      </c>
    </row>
    <row r="1524" spans="2:5" x14ac:dyDescent="0.3">
      <c r="B1524" s="4">
        <v>42628</v>
      </c>
      <c r="C1524" s="5">
        <v>1087.74</v>
      </c>
      <c r="D1524" s="6">
        <f t="shared" si="26"/>
        <v>-0.63582979008336404</v>
      </c>
      <c r="E1524" s="6">
        <v>8.5581033091951097E-3</v>
      </c>
    </row>
    <row r="1525" spans="2:5" x14ac:dyDescent="0.3">
      <c r="B1525" s="4">
        <v>44880</v>
      </c>
      <c r="C1525" s="5">
        <v>2986.9</v>
      </c>
      <c r="D1525" s="6">
        <f t="shared" si="26"/>
        <v>11.596044363851052</v>
      </c>
      <c r="E1525" s="6">
        <v>8.5494904746791119E-3</v>
      </c>
    </row>
    <row r="1526" spans="2:5" x14ac:dyDescent="0.3">
      <c r="B1526" s="4">
        <v>40912</v>
      </c>
      <c r="C1526" s="7">
        <v>237.13</v>
      </c>
      <c r="D1526" s="6">
        <f t="shared" si="26"/>
        <v>4.0228765092141492</v>
      </c>
      <c r="E1526" s="6">
        <v>8.5488261313371502E-3</v>
      </c>
    </row>
    <row r="1527" spans="2:5" x14ac:dyDescent="0.3">
      <c r="B1527" s="4">
        <v>38916</v>
      </c>
      <c r="C1527" s="7">
        <v>47.21</v>
      </c>
      <c r="D1527" s="6">
        <f t="shared" si="26"/>
        <v>-0.98418234694971585</v>
      </c>
      <c r="E1527" s="6">
        <v>8.5451826532791826E-3</v>
      </c>
    </row>
    <row r="1528" spans="2:5" x14ac:dyDescent="0.3">
      <c r="B1528" s="4">
        <v>45484</v>
      </c>
      <c r="C1528" s="5">
        <v>2984.64</v>
      </c>
      <c r="D1528" s="6">
        <f t="shared" si="26"/>
        <v>5.9772073777964794</v>
      </c>
      <c r="E1528" s="6">
        <v>8.5423875432525092E-3</v>
      </c>
    </row>
    <row r="1529" spans="2:5" x14ac:dyDescent="0.3">
      <c r="B1529" s="4">
        <v>41684</v>
      </c>
      <c r="C1529" s="7">
        <v>427.77</v>
      </c>
      <c r="D1529" s="6">
        <f t="shared" si="26"/>
        <v>-0.47331937946318647</v>
      </c>
      <c r="E1529" s="6">
        <v>8.5347164918071552E-3</v>
      </c>
    </row>
    <row r="1530" spans="2:5" x14ac:dyDescent="0.3">
      <c r="B1530" s="4">
        <v>42360</v>
      </c>
      <c r="C1530" s="7">
        <v>812.2</v>
      </c>
      <c r="D1530" s="6">
        <f t="shared" si="26"/>
        <v>-0.71528228138748184</v>
      </c>
      <c r="E1530" s="6">
        <v>8.5306644481144434E-3</v>
      </c>
    </row>
    <row r="1531" spans="2:5" x14ac:dyDescent="0.3">
      <c r="B1531" s="4">
        <v>44943</v>
      </c>
      <c r="C1531" s="5">
        <v>2852.65</v>
      </c>
      <c r="D1531" s="6">
        <f t="shared" si="26"/>
        <v>1.5796089435207949E-2</v>
      </c>
      <c r="E1531" s="6">
        <v>8.5202665676759846E-3</v>
      </c>
    </row>
    <row r="1532" spans="2:5" x14ac:dyDescent="0.3">
      <c r="B1532" s="4">
        <v>45383</v>
      </c>
      <c r="C1532" s="5">
        <v>2808.29</v>
      </c>
      <c r="D1532" s="6">
        <f t="shared" si="26"/>
        <v>168.37816646562126</v>
      </c>
      <c r="E1532" s="6">
        <v>8.5183708795253128E-3</v>
      </c>
    </row>
    <row r="1533" spans="2:5" x14ac:dyDescent="0.3">
      <c r="B1533" s="4">
        <v>37490</v>
      </c>
      <c r="C1533" s="7">
        <v>16.579999999999998</v>
      </c>
      <c r="D1533" s="6">
        <f t="shared" si="26"/>
        <v>-0.81103259630727154</v>
      </c>
      <c r="E1533" s="6">
        <v>8.5158150851579687E-3</v>
      </c>
    </row>
    <row r="1534" spans="2:5" x14ac:dyDescent="0.3">
      <c r="B1534" s="4">
        <v>39638</v>
      </c>
      <c r="C1534" s="7">
        <v>87.74</v>
      </c>
      <c r="D1534" s="6">
        <f t="shared" si="26"/>
        <v>3.6227608008429919</v>
      </c>
      <c r="E1534" s="6">
        <v>8.5057471264367232E-3</v>
      </c>
    </row>
    <row r="1535" spans="2:5" x14ac:dyDescent="0.3">
      <c r="B1535" s="4">
        <v>37776</v>
      </c>
      <c r="C1535" s="7">
        <v>18.98</v>
      </c>
      <c r="D1535" s="6">
        <f t="shared" si="26"/>
        <v>-0.92063890282655969</v>
      </c>
      <c r="E1535" s="6">
        <v>8.501594048884174E-3</v>
      </c>
    </row>
    <row r="1536" spans="2:5" x14ac:dyDescent="0.3">
      <c r="B1536" s="4">
        <v>40555</v>
      </c>
      <c r="C1536" s="7">
        <v>239.16</v>
      </c>
      <c r="D1536" s="6">
        <f t="shared" si="26"/>
        <v>3.3690171720862256</v>
      </c>
      <c r="E1536" s="6">
        <v>8.475648323845628E-3</v>
      </c>
    </row>
    <row r="1537" spans="2:5" x14ac:dyDescent="0.3">
      <c r="B1537" s="4">
        <v>38980</v>
      </c>
      <c r="C1537" s="7">
        <v>54.74</v>
      </c>
      <c r="D1537" s="6">
        <f t="shared" si="26"/>
        <v>-0.95499354584097285</v>
      </c>
      <c r="E1537" s="6">
        <v>8.4745762711864563E-3</v>
      </c>
    </row>
    <row r="1538" spans="2:5" x14ac:dyDescent="0.3">
      <c r="B1538" s="4">
        <v>43234</v>
      </c>
      <c r="C1538" s="5">
        <v>1216.27</v>
      </c>
      <c r="D1538" s="6">
        <f t="shared" si="26"/>
        <v>-0.49865210222588624</v>
      </c>
      <c r="E1538" s="6">
        <v>8.473943866340556E-3</v>
      </c>
    </row>
    <row r="1539" spans="2:5" x14ac:dyDescent="0.3">
      <c r="B1539" s="4">
        <v>45775</v>
      </c>
      <c r="C1539" s="5">
        <v>2426</v>
      </c>
      <c r="D1539" s="6">
        <f t="shared" si="26"/>
        <v>-0.13528541640676522</v>
      </c>
      <c r="E1539" s="6">
        <v>8.4718284683366913E-3</v>
      </c>
    </row>
    <row r="1540" spans="2:5" x14ac:dyDescent="0.3">
      <c r="B1540" s="4">
        <v>45411</v>
      </c>
      <c r="C1540" s="5">
        <v>2805.55</v>
      </c>
      <c r="D1540" s="6">
        <f t="shared" si="26"/>
        <v>-8.009325140500094E-2</v>
      </c>
      <c r="E1540" s="6">
        <v>8.4542582215144987E-3</v>
      </c>
    </row>
    <row r="1541" spans="2:5" x14ac:dyDescent="0.3">
      <c r="B1541" s="4">
        <v>45573</v>
      </c>
      <c r="C1541" s="5">
        <v>3049.82</v>
      </c>
      <c r="D1541" s="6">
        <f t="shared" si="26"/>
        <v>7.5753409250667803</v>
      </c>
      <c r="E1541" s="6">
        <v>8.4249786730327993E-3</v>
      </c>
    </row>
    <row r="1542" spans="2:5" x14ac:dyDescent="0.3">
      <c r="B1542" s="4">
        <v>41176</v>
      </c>
      <c r="C1542" s="7">
        <v>355.65</v>
      </c>
      <c r="D1542" s="6">
        <f t="shared" si="26"/>
        <v>-0.34292207072386655</v>
      </c>
      <c r="E1542" s="6">
        <v>8.4212317114664009E-3</v>
      </c>
    </row>
    <row r="1543" spans="2:5" x14ac:dyDescent="0.3">
      <c r="B1543" s="4">
        <v>41827</v>
      </c>
      <c r="C1543" s="7">
        <v>541.26</v>
      </c>
      <c r="D1543" s="6">
        <f t="shared" si="26"/>
        <v>-0.69894375010429011</v>
      </c>
      <c r="E1543" s="6">
        <v>8.4212095241643654E-3</v>
      </c>
    </row>
    <row r="1544" spans="2:5" x14ac:dyDescent="0.3">
      <c r="B1544" s="4">
        <v>43901</v>
      </c>
      <c r="C1544" s="5">
        <v>1797.87</v>
      </c>
      <c r="D1544" s="6">
        <f t="shared" ref="D1544:D1607" si="27">((C1544-C1545)/C1545)</f>
        <v>14.137408436473857</v>
      </c>
      <c r="E1544" s="6">
        <v>8.4077447725027944E-3</v>
      </c>
    </row>
    <row r="1545" spans="2:5" x14ac:dyDescent="0.3">
      <c r="B1545" s="4">
        <v>40074</v>
      </c>
      <c r="C1545" s="7">
        <v>118.77</v>
      </c>
      <c r="D1545" s="6">
        <f t="shared" si="27"/>
        <v>-0.74297771045228311</v>
      </c>
      <c r="E1545" s="6">
        <v>8.4055017829851829E-3</v>
      </c>
    </row>
    <row r="1546" spans="2:5" x14ac:dyDescent="0.3">
      <c r="B1546" s="4">
        <v>41484</v>
      </c>
      <c r="C1546" s="7">
        <v>462.1</v>
      </c>
      <c r="D1546" s="6">
        <f t="shared" si="27"/>
        <v>-0.81786506800991676</v>
      </c>
      <c r="E1546" s="6">
        <v>8.4015275504637707E-3</v>
      </c>
    </row>
    <row r="1547" spans="2:5" x14ac:dyDescent="0.3">
      <c r="B1547" s="4">
        <v>44294</v>
      </c>
      <c r="C1547" s="5">
        <v>2537.13</v>
      </c>
      <c r="D1547" s="6">
        <f t="shared" si="27"/>
        <v>0.78672385016795898</v>
      </c>
      <c r="E1547" s="6">
        <v>8.390235371737954E-3</v>
      </c>
    </row>
    <row r="1548" spans="2:5" x14ac:dyDescent="0.3">
      <c r="B1548" s="4">
        <v>43671</v>
      </c>
      <c r="C1548" s="5">
        <v>1419.99</v>
      </c>
      <c r="D1548" s="6">
        <f t="shared" si="27"/>
        <v>0.20868728826543648</v>
      </c>
      <c r="E1548" s="6">
        <v>8.3867119260321449E-3</v>
      </c>
    </row>
    <row r="1549" spans="2:5" x14ac:dyDescent="0.3">
      <c r="B1549" s="4">
        <v>42996</v>
      </c>
      <c r="C1549" s="5">
        <v>1174.82</v>
      </c>
      <c r="D1549" s="6">
        <f t="shared" si="27"/>
        <v>0.38280817806235934</v>
      </c>
      <c r="E1549" s="6">
        <v>8.3859061842839217E-3</v>
      </c>
    </row>
    <row r="1550" spans="2:5" x14ac:dyDescent="0.3">
      <c r="B1550" s="4">
        <v>42718</v>
      </c>
      <c r="C1550" s="7">
        <v>849.59</v>
      </c>
      <c r="D1550" s="6">
        <f t="shared" si="27"/>
        <v>1.4246289954337903</v>
      </c>
      <c r="E1550" s="6">
        <v>8.3795235777955196E-3</v>
      </c>
    </row>
    <row r="1551" spans="2:5" x14ac:dyDescent="0.3">
      <c r="B1551" s="4">
        <v>41092</v>
      </c>
      <c r="C1551" s="7">
        <v>350.4</v>
      </c>
      <c r="D1551" s="6">
        <f t="shared" si="27"/>
        <v>-0.5294244043941877</v>
      </c>
      <c r="E1551" s="6">
        <v>8.3743417076749486E-3</v>
      </c>
    </row>
    <row r="1552" spans="2:5" x14ac:dyDescent="0.3">
      <c r="B1552" s="4">
        <v>42325</v>
      </c>
      <c r="C1552" s="7">
        <v>744.62</v>
      </c>
      <c r="D1552" s="6">
        <f t="shared" si="27"/>
        <v>-0.22279976619906483</v>
      </c>
      <c r="E1552" s="6">
        <v>8.3689940956610549E-3</v>
      </c>
    </row>
    <row r="1553" spans="2:5" x14ac:dyDescent="0.3">
      <c r="B1553" s="4">
        <v>42803</v>
      </c>
      <c r="C1553" s="7">
        <v>958.08</v>
      </c>
      <c r="D1553" s="6">
        <f t="shared" si="27"/>
        <v>11.421625826526645</v>
      </c>
      <c r="E1553" s="6">
        <v>8.3672760569606739E-3</v>
      </c>
    </row>
    <row r="1554" spans="2:5" x14ac:dyDescent="0.3">
      <c r="B1554" s="4">
        <v>39815</v>
      </c>
      <c r="C1554" s="7">
        <v>77.13</v>
      </c>
      <c r="D1554" s="6">
        <f t="shared" si="27"/>
        <v>2.0426035502958575</v>
      </c>
      <c r="E1554" s="6">
        <v>8.367106811347896E-3</v>
      </c>
    </row>
    <row r="1555" spans="2:5" x14ac:dyDescent="0.3">
      <c r="B1555" s="4">
        <v>38371</v>
      </c>
      <c r="C1555" s="7">
        <v>25.35</v>
      </c>
      <c r="D1555" s="6">
        <f t="shared" si="27"/>
        <v>-0.91026231017027148</v>
      </c>
      <c r="E1555" s="6">
        <v>8.3532219570406057E-3</v>
      </c>
    </row>
    <row r="1556" spans="2:5" x14ac:dyDescent="0.3">
      <c r="B1556" s="4">
        <v>40981</v>
      </c>
      <c r="C1556" s="7">
        <v>282.49</v>
      </c>
      <c r="D1556" s="6">
        <f t="shared" si="27"/>
        <v>4.4366820631254811</v>
      </c>
      <c r="E1556" s="6">
        <v>8.35266821345719E-3</v>
      </c>
    </row>
    <row r="1557" spans="2:5" x14ac:dyDescent="0.3">
      <c r="B1557" s="4">
        <v>38957</v>
      </c>
      <c r="C1557" s="7">
        <v>51.96</v>
      </c>
      <c r="D1557" s="6">
        <f t="shared" si="27"/>
        <v>-0.94585300278238027</v>
      </c>
      <c r="E1557" s="6">
        <v>8.3446535998447455E-3</v>
      </c>
    </row>
    <row r="1558" spans="2:5" x14ac:dyDescent="0.3">
      <c r="B1558" s="4">
        <v>42795</v>
      </c>
      <c r="C1558" s="7">
        <v>959.61</v>
      </c>
      <c r="D1558" s="6">
        <f t="shared" si="27"/>
        <v>-0.21543442535830784</v>
      </c>
      <c r="E1558" s="6">
        <v>8.3432282198661872E-3</v>
      </c>
    </row>
    <row r="1559" spans="2:5" x14ac:dyDescent="0.3">
      <c r="B1559" s="4">
        <v>43251</v>
      </c>
      <c r="C1559" s="5">
        <v>1223.1099999999999</v>
      </c>
      <c r="D1559" s="6">
        <f t="shared" si="27"/>
        <v>1.7563042253521124</v>
      </c>
      <c r="E1559" s="6">
        <v>8.3430201403143396E-3</v>
      </c>
    </row>
    <row r="1560" spans="2:5" x14ac:dyDescent="0.3">
      <c r="B1560" s="4">
        <v>41355</v>
      </c>
      <c r="C1560" s="7">
        <v>443.75</v>
      </c>
      <c r="D1560" s="6">
        <f t="shared" si="27"/>
        <v>2.7412528454599103</v>
      </c>
      <c r="E1560" s="6">
        <v>8.3393928376659151E-3</v>
      </c>
    </row>
    <row r="1561" spans="2:5" x14ac:dyDescent="0.3">
      <c r="B1561" s="4">
        <v>40071</v>
      </c>
      <c r="C1561" s="7">
        <v>118.61</v>
      </c>
      <c r="D1561" s="6">
        <f t="shared" si="27"/>
        <v>-0.85246594937496112</v>
      </c>
      <c r="E1561" s="6">
        <v>8.3312080251636833E-3</v>
      </c>
    </row>
    <row r="1562" spans="2:5" x14ac:dyDescent="0.3">
      <c r="B1562" s="4">
        <v>42493</v>
      </c>
      <c r="C1562" s="7">
        <v>803.95</v>
      </c>
      <c r="D1562" s="6">
        <f t="shared" si="27"/>
        <v>-0.44733929565749403</v>
      </c>
      <c r="E1562" s="6">
        <v>8.328002909784275E-3</v>
      </c>
    </row>
    <row r="1563" spans="2:5" x14ac:dyDescent="0.3">
      <c r="B1563" s="4">
        <v>43714</v>
      </c>
      <c r="C1563" s="5">
        <v>1454.69</v>
      </c>
      <c r="D1563" s="6">
        <f t="shared" si="27"/>
        <v>-0.19228761799000552</v>
      </c>
      <c r="E1563" s="6">
        <v>8.3247844289793919E-3</v>
      </c>
    </row>
    <row r="1564" spans="2:5" x14ac:dyDescent="0.3">
      <c r="B1564" s="4">
        <v>43873</v>
      </c>
      <c r="C1564" s="5">
        <v>1801</v>
      </c>
      <c r="D1564" s="6">
        <f t="shared" si="27"/>
        <v>5.8927245589192081</v>
      </c>
      <c r="E1564" s="6">
        <v>8.3083262417700081E-3</v>
      </c>
    </row>
    <row r="1565" spans="2:5" x14ac:dyDescent="0.3">
      <c r="B1565" s="4">
        <v>40717</v>
      </c>
      <c r="C1565" s="7">
        <v>261.29000000000002</v>
      </c>
      <c r="D1565" s="6">
        <f t="shared" si="27"/>
        <v>3.9950296310456892</v>
      </c>
      <c r="E1565" s="6">
        <v>8.2966736127191264E-3</v>
      </c>
    </row>
    <row r="1566" spans="2:5" x14ac:dyDescent="0.3">
      <c r="B1566" s="4">
        <v>38814</v>
      </c>
      <c r="C1566" s="7">
        <v>52.31</v>
      </c>
      <c r="D1566" s="6">
        <f t="shared" si="27"/>
        <v>1.2625432525951557</v>
      </c>
      <c r="E1566" s="6">
        <v>8.2883577486507262E-3</v>
      </c>
    </row>
    <row r="1567" spans="2:5" x14ac:dyDescent="0.3">
      <c r="B1567" s="4">
        <v>38315</v>
      </c>
      <c r="C1567" s="7">
        <v>23.12</v>
      </c>
      <c r="D1567" s="6">
        <f t="shared" si="27"/>
        <v>-9.5461658841940453E-2</v>
      </c>
      <c r="E1567" s="6">
        <v>8.2860880941997943E-3</v>
      </c>
    </row>
    <row r="1568" spans="2:5" x14ac:dyDescent="0.3">
      <c r="B1568" s="4">
        <v>38372</v>
      </c>
      <c r="C1568" s="7">
        <v>25.56</v>
      </c>
      <c r="D1568" s="6">
        <f t="shared" si="27"/>
        <v>-0.98071685615348059</v>
      </c>
      <c r="E1568" s="6">
        <v>8.284023668638946E-3</v>
      </c>
    </row>
    <row r="1569" spans="2:5" x14ac:dyDescent="0.3">
      <c r="B1569" s="4">
        <v>43529</v>
      </c>
      <c r="C1569" s="5">
        <v>1325.51</v>
      </c>
      <c r="D1569" s="6">
        <f t="shared" si="27"/>
        <v>-0.51365284137607137</v>
      </c>
      <c r="E1569" s="6">
        <v>8.2607538128018094E-3</v>
      </c>
    </row>
    <row r="1570" spans="2:5" x14ac:dyDescent="0.3">
      <c r="B1570" s="4">
        <v>45029</v>
      </c>
      <c r="C1570" s="5">
        <v>2725.44</v>
      </c>
      <c r="D1570" s="6">
        <f t="shared" si="27"/>
        <v>33.277952458810205</v>
      </c>
      <c r="E1570" s="6">
        <v>8.2533951382286249E-3</v>
      </c>
    </row>
    <row r="1571" spans="2:5" x14ac:dyDescent="0.3">
      <c r="B1571" s="4">
        <v>39328</v>
      </c>
      <c r="C1571" s="7">
        <v>79.510000000000005</v>
      </c>
      <c r="D1571" s="6">
        <f t="shared" si="27"/>
        <v>2.4168457241082946</v>
      </c>
      <c r="E1571" s="6">
        <v>8.2424549835151614E-3</v>
      </c>
    </row>
    <row r="1572" spans="2:5" x14ac:dyDescent="0.3">
      <c r="B1572" s="4">
        <v>38302</v>
      </c>
      <c r="C1572" s="7">
        <v>23.27</v>
      </c>
      <c r="D1572" s="6">
        <f t="shared" si="27"/>
        <v>-0.99191848330039833</v>
      </c>
      <c r="E1572" s="6">
        <v>8.2322357019064679E-3</v>
      </c>
    </row>
    <row r="1573" spans="2:5" x14ac:dyDescent="0.3">
      <c r="B1573" s="4">
        <v>45463</v>
      </c>
      <c r="C1573" s="5">
        <v>2879.41</v>
      </c>
      <c r="D1573" s="6">
        <f t="shared" si="27"/>
        <v>122.57982832618023</v>
      </c>
      <c r="E1573" s="6">
        <v>8.2320809552154355E-3</v>
      </c>
    </row>
    <row r="1574" spans="2:5" x14ac:dyDescent="0.3">
      <c r="B1574" s="4">
        <v>37862</v>
      </c>
      <c r="C1574" s="7">
        <v>23.3</v>
      </c>
      <c r="D1574" s="6">
        <f t="shared" si="27"/>
        <v>-0.99190061040893218</v>
      </c>
      <c r="E1574" s="6">
        <v>8.2215491129381778E-3</v>
      </c>
    </row>
    <row r="1575" spans="2:5" x14ac:dyDescent="0.3">
      <c r="B1575" s="4">
        <v>44635</v>
      </c>
      <c r="C1575" s="5">
        <v>2876.76</v>
      </c>
      <c r="D1575" s="6">
        <f t="shared" si="27"/>
        <v>1.1200035373187125</v>
      </c>
      <c r="E1575" s="6">
        <v>8.2185251514908207E-3</v>
      </c>
    </row>
    <row r="1576" spans="2:5" x14ac:dyDescent="0.3">
      <c r="B1576" s="4">
        <v>43629</v>
      </c>
      <c r="C1576" s="5">
        <v>1356.96</v>
      </c>
      <c r="D1576" s="6">
        <f t="shared" si="27"/>
        <v>3.9932293199882252</v>
      </c>
      <c r="E1576" s="6">
        <v>8.2175495950664573E-3</v>
      </c>
    </row>
    <row r="1577" spans="2:5" x14ac:dyDescent="0.3">
      <c r="B1577" s="4">
        <v>40841</v>
      </c>
      <c r="C1577" s="7">
        <v>271.76</v>
      </c>
      <c r="D1577" s="6">
        <f t="shared" si="27"/>
        <v>-0.90906474820143879</v>
      </c>
      <c r="E1577" s="6">
        <v>8.1988499350769042E-3</v>
      </c>
    </row>
    <row r="1578" spans="2:5" x14ac:dyDescent="0.3">
      <c r="B1578" s="4">
        <v>44914</v>
      </c>
      <c r="C1578" s="5">
        <v>2988.5</v>
      </c>
      <c r="D1578" s="6">
        <f t="shared" si="27"/>
        <v>-4.2117328748408518E-3</v>
      </c>
      <c r="E1578" s="6">
        <v>8.1978274070576146E-3</v>
      </c>
    </row>
    <row r="1579" spans="2:5" x14ac:dyDescent="0.3">
      <c r="B1579" s="4">
        <v>44497</v>
      </c>
      <c r="C1579" s="5">
        <v>3001.14</v>
      </c>
      <c r="D1579" s="6">
        <f t="shared" si="27"/>
        <v>1.0784093742208924</v>
      </c>
      <c r="E1579" s="6">
        <v>8.186725880736467E-3</v>
      </c>
    </row>
    <row r="1580" spans="2:5" x14ac:dyDescent="0.3">
      <c r="B1580" s="4">
        <v>43677</v>
      </c>
      <c r="C1580" s="5">
        <v>1443.96</v>
      </c>
      <c r="D1580" s="6">
        <f t="shared" si="27"/>
        <v>11.203853955375255</v>
      </c>
      <c r="E1580" s="6">
        <v>8.1829860917164918E-3</v>
      </c>
    </row>
    <row r="1581" spans="2:5" x14ac:dyDescent="0.3">
      <c r="B1581" s="4">
        <v>40051</v>
      </c>
      <c r="C1581" s="7">
        <v>118.32</v>
      </c>
      <c r="D1581" s="6">
        <f t="shared" si="27"/>
        <v>-0.9549030369557262</v>
      </c>
      <c r="E1581" s="6">
        <v>8.179959100204446E-3</v>
      </c>
    </row>
    <row r="1582" spans="2:5" x14ac:dyDescent="0.3">
      <c r="B1582" s="4">
        <v>44722</v>
      </c>
      <c r="C1582" s="5">
        <v>2623.68</v>
      </c>
      <c r="D1582" s="6">
        <f t="shared" si="27"/>
        <v>2.5223800445721341</v>
      </c>
      <c r="E1582" s="6">
        <v>8.169319325858149E-3</v>
      </c>
    </row>
    <row r="1583" spans="2:5" x14ac:dyDescent="0.3">
      <c r="B1583" s="4">
        <v>42038</v>
      </c>
      <c r="C1583" s="7">
        <v>744.86</v>
      </c>
      <c r="D1583" s="6">
        <f t="shared" si="27"/>
        <v>42.030618139803586</v>
      </c>
      <c r="E1583" s="6">
        <v>8.161552725254758E-3</v>
      </c>
    </row>
    <row r="1584" spans="2:5" x14ac:dyDescent="0.3">
      <c r="B1584" s="4">
        <v>37704</v>
      </c>
      <c r="C1584" s="7">
        <v>17.309999999999999</v>
      </c>
      <c r="D1584" s="6">
        <f t="shared" si="27"/>
        <v>-0.98179581019687034</v>
      </c>
      <c r="E1584" s="6">
        <v>8.1537565521256263E-3</v>
      </c>
    </row>
    <row r="1585" spans="2:5" x14ac:dyDescent="0.3">
      <c r="B1585" s="4">
        <v>42566</v>
      </c>
      <c r="C1585" s="7">
        <v>950.88</v>
      </c>
      <c r="D1585" s="6">
        <f t="shared" si="27"/>
        <v>-0.70112211221122112</v>
      </c>
      <c r="E1585" s="6">
        <v>8.1531822856475786E-3</v>
      </c>
    </row>
    <row r="1586" spans="2:5" x14ac:dyDescent="0.3">
      <c r="B1586" s="4">
        <v>45266</v>
      </c>
      <c r="C1586" s="5">
        <v>3181.5</v>
      </c>
      <c r="D1586" s="6">
        <f t="shared" si="27"/>
        <v>6.1836614884393057</v>
      </c>
      <c r="E1586" s="6">
        <v>8.1501245333957997E-3</v>
      </c>
    </row>
    <row r="1587" spans="2:5" x14ac:dyDescent="0.3">
      <c r="B1587" s="4">
        <v>41642</v>
      </c>
      <c r="C1587" s="7">
        <v>442.88</v>
      </c>
      <c r="D1587" s="6">
        <f t="shared" si="27"/>
        <v>16.020753266717911</v>
      </c>
      <c r="E1587" s="6">
        <v>8.1493284771226582E-3</v>
      </c>
    </row>
    <row r="1588" spans="2:5" x14ac:dyDescent="0.3">
      <c r="B1588" s="4">
        <v>37995</v>
      </c>
      <c r="C1588" s="7">
        <v>26.02</v>
      </c>
      <c r="D1588" s="6">
        <f t="shared" si="27"/>
        <v>-0.69570810431528485</v>
      </c>
      <c r="E1588" s="6">
        <v>8.1363812475784923E-3</v>
      </c>
    </row>
    <row r="1589" spans="2:5" x14ac:dyDescent="0.3">
      <c r="B1589" s="4">
        <v>39952</v>
      </c>
      <c r="C1589" s="7">
        <v>85.51</v>
      </c>
      <c r="D1589" s="6">
        <f t="shared" si="27"/>
        <v>-0.91226324105805345</v>
      </c>
      <c r="E1589" s="6">
        <v>8.1348738505070978E-3</v>
      </c>
    </row>
    <row r="1590" spans="2:5" x14ac:dyDescent="0.3">
      <c r="B1590" s="4">
        <v>42844</v>
      </c>
      <c r="C1590" s="7">
        <v>974.62</v>
      </c>
      <c r="D1590" s="6">
        <f t="shared" si="27"/>
        <v>3.380511483662187</v>
      </c>
      <c r="E1590" s="6">
        <v>8.1302494931524E-3</v>
      </c>
    </row>
    <row r="1591" spans="2:5" x14ac:dyDescent="0.3">
      <c r="B1591" s="4">
        <v>40632</v>
      </c>
      <c r="C1591" s="7">
        <v>222.49</v>
      </c>
      <c r="D1591" s="6">
        <f t="shared" si="27"/>
        <v>3.1625818521983162</v>
      </c>
      <c r="E1591" s="6">
        <v>8.1105573176258293E-3</v>
      </c>
    </row>
    <row r="1592" spans="2:5" x14ac:dyDescent="0.3">
      <c r="B1592" s="4">
        <v>38792</v>
      </c>
      <c r="C1592" s="7">
        <v>53.45</v>
      </c>
      <c r="D1592" s="6">
        <f t="shared" si="27"/>
        <v>-0.95107014042732374</v>
      </c>
      <c r="E1592" s="6">
        <v>8.1101471142964853E-3</v>
      </c>
    </row>
    <row r="1593" spans="2:5" x14ac:dyDescent="0.3">
      <c r="B1593" s="4">
        <v>43202</v>
      </c>
      <c r="C1593" s="5">
        <v>1092.3800000000001</v>
      </c>
      <c r="D1593" s="6">
        <f t="shared" si="27"/>
        <v>15.231500742942053</v>
      </c>
      <c r="E1593" s="6">
        <v>8.0933177065551348E-3</v>
      </c>
    </row>
    <row r="1594" spans="2:5" x14ac:dyDescent="0.3">
      <c r="B1594" s="4">
        <v>39912</v>
      </c>
      <c r="C1594" s="7">
        <v>67.3</v>
      </c>
      <c r="D1594" s="6">
        <f t="shared" si="27"/>
        <v>-0.89641851230511138</v>
      </c>
      <c r="E1594" s="6">
        <v>8.0886758538045531E-3</v>
      </c>
    </row>
    <row r="1595" spans="2:5" x14ac:dyDescent="0.3">
      <c r="B1595" s="4">
        <v>42172</v>
      </c>
      <c r="C1595" s="7">
        <v>649.73</v>
      </c>
      <c r="D1595" s="6">
        <f t="shared" si="27"/>
        <v>0.5139574983689067</v>
      </c>
      <c r="E1595" s="6">
        <v>8.0835350338236776E-3</v>
      </c>
    </row>
    <row r="1596" spans="2:5" x14ac:dyDescent="0.3">
      <c r="B1596" s="4">
        <v>41346</v>
      </c>
      <c r="C1596" s="7">
        <v>429.16</v>
      </c>
      <c r="D1596" s="6">
        <f t="shared" si="27"/>
        <v>-0.60306699100065664</v>
      </c>
      <c r="E1596" s="6">
        <v>8.0804284506248176E-3</v>
      </c>
    </row>
    <row r="1597" spans="2:5" x14ac:dyDescent="0.3">
      <c r="B1597" s="4">
        <v>42935</v>
      </c>
      <c r="C1597" s="5">
        <v>1081.19</v>
      </c>
      <c r="D1597" s="6">
        <f t="shared" si="27"/>
        <v>-2.185733025738441E-2</v>
      </c>
      <c r="E1597" s="6">
        <v>8.0743662181944394E-3</v>
      </c>
    </row>
    <row r="1598" spans="2:5" x14ac:dyDescent="0.3">
      <c r="B1598" s="4">
        <v>42640</v>
      </c>
      <c r="C1598" s="5">
        <v>1105.3499999999999</v>
      </c>
      <c r="D1598" s="6">
        <f t="shared" si="27"/>
        <v>2.9845355250351457</v>
      </c>
      <c r="E1598" s="6">
        <v>8.0711354309164693E-3</v>
      </c>
    </row>
    <row r="1599" spans="2:5" x14ac:dyDescent="0.3">
      <c r="B1599" s="4">
        <v>40750</v>
      </c>
      <c r="C1599" s="7">
        <v>277.41000000000003</v>
      </c>
      <c r="D1599" s="6">
        <f t="shared" si="27"/>
        <v>-0.83288151521723408</v>
      </c>
      <c r="E1599" s="6">
        <v>8.067153602965324E-3</v>
      </c>
    </row>
    <row r="1600" spans="2:5" x14ac:dyDescent="0.3">
      <c r="B1600" s="4">
        <v>43816</v>
      </c>
      <c r="C1600" s="5">
        <v>1659.96</v>
      </c>
      <c r="D1600" s="6">
        <f t="shared" si="27"/>
        <v>12.963324360699865</v>
      </c>
      <c r="E1600" s="6">
        <v>8.0585902628909998E-3</v>
      </c>
    </row>
    <row r="1601" spans="2:5" x14ac:dyDescent="0.3">
      <c r="B1601" s="4">
        <v>40066</v>
      </c>
      <c r="C1601" s="7">
        <v>118.88</v>
      </c>
      <c r="D1601" s="6">
        <f t="shared" si="27"/>
        <v>-0.88974932067107493</v>
      </c>
      <c r="E1601" s="6">
        <v>8.0556262189433441E-3</v>
      </c>
    </row>
    <row r="1602" spans="2:5" x14ac:dyDescent="0.3">
      <c r="B1602" s="4">
        <v>42887</v>
      </c>
      <c r="C1602" s="5">
        <v>1078.27</v>
      </c>
      <c r="D1602" s="6">
        <f t="shared" si="27"/>
        <v>0.14321610704099907</v>
      </c>
      <c r="E1602" s="6">
        <v>8.0398627614123135E-3</v>
      </c>
    </row>
    <row r="1603" spans="2:5" x14ac:dyDescent="0.3">
      <c r="B1603" s="4">
        <v>42565</v>
      </c>
      <c r="C1603" s="7">
        <v>943.19</v>
      </c>
      <c r="D1603" s="6">
        <f t="shared" si="27"/>
        <v>0.18010860317301441</v>
      </c>
      <c r="E1603" s="6">
        <v>8.0262482900137922E-3</v>
      </c>
    </row>
    <row r="1604" spans="2:5" x14ac:dyDescent="0.3">
      <c r="B1604" s="4">
        <v>42472</v>
      </c>
      <c r="C1604" s="7">
        <v>799.24</v>
      </c>
      <c r="D1604" s="6">
        <f t="shared" si="27"/>
        <v>1.4738911071903922</v>
      </c>
      <c r="E1604" s="6">
        <v>8.0213903743315672E-3</v>
      </c>
    </row>
    <row r="1605" spans="2:5" x14ac:dyDescent="0.3">
      <c r="B1605" s="4">
        <v>41036</v>
      </c>
      <c r="C1605" s="7">
        <v>323.07</v>
      </c>
      <c r="D1605" s="6">
        <f t="shared" si="27"/>
        <v>-0.26352383340552127</v>
      </c>
      <c r="E1605" s="6">
        <v>8.0187207488299321E-3</v>
      </c>
    </row>
    <row r="1606" spans="2:5" x14ac:dyDescent="0.3">
      <c r="B1606" s="4">
        <v>41708</v>
      </c>
      <c r="C1606" s="7">
        <v>438.67</v>
      </c>
      <c r="D1606" s="6">
        <f t="shared" si="27"/>
        <v>3.0430414746543781</v>
      </c>
      <c r="E1606" s="6">
        <v>7.9965072726855355E-3</v>
      </c>
    </row>
    <row r="1607" spans="2:5" x14ac:dyDescent="0.3">
      <c r="B1607" s="4">
        <v>39615</v>
      </c>
      <c r="C1607" s="7">
        <v>108.5</v>
      </c>
      <c r="D1607" s="6">
        <f t="shared" si="27"/>
        <v>0.56227501799856006</v>
      </c>
      <c r="E1607" s="6">
        <v>7.9895949461166807E-3</v>
      </c>
    </row>
    <row r="1608" spans="2:5" x14ac:dyDescent="0.3">
      <c r="B1608" s="4">
        <v>39260</v>
      </c>
      <c r="C1608" s="7">
        <v>69.45</v>
      </c>
      <c r="D1608" s="6">
        <f t="shared" ref="D1608:D1671" si="28">((C1608-C1609)/C1609)</f>
        <v>-0.7029004106776181</v>
      </c>
      <c r="E1608" s="6">
        <v>7.9825834542815253E-3</v>
      </c>
    </row>
    <row r="1609" spans="2:5" x14ac:dyDescent="0.3">
      <c r="B1609" s="4">
        <v>40522</v>
      </c>
      <c r="C1609" s="7">
        <v>233.76</v>
      </c>
      <c r="D1609" s="6">
        <f t="shared" si="28"/>
        <v>-0.92713966456069041</v>
      </c>
      <c r="E1609" s="6">
        <v>7.977232547108767E-3</v>
      </c>
    </row>
    <row r="1610" spans="2:5" x14ac:dyDescent="0.3">
      <c r="B1610" s="4">
        <v>45167</v>
      </c>
      <c r="C1610" s="5">
        <v>3208.33</v>
      </c>
      <c r="D1610" s="6">
        <f t="shared" si="28"/>
        <v>-2.6285759376498546E-2</v>
      </c>
      <c r="E1610" s="6">
        <v>7.9769018580305856E-3</v>
      </c>
    </row>
    <row r="1611" spans="2:5" x14ac:dyDescent="0.3">
      <c r="B1611" s="4">
        <v>45112</v>
      </c>
      <c r="C1611" s="5">
        <v>3294.94</v>
      </c>
      <c r="D1611" s="6">
        <f t="shared" si="28"/>
        <v>40.91502353390154</v>
      </c>
      <c r="E1611" s="6">
        <v>7.9752330315981251E-3</v>
      </c>
    </row>
    <row r="1612" spans="2:5" x14ac:dyDescent="0.3">
      <c r="B1612" s="4">
        <v>39321</v>
      </c>
      <c r="C1612" s="7">
        <v>78.61</v>
      </c>
      <c r="D1612" s="6">
        <f t="shared" si="28"/>
        <v>3.7642424242424242</v>
      </c>
      <c r="E1612" s="6">
        <v>7.9497371457879808E-3</v>
      </c>
    </row>
    <row r="1613" spans="2:5" x14ac:dyDescent="0.3">
      <c r="B1613" s="4">
        <v>37608</v>
      </c>
      <c r="C1613" s="7">
        <v>16.5</v>
      </c>
      <c r="D1613" s="6">
        <f t="shared" si="28"/>
        <v>-0.95040726157915301</v>
      </c>
      <c r="E1613" s="6">
        <v>7.9413561392791075E-3</v>
      </c>
    </row>
    <row r="1614" spans="2:5" x14ac:dyDescent="0.3">
      <c r="B1614" s="4">
        <v>41102</v>
      </c>
      <c r="C1614" s="7">
        <v>332.71</v>
      </c>
      <c r="D1614" s="6">
        <f t="shared" si="28"/>
        <v>-0.89551254471281727</v>
      </c>
      <c r="E1614" s="6">
        <v>7.9372292405101783E-3</v>
      </c>
    </row>
    <row r="1615" spans="2:5" x14ac:dyDescent="0.3">
      <c r="B1615" s="4">
        <v>44581</v>
      </c>
      <c r="C1615" s="5">
        <v>3184.21</v>
      </c>
      <c r="D1615" s="6">
        <f t="shared" si="28"/>
        <v>7.9111553933380124E-2</v>
      </c>
      <c r="E1615" s="6">
        <v>7.9261324968266864E-3</v>
      </c>
    </row>
    <row r="1616" spans="2:5" x14ac:dyDescent="0.3">
      <c r="B1616" s="4">
        <v>44694</v>
      </c>
      <c r="C1616" s="5">
        <v>2950.77</v>
      </c>
      <c r="D1616" s="6">
        <f t="shared" si="28"/>
        <v>34.615811707905856</v>
      </c>
      <c r="E1616" s="6">
        <v>7.910889770153761E-3</v>
      </c>
    </row>
    <row r="1617" spans="2:5" x14ac:dyDescent="0.3">
      <c r="B1617" s="4">
        <v>39734</v>
      </c>
      <c r="C1617" s="7">
        <v>82.85</v>
      </c>
      <c r="D1617" s="6">
        <f t="shared" si="28"/>
        <v>-0.95211259464770825</v>
      </c>
      <c r="E1617" s="6">
        <v>7.9075425790753225E-3</v>
      </c>
    </row>
    <row r="1618" spans="2:5" x14ac:dyDescent="0.3">
      <c r="B1618" s="4">
        <v>43844</v>
      </c>
      <c r="C1618" s="5">
        <v>1730.1</v>
      </c>
      <c r="D1618" s="6">
        <f t="shared" si="28"/>
        <v>0.30923372633299523</v>
      </c>
      <c r="E1618" s="6">
        <v>7.899612010206546E-3</v>
      </c>
    </row>
    <row r="1619" spans="2:5" x14ac:dyDescent="0.3">
      <c r="B1619" s="4">
        <v>43636</v>
      </c>
      <c r="C1619" s="5">
        <v>1321.46</v>
      </c>
      <c r="D1619" s="6">
        <f t="shared" si="28"/>
        <v>12.429471544715446</v>
      </c>
      <c r="E1619" s="6">
        <v>7.8940744865039075E-3</v>
      </c>
    </row>
    <row r="1620" spans="2:5" x14ac:dyDescent="0.3">
      <c r="B1620" s="4">
        <v>39974</v>
      </c>
      <c r="C1620" s="7">
        <v>98.4</v>
      </c>
      <c r="D1620" s="6">
        <f t="shared" si="28"/>
        <v>-0.96563945875163681</v>
      </c>
      <c r="E1620" s="6">
        <v>7.8869200040972073E-3</v>
      </c>
    </row>
    <row r="1621" spans="2:5" x14ac:dyDescent="0.3">
      <c r="B1621" s="4">
        <v>45450</v>
      </c>
      <c r="C1621" s="5">
        <v>2863.75</v>
      </c>
      <c r="D1621" s="6">
        <f t="shared" si="28"/>
        <v>1.2163875301838896</v>
      </c>
      <c r="E1621" s="6">
        <v>7.8835764689320544E-3</v>
      </c>
    </row>
    <row r="1622" spans="2:5" x14ac:dyDescent="0.3">
      <c r="B1622" s="4">
        <v>43607</v>
      </c>
      <c r="C1622" s="5">
        <v>1292.08</v>
      </c>
      <c r="D1622" s="6">
        <f t="shared" si="28"/>
        <v>7.014390274159533</v>
      </c>
      <c r="E1622" s="6">
        <v>7.8784380411550167E-3</v>
      </c>
    </row>
    <row r="1623" spans="2:5" x14ac:dyDescent="0.3">
      <c r="B1623" s="4">
        <v>40191</v>
      </c>
      <c r="C1623" s="7">
        <v>161.22</v>
      </c>
      <c r="D1623" s="6">
        <f t="shared" si="28"/>
        <v>1.0616368286445013</v>
      </c>
      <c r="E1623" s="6">
        <v>7.8769692423105199E-3</v>
      </c>
    </row>
    <row r="1624" spans="2:5" x14ac:dyDescent="0.3">
      <c r="B1624" s="4">
        <v>39944</v>
      </c>
      <c r="C1624" s="7">
        <v>78.2</v>
      </c>
      <c r="D1624" s="6">
        <f t="shared" si="28"/>
        <v>-0.94086062164410489</v>
      </c>
      <c r="E1624" s="6">
        <v>7.8618378657043363E-3</v>
      </c>
    </row>
    <row r="1625" spans="2:5" x14ac:dyDescent="0.3">
      <c r="B1625" s="4">
        <v>43483</v>
      </c>
      <c r="C1625" s="5">
        <v>1322.3</v>
      </c>
      <c r="D1625" s="6">
        <f t="shared" si="28"/>
        <v>4.0214559677970607</v>
      </c>
      <c r="E1625" s="6">
        <v>7.8122022788765675E-3</v>
      </c>
    </row>
    <row r="1626" spans="2:5" x14ac:dyDescent="0.3">
      <c r="B1626" s="4">
        <v>40718</v>
      </c>
      <c r="C1626" s="7">
        <v>263.33</v>
      </c>
      <c r="D1626" s="6">
        <f t="shared" si="28"/>
        <v>-0.88461268809100235</v>
      </c>
      <c r="E1626" s="6">
        <v>7.8074170461937447E-3</v>
      </c>
    </row>
    <row r="1627" spans="2:5" x14ac:dyDescent="0.3">
      <c r="B1627" s="4">
        <v>45828</v>
      </c>
      <c r="C1627" s="5">
        <v>2282.14</v>
      </c>
      <c r="D1627" s="6">
        <f t="shared" si="28"/>
        <v>1.1160119053138124</v>
      </c>
      <c r="E1627" s="6">
        <v>7.8031504060553127E-3</v>
      </c>
    </row>
    <row r="1628" spans="2:5" x14ac:dyDescent="0.3">
      <c r="B1628" s="4">
        <v>42627</v>
      </c>
      <c r="C1628" s="5">
        <v>1078.51</v>
      </c>
      <c r="D1628" s="6">
        <f t="shared" si="28"/>
        <v>0.51778828562582668</v>
      </c>
      <c r="E1628" s="6">
        <v>7.7931543586532209E-3</v>
      </c>
    </row>
    <row r="1629" spans="2:5" x14ac:dyDescent="0.3">
      <c r="B1629" s="4">
        <v>42145</v>
      </c>
      <c r="C1629" s="7">
        <v>710.58</v>
      </c>
      <c r="D1629" s="6">
        <f t="shared" si="28"/>
        <v>-0.5645208736793077</v>
      </c>
      <c r="E1629" s="6">
        <v>7.7862400544611455E-3</v>
      </c>
    </row>
    <row r="1630" spans="2:5" x14ac:dyDescent="0.3">
      <c r="B1630" s="4">
        <v>44018</v>
      </c>
      <c r="C1630" s="5">
        <v>1631.72</v>
      </c>
      <c r="D1630" s="6">
        <f t="shared" si="28"/>
        <v>-0.45656612080823017</v>
      </c>
      <c r="E1630" s="6">
        <v>7.782005039774777E-3</v>
      </c>
    </row>
    <row r="1631" spans="2:5" x14ac:dyDescent="0.3">
      <c r="B1631" s="4">
        <v>44883</v>
      </c>
      <c r="C1631" s="5">
        <v>3002.61</v>
      </c>
      <c r="D1631" s="6">
        <f t="shared" si="28"/>
        <v>1.8086975230113</v>
      </c>
      <c r="E1631" s="6">
        <v>7.7800116129596239E-3</v>
      </c>
    </row>
    <row r="1632" spans="2:5" x14ac:dyDescent="0.3">
      <c r="B1632" s="4">
        <v>43172</v>
      </c>
      <c r="C1632" s="5">
        <v>1069.04</v>
      </c>
      <c r="D1632" s="6">
        <f t="shared" si="28"/>
        <v>-5.2622250580457726E-2</v>
      </c>
      <c r="E1632" s="6">
        <v>7.7772226359599924E-3</v>
      </c>
    </row>
    <row r="1633" spans="2:5" x14ac:dyDescent="0.3">
      <c r="B1633" s="4">
        <v>42983</v>
      </c>
      <c r="C1633" s="5">
        <v>1128.42</v>
      </c>
      <c r="D1633" s="6">
        <f t="shared" si="28"/>
        <v>24.524089572494912</v>
      </c>
      <c r="E1633" s="6">
        <v>7.7697995927553725E-3</v>
      </c>
    </row>
    <row r="1634" spans="2:5" x14ac:dyDescent="0.3">
      <c r="B1634" s="4">
        <v>38702</v>
      </c>
      <c r="C1634" s="7">
        <v>44.21</v>
      </c>
      <c r="D1634" s="6">
        <f t="shared" si="28"/>
        <v>-0.40353480841878037</v>
      </c>
      <c r="E1634" s="6">
        <v>7.7501709596536003E-3</v>
      </c>
    </row>
    <row r="1635" spans="2:5" x14ac:dyDescent="0.3">
      <c r="B1635" s="4">
        <v>39282</v>
      </c>
      <c r="C1635" s="7">
        <v>74.12</v>
      </c>
      <c r="D1635" s="6">
        <f t="shared" si="28"/>
        <v>-0.96969721747520421</v>
      </c>
      <c r="E1635" s="6">
        <v>7.7498300475867766E-3</v>
      </c>
    </row>
    <row r="1636" spans="2:5" x14ac:dyDescent="0.3">
      <c r="B1636" s="4">
        <v>45873</v>
      </c>
      <c r="C1636" s="5">
        <v>2445.98</v>
      </c>
      <c r="D1636" s="6">
        <f t="shared" si="28"/>
        <v>-0.21400408104243315</v>
      </c>
      <c r="E1636" s="6">
        <v>7.7331586471710238E-3</v>
      </c>
    </row>
    <row r="1637" spans="2:5" x14ac:dyDescent="0.3">
      <c r="B1637" s="4">
        <v>45537</v>
      </c>
      <c r="C1637" s="5">
        <v>3111.95</v>
      </c>
      <c r="D1637" s="6">
        <f t="shared" si="28"/>
        <v>6.4759765531158404</v>
      </c>
      <c r="E1637" s="6">
        <v>7.7264587495829689E-3</v>
      </c>
    </row>
    <row r="1638" spans="2:5" x14ac:dyDescent="0.3">
      <c r="B1638" s="4">
        <v>41444</v>
      </c>
      <c r="C1638" s="7">
        <v>416.26</v>
      </c>
      <c r="D1638" s="6">
        <f t="shared" si="28"/>
        <v>-0.23229007211228128</v>
      </c>
      <c r="E1638" s="6">
        <v>7.6982666795778225E-3</v>
      </c>
    </row>
    <row r="1639" spans="2:5" x14ac:dyDescent="0.3">
      <c r="B1639" s="4">
        <v>41829</v>
      </c>
      <c r="C1639" s="7">
        <v>542.21</v>
      </c>
      <c r="D1639" s="6">
        <f t="shared" si="28"/>
        <v>2.184225980737609</v>
      </c>
      <c r="E1639" s="6">
        <v>7.6941661865556265E-3</v>
      </c>
    </row>
    <row r="1640" spans="2:5" x14ac:dyDescent="0.3">
      <c r="B1640" s="4">
        <v>40218</v>
      </c>
      <c r="C1640" s="7">
        <v>170.28</v>
      </c>
      <c r="D1640" s="6">
        <f t="shared" si="28"/>
        <v>0.645058448459086</v>
      </c>
      <c r="E1640" s="6">
        <v>7.6932181323234195E-3</v>
      </c>
    </row>
    <row r="1641" spans="2:5" x14ac:dyDescent="0.3">
      <c r="B1641" s="4">
        <v>39563</v>
      </c>
      <c r="C1641" s="7">
        <v>103.51</v>
      </c>
      <c r="D1641" s="6">
        <f t="shared" si="28"/>
        <v>1.2322738386308119E-2</v>
      </c>
      <c r="E1641" s="6">
        <v>7.6908099688474127E-3</v>
      </c>
    </row>
    <row r="1642" spans="2:5" x14ac:dyDescent="0.3">
      <c r="B1642" s="4">
        <v>39701</v>
      </c>
      <c r="C1642" s="7">
        <v>102.25</v>
      </c>
      <c r="D1642" s="6">
        <f t="shared" si="28"/>
        <v>-0.7696397593890103</v>
      </c>
      <c r="E1642" s="6">
        <v>7.6870010840642666E-3</v>
      </c>
    </row>
    <row r="1643" spans="2:5" x14ac:dyDescent="0.3">
      <c r="B1643" s="4">
        <v>41365</v>
      </c>
      <c r="C1643" s="7">
        <v>443.87</v>
      </c>
      <c r="D1643" s="6">
        <f t="shared" si="28"/>
        <v>-0.81801073395134871</v>
      </c>
      <c r="E1643" s="6">
        <v>7.673272946037357E-3</v>
      </c>
    </row>
    <row r="1644" spans="2:5" x14ac:dyDescent="0.3">
      <c r="B1644" s="4">
        <v>45845</v>
      </c>
      <c r="C1644" s="5">
        <v>2438.9899999999998</v>
      </c>
      <c r="D1644" s="6">
        <f t="shared" si="28"/>
        <v>4.6005648809387125</v>
      </c>
      <c r="E1644" s="6">
        <v>7.6722221763163862E-3</v>
      </c>
    </row>
    <row r="1645" spans="2:5" x14ac:dyDescent="0.3">
      <c r="B1645" s="4">
        <v>41410</v>
      </c>
      <c r="C1645" s="7">
        <v>435.49</v>
      </c>
      <c r="D1645" s="6">
        <f t="shared" si="28"/>
        <v>0.57597799732204258</v>
      </c>
      <c r="E1645" s="6">
        <v>7.6588458512656813E-3</v>
      </c>
    </row>
    <row r="1646" spans="2:5" x14ac:dyDescent="0.3">
      <c r="B1646" s="4">
        <v>40835</v>
      </c>
      <c r="C1646" s="7">
        <v>276.33</v>
      </c>
      <c r="D1646" s="6">
        <f t="shared" si="28"/>
        <v>-0.74404409040385333</v>
      </c>
      <c r="E1646" s="6">
        <v>7.6578054917403847E-3</v>
      </c>
    </row>
    <row r="1647" spans="2:5" x14ac:dyDescent="0.3">
      <c r="B1647" s="4">
        <v>42905</v>
      </c>
      <c r="C1647" s="5">
        <v>1079.5999999999999</v>
      </c>
      <c r="D1647" s="6">
        <f t="shared" si="28"/>
        <v>3.7063952221108156</v>
      </c>
      <c r="E1647" s="6">
        <v>7.6441324982964749E-3</v>
      </c>
    </row>
    <row r="1648" spans="2:5" x14ac:dyDescent="0.3">
      <c r="B1648" s="4">
        <v>40392</v>
      </c>
      <c r="C1648" s="7">
        <v>229.39</v>
      </c>
      <c r="D1648" s="6">
        <f t="shared" si="28"/>
        <v>3.3461538461538458</v>
      </c>
      <c r="E1648" s="6">
        <v>7.6433121019107431E-3</v>
      </c>
    </row>
    <row r="1649" spans="2:5" x14ac:dyDescent="0.3">
      <c r="B1649" s="4">
        <v>38964</v>
      </c>
      <c r="C1649" s="7">
        <v>52.78</v>
      </c>
      <c r="D1649" s="6">
        <f t="shared" si="28"/>
        <v>-0.79700780739202337</v>
      </c>
      <c r="E1649" s="6">
        <v>7.6365024818632792E-3</v>
      </c>
    </row>
    <row r="1650" spans="2:5" x14ac:dyDescent="0.3">
      <c r="B1650" s="4">
        <v>40535</v>
      </c>
      <c r="C1650" s="7">
        <v>260.01</v>
      </c>
      <c r="D1650" s="6">
        <f t="shared" si="28"/>
        <v>-0.79108614954442458</v>
      </c>
      <c r="E1650" s="6">
        <v>7.6344752751510243E-3</v>
      </c>
    </row>
    <row r="1651" spans="2:5" x14ac:dyDescent="0.3">
      <c r="B1651" s="4">
        <v>43348</v>
      </c>
      <c r="C1651" s="5">
        <v>1244.58</v>
      </c>
      <c r="D1651" s="6">
        <f t="shared" si="28"/>
        <v>15.791419320021586</v>
      </c>
      <c r="E1651" s="6">
        <v>7.6265423103078506E-3</v>
      </c>
    </row>
    <row r="1652" spans="2:5" x14ac:dyDescent="0.3">
      <c r="B1652" s="4">
        <v>39808</v>
      </c>
      <c r="C1652" s="7">
        <v>74.12</v>
      </c>
      <c r="D1652" s="6">
        <f t="shared" si="28"/>
        <v>-0.68026917435941681</v>
      </c>
      <c r="E1652" s="6">
        <v>7.6128330614464688E-3</v>
      </c>
    </row>
    <row r="1653" spans="2:5" x14ac:dyDescent="0.3">
      <c r="B1653" s="4">
        <v>40408</v>
      </c>
      <c r="C1653" s="7">
        <v>231.82</v>
      </c>
      <c r="D1653" s="6">
        <f t="shared" si="28"/>
        <v>-0.90954777790783869</v>
      </c>
      <c r="E1653" s="6">
        <v>7.606380666753597E-3</v>
      </c>
    </row>
    <row r="1654" spans="2:5" x14ac:dyDescent="0.3">
      <c r="B1654" s="4">
        <v>46134</v>
      </c>
      <c r="C1654" s="5">
        <v>2562.9</v>
      </c>
      <c r="D1654" s="6">
        <f t="shared" si="28"/>
        <v>7.5980721434808898E-2</v>
      </c>
      <c r="E1654" s="6">
        <v>7.5876710174556461E-3</v>
      </c>
    </row>
    <row r="1655" spans="2:5" x14ac:dyDescent="0.3">
      <c r="B1655" s="4">
        <v>45639</v>
      </c>
      <c r="C1655" s="5">
        <v>2381.92</v>
      </c>
      <c r="D1655" s="6">
        <f t="shared" si="28"/>
        <v>3.7663184856125187</v>
      </c>
      <c r="E1655" s="6">
        <v>7.5718479539090581E-3</v>
      </c>
    </row>
    <row r="1656" spans="2:5" x14ac:dyDescent="0.3">
      <c r="B1656" s="4">
        <v>41584</v>
      </c>
      <c r="C1656" s="7">
        <v>499.74</v>
      </c>
      <c r="D1656" s="6">
        <f t="shared" si="28"/>
        <v>-0.67408402572162729</v>
      </c>
      <c r="E1656" s="6">
        <v>7.5606363031512731E-3</v>
      </c>
    </row>
    <row r="1657" spans="2:5" x14ac:dyDescent="0.3">
      <c r="B1657" s="4">
        <v>43706</v>
      </c>
      <c r="C1657" s="5">
        <v>1533.34</v>
      </c>
      <c r="D1657" s="6">
        <f t="shared" si="28"/>
        <v>30.898065321406282</v>
      </c>
      <c r="E1657" s="6">
        <v>7.5500213555869562E-3</v>
      </c>
    </row>
    <row r="1658" spans="2:5" x14ac:dyDescent="0.3">
      <c r="B1658" s="4">
        <v>38720</v>
      </c>
      <c r="C1658" s="7">
        <v>48.07</v>
      </c>
      <c r="D1658" s="6">
        <f t="shared" si="28"/>
        <v>-0.97133537668904824</v>
      </c>
      <c r="E1658" s="6">
        <v>7.5455879270593046E-3</v>
      </c>
    </row>
    <row r="1659" spans="2:5" x14ac:dyDescent="0.3">
      <c r="B1659" s="4">
        <v>43938</v>
      </c>
      <c r="C1659" s="5">
        <v>1676.98</v>
      </c>
      <c r="D1659" s="6">
        <f t="shared" si="28"/>
        <v>53.553675992192588</v>
      </c>
      <c r="E1659" s="6">
        <v>7.5401188394825583E-3</v>
      </c>
    </row>
    <row r="1660" spans="2:5" x14ac:dyDescent="0.3">
      <c r="B1660" s="4">
        <v>38497</v>
      </c>
      <c r="C1660" s="7">
        <v>30.74</v>
      </c>
      <c r="D1660" s="6">
        <f t="shared" si="28"/>
        <v>-0.95816320975556646</v>
      </c>
      <c r="E1660" s="6">
        <v>7.5385119632906212E-3</v>
      </c>
    </row>
    <row r="1661" spans="2:5" x14ac:dyDescent="0.3">
      <c r="B1661" s="4">
        <v>42044</v>
      </c>
      <c r="C1661" s="7">
        <v>734.76</v>
      </c>
      <c r="D1661" s="6">
        <f t="shared" si="28"/>
        <v>-0.74550945905693455</v>
      </c>
      <c r="E1661" s="6">
        <v>7.528076021226719E-3</v>
      </c>
    </row>
    <row r="1662" spans="2:5" x14ac:dyDescent="0.3">
      <c r="B1662" s="4">
        <v>45331</v>
      </c>
      <c r="C1662" s="5">
        <v>2887.18</v>
      </c>
      <c r="D1662" s="6">
        <f t="shared" si="28"/>
        <v>0.19775150383737808</v>
      </c>
      <c r="E1662" s="6">
        <v>7.5271931630611659E-3</v>
      </c>
    </row>
    <row r="1663" spans="2:5" x14ac:dyDescent="0.3">
      <c r="B1663" s="4">
        <v>46065</v>
      </c>
      <c r="C1663" s="5">
        <v>2410.5</v>
      </c>
      <c r="D1663" s="6">
        <f t="shared" si="28"/>
        <v>4.4416777659886675</v>
      </c>
      <c r="E1663" s="6">
        <v>7.5235109717868339E-3</v>
      </c>
    </row>
    <row r="1664" spans="2:5" x14ac:dyDescent="0.3">
      <c r="B1664" s="4">
        <v>41628</v>
      </c>
      <c r="C1664" s="7">
        <v>442.97</v>
      </c>
      <c r="D1664" s="6">
        <f t="shared" si="28"/>
        <v>-0.84023299430137788</v>
      </c>
      <c r="E1664" s="6">
        <v>7.5056292219164633E-3</v>
      </c>
    </row>
    <row r="1665" spans="2:5" x14ac:dyDescent="0.3">
      <c r="B1665" s="4">
        <v>46024</v>
      </c>
      <c r="C1665" s="5">
        <v>2772.6</v>
      </c>
      <c r="D1665" s="6">
        <f t="shared" si="28"/>
        <v>-9.9702888315230678E-2</v>
      </c>
      <c r="E1665" s="6">
        <v>7.4854651162790369E-3</v>
      </c>
    </row>
    <row r="1666" spans="2:5" x14ac:dyDescent="0.3">
      <c r="B1666" s="4">
        <v>44473</v>
      </c>
      <c r="C1666" s="5">
        <v>3079.65</v>
      </c>
      <c r="D1666" s="6">
        <f t="shared" si="28"/>
        <v>119.11115444617785</v>
      </c>
      <c r="E1666" s="6">
        <v>7.4751373985867276E-3</v>
      </c>
    </row>
    <row r="1667" spans="2:5" x14ac:dyDescent="0.3">
      <c r="B1667" s="4">
        <v>38349</v>
      </c>
      <c r="C1667" s="7">
        <v>25.64</v>
      </c>
      <c r="D1667" s="6">
        <f t="shared" si="28"/>
        <v>-0.54882984339257435</v>
      </c>
      <c r="E1667" s="6">
        <v>7.4656188605108555E-3</v>
      </c>
    </row>
    <row r="1668" spans="2:5" x14ac:dyDescent="0.3">
      <c r="B1668" s="4">
        <v>39042</v>
      </c>
      <c r="C1668" s="7">
        <v>56.83</v>
      </c>
      <c r="D1668" s="6">
        <f t="shared" si="28"/>
        <v>-0.92714289377195447</v>
      </c>
      <c r="E1668" s="6">
        <v>7.445488388583615E-3</v>
      </c>
    </row>
    <row r="1669" spans="2:5" x14ac:dyDescent="0.3">
      <c r="B1669" s="4">
        <v>42103</v>
      </c>
      <c r="C1669" s="7">
        <v>780.02</v>
      </c>
      <c r="D1669" s="6">
        <f t="shared" si="28"/>
        <v>-0.6554377595193922</v>
      </c>
      <c r="E1669" s="6">
        <v>7.4393614548084507E-3</v>
      </c>
    </row>
    <row r="1670" spans="2:5" x14ac:dyDescent="0.3">
      <c r="B1670" s="4">
        <v>45656</v>
      </c>
      <c r="C1670" s="5">
        <v>2263.8000000000002</v>
      </c>
      <c r="D1670" s="6">
        <f t="shared" si="28"/>
        <v>97.042442615851016</v>
      </c>
      <c r="E1670" s="6">
        <v>7.418351408240766E-3</v>
      </c>
    </row>
    <row r="1671" spans="2:5" x14ac:dyDescent="0.3">
      <c r="B1671" s="4">
        <v>37911</v>
      </c>
      <c r="C1671" s="7">
        <v>23.09</v>
      </c>
      <c r="D1671" s="6">
        <f t="shared" si="28"/>
        <v>-0.97076289965178852</v>
      </c>
      <c r="E1671" s="6">
        <v>7.4171029668411055E-3</v>
      </c>
    </row>
    <row r="1672" spans="2:5" x14ac:dyDescent="0.3">
      <c r="B1672" s="4">
        <v>42332</v>
      </c>
      <c r="C1672" s="7">
        <v>789.75</v>
      </c>
      <c r="D1672" s="6">
        <f t="shared" ref="D1672:D1735" si="29">((C1672-C1673)/C1673)</f>
        <v>-0.7620769126485607</v>
      </c>
      <c r="E1672" s="6">
        <v>7.411281475623064E-3</v>
      </c>
    </row>
    <row r="1673" spans="2:5" x14ac:dyDescent="0.3">
      <c r="B1673" s="4">
        <v>45113</v>
      </c>
      <c r="C1673" s="5">
        <v>3319.35</v>
      </c>
      <c r="D1673" s="6">
        <f t="shared" si="29"/>
        <v>202.39154411764704</v>
      </c>
      <c r="E1673" s="6">
        <v>7.4083291349766166E-3</v>
      </c>
    </row>
    <row r="1674" spans="2:5" x14ac:dyDescent="0.3">
      <c r="B1674" s="4">
        <v>37560</v>
      </c>
      <c r="C1674" s="7">
        <v>16.32</v>
      </c>
      <c r="D1674" s="6">
        <f t="shared" si="29"/>
        <v>-0.84838350055741352</v>
      </c>
      <c r="E1674" s="6">
        <v>7.4074074074074693E-3</v>
      </c>
    </row>
    <row r="1675" spans="2:5" x14ac:dyDescent="0.3">
      <c r="B1675" s="4">
        <v>39612</v>
      </c>
      <c r="C1675" s="7">
        <v>107.64</v>
      </c>
      <c r="D1675" s="6">
        <f t="shared" si="29"/>
        <v>-0.89962326084523858</v>
      </c>
      <c r="E1675" s="6">
        <v>7.3935423490875648E-3</v>
      </c>
    </row>
    <row r="1676" spans="2:5" x14ac:dyDescent="0.3">
      <c r="B1676" s="4">
        <v>43147</v>
      </c>
      <c r="C1676" s="5">
        <v>1072.3599999999999</v>
      </c>
      <c r="D1676" s="6">
        <f t="shared" si="29"/>
        <v>-0.69009175637598452</v>
      </c>
      <c r="E1676" s="6">
        <v>7.3932117727737142E-3</v>
      </c>
    </row>
    <row r="1677" spans="2:5" x14ac:dyDescent="0.3">
      <c r="B1677" s="4">
        <v>45131</v>
      </c>
      <c r="C1677" s="5">
        <v>3460.25</v>
      </c>
      <c r="D1677" s="6">
        <f t="shared" si="29"/>
        <v>1.2233966677161712</v>
      </c>
      <c r="E1677" s="6">
        <v>7.3889259273277035E-3</v>
      </c>
    </row>
    <row r="1678" spans="2:5" x14ac:dyDescent="0.3">
      <c r="B1678" s="4">
        <v>43977</v>
      </c>
      <c r="C1678" s="5">
        <v>1556.29</v>
      </c>
      <c r="D1678" s="6">
        <f t="shared" si="29"/>
        <v>-0.51619632054414666</v>
      </c>
      <c r="E1678" s="6">
        <v>7.3856869141938879E-3</v>
      </c>
    </row>
    <row r="1679" spans="2:5" x14ac:dyDescent="0.3">
      <c r="B1679" s="4">
        <v>45092</v>
      </c>
      <c r="C1679" s="5">
        <v>3216.78</v>
      </c>
      <c r="D1679" s="6">
        <f t="shared" si="29"/>
        <v>3.0937412507317572</v>
      </c>
      <c r="E1679" s="6">
        <v>7.3844419391207511E-3</v>
      </c>
    </row>
    <row r="1680" spans="2:5" x14ac:dyDescent="0.3">
      <c r="B1680" s="4">
        <v>42104</v>
      </c>
      <c r="C1680" s="7">
        <v>785.78</v>
      </c>
      <c r="D1680" s="6">
        <f t="shared" si="29"/>
        <v>-0.5805034300509837</v>
      </c>
      <c r="E1680" s="6">
        <v>7.3844260403579283E-3</v>
      </c>
    </row>
    <row r="1681" spans="2:5" x14ac:dyDescent="0.3">
      <c r="B1681" s="4">
        <v>44103</v>
      </c>
      <c r="C1681" s="5">
        <v>1873.15</v>
      </c>
      <c r="D1681" s="6">
        <f t="shared" si="29"/>
        <v>-0.3777778515954584</v>
      </c>
      <c r="E1681" s="6">
        <v>7.3786052715079497E-3</v>
      </c>
    </row>
    <row r="1682" spans="2:5" x14ac:dyDescent="0.3">
      <c r="B1682" s="4">
        <v>45520</v>
      </c>
      <c r="C1682" s="5">
        <v>3010.42</v>
      </c>
      <c r="D1682" s="6">
        <f t="shared" si="29"/>
        <v>4.0753953535421656</v>
      </c>
      <c r="E1682" s="6">
        <v>7.3718624409799928E-3</v>
      </c>
    </row>
    <row r="1683" spans="2:5" x14ac:dyDescent="0.3">
      <c r="B1683" s="4">
        <v>41939</v>
      </c>
      <c r="C1683" s="7">
        <v>593.14</v>
      </c>
      <c r="D1683" s="6">
        <f t="shared" si="29"/>
        <v>0.49413068668446763</v>
      </c>
      <c r="E1683" s="6">
        <v>7.3709239130435329E-3</v>
      </c>
    </row>
    <row r="1684" spans="2:5" x14ac:dyDescent="0.3">
      <c r="B1684" s="4">
        <v>41303</v>
      </c>
      <c r="C1684" s="7">
        <v>396.98</v>
      </c>
      <c r="D1684" s="6">
        <f t="shared" si="29"/>
        <v>-0.86013015245524471</v>
      </c>
      <c r="E1684" s="6">
        <v>7.3589118960618004E-3</v>
      </c>
    </row>
    <row r="1685" spans="2:5" x14ac:dyDescent="0.3">
      <c r="B1685" s="4">
        <v>44357</v>
      </c>
      <c r="C1685" s="5">
        <v>2838.21</v>
      </c>
      <c r="D1685" s="6">
        <f t="shared" si="29"/>
        <v>18.360231923601638</v>
      </c>
      <c r="E1685" s="6">
        <v>7.3576387410026044E-3</v>
      </c>
    </row>
    <row r="1686" spans="2:5" x14ac:dyDescent="0.3">
      <c r="B1686" s="4">
        <v>40136</v>
      </c>
      <c r="C1686" s="7">
        <v>146.6</v>
      </c>
      <c r="D1686" s="6">
        <f t="shared" si="29"/>
        <v>-0.86509119687850844</v>
      </c>
      <c r="E1686" s="6">
        <v>7.3524359238644485E-3</v>
      </c>
    </row>
    <row r="1687" spans="2:5" x14ac:dyDescent="0.3">
      <c r="B1687" s="4">
        <v>42947</v>
      </c>
      <c r="C1687" s="5">
        <v>1086.6600000000001</v>
      </c>
      <c r="D1687" s="6">
        <f t="shared" si="29"/>
        <v>64.898120072771391</v>
      </c>
      <c r="E1687" s="6">
        <v>7.3325608342990328E-3</v>
      </c>
    </row>
    <row r="1688" spans="2:5" x14ac:dyDescent="0.3">
      <c r="B1688" s="4">
        <v>37476</v>
      </c>
      <c r="C1688" s="7">
        <v>16.489999999999998</v>
      </c>
      <c r="D1688" s="6">
        <f t="shared" si="29"/>
        <v>-0.98354176439471819</v>
      </c>
      <c r="E1688" s="6">
        <v>7.3304825901036917E-3</v>
      </c>
    </row>
    <row r="1689" spans="2:5" x14ac:dyDescent="0.3">
      <c r="B1689" s="4">
        <v>42838</v>
      </c>
      <c r="C1689" s="5">
        <v>1001.93</v>
      </c>
      <c r="D1689" s="6">
        <f t="shared" si="29"/>
        <v>-0.23986799180638796</v>
      </c>
      <c r="E1689" s="6">
        <v>7.3292849674253639E-3</v>
      </c>
    </row>
    <row r="1690" spans="2:5" x14ac:dyDescent="0.3">
      <c r="B1690" s="4">
        <v>43472</v>
      </c>
      <c r="C1690" s="5">
        <v>1318.1</v>
      </c>
      <c r="D1690" s="6">
        <f t="shared" si="29"/>
        <v>-0.4213377585783023</v>
      </c>
      <c r="E1690" s="6">
        <v>7.3289466645267655E-3</v>
      </c>
    </row>
    <row r="1691" spans="2:5" x14ac:dyDescent="0.3">
      <c r="B1691" s="4">
        <v>45826</v>
      </c>
      <c r="C1691" s="5">
        <v>2277.84</v>
      </c>
      <c r="D1691" s="6">
        <f t="shared" si="29"/>
        <v>-4.3056533009279705E-3</v>
      </c>
      <c r="E1691" s="6">
        <v>7.327740605942751E-3</v>
      </c>
    </row>
    <row r="1692" spans="2:5" x14ac:dyDescent="0.3">
      <c r="B1692" s="4">
        <v>45798</v>
      </c>
      <c r="C1692" s="5">
        <v>2287.69</v>
      </c>
      <c r="D1692" s="6">
        <f t="shared" si="29"/>
        <v>1.1211578937608369</v>
      </c>
      <c r="E1692" s="6">
        <v>7.3181363850519316E-3</v>
      </c>
    </row>
    <row r="1693" spans="2:5" x14ac:dyDescent="0.3">
      <c r="B1693" s="4">
        <v>42632</v>
      </c>
      <c r="C1693" s="5">
        <v>1078.51</v>
      </c>
      <c r="D1693" s="6">
        <f t="shared" si="29"/>
        <v>-0.49363350392037186</v>
      </c>
      <c r="E1693" s="6">
        <v>7.3131094257854138E-3</v>
      </c>
    </row>
    <row r="1694" spans="2:5" x14ac:dyDescent="0.3">
      <c r="B1694" s="4">
        <v>44144</v>
      </c>
      <c r="C1694" s="5">
        <v>2129.9</v>
      </c>
      <c r="D1694" s="6">
        <f t="shared" si="29"/>
        <v>24.343883864826275</v>
      </c>
      <c r="E1694" s="6">
        <v>7.3116286108851685E-3</v>
      </c>
    </row>
    <row r="1695" spans="2:5" x14ac:dyDescent="0.3">
      <c r="B1695" s="4">
        <v>39412</v>
      </c>
      <c r="C1695" s="7">
        <v>84.04</v>
      </c>
      <c r="D1695" s="6">
        <f t="shared" si="29"/>
        <v>-0.9722157018973594</v>
      </c>
      <c r="E1695" s="6">
        <v>7.311518638379472E-3</v>
      </c>
    </row>
    <row r="1696" spans="2:5" x14ac:dyDescent="0.3">
      <c r="B1696" s="4">
        <v>44656</v>
      </c>
      <c r="C1696" s="5">
        <v>3024.73</v>
      </c>
      <c r="D1696" s="6">
        <f t="shared" si="29"/>
        <v>1.3477002126701747</v>
      </c>
      <c r="E1696" s="6">
        <v>7.309892832641691E-3</v>
      </c>
    </row>
    <row r="1697" spans="2:5" x14ac:dyDescent="0.3">
      <c r="B1697" s="4">
        <v>43294</v>
      </c>
      <c r="C1697" s="5">
        <v>1288.3800000000001</v>
      </c>
      <c r="D1697" s="6">
        <f t="shared" si="29"/>
        <v>0.65454802296164072</v>
      </c>
      <c r="E1697" s="6">
        <v>7.2944763691803723E-3</v>
      </c>
    </row>
    <row r="1698" spans="2:5" x14ac:dyDescent="0.3">
      <c r="B1698" s="4">
        <v>42339</v>
      </c>
      <c r="C1698" s="7">
        <v>778.69</v>
      </c>
      <c r="D1698" s="6">
        <f t="shared" si="29"/>
        <v>-0.43881838295173642</v>
      </c>
      <c r="E1698" s="6">
        <v>7.2827464879829636E-3</v>
      </c>
    </row>
    <row r="1699" spans="2:5" x14ac:dyDescent="0.3">
      <c r="B1699" s="4">
        <v>43573</v>
      </c>
      <c r="C1699" s="5">
        <v>1387.59</v>
      </c>
      <c r="D1699" s="6">
        <f t="shared" si="29"/>
        <v>-0.54235158311345644</v>
      </c>
      <c r="E1699" s="6">
        <v>7.2663656557150885E-3</v>
      </c>
    </row>
    <row r="1700" spans="2:5" x14ac:dyDescent="0.3">
      <c r="B1700" s="4">
        <v>44678</v>
      </c>
      <c r="C1700" s="5">
        <v>3032</v>
      </c>
      <c r="D1700" s="6">
        <f t="shared" si="29"/>
        <v>127.42016094875052</v>
      </c>
      <c r="E1700" s="6">
        <v>7.2621206987050864E-3</v>
      </c>
    </row>
    <row r="1701" spans="2:5" x14ac:dyDescent="0.3">
      <c r="B1701" s="4">
        <v>38072</v>
      </c>
      <c r="C1701" s="7">
        <v>23.61</v>
      </c>
      <c r="D1701" s="6">
        <f t="shared" si="29"/>
        <v>-0.97757302303490867</v>
      </c>
      <c r="E1701" s="6">
        <v>7.2525597269623779E-3</v>
      </c>
    </row>
    <row r="1702" spans="2:5" x14ac:dyDescent="0.3">
      <c r="B1702" s="4">
        <v>42933</v>
      </c>
      <c r="C1702" s="5">
        <v>1052.75</v>
      </c>
      <c r="D1702" s="6">
        <f t="shared" si="29"/>
        <v>-6.7785353758965688E-2</v>
      </c>
      <c r="E1702" s="6">
        <v>7.2524086990632406E-3</v>
      </c>
    </row>
    <row r="1703" spans="2:5" x14ac:dyDescent="0.3">
      <c r="B1703" s="4">
        <v>43402</v>
      </c>
      <c r="C1703" s="5">
        <v>1129.3</v>
      </c>
      <c r="D1703" s="6">
        <f t="shared" si="29"/>
        <v>4.6384492791223406E-2</v>
      </c>
      <c r="E1703" s="6">
        <v>7.2423696462654442E-3</v>
      </c>
    </row>
    <row r="1704" spans="2:5" x14ac:dyDescent="0.3">
      <c r="B1704" s="4">
        <v>42893</v>
      </c>
      <c r="C1704" s="5">
        <v>1079.24</v>
      </c>
      <c r="D1704" s="6">
        <f t="shared" si="29"/>
        <v>1.2544755697603978</v>
      </c>
      <c r="E1704" s="6">
        <v>7.2423190353529615E-3</v>
      </c>
    </row>
    <row r="1705" spans="2:5" x14ac:dyDescent="0.3">
      <c r="B1705" s="4">
        <v>41724</v>
      </c>
      <c r="C1705" s="7">
        <v>478.71</v>
      </c>
      <c r="D1705" s="6">
        <f t="shared" si="29"/>
        <v>0.30870171409825298</v>
      </c>
      <c r="E1705" s="6">
        <v>7.2379910366738862E-3</v>
      </c>
    </row>
    <row r="1706" spans="2:5" x14ac:dyDescent="0.3">
      <c r="B1706" s="4">
        <v>41239</v>
      </c>
      <c r="C1706" s="7">
        <v>365.79</v>
      </c>
      <c r="D1706" s="6">
        <f t="shared" si="29"/>
        <v>-0.47711418605980893</v>
      </c>
      <c r="E1706" s="6">
        <v>7.2142522785472486E-3</v>
      </c>
    </row>
    <row r="1707" spans="2:5" x14ac:dyDescent="0.3">
      <c r="B1707" s="4">
        <v>42186</v>
      </c>
      <c r="C1707" s="7">
        <v>699.56</v>
      </c>
      <c r="D1707" s="6">
        <f t="shared" si="29"/>
        <v>-0.74830810633834999</v>
      </c>
      <c r="E1707" s="6">
        <v>7.2133035778561535E-3</v>
      </c>
    </row>
    <row r="1708" spans="2:5" x14ac:dyDescent="0.3">
      <c r="B1708" s="4">
        <v>45373</v>
      </c>
      <c r="C1708" s="5">
        <v>2779.43</v>
      </c>
      <c r="D1708" s="6">
        <f t="shared" si="29"/>
        <v>1.1973863133261651</v>
      </c>
      <c r="E1708" s="6">
        <v>7.2113729511908316E-3</v>
      </c>
    </row>
    <row r="1709" spans="2:5" x14ac:dyDescent="0.3">
      <c r="B1709" s="4">
        <v>43657</v>
      </c>
      <c r="C1709" s="5">
        <v>1264.8800000000001</v>
      </c>
      <c r="D1709" s="6">
        <f t="shared" si="29"/>
        <v>-4.2866979939918025E-2</v>
      </c>
      <c r="E1709" s="6">
        <v>7.1823292405206072E-3</v>
      </c>
    </row>
    <row r="1710" spans="2:5" x14ac:dyDescent="0.3">
      <c r="B1710" s="4">
        <v>43300</v>
      </c>
      <c r="C1710" s="5">
        <v>1321.53</v>
      </c>
      <c r="D1710" s="6">
        <f t="shared" si="29"/>
        <v>-0.34310085148898734</v>
      </c>
      <c r="E1710" s="6">
        <v>7.1792761277637345E-3</v>
      </c>
    </row>
    <row r="1711" spans="2:5" x14ac:dyDescent="0.3">
      <c r="B1711" s="4">
        <v>44111</v>
      </c>
      <c r="C1711" s="5">
        <v>2011.77</v>
      </c>
      <c r="D1711" s="6">
        <f t="shared" si="29"/>
        <v>1.487813021702838</v>
      </c>
      <c r="E1711" s="6">
        <v>7.1741829541813159E-3</v>
      </c>
    </row>
    <row r="1712" spans="2:5" x14ac:dyDescent="0.3">
      <c r="B1712" s="4">
        <v>42423</v>
      </c>
      <c r="C1712" s="7">
        <v>808.65</v>
      </c>
      <c r="D1712" s="6">
        <f t="shared" si="29"/>
        <v>10.743392390357247</v>
      </c>
      <c r="E1712" s="6">
        <v>7.1740836229122187E-3</v>
      </c>
    </row>
    <row r="1713" spans="2:5" x14ac:dyDescent="0.3">
      <c r="B1713" s="4">
        <v>39226</v>
      </c>
      <c r="C1713" s="7">
        <v>68.86</v>
      </c>
      <c r="D1713" s="6">
        <f t="shared" si="29"/>
        <v>-0.95864140064266201</v>
      </c>
      <c r="E1713" s="6">
        <v>7.1668860611378508E-3</v>
      </c>
    </row>
    <row r="1714" spans="2:5" x14ac:dyDescent="0.3">
      <c r="B1714" s="4">
        <v>43811</v>
      </c>
      <c r="C1714" s="5">
        <v>1664.95</v>
      </c>
      <c r="D1714" s="6">
        <f t="shared" si="29"/>
        <v>97.576080521018341</v>
      </c>
      <c r="E1714" s="6">
        <v>7.1622578049858427E-3</v>
      </c>
    </row>
    <row r="1715" spans="2:5" x14ac:dyDescent="0.3">
      <c r="B1715" s="4">
        <v>37540</v>
      </c>
      <c r="C1715" s="7">
        <v>16.89</v>
      </c>
      <c r="D1715" s="6">
        <f t="shared" si="29"/>
        <v>-0.98437427722937143</v>
      </c>
      <c r="E1715" s="6">
        <v>7.1556350626118667E-3</v>
      </c>
    </row>
    <row r="1716" spans="2:5" x14ac:dyDescent="0.3">
      <c r="B1716" s="4">
        <v>42956</v>
      </c>
      <c r="C1716" s="5">
        <v>1080.9100000000001</v>
      </c>
      <c r="D1716" s="6">
        <f t="shared" si="29"/>
        <v>2.9702846648301198</v>
      </c>
      <c r="E1716" s="6">
        <v>7.1465841750214983E-3</v>
      </c>
    </row>
    <row r="1717" spans="2:5" x14ac:dyDescent="0.3">
      <c r="B1717" s="4">
        <v>40763</v>
      </c>
      <c r="C1717" s="7">
        <v>272.25</v>
      </c>
      <c r="D1717" s="6">
        <f t="shared" si="29"/>
        <v>-0.90721965682348726</v>
      </c>
      <c r="E1717" s="6">
        <v>7.1396862977212445E-3</v>
      </c>
    </row>
    <row r="1718" spans="2:5" x14ac:dyDescent="0.3">
      <c r="B1718" s="4">
        <v>44645</v>
      </c>
      <c r="C1718" s="5">
        <v>2934.35</v>
      </c>
      <c r="D1718" s="6">
        <f t="shared" si="29"/>
        <v>70.569512195121945</v>
      </c>
      <c r="E1718" s="6">
        <v>7.1390571639408026E-3</v>
      </c>
    </row>
    <row r="1719" spans="2:5" x14ac:dyDescent="0.3">
      <c r="B1719" s="4">
        <v>38677</v>
      </c>
      <c r="C1719" s="7">
        <v>41</v>
      </c>
      <c r="D1719" s="6">
        <f t="shared" si="29"/>
        <v>0.38000673174015481</v>
      </c>
      <c r="E1719" s="6">
        <v>7.1235568656349583E-3</v>
      </c>
    </row>
    <row r="1720" spans="2:5" x14ac:dyDescent="0.3">
      <c r="B1720" s="4">
        <v>38427</v>
      </c>
      <c r="C1720" s="7">
        <v>29.71</v>
      </c>
      <c r="D1720" s="6">
        <f t="shared" si="29"/>
        <v>-0.99019413694542913</v>
      </c>
      <c r="E1720" s="6">
        <v>7.1186440677966393E-3</v>
      </c>
    </row>
    <row r="1721" spans="2:5" x14ac:dyDescent="0.3">
      <c r="B1721" s="4">
        <v>45071</v>
      </c>
      <c r="C1721" s="5">
        <v>3029.82</v>
      </c>
      <c r="D1721" s="6">
        <f t="shared" si="29"/>
        <v>4.9902800253655032E-2</v>
      </c>
      <c r="E1721" s="6">
        <v>7.1100208414356754E-3</v>
      </c>
    </row>
    <row r="1722" spans="2:5" x14ac:dyDescent="0.3">
      <c r="B1722" s="4">
        <v>45232</v>
      </c>
      <c r="C1722" s="5">
        <v>2885.81</v>
      </c>
      <c r="D1722" s="6">
        <f t="shared" si="29"/>
        <v>6.0277395058326425E-2</v>
      </c>
      <c r="E1722" s="6">
        <v>7.1053412204017266E-3</v>
      </c>
    </row>
    <row r="1723" spans="2:5" x14ac:dyDescent="0.3">
      <c r="B1723" s="4">
        <v>44973</v>
      </c>
      <c r="C1723" s="5">
        <v>2721.75</v>
      </c>
      <c r="D1723" s="6">
        <f t="shared" si="29"/>
        <v>173.47115384615387</v>
      </c>
      <c r="E1723" s="6">
        <v>7.1044013986789577E-3</v>
      </c>
    </row>
    <row r="1724" spans="2:5" x14ac:dyDescent="0.3">
      <c r="B1724" s="4">
        <v>37686</v>
      </c>
      <c r="C1724" s="7">
        <v>15.6</v>
      </c>
      <c r="D1724" s="6">
        <f t="shared" si="29"/>
        <v>-0.99351820304644456</v>
      </c>
      <c r="E1724" s="6">
        <v>7.1013557133634232E-3</v>
      </c>
    </row>
    <row r="1725" spans="2:5" x14ac:dyDescent="0.3">
      <c r="B1725" s="4">
        <v>45854</v>
      </c>
      <c r="C1725" s="5">
        <v>2406.7399999999998</v>
      </c>
      <c r="D1725" s="6">
        <f t="shared" si="29"/>
        <v>2.0247206826779269</v>
      </c>
      <c r="E1725" s="6">
        <v>7.1011017796690891E-3</v>
      </c>
    </row>
    <row r="1726" spans="2:5" x14ac:dyDescent="0.3">
      <c r="B1726" s="4">
        <v>42290</v>
      </c>
      <c r="C1726" s="7">
        <v>795.69</v>
      </c>
      <c r="D1726" s="6">
        <f t="shared" si="29"/>
        <v>-0.67393763061918621</v>
      </c>
      <c r="E1726" s="6">
        <v>7.1005467800729213E-3</v>
      </c>
    </row>
    <row r="1727" spans="2:5" x14ac:dyDescent="0.3">
      <c r="B1727" s="4">
        <v>46128</v>
      </c>
      <c r="C1727" s="5">
        <v>2440.3000000000002</v>
      </c>
      <c r="D1727" s="6">
        <f t="shared" si="29"/>
        <v>6.5279645183257934E-2</v>
      </c>
      <c r="E1727" s="6">
        <v>7.0983450951261906E-3</v>
      </c>
    </row>
    <row r="1728" spans="2:5" x14ac:dyDescent="0.3">
      <c r="B1728" s="4">
        <v>45800</v>
      </c>
      <c r="C1728" s="5">
        <v>2290.7600000000002</v>
      </c>
      <c r="D1728" s="6">
        <f t="shared" si="29"/>
        <v>-0.11894185022365297</v>
      </c>
      <c r="E1728" s="6">
        <v>7.0912631944536507E-3</v>
      </c>
    </row>
    <row r="1729" spans="2:5" x14ac:dyDescent="0.3">
      <c r="B1729" s="4">
        <v>44217</v>
      </c>
      <c r="C1729" s="5">
        <v>2600.0100000000002</v>
      </c>
      <c r="D1729" s="6">
        <f t="shared" si="29"/>
        <v>23.040776699029127</v>
      </c>
      <c r="E1729" s="6">
        <v>7.080523524923288E-3</v>
      </c>
    </row>
    <row r="1730" spans="2:5" x14ac:dyDescent="0.3">
      <c r="B1730" s="4">
        <v>39573</v>
      </c>
      <c r="C1730" s="7">
        <v>108.15</v>
      </c>
      <c r="D1730" s="6">
        <f t="shared" si="29"/>
        <v>-0.95466131182453107</v>
      </c>
      <c r="E1730" s="6">
        <v>7.0770090324984184E-3</v>
      </c>
    </row>
    <row r="1731" spans="2:5" x14ac:dyDescent="0.3">
      <c r="B1731" s="4">
        <v>45756</v>
      </c>
      <c r="C1731" s="5">
        <v>2385.38</v>
      </c>
      <c r="D1731" s="6">
        <f t="shared" si="29"/>
        <v>9.2056951883898688E-2</v>
      </c>
      <c r="E1731" s="6">
        <v>7.0758500730384016E-3</v>
      </c>
    </row>
    <row r="1732" spans="2:5" x14ac:dyDescent="0.3">
      <c r="B1732" s="4">
        <v>46118</v>
      </c>
      <c r="C1732" s="5">
        <v>2184.3000000000002</v>
      </c>
      <c r="D1732" s="6">
        <f t="shared" si="29"/>
        <v>42.67726454709058</v>
      </c>
      <c r="E1732" s="6">
        <v>7.0539419087137772E-3</v>
      </c>
    </row>
    <row r="1733" spans="2:5" x14ac:dyDescent="0.3">
      <c r="B1733" s="4">
        <v>38931</v>
      </c>
      <c r="C1733" s="7">
        <v>50.01</v>
      </c>
      <c r="D1733" s="6">
        <f t="shared" si="29"/>
        <v>-0.40725376318596662</v>
      </c>
      <c r="E1733" s="6">
        <v>7.0479258960934642E-3</v>
      </c>
    </row>
    <row r="1734" spans="2:5" x14ac:dyDescent="0.3">
      <c r="B1734" s="4">
        <v>39421</v>
      </c>
      <c r="C1734" s="7">
        <v>84.37</v>
      </c>
      <c r="D1734" s="6">
        <f t="shared" si="29"/>
        <v>-0.18095330550431996</v>
      </c>
      <c r="E1734" s="6">
        <v>7.0422535211268015E-3</v>
      </c>
    </row>
    <row r="1735" spans="2:5" x14ac:dyDescent="0.3">
      <c r="B1735" s="4">
        <v>39997</v>
      </c>
      <c r="C1735" s="7">
        <v>103.01</v>
      </c>
      <c r="D1735" s="6">
        <f t="shared" si="29"/>
        <v>-0.90495829642751702</v>
      </c>
      <c r="E1735" s="6">
        <v>7.0388112229934387E-3</v>
      </c>
    </row>
    <row r="1736" spans="2:5" x14ac:dyDescent="0.3">
      <c r="B1736" s="4">
        <v>42866</v>
      </c>
      <c r="C1736" s="5">
        <v>1083.8399999999999</v>
      </c>
      <c r="D1736" s="6">
        <f t="shared" ref="D1736:D1799" si="30">((C1736-C1737)/C1737)</f>
        <v>-0.66391411800092415</v>
      </c>
      <c r="E1736" s="6">
        <v>7.0335510606074096E-3</v>
      </c>
    </row>
    <row r="1737" spans="2:5" x14ac:dyDescent="0.3">
      <c r="B1737" s="4">
        <v>45307</v>
      </c>
      <c r="C1737" s="5">
        <v>3224.89</v>
      </c>
      <c r="D1737" s="6">
        <f t="shared" si="30"/>
        <v>9.2564548204914429E-2</v>
      </c>
      <c r="E1737" s="6">
        <v>7.0260024544168574E-3</v>
      </c>
    </row>
    <row r="1738" spans="2:5" x14ac:dyDescent="0.3">
      <c r="B1738" s="4">
        <v>44368</v>
      </c>
      <c r="C1738" s="5">
        <v>2951.67</v>
      </c>
      <c r="D1738" s="6">
        <f t="shared" si="30"/>
        <v>36.320394487292958</v>
      </c>
      <c r="E1738" s="6">
        <v>7.007536342639174E-3</v>
      </c>
    </row>
    <row r="1739" spans="2:5" x14ac:dyDescent="0.3">
      <c r="B1739" s="4">
        <v>39304</v>
      </c>
      <c r="C1739" s="7">
        <v>79.09</v>
      </c>
      <c r="D1739" s="6">
        <f t="shared" si="30"/>
        <v>-0.97369313872886198</v>
      </c>
      <c r="E1739" s="6">
        <v>7.0028011204481422E-3</v>
      </c>
    </row>
    <row r="1740" spans="2:5" x14ac:dyDescent="0.3">
      <c r="B1740" s="4">
        <v>44501</v>
      </c>
      <c r="C1740" s="5">
        <v>3006.44</v>
      </c>
      <c r="D1740" s="6">
        <f t="shared" si="30"/>
        <v>6.5688930288764134</v>
      </c>
      <c r="E1740" s="6">
        <v>7.000408636293632E-3</v>
      </c>
    </row>
    <row r="1741" spans="2:5" x14ac:dyDescent="0.3">
      <c r="B1741" s="4">
        <v>41499</v>
      </c>
      <c r="C1741" s="7">
        <v>397.21</v>
      </c>
      <c r="D1741" s="6">
        <f t="shared" si="30"/>
        <v>-0.6934895170189288</v>
      </c>
      <c r="E1741" s="6">
        <v>6.9715560513106531E-3</v>
      </c>
    </row>
    <row r="1742" spans="2:5" x14ac:dyDescent="0.3">
      <c r="B1742" s="4">
        <v>43461</v>
      </c>
      <c r="C1742" s="5">
        <v>1295.9100000000001</v>
      </c>
      <c r="D1742" s="6">
        <f t="shared" si="30"/>
        <v>20.846089008766018</v>
      </c>
      <c r="E1742" s="6">
        <v>6.9700219124434913E-3</v>
      </c>
    </row>
    <row r="1743" spans="2:5" x14ac:dyDescent="0.3">
      <c r="B1743" s="4">
        <v>39036</v>
      </c>
      <c r="C1743" s="7">
        <v>59.32</v>
      </c>
      <c r="D1743" s="6">
        <f t="shared" si="30"/>
        <v>-6.8759811616954505E-2</v>
      </c>
      <c r="E1743" s="6">
        <v>6.9597691393651967E-3</v>
      </c>
    </row>
    <row r="1744" spans="2:5" x14ac:dyDescent="0.3">
      <c r="B1744" s="4">
        <v>39171</v>
      </c>
      <c r="C1744" s="7">
        <v>63.7</v>
      </c>
      <c r="D1744" s="6">
        <f t="shared" si="30"/>
        <v>0.18688280231041551</v>
      </c>
      <c r="E1744" s="6">
        <v>6.9554220676573643E-3</v>
      </c>
    </row>
    <row r="1745" spans="2:5" x14ac:dyDescent="0.3">
      <c r="B1745" s="4">
        <v>38797</v>
      </c>
      <c r="C1745" s="7">
        <v>53.67</v>
      </c>
      <c r="D1745" s="6">
        <f t="shared" si="30"/>
        <v>-0.12001967535661584</v>
      </c>
      <c r="E1745" s="6">
        <v>6.9418386491558078E-3</v>
      </c>
    </row>
    <row r="1746" spans="2:5" x14ac:dyDescent="0.3">
      <c r="B1746" s="4">
        <v>39141</v>
      </c>
      <c r="C1746" s="7">
        <v>60.99</v>
      </c>
      <c r="D1746" s="6">
        <f t="shared" si="30"/>
        <v>1.622098022355976</v>
      </c>
      <c r="E1746" s="6">
        <v>6.9341258048539163E-3</v>
      </c>
    </row>
    <row r="1747" spans="2:5" x14ac:dyDescent="0.3">
      <c r="B1747" s="4">
        <v>38285</v>
      </c>
      <c r="C1747" s="7">
        <v>23.26</v>
      </c>
      <c r="D1747" s="6">
        <f t="shared" si="30"/>
        <v>-6.1718434852763113E-2</v>
      </c>
      <c r="E1747" s="6">
        <v>6.9264069264069325E-3</v>
      </c>
    </row>
    <row r="1748" spans="2:5" x14ac:dyDescent="0.3">
      <c r="B1748" s="4">
        <v>38243</v>
      </c>
      <c r="C1748" s="7">
        <v>24.79</v>
      </c>
      <c r="D1748" s="6">
        <f t="shared" si="30"/>
        <v>0.30473684210526314</v>
      </c>
      <c r="E1748" s="6">
        <v>6.9049553208772605E-3</v>
      </c>
    </row>
    <row r="1749" spans="2:5" x14ac:dyDescent="0.3">
      <c r="B1749" s="4">
        <v>37803</v>
      </c>
      <c r="C1749" s="7">
        <v>19</v>
      </c>
      <c r="D1749" s="6">
        <f t="shared" si="30"/>
        <v>-0.84341519696719958</v>
      </c>
      <c r="E1749" s="6">
        <v>6.8892421833597773E-3</v>
      </c>
    </row>
    <row r="1750" spans="2:5" x14ac:dyDescent="0.3">
      <c r="B1750" s="4">
        <v>40086</v>
      </c>
      <c r="C1750" s="7">
        <v>121.34</v>
      </c>
      <c r="D1750" s="6">
        <f t="shared" si="30"/>
        <v>-0.92931128898831372</v>
      </c>
      <c r="E1750" s="6">
        <v>6.8873952369097853E-3</v>
      </c>
    </row>
    <row r="1751" spans="2:5" x14ac:dyDescent="0.3">
      <c r="B1751" s="4">
        <v>43843</v>
      </c>
      <c r="C1751" s="5">
        <v>1716.54</v>
      </c>
      <c r="D1751" s="6">
        <f t="shared" si="30"/>
        <v>0.38322441316067263</v>
      </c>
      <c r="E1751" s="6">
        <v>6.8864382918817513E-3</v>
      </c>
    </row>
    <row r="1752" spans="2:5" x14ac:dyDescent="0.3">
      <c r="B1752" s="4">
        <v>43236</v>
      </c>
      <c r="C1752" s="5">
        <v>1240.97</v>
      </c>
      <c r="D1752" s="6">
        <f t="shared" si="30"/>
        <v>21.917266851338873</v>
      </c>
      <c r="E1752" s="6">
        <v>6.8803803681977286E-3</v>
      </c>
    </row>
    <row r="1753" spans="2:5" x14ac:dyDescent="0.3">
      <c r="B1753" s="4">
        <v>38776</v>
      </c>
      <c r="C1753" s="7">
        <v>54.15</v>
      </c>
      <c r="D1753" s="6">
        <f t="shared" si="30"/>
        <v>-0.97846815752640282</v>
      </c>
      <c r="E1753" s="6">
        <v>6.8798809966529829E-3</v>
      </c>
    </row>
    <row r="1754" spans="2:5" x14ac:dyDescent="0.3">
      <c r="B1754" s="4">
        <v>45957</v>
      </c>
      <c r="C1754" s="5">
        <v>2514.88</v>
      </c>
      <c r="D1754" s="6">
        <f t="shared" si="30"/>
        <v>9.7367971651795244</v>
      </c>
      <c r="E1754" s="6">
        <v>6.8783280618169886E-3</v>
      </c>
    </row>
    <row r="1755" spans="2:5" x14ac:dyDescent="0.3">
      <c r="B1755" s="4">
        <v>40515</v>
      </c>
      <c r="C1755" s="7">
        <v>234.23</v>
      </c>
      <c r="D1755" s="6">
        <f t="shared" si="30"/>
        <v>-0.88720178758897006</v>
      </c>
      <c r="E1755" s="6">
        <v>6.8778747367063331E-3</v>
      </c>
    </row>
    <row r="1756" spans="2:5" x14ac:dyDescent="0.3">
      <c r="B1756" s="4">
        <v>44139</v>
      </c>
      <c r="C1756" s="5">
        <v>2076.54</v>
      </c>
      <c r="D1756" s="6">
        <f t="shared" si="30"/>
        <v>1.2363736228231721</v>
      </c>
      <c r="E1756" s="6">
        <v>6.8707360948811677E-3</v>
      </c>
    </row>
    <row r="1757" spans="2:5" x14ac:dyDescent="0.3">
      <c r="B1757" s="4">
        <v>42773</v>
      </c>
      <c r="C1757" s="7">
        <v>928.53</v>
      </c>
      <c r="D1757" s="6">
        <f t="shared" si="30"/>
        <v>-0.71330605943651104</v>
      </c>
      <c r="E1757" s="6">
        <v>6.8531028724476382E-3</v>
      </c>
    </row>
    <row r="1758" spans="2:5" x14ac:dyDescent="0.3">
      <c r="B1758" s="4">
        <v>45093</v>
      </c>
      <c r="C1758" s="5">
        <v>3238.75</v>
      </c>
      <c r="D1758" s="6">
        <f t="shared" si="30"/>
        <v>17.128008507780141</v>
      </c>
      <c r="E1758" s="6">
        <v>6.8298111776372017E-3</v>
      </c>
    </row>
    <row r="1759" spans="2:5" x14ac:dyDescent="0.3">
      <c r="B1759" s="4">
        <v>40281</v>
      </c>
      <c r="C1759" s="7">
        <v>178.66</v>
      </c>
      <c r="D1759" s="6">
        <f t="shared" si="30"/>
        <v>9.0767061477721374</v>
      </c>
      <c r="E1759" s="6">
        <v>6.8188222034376335E-3</v>
      </c>
    </row>
    <row r="1760" spans="2:5" x14ac:dyDescent="0.3">
      <c r="B1760" s="4">
        <v>37447</v>
      </c>
      <c r="C1760" s="7">
        <v>17.73</v>
      </c>
      <c r="D1760" s="6">
        <f t="shared" si="30"/>
        <v>-0.78189199163488743</v>
      </c>
      <c r="E1760" s="6">
        <v>6.8143100511073819E-3</v>
      </c>
    </row>
    <row r="1761" spans="2:5" x14ac:dyDescent="0.3">
      <c r="B1761" s="4">
        <v>39370</v>
      </c>
      <c r="C1761" s="7">
        <v>81.290000000000006</v>
      </c>
      <c r="D1761" s="6">
        <f t="shared" si="30"/>
        <v>-0.96503791251091353</v>
      </c>
      <c r="E1761" s="6">
        <v>6.81198910081758E-3</v>
      </c>
    </row>
    <row r="1762" spans="2:5" x14ac:dyDescent="0.3">
      <c r="B1762" s="4">
        <v>45666</v>
      </c>
      <c r="C1762" s="5">
        <v>2325.09</v>
      </c>
      <c r="D1762" s="6">
        <f t="shared" si="30"/>
        <v>-3.8185654008438798E-2</v>
      </c>
      <c r="E1762" s="6">
        <v>6.7896129314414903E-3</v>
      </c>
    </row>
    <row r="1763" spans="2:5" x14ac:dyDescent="0.3">
      <c r="B1763" s="4">
        <v>46062</v>
      </c>
      <c r="C1763" s="5">
        <v>2417.4</v>
      </c>
      <c r="D1763" s="6">
        <f t="shared" si="30"/>
        <v>146.40243902439025</v>
      </c>
      <c r="E1763" s="6">
        <v>6.7885552455125495E-3</v>
      </c>
    </row>
    <row r="1764" spans="2:5" x14ac:dyDescent="0.3">
      <c r="B1764" s="4">
        <v>37657</v>
      </c>
      <c r="C1764" s="7">
        <v>16.399999999999999</v>
      </c>
      <c r="D1764" s="6">
        <f t="shared" si="30"/>
        <v>-0.78863255574171931</v>
      </c>
      <c r="E1764" s="6">
        <v>6.7526089625536793E-3</v>
      </c>
    </row>
    <row r="1765" spans="2:5" x14ac:dyDescent="0.3">
      <c r="B1765" s="4">
        <v>39941</v>
      </c>
      <c r="C1765" s="7">
        <v>77.59</v>
      </c>
      <c r="D1765" s="6">
        <f t="shared" si="30"/>
        <v>-8.8784497944803309E-2</v>
      </c>
      <c r="E1765" s="6">
        <v>6.7471130141431206E-3</v>
      </c>
    </row>
    <row r="1766" spans="2:5" x14ac:dyDescent="0.3">
      <c r="B1766" s="4">
        <v>39436</v>
      </c>
      <c r="C1766" s="7">
        <v>85.15</v>
      </c>
      <c r="D1766" s="6">
        <f t="shared" si="30"/>
        <v>-0.73903582702503912</v>
      </c>
      <c r="E1766" s="6">
        <v>6.7391818396784981E-3</v>
      </c>
    </row>
    <row r="1767" spans="2:5" x14ac:dyDescent="0.3">
      <c r="B1767" s="4">
        <v>41123</v>
      </c>
      <c r="C1767" s="7">
        <v>326.29000000000002</v>
      </c>
      <c r="D1767" s="6">
        <f t="shared" si="30"/>
        <v>0.5911152289462136</v>
      </c>
      <c r="E1767" s="6">
        <v>6.726111505353142E-3</v>
      </c>
    </row>
    <row r="1768" spans="2:5" x14ac:dyDescent="0.3">
      <c r="B1768" s="4">
        <v>40365</v>
      </c>
      <c r="C1768" s="7">
        <v>205.07</v>
      </c>
      <c r="D1768" s="6">
        <f t="shared" si="30"/>
        <v>1.6831087269396829</v>
      </c>
      <c r="E1768" s="6">
        <v>6.7255768286696351E-3</v>
      </c>
    </row>
    <row r="1769" spans="2:5" x14ac:dyDescent="0.3">
      <c r="B1769" s="4">
        <v>39925</v>
      </c>
      <c r="C1769" s="7">
        <v>76.430000000000007</v>
      </c>
      <c r="D1769" s="6">
        <f t="shared" si="30"/>
        <v>-0.20401999583420111</v>
      </c>
      <c r="E1769" s="6">
        <v>6.7175974710221957E-3</v>
      </c>
    </row>
    <row r="1770" spans="2:5" x14ac:dyDescent="0.3">
      <c r="B1770" s="4">
        <v>39521</v>
      </c>
      <c r="C1770" s="7">
        <v>96.02</v>
      </c>
      <c r="D1770" s="6">
        <f t="shared" si="30"/>
        <v>-0.89588054781448911</v>
      </c>
      <c r="E1770" s="6">
        <v>6.7100020968756616E-3</v>
      </c>
    </row>
    <row r="1771" spans="2:5" x14ac:dyDescent="0.3">
      <c r="B1771" s="4">
        <v>42772</v>
      </c>
      <c r="C1771" s="7">
        <v>922.21</v>
      </c>
      <c r="D1771" s="6">
        <f t="shared" si="30"/>
        <v>-0.71792769949318069</v>
      </c>
      <c r="E1771" s="6">
        <v>6.6915553226792367E-3</v>
      </c>
    </row>
    <row r="1772" spans="2:5" x14ac:dyDescent="0.3">
      <c r="B1772" s="4">
        <v>45105</v>
      </c>
      <c r="C1772" s="5">
        <v>3269.41</v>
      </c>
      <c r="D1772" s="6">
        <f t="shared" si="30"/>
        <v>7.2154236606694138</v>
      </c>
      <c r="E1772" s="6">
        <v>6.6909301409005875E-3</v>
      </c>
    </row>
    <row r="1773" spans="2:5" x14ac:dyDescent="0.3">
      <c r="B1773" s="4">
        <v>41297</v>
      </c>
      <c r="C1773" s="7">
        <v>397.96</v>
      </c>
      <c r="D1773" s="6">
        <f t="shared" si="30"/>
        <v>-0.47944381221467908</v>
      </c>
      <c r="E1773" s="6">
        <v>6.6781341697864675E-3</v>
      </c>
    </row>
    <row r="1774" spans="2:5" x14ac:dyDescent="0.3">
      <c r="B1774" s="4">
        <v>42328</v>
      </c>
      <c r="C1774" s="7">
        <v>764.49</v>
      </c>
      <c r="D1774" s="6">
        <f t="shared" si="30"/>
        <v>-0.27045519610649876</v>
      </c>
      <c r="E1774" s="6">
        <v>6.6761475863159388E-3</v>
      </c>
    </row>
    <row r="1775" spans="2:5" x14ac:dyDescent="0.3">
      <c r="B1775" s="4">
        <v>43159</v>
      </c>
      <c r="C1775" s="5">
        <v>1047.9000000000001</v>
      </c>
      <c r="D1775" s="6">
        <f t="shared" si="30"/>
        <v>-0.6646473180426079</v>
      </c>
      <c r="E1775" s="6">
        <v>6.6669228404550168E-3</v>
      </c>
    </row>
    <row r="1776" spans="2:5" x14ac:dyDescent="0.3">
      <c r="B1776" s="4">
        <v>45264</v>
      </c>
      <c r="C1776" s="5">
        <v>3124.77</v>
      </c>
      <c r="D1776" s="6">
        <f t="shared" si="30"/>
        <v>0.46390791458581243</v>
      </c>
      <c r="E1776" s="6">
        <v>6.6654209943042882E-3</v>
      </c>
    </row>
    <row r="1777" spans="2:5" x14ac:dyDescent="0.3">
      <c r="B1777" s="4">
        <v>44166</v>
      </c>
      <c r="C1777" s="5">
        <v>2134.54</v>
      </c>
      <c r="D1777" s="6">
        <f t="shared" si="30"/>
        <v>-0.35710499367507981</v>
      </c>
      <c r="E1777" s="6">
        <v>6.6590581111288759E-3</v>
      </c>
    </row>
    <row r="1778" spans="2:5" x14ac:dyDescent="0.3">
      <c r="B1778" s="4">
        <v>44785</v>
      </c>
      <c r="C1778" s="5">
        <v>3320.2</v>
      </c>
      <c r="D1778" s="6">
        <f t="shared" si="30"/>
        <v>0.27983532749475765</v>
      </c>
      <c r="E1778" s="6">
        <v>6.6519922625868184E-3</v>
      </c>
    </row>
    <row r="1779" spans="2:5" x14ac:dyDescent="0.3">
      <c r="B1779" s="4">
        <v>44733</v>
      </c>
      <c r="C1779" s="5">
        <v>2594.2399999999998</v>
      </c>
      <c r="D1779" s="6">
        <f t="shared" si="30"/>
        <v>-0.20731863820529589</v>
      </c>
      <c r="E1779" s="6">
        <v>6.6352623450801704E-3</v>
      </c>
    </row>
    <row r="1780" spans="2:5" x14ac:dyDescent="0.3">
      <c r="B1780" s="4">
        <v>44797</v>
      </c>
      <c r="C1780" s="5">
        <v>3272.74</v>
      </c>
      <c r="D1780" s="6">
        <f t="shared" si="30"/>
        <v>0.32132086060229237</v>
      </c>
      <c r="E1780" s="6">
        <v>6.6283422377651649E-3</v>
      </c>
    </row>
    <row r="1781" spans="2:5" x14ac:dyDescent="0.3">
      <c r="B1781" s="4">
        <v>44301</v>
      </c>
      <c r="C1781" s="5">
        <v>2476.87</v>
      </c>
      <c r="D1781" s="6">
        <f t="shared" si="30"/>
        <v>7.5615969581749036</v>
      </c>
      <c r="E1781" s="6">
        <v>6.6122084044541911E-3</v>
      </c>
    </row>
    <row r="1782" spans="2:5" x14ac:dyDescent="0.3">
      <c r="B1782" s="4">
        <v>41001</v>
      </c>
      <c r="C1782" s="7">
        <v>289.3</v>
      </c>
      <c r="D1782" s="6">
        <f t="shared" si="30"/>
        <v>4.5763299922898995</v>
      </c>
      <c r="E1782" s="6">
        <v>6.6109951287405509E-3</v>
      </c>
    </row>
    <row r="1783" spans="2:5" x14ac:dyDescent="0.3">
      <c r="B1783" s="4">
        <v>38812</v>
      </c>
      <c r="C1783" s="7">
        <v>51.88</v>
      </c>
      <c r="D1783" s="6">
        <f t="shared" si="30"/>
        <v>-0.1905133406147605</v>
      </c>
      <c r="E1783" s="6">
        <v>6.5968180054327401E-3</v>
      </c>
    </row>
    <row r="1784" spans="2:5" x14ac:dyDescent="0.3">
      <c r="B1784" s="4">
        <v>39895</v>
      </c>
      <c r="C1784" s="7">
        <v>64.09</v>
      </c>
      <c r="D1784" s="6">
        <f t="shared" si="30"/>
        <v>-0.97986269303881979</v>
      </c>
      <c r="E1784" s="6">
        <v>6.59651327155649E-3</v>
      </c>
    </row>
    <row r="1785" spans="2:5" x14ac:dyDescent="0.3">
      <c r="B1785" s="4">
        <v>45180</v>
      </c>
      <c r="C1785" s="5">
        <v>3182.65</v>
      </c>
      <c r="D1785" s="6">
        <f t="shared" si="30"/>
        <v>0.12714040337860569</v>
      </c>
      <c r="E1785" s="6">
        <v>6.5943449933581842E-3</v>
      </c>
    </row>
    <row r="1786" spans="2:5" x14ac:dyDescent="0.3">
      <c r="B1786" s="4">
        <v>44631</v>
      </c>
      <c r="C1786" s="5">
        <v>2823.65</v>
      </c>
      <c r="D1786" s="6">
        <f t="shared" si="30"/>
        <v>50.35776646053111</v>
      </c>
      <c r="E1786" s="6">
        <v>6.5914243750802943E-3</v>
      </c>
    </row>
    <row r="1787" spans="2:5" x14ac:dyDescent="0.3">
      <c r="B1787" s="4">
        <v>38779</v>
      </c>
      <c r="C1787" s="7">
        <v>54.98</v>
      </c>
      <c r="D1787" s="6">
        <f t="shared" si="30"/>
        <v>-0.97934185509990912</v>
      </c>
      <c r="E1787" s="6">
        <v>6.5909923105089609E-3</v>
      </c>
    </row>
    <row r="1788" spans="2:5" x14ac:dyDescent="0.3">
      <c r="B1788" s="4">
        <v>44958</v>
      </c>
      <c r="C1788" s="5">
        <v>2661.42</v>
      </c>
      <c r="D1788" s="6">
        <f t="shared" si="30"/>
        <v>0.61196579125884298</v>
      </c>
      <c r="E1788" s="6">
        <v>6.5656603859216992E-3</v>
      </c>
    </row>
    <row r="1789" spans="2:5" x14ac:dyDescent="0.3">
      <c r="B1789" s="4">
        <v>44049</v>
      </c>
      <c r="C1789" s="5">
        <v>1651.04</v>
      </c>
      <c r="D1789" s="6">
        <f t="shared" si="30"/>
        <v>-2.8497119690256412E-2</v>
      </c>
      <c r="E1789" s="6">
        <v>6.5537191594169323E-3</v>
      </c>
    </row>
    <row r="1790" spans="2:5" x14ac:dyDescent="0.3">
      <c r="B1790" s="4">
        <v>43749</v>
      </c>
      <c r="C1790" s="5">
        <v>1699.47</v>
      </c>
      <c r="D1790" s="6">
        <f t="shared" si="30"/>
        <v>-0.46387436867292758</v>
      </c>
      <c r="E1790" s="6">
        <v>6.5505416338448273E-3</v>
      </c>
    </row>
    <row r="1791" spans="2:5" x14ac:dyDescent="0.3">
      <c r="B1791" s="4">
        <v>45176</v>
      </c>
      <c r="C1791" s="5">
        <v>3169.91</v>
      </c>
      <c r="D1791" s="6">
        <f t="shared" si="30"/>
        <v>14.327643730960785</v>
      </c>
      <c r="E1791" s="6">
        <v>6.5283312429548785E-3</v>
      </c>
    </row>
    <row r="1792" spans="2:5" x14ac:dyDescent="0.3">
      <c r="B1792" s="4">
        <v>40347</v>
      </c>
      <c r="C1792" s="7">
        <v>206.81</v>
      </c>
      <c r="D1792" s="6">
        <f t="shared" si="30"/>
        <v>-0.91780272016915609</v>
      </c>
      <c r="E1792" s="6">
        <v>6.5216333284664595E-3</v>
      </c>
    </row>
    <row r="1793" spans="2:5" x14ac:dyDescent="0.3">
      <c r="B1793" s="4">
        <v>44293</v>
      </c>
      <c r="C1793" s="5">
        <v>2516.02</v>
      </c>
      <c r="D1793" s="6">
        <f t="shared" si="30"/>
        <v>9.3599604710532809</v>
      </c>
      <c r="E1793" s="6">
        <v>6.5086508650865011E-3</v>
      </c>
    </row>
    <row r="1794" spans="2:5" x14ac:dyDescent="0.3">
      <c r="B1794" s="4">
        <v>40676</v>
      </c>
      <c r="C1794" s="7">
        <v>242.86</v>
      </c>
      <c r="D1794" s="6">
        <f t="shared" si="30"/>
        <v>-0.83812139229200278</v>
      </c>
      <c r="E1794" s="6">
        <v>6.506693190766388E-3</v>
      </c>
    </row>
    <row r="1795" spans="2:5" x14ac:dyDescent="0.3">
      <c r="B1795" s="4">
        <v>43700</v>
      </c>
      <c r="C1795" s="5">
        <v>1500.26</v>
      </c>
      <c r="D1795" s="6">
        <f t="shared" si="30"/>
        <v>-0.56043292782973542</v>
      </c>
      <c r="E1795" s="6">
        <v>6.500868795158936E-3</v>
      </c>
    </row>
    <row r="1796" spans="2:5" x14ac:dyDescent="0.3">
      <c r="B1796" s="4">
        <v>44790</v>
      </c>
      <c r="C1796" s="5">
        <v>3413.04</v>
      </c>
      <c r="D1796" s="6">
        <f t="shared" si="30"/>
        <v>0.4473440932260172</v>
      </c>
      <c r="E1796" s="6">
        <v>6.4847171230149308E-3</v>
      </c>
    </row>
    <row r="1797" spans="2:5" x14ac:dyDescent="0.3">
      <c r="B1797" s="4">
        <v>44229</v>
      </c>
      <c r="C1797" s="5">
        <v>2358.14</v>
      </c>
      <c r="D1797" s="6">
        <f t="shared" si="30"/>
        <v>3.0969804371242917</v>
      </c>
      <c r="E1797" s="6">
        <v>6.4789838494894647E-3</v>
      </c>
    </row>
    <row r="1798" spans="2:5" x14ac:dyDescent="0.3">
      <c r="B1798" s="4">
        <v>41912</v>
      </c>
      <c r="C1798" s="7">
        <v>575.58000000000004</v>
      </c>
      <c r="D1798" s="6">
        <f t="shared" si="30"/>
        <v>4.8714679179842912</v>
      </c>
      <c r="E1798" s="6">
        <v>6.4698887878576724E-3</v>
      </c>
    </row>
    <row r="1799" spans="2:5" x14ac:dyDescent="0.3">
      <c r="B1799" s="4">
        <v>39534</v>
      </c>
      <c r="C1799" s="7">
        <v>98.03</v>
      </c>
      <c r="D1799" s="6">
        <f t="shared" si="30"/>
        <v>-0.36393719179859851</v>
      </c>
      <c r="E1799" s="6">
        <v>6.4681724845995422E-3</v>
      </c>
    </row>
    <row r="1800" spans="2:5" x14ac:dyDescent="0.3">
      <c r="B1800" s="4">
        <v>40203</v>
      </c>
      <c r="C1800" s="7">
        <v>154.12</v>
      </c>
      <c r="D1800" s="6">
        <f t="shared" ref="D1800:D1863" si="31">((C1800-C1801)/C1801)</f>
        <v>0.86608548250393513</v>
      </c>
      <c r="E1800" s="6">
        <v>6.4650950173056167E-3</v>
      </c>
    </row>
    <row r="1801" spans="2:5" x14ac:dyDescent="0.3">
      <c r="B1801" s="4">
        <v>39308</v>
      </c>
      <c r="C1801" s="7">
        <v>82.59</v>
      </c>
      <c r="D1801" s="6">
        <f t="shared" si="31"/>
        <v>1.0377498149518876</v>
      </c>
      <c r="E1801" s="6">
        <v>6.4586887643188051E-3</v>
      </c>
    </row>
    <row r="1802" spans="2:5" x14ac:dyDescent="0.3">
      <c r="B1802" s="4">
        <v>38614</v>
      </c>
      <c r="C1802" s="7">
        <v>40.53</v>
      </c>
      <c r="D1802" s="6">
        <f t="shared" si="31"/>
        <v>-0.25728422210005497</v>
      </c>
      <c r="E1802" s="6">
        <v>6.4564191705984101E-3</v>
      </c>
    </row>
    <row r="1803" spans="2:5" x14ac:dyDescent="0.3">
      <c r="B1803" s="4">
        <v>38763</v>
      </c>
      <c r="C1803" s="7">
        <v>54.57</v>
      </c>
      <c r="D1803" s="6">
        <f t="shared" si="31"/>
        <v>-0.9407066953517178</v>
      </c>
      <c r="E1803" s="6">
        <v>6.4551825894504132E-3</v>
      </c>
    </row>
    <row r="1804" spans="2:5" x14ac:dyDescent="0.3">
      <c r="B1804" s="4">
        <v>42517</v>
      </c>
      <c r="C1804" s="7">
        <v>920.34</v>
      </c>
      <c r="D1804" s="6">
        <f t="shared" si="31"/>
        <v>2.8783817951959541</v>
      </c>
      <c r="E1804" s="6">
        <v>6.4520362188880374E-3</v>
      </c>
    </row>
    <row r="1805" spans="2:5" x14ac:dyDescent="0.3">
      <c r="B1805" s="4">
        <v>40483</v>
      </c>
      <c r="C1805" s="7">
        <v>237.3</v>
      </c>
      <c r="D1805" s="6">
        <f t="shared" si="31"/>
        <v>-0.66105326305866219</v>
      </c>
      <c r="E1805" s="6">
        <v>6.4466875901264325E-3</v>
      </c>
    </row>
    <row r="1806" spans="2:5" x14ac:dyDescent="0.3">
      <c r="B1806" s="4">
        <v>42131</v>
      </c>
      <c r="C1806" s="7">
        <v>700.11</v>
      </c>
      <c r="D1806" s="6">
        <f t="shared" si="31"/>
        <v>-0.69733087777547198</v>
      </c>
      <c r="E1806" s="6">
        <v>6.4402052815433755E-3</v>
      </c>
    </row>
    <row r="1807" spans="2:5" x14ac:dyDescent="0.3">
      <c r="B1807" s="4">
        <v>45743</v>
      </c>
      <c r="C1807" s="5">
        <v>2313.12</v>
      </c>
      <c r="D1807" s="6">
        <f t="shared" si="31"/>
        <v>-6.1268054332431141E-2</v>
      </c>
      <c r="E1807" s="6">
        <v>6.4394862334225551E-3</v>
      </c>
    </row>
    <row r="1808" spans="2:5" x14ac:dyDescent="0.3">
      <c r="B1808" s="4">
        <v>44313</v>
      </c>
      <c r="C1808" s="5">
        <v>2464.09</v>
      </c>
      <c r="D1808" s="6">
        <f t="shared" si="31"/>
        <v>7.8397847533632294</v>
      </c>
      <c r="E1808" s="6">
        <v>6.4288194089898243E-3</v>
      </c>
    </row>
    <row r="1809" spans="2:5" x14ac:dyDescent="0.3">
      <c r="B1809" s="4">
        <v>40815</v>
      </c>
      <c r="C1809" s="7">
        <v>278.75</v>
      </c>
      <c r="D1809" s="6">
        <f t="shared" si="31"/>
        <v>-0.91290613859406289</v>
      </c>
      <c r="E1809" s="6">
        <v>6.4266888110624705E-3</v>
      </c>
    </row>
    <row r="1810" spans="2:5" x14ac:dyDescent="0.3">
      <c r="B1810" s="4">
        <v>45182</v>
      </c>
      <c r="C1810" s="5">
        <v>3200.57</v>
      </c>
      <c r="D1810" s="6">
        <f t="shared" si="31"/>
        <v>135.02082447938801</v>
      </c>
      <c r="E1810" s="6">
        <v>6.417916079694201E-3</v>
      </c>
    </row>
    <row r="1811" spans="2:5" x14ac:dyDescent="0.3">
      <c r="B1811" s="4">
        <v>37949</v>
      </c>
      <c r="C1811" s="7">
        <v>23.53</v>
      </c>
      <c r="D1811" s="6">
        <f t="shared" si="31"/>
        <v>-0.66070656092285507</v>
      </c>
      <c r="E1811" s="6">
        <v>6.4157399486741715E-3</v>
      </c>
    </row>
    <row r="1812" spans="2:5" x14ac:dyDescent="0.3">
      <c r="B1812" s="4">
        <v>39233</v>
      </c>
      <c r="C1812" s="7">
        <v>69.349999999999994</v>
      </c>
      <c r="D1812" s="6">
        <f t="shared" si="31"/>
        <v>-0.91222407857432153</v>
      </c>
      <c r="E1812" s="6">
        <v>6.3851400377303406E-3</v>
      </c>
    </row>
    <row r="1813" spans="2:5" x14ac:dyDescent="0.3">
      <c r="B1813" s="4">
        <v>42289</v>
      </c>
      <c r="C1813" s="7">
        <v>790.08</v>
      </c>
      <c r="D1813" s="6">
        <f t="shared" si="31"/>
        <v>30.277909738717341</v>
      </c>
      <c r="E1813" s="6">
        <v>6.3815965455309596E-3</v>
      </c>
    </row>
    <row r="1814" spans="2:5" x14ac:dyDescent="0.3">
      <c r="B1814" s="4">
        <v>37970</v>
      </c>
      <c r="C1814" s="7">
        <v>25.26</v>
      </c>
      <c r="D1814" s="6">
        <f t="shared" si="31"/>
        <v>-0.93681998949501011</v>
      </c>
      <c r="E1814" s="6">
        <v>6.374501992031878E-3</v>
      </c>
    </row>
    <row r="1815" spans="2:5" x14ac:dyDescent="0.3">
      <c r="B1815" s="4">
        <v>41339</v>
      </c>
      <c r="C1815" s="7">
        <v>399.81</v>
      </c>
      <c r="D1815" s="6">
        <f t="shared" si="31"/>
        <v>0.14342504146885537</v>
      </c>
      <c r="E1815" s="6">
        <v>6.3683044703987859E-3</v>
      </c>
    </row>
    <row r="1816" spans="2:5" x14ac:dyDescent="0.3">
      <c r="B1816" s="4">
        <v>41215</v>
      </c>
      <c r="C1816" s="7">
        <v>349.66</v>
      </c>
      <c r="D1816" s="6">
        <f t="shared" si="31"/>
        <v>-0.89056401814022057</v>
      </c>
      <c r="E1816" s="6">
        <v>6.36062742840707E-3</v>
      </c>
    </row>
    <row r="1817" spans="2:5" x14ac:dyDescent="0.3">
      <c r="B1817" s="4">
        <v>44845</v>
      </c>
      <c r="C1817" s="5">
        <v>3195.11</v>
      </c>
      <c r="D1817" s="6">
        <f t="shared" si="31"/>
        <v>65.997483749213671</v>
      </c>
      <c r="E1817" s="6">
        <v>6.3306887222402157E-3</v>
      </c>
    </row>
    <row r="1818" spans="2:5" x14ac:dyDescent="0.3">
      <c r="B1818" s="4">
        <v>38904</v>
      </c>
      <c r="C1818" s="7">
        <v>47.69</v>
      </c>
      <c r="D1818" s="6">
        <f t="shared" si="31"/>
        <v>-0.30247184437618846</v>
      </c>
      <c r="E1818" s="6">
        <v>6.3304494619117356E-3</v>
      </c>
    </row>
    <row r="1819" spans="2:5" x14ac:dyDescent="0.3">
      <c r="B1819" s="4">
        <v>39863</v>
      </c>
      <c r="C1819" s="7">
        <v>68.37</v>
      </c>
      <c r="D1819" s="6">
        <f t="shared" si="31"/>
        <v>-0.97934977619108032</v>
      </c>
      <c r="E1819" s="6">
        <v>6.3291139240507334E-3</v>
      </c>
    </row>
    <row r="1820" spans="2:5" x14ac:dyDescent="0.3">
      <c r="B1820" s="4">
        <v>45135</v>
      </c>
      <c r="C1820" s="5">
        <v>3310.86</v>
      </c>
      <c r="D1820" s="6">
        <f t="shared" si="31"/>
        <v>1.27821395886518</v>
      </c>
      <c r="E1820" s="6">
        <v>6.3220731536811434E-3</v>
      </c>
    </row>
    <row r="1821" spans="2:5" x14ac:dyDescent="0.3">
      <c r="B1821" s="4">
        <v>43725</v>
      </c>
      <c r="C1821" s="5">
        <v>1453.27</v>
      </c>
      <c r="D1821" s="6">
        <f t="shared" si="31"/>
        <v>-0.354684440260565</v>
      </c>
      <c r="E1821" s="6">
        <v>6.3151334695148633E-3</v>
      </c>
    </row>
    <row r="1822" spans="2:5" x14ac:dyDescent="0.3">
      <c r="B1822" s="4">
        <v>45680</v>
      </c>
      <c r="C1822" s="5">
        <v>2252.0300000000002</v>
      </c>
      <c r="D1822" s="6">
        <f t="shared" si="31"/>
        <v>1.3652050622275904</v>
      </c>
      <c r="E1822" s="6">
        <v>6.3004651620025493E-3</v>
      </c>
    </row>
    <row r="1823" spans="2:5" x14ac:dyDescent="0.3">
      <c r="B1823" s="4">
        <v>42528</v>
      </c>
      <c r="C1823" s="7">
        <v>952.15</v>
      </c>
      <c r="D1823" s="6">
        <f t="shared" si="31"/>
        <v>36.149824424502533</v>
      </c>
      <c r="E1823" s="6">
        <v>6.2883111392939457E-3</v>
      </c>
    </row>
    <row r="1824" spans="2:5" x14ac:dyDescent="0.3">
      <c r="B1824" s="4">
        <v>38330</v>
      </c>
      <c r="C1824" s="7">
        <v>25.63</v>
      </c>
      <c r="D1824" s="6">
        <f t="shared" si="31"/>
        <v>-0.97411084960454142</v>
      </c>
      <c r="E1824" s="6">
        <v>6.2819002748331432E-3</v>
      </c>
    </row>
    <row r="1825" spans="2:5" x14ac:dyDescent="0.3">
      <c r="B1825" s="4">
        <v>42846</v>
      </c>
      <c r="C1825" s="7">
        <v>989.99</v>
      </c>
      <c r="D1825" s="6">
        <f t="shared" si="31"/>
        <v>40.095475300954753</v>
      </c>
      <c r="E1825" s="6">
        <v>6.2817007348980637E-3</v>
      </c>
    </row>
    <row r="1826" spans="2:5" x14ac:dyDescent="0.3">
      <c r="B1826" s="4">
        <v>38057</v>
      </c>
      <c r="C1826" s="7">
        <v>24.09</v>
      </c>
      <c r="D1826" s="6">
        <f t="shared" si="31"/>
        <v>-0.76586645932549324</v>
      </c>
      <c r="E1826" s="6">
        <v>6.2656641604009432E-3</v>
      </c>
    </row>
    <row r="1827" spans="2:5" x14ac:dyDescent="0.3">
      <c r="B1827" s="4">
        <v>39702</v>
      </c>
      <c r="C1827" s="7">
        <v>102.89</v>
      </c>
      <c r="D1827" s="6">
        <f t="shared" si="31"/>
        <v>-0.95552779674789723</v>
      </c>
      <c r="E1827" s="6">
        <v>6.2591687041564847E-3</v>
      </c>
    </row>
    <row r="1828" spans="2:5" x14ac:dyDescent="0.3">
      <c r="B1828" s="4">
        <v>44259</v>
      </c>
      <c r="C1828" s="5">
        <v>2313.58</v>
      </c>
      <c r="D1828" s="6">
        <f t="shared" si="31"/>
        <v>-0.2790721588448104</v>
      </c>
      <c r="E1828" s="6">
        <v>6.2455963326693963E-3</v>
      </c>
    </row>
    <row r="1829" spans="2:5" x14ac:dyDescent="0.3">
      <c r="B1829" s="4">
        <v>44446</v>
      </c>
      <c r="C1829" s="5">
        <v>3209.17</v>
      </c>
      <c r="D1829" s="6">
        <f t="shared" si="31"/>
        <v>3.5331741838882382</v>
      </c>
      <c r="E1829" s="6">
        <v>6.2428274897624696E-3</v>
      </c>
    </row>
    <row r="1830" spans="2:5" x14ac:dyDescent="0.3">
      <c r="B1830" s="4">
        <v>41985</v>
      </c>
      <c r="C1830" s="7">
        <v>707.93</v>
      </c>
      <c r="D1830" s="6">
        <f t="shared" si="31"/>
        <v>-0.78741415397181458</v>
      </c>
      <c r="E1830" s="6">
        <v>6.239872644057177E-3</v>
      </c>
    </row>
    <row r="1831" spans="2:5" x14ac:dyDescent="0.3">
      <c r="B1831" s="4">
        <v>45287</v>
      </c>
      <c r="C1831" s="5">
        <v>3330.09</v>
      </c>
      <c r="D1831" s="6">
        <f t="shared" si="31"/>
        <v>0.172434796079315</v>
      </c>
      <c r="E1831" s="6">
        <v>6.2366858541450477E-3</v>
      </c>
    </row>
    <row r="1832" spans="2:5" x14ac:dyDescent="0.3">
      <c r="B1832" s="4">
        <v>45435</v>
      </c>
      <c r="C1832" s="5">
        <v>2840.32</v>
      </c>
      <c r="D1832" s="6">
        <f t="shared" si="31"/>
        <v>102.47249544626595</v>
      </c>
      <c r="E1832" s="6">
        <v>6.235120734610718E-3</v>
      </c>
    </row>
    <row r="1833" spans="2:5" x14ac:dyDescent="0.3">
      <c r="B1833" s="4">
        <v>38390</v>
      </c>
      <c r="C1833" s="7">
        <v>27.45</v>
      </c>
      <c r="D1833" s="6">
        <f t="shared" si="31"/>
        <v>-0.37170977340352479</v>
      </c>
      <c r="E1833" s="6">
        <v>6.2316715542521314E-3</v>
      </c>
    </row>
    <row r="1834" spans="2:5" x14ac:dyDescent="0.3">
      <c r="B1834" s="4">
        <v>38695</v>
      </c>
      <c r="C1834" s="7">
        <v>43.69</v>
      </c>
      <c r="D1834" s="6">
        <f t="shared" si="31"/>
        <v>-0.98486753464465204</v>
      </c>
      <c r="E1834" s="6">
        <v>6.218332565637863E-3</v>
      </c>
    </row>
    <row r="1835" spans="2:5" x14ac:dyDescent="0.3">
      <c r="B1835" s="4">
        <v>44376</v>
      </c>
      <c r="C1835" s="5">
        <v>2887.17</v>
      </c>
      <c r="D1835" s="6">
        <f t="shared" si="31"/>
        <v>4.878985949908369</v>
      </c>
      <c r="E1835" s="6">
        <v>6.2174793418673163E-3</v>
      </c>
    </row>
    <row r="1836" spans="2:5" x14ac:dyDescent="0.3">
      <c r="B1836" s="4">
        <v>41579</v>
      </c>
      <c r="C1836" s="7">
        <v>491.1</v>
      </c>
      <c r="D1836" s="6">
        <f t="shared" si="31"/>
        <v>20.586813186813188</v>
      </c>
      <c r="E1836" s="6">
        <v>6.2081258835823333E-3</v>
      </c>
    </row>
    <row r="1837" spans="2:5" x14ac:dyDescent="0.3">
      <c r="B1837" s="4">
        <v>38146</v>
      </c>
      <c r="C1837" s="7">
        <v>22.75</v>
      </c>
      <c r="D1837" s="6">
        <f t="shared" si="31"/>
        <v>-0.98737646973959459</v>
      </c>
      <c r="E1837" s="6">
        <v>6.1919504643963104E-3</v>
      </c>
    </row>
    <row r="1838" spans="2:5" x14ac:dyDescent="0.3">
      <c r="B1838" s="4">
        <v>44062</v>
      </c>
      <c r="C1838" s="5">
        <v>1802.19</v>
      </c>
      <c r="D1838" s="6">
        <f t="shared" si="31"/>
        <v>-0.44356243052982586</v>
      </c>
      <c r="E1838" s="6">
        <v>6.1917257551226323E-3</v>
      </c>
    </row>
    <row r="1839" spans="2:5" x14ac:dyDescent="0.3">
      <c r="B1839" s="4">
        <v>44452</v>
      </c>
      <c r="C1839" s="5">
        <v>3238.8</v>
      </c>
      <c r="D1839" s="6">
        <f t="shared" si="31"/>
        <v>3.2814086294416245</v>
      </c>
      <c r="E1839" s="6">
        <v>6.1853620347387794E-3</v>
      </c>
    </row>
    <row r="1840" spans="2:5" x14ac:dyDescent="0.3">
      <c r="B1840" s="4">
        <v>42199</v>
      </c>
      <c r="C1840" s="7">
        <v>756.48</v>
      </c>
      <c r="D1840" s="6">
        <f t="shared" si="31"/>
        <v>-0.72009901319805969</v>
      </c>
      <c r="E1840" s="6">
        <v>6.184908822473135E-3</v>
      </c>
    </row>
    <row r="1841" spans="2:5" x14ac:dyDescent="0.3">
      <c r="B1841" s="4">
        <v>44746</v>
      </c>
      <c r="C1841" s="5">
        <v>2702.67</v>
      </c>
      <c r="D1841" s="6">
        <f t="shared" si="31"/>
        <v>1.5660533211803578</v>
      </c>
      <c r="E1841" s="6">
        <v>6.1837784710691976E-3</v>
      </c>
    </row>
    <row r="1842" spans="2:5" x14ac:dyDescent="0.3">
      <c r="B1842" s="4">
        <v>43083</v>
      </c>
      <c r="C1842" s="5">
        <v>1053.24</v>
      </c>
      <c r="D1842" s="6">
        <f t="shared" si="31"/>
        <v>-3.1458917651386302E-2</v>
      </c>
      <c r="E1842" s="6">
        <v>6.1809184443574307E-3</v>
      </c>
    </row>
    <row r="1843" spans="2:5" x14ac:dyDescent="0.3">
      <c r="B1843" s="4">
        <v>42908</v>
      </c>
      <c r="C1843" s="5">
        <v>1087.45</v>
      </c>
      <c r="D1843" s="6">
        <f t="shared" si="31"/>
        <v>19.167841246290799</v>
      </c>
      <c r="E1843" s="6">
        <v>6.1807785190189065E-3</v>
      </c>
    </row>
    <row r="1844" spans="2:5" x14ac:dyDescent="0.3">
      <c r="B1844" s="4">
        <v>38769</v>
      </c>
      <c r="C1844" s="7">
        <v>53.92</v>
      </c>
      <c r="D1844" s="6">
        <f t="shared" si="31"/>
        <v>-0.98200188926755827</v>
      </c>
      <c r="E1844" s="6">
        <v>6.1578652733718653E-3</v>
      </c>
    </row>
    <row r="1845" spans="2:5" x14ac:dyDescent="0.3">
      <c r="B1845" s="4">
        <v>44917</v>
      </c>
      <c r="C1845" s="5">
        <v>2995.87</v>
      </c>
      <c r="D1845" s="6">
        <f t="shared" si="31"/>
        <v>2.6777191259513873</v>
      </c>
      <c r="E1845" s="6">
        <v>6.1560885831928123E-3</v>
      </c>
    </row>
    <row r="1846" spans="2:5" x14ac:dyDescent="0.3">
      <c r="B1846" s="4">
        <v>42369</v>
      </c>
      <c r="C1846" s="7">
        <v>814.6</v>
      </c>
      <c r="D1846" s="6">
        <f t="shared" si="31"/>
        <v>-0.20636776368348242</v>
      </c>
      <c r="E1846" s="6">
        <v>6.1510338183345496E-3</v>
      </c>
    </row>
    <row r="1847" spans="2:5" x14ac:dyDescent="0.3">
      <c r="B1847" s="4">
        <v>42851</v>
      </c>
      <c r="C1847" s="5">
        <v>1026.42</v>
      </c>
      <c r="D1847" s="6">
        <f t="shared" si="31"/>
        <v>3.6772385509227616</v>
      </c>
      <c r="E1847" s="6">
        <v>6.1461549772093274E-3</v>
      </c>
    </row>
    <row r="1848" spans="2:5" x14ac:dyDescent="0.3">
      <c r="B1848" s="4">
        <v>40581</v>
      </c>
      <c r="C1848" s="7">
        <v>219.45</v>
      </c>
      <c r="D1848" s="6">
        <f t="shared" si="31"/>
        <v>0.61395896153563279</v>
      </c>
      <c r="E1848" s="6">
        <v>6.1436889642839622E-3</v>
      </c>
    </row>
    <row r="1849" spans="2:5" x14ac:dyDescent="0.3">
      <c r="B1849" s="4">
        <v>40106</v>
      </c>
      <c r="C1849" s="7">
        <v>135.97</v>
      </c>
      <c r="D1849" s="6">
        <f t="shared" si="31"/>
        <v>-0.94566828765399058</v>
      </c>
      <c r="E1849" s="6">
        <v>6.141778895959839E-3</v>
      </c>
    </row>
    <row r="1850" spans="2:5" x14ac:dyDescent="0.3">
      <c r="B1850" s="4">
        <v>45876</v>
      </c>
      <c r="C1850" s="5">
        <v>2502.59</v>
      </c>
      <c r="D1850" s="6">
        <f t="shared" si="31"/>
        <v>0.67329049685412667</v>
      </c>
      <c r="E1850" s="6">
        <v>6.139137706447092E-3</v>
      </c>
    </row>
    <row r="1851" spans="2:5" x14ac:dyDescent="0.3">
      <c r="B1851" s="4">
        <v>43686</v>
      </c>
      <c r="C1851" s="5">
        <v>1495.61</v>
      </c>
      <c r="D1851" s="6">
        <f t="shared" si="31"/>
        <v>3.0519357373140799</v>
      </c>
      <c r="E1851" s="6">
        <v>6.1352582257532115E-3</v>
      </c>
    </row>
    <row r="1852" spans="2:5" x14ac:dyDescent="0.3">
      <c r="B1852" s="4">
        <v>41220</v>
      </c>
      <c r="C1852" s="7">
        <v>369.11</v>
      </c>
      <c r="D1852" s="6">
        <f t="shared" si="31"/>
        <v>-0.53547112347248271</v>
      </c>
      <c r="E1852" s="6">
        <v>6.1331298042850129E-3</v>
      </c>
    </row>
    <row r="1853" spans="2:5" x14ac:dyDescent="0.3">
      <c r="B1853" s="4">
        <v>42334</v>
      </c>
      <c r="C1853" s="7">
        <v>794.59</v>
      </c>
      <c r="D1853" s="6">
        <f t="shared" si="31"/>
        <v>33.532377227292478</v>
      </c>
      <c r="E1853" s="6">
        <v>6.1285216840772797E-3</v>
      </c>
    </row>
    <row r="1854" spans="2:5" x14ac:dyDescent="0.3">
      <c r="B1854" s="4">
        <v>37894</v>
      </c>
      <c r="C1854" s="7">
        <v>23.01</v>
      </c>
      <c r="D1854" s="6">
        <f t="shared" si="31"/>
        <v>-0.97786776446145851</v>
      </c>
      <c r="E1854" s="6">
        <v>6.1215566243988002E-3</v>
      </c>
    </row>
    <row r="1855" spans="2:5" x14ac:dyDescent="0.3">
      <c r="B1855" s="4">
        <v>42858</v>
      </c>
      <c r="C1855" s="5">
        <v>1039.6600000000001</v>
      </c>
      <c r="D1855" s="6">
        <f t="shared" si="31"/>
        <v>1.5784578755487217</v>
      </c>
      <c r="E1855" s="6">
        <v>6.1160895736158127E-3</v>
      </c>
    </row>
    <row r="1856" spans="2:5" x14ac:dyDescent="0.3">
      <c r="B1856" s="4">
        <v>41305</v>
      </c>
      <c r="C1856" s="7">
        <v>403.21</v>
      </c>
      <c r="D1856" s="6">
        <f t="shared" si="31"/>
        <v>23.496354799513973</v>
      </c>
      <c r="E1856" s="6">
        <v>6.1133845693182674E-3</v>
      </c>
    </row>
    <row r="1857" spans="2:5" x14ac:dyDescent="0.3">
      <c r="B1857" s="4">
        <v>37741</v>
      </c>
      <c r="C1857" s="7">
        <v>16.46</v>
      </c>
      <c r="D1857" s="6">
        <f t="shared" si="31"/>
        <v>-0.9942147976057838</v>
      </c>
      <c r="E1857" s="6">
        <v>6.1124694376528989E-3</v>
      </c>
    </row>
    <row r="1858" spans="2:5" x14ac:dyDescent="0.3">
      <c r="B1858" s="4">
        <v>45470</v>
      </c>
      <c r="C1858" s="5">
        <v>2845.19</v>
      </c>
      <c r="D1858" s="6">
        <f t="shared" si="31"/>
        <v>51.359035701140961</v>
      </c>
      <c r="E1858" s="6">
        <v>6.1105197831614871E-3</v>
      </c>
    </row>
    <row r="1859" spans="2:5" x14ac:dyDescent="0.3">
      <c r="B1859" s="4">
        <v>39013</v>
      </c>
      <c r="C1859" s="7">
        <v>54.34</v>
      </c>
      <c r="D1859" s="6">
        <f t="shared" si="31"/>
        <v>-0.84443172058402527</v>
      </c>
      <c r="E1859" s="6">
        <v>6.1099796334013225E-3</v>
      </c>
    </row>
    <row r="1860" spans="2:5" x14ac:dyDescent="0.3">
      <c r="B1860" s="4">
        <v>41199</v>
      </c>
      <c r="C1860" s="7">
        <v>349.3</v>
      </c>
      <c r="D1860" s="6">
        <f t="shared" si="31"/>
        <v>13.084677419354838</v>
      </c>
      <c r="E1860" s="6">
        <v>6.1063425312518132E-3</v>
      </c>
    </row>
    <row r="1861" spans="2:5" x14ac:dyDescent="0.3">
      <c r="B1861" s="4">
        <v>37979</v>
      </c>
      <c r="C1861" s="7">
        <v>24.8</v>
      </c>
      <c r="D1861" s="6">
        <f t="shared" si="31"/>
        <v>-0.54587071964841605</v>
      </c>
      <c r="E1861" s="6">
        <v>6.0851926977688493E-3</v>
      </c>
    </row>
    <row r="1862" spans="2:5" x14ac:dyDescent="0.3">
      <c r="B1862" s="4">
        <v>38986</v>
      </c>
      <c r="C1862" s="7">
        <v>54.61</v>
      </c>
      <c r="D1862" s="6">
        <f t="shared" si="31"/>
        <v>-0.98141018440034988</v>
      </c>
      <c r="E1862" s="6">
        <v>6.0795873249815452E-3</v>
      </c>
    </row>
    <row r="1863" spans="2:5" x14ac:dyDescent="0.3">
      <c r="B1863" s="4">
        <v>45489</v>
      </c>
      <c r="C1863" s="5">
        <v>2937.63</v>
      </c>
      <c r="D1863" s="6">
        <f t="shared" si="31"/>
        <v>1.7416819882964525</v>
      </c>
      <c r="E1863" s="6">
        <v>6.0721257577314352E-3</v>
      </c>
    </row>
    <row r="1864" spans="2:5" x14ac:dyDescent="0.3">
      <c r="B1864" s="4">
        <v>43195</v>
      </c>
      <c r="C1864" s="5">
        <v>1071.47</v>
      </c>
      <c r="D1864" s="6">
        <f t="shared" ref="D1864:D1927" si="32">((C1864-C1865)/C1865)</f>
        <v>63.585292344786026</v>
      </c>
      <c r="E1864" s="6">
        <v>6.0656707448756694E-3</v>
      </c>
    </row>
    <row r="1865" spans="2:5" x14ac:dyDescent="0.3">
      <c r="B1865" s="4">
        <v>37603</v>
      </c>
      <c r="C1865" s="7">
        <v>16.59</v>
      </c>
      <c r="D1865" s="6">
        <f t="shared" si="32"/>
        <v>-0.98403180164398329</v>
      </c>
      <c r="E1865" s="6">
        <v>6.0642813826562421E-3</v>
      </c>
    </row>
    <row r="1866" spans="2:5" x14ac:dyDescent="0.3">
      <c r="B1866" s="4">
        <v>42583</v>
      </c>
      <c r="C1866" s="5">
        <v>1038.94</v>
      </c>
      <c r="D1866" s="6">
        <f t="shared" si="32"/>
        <v>-0.69003705449576647</v>
      </c>
      <c r="E1866" s="6">
        <v>6.0618971995196873E-3</v>
      </c>
    </row>
    <row r="1867" spans="2:5" x14ac:dyDescent="0.3">
      <c r="B1867" s="4">
        <v>44777</v>
      </c>
      <c r="C1867" s="5">
        <v>3351.82</v>
      </c>
      <c r="D1867" s="6">
        <f t="shared" si="32"/>
        <v>2.6892782847016607</v>
      </c>
      <c r="E1867" s="6">
        <v>6.0600967094185292E-3</v>
      </c>
    </row>
    <row r="1868" spans="2:5" x14ac:dyDescent="0.3">
      <c r="B1868" s="4">
        <v>42549</v>
      </c>
      <c r="C1868" s="7">
        <v>908.53</v>
      </c>
      <c r="D1868" s="6">
        <f t="shared" si="32"/>
        <v>35.414028056112222</v>
      </c>
      <c r="E1868" s="6">
        <v>6.0571833543729406E-3</v>
      </c>
    </row>
    <row r="1869" spans="2:5" x14ac:dyDescent="0.3">
      <c r="B1869" s="4">
        <v>37981</v>
      </c>
      <c r="C1869" s="7">
        <v>24.95</v>
      </c>
      <c r="D1869" s="6">
        <f t="shared" si="32"/>
        <v>-0.98120215779639564</v>
      </c>
      <c r="E1869" s="6">
        <v>6.0483870967741361E-3</v>
      </c>
    </row>
    <row r="1870" spans="2:5" x14ac:dyDescent="0.3">
      <c r="B1870" s="4">
        <v>43332</v>
      </c>
      <c r="C1870" s="5">
        <v>1327.28</v>
      </c>
      <c r="D1870" s="6">
        <f t="shared" si="32"/>
        <v>-0.17908499965982816</v>
      </c>
      <c r="E1870" s="6">
        <v>6.0334111511991303E-3</v>
      </c>
    </row>
    <row r="1871" spans="2:5" x14ac:dyDescent="0.3">
      <c r="B1871" s="4">
        <v>43983</v>
      </c>
      <c r="C1871" s="5">
        <v>1616.83</v>
      </c>
      <c r="D1871" s="6">
        <f t="shared" si="32"/>
        <v>-4.8548545603267171E-2</v>
      </c>
      <c r="E1871" s="6">
        <v>6.029344052167096E-3</v>
      </c>
    </row>
    <row r="1872" spans="2:5" x14ac:dyDescent="0.3">
      <c r="B1872" s="4">
        <v>43854</v>
      </c>
      <c r="C1872" s="5">
        <v>1699.33</v>
      </c>
      <c r="D1872" s="6">
        <f t="shared" si="32"/>
        <v>-0.41537281237421264</v>
      </c>
      <c r="E1872" s="6">
        <v>6.0266998194357137E-3</v>
      </c>
    </row>
    <row r="1873" spans="2:5" x14ac:dyDescent="0.3">
      <c r="B1873" s="4">
        <v>45335</v>
      </c>
      <c r="C1873" s="5">
        <v>2906.69</v>
      </c>
      <c r="D1873" s="6">
        <f t="shared" si="32"/>
        <v>0.25190691744802551</v>
      </c>
      <c r="E1873" s="6">
        <v>6.0257226713921301E-3</v>
      </c>
    </row>
    <row r="1874" spans="2:5" x14ac:dyDescent="0.3">
      <c r="B1874" s="4">
        <v>44277</v>
      </c>
      <c r="C1874" s="5">
        <v>2321.81</v>
      </c>
      <c r="D1874" s="6">
        <f t="shared" si="32"/>
        <v>56.556023797719376</v>
      </c>
      <c r="E1874" s="6">
        <v>5.992252965796899E-3</v>
      </c>
    </row>
    <row r="1875" spans="2:5" x14ac:dyDescent="0.3">
      <c r="B1875" s="4">
        <v>38645</v>
      </c>
      <c r="C1875" s="7">
        <v>40.340000000000003</v>
      </c>
      <c r="D1875" s="6">
        <f t="shared" si="32"/>
        <v>-0.95389977715559104</v>
      </c>
      <c r="E1875" s="6">
        <v>5.98503740648384E-3</v>
      </c>
    </row>
    <row r="1876" spans="2:5" x14ac:dyDescent="0.3">
      <c r="B1876" s="4">
        <v>42713</v>
      </c>
      <c r="C1876" s="7">
        <v>875.05</v>
      </c>
      <c r="D1876" s="6">
        <f t="shared" si="32"/>
        <v>-0.73351788068982948</v>
      </c>
      <c r="E1876" s="6">
        <v>5.978042191182309E-3</v>
      </c>
    </row>
    <row r="1877" spans="2:5" x14ac:dyDescent="0.3">
      <c r="B1877" s="4">
        <v>45140</v>
      </c>
      <c r="C1877" s="5">
        <v>3283.71</v>
      </c>
      <c r="D1877" s="6">
        <f t="shared" si="32"/>
        <v>2.0976058410685989</v>
      </c>
      <c r="E1877" s="6">
        <v>5.9677167356466969E-3</v>
      </c>
    </row>
    <row r="1878" spans="2:5" x14ac:dyDescent="0.3">
      <c r="B1878" s="4">
        <v>43140</v>
      </c>
      <c r="C1878" s="5">
        <v>1060.08</v>
      </c>
      <c r="D1878" s="6">
        <f t="shared" si="32"/>
        <v>-0.56050480091540777</v>
      </c>
      <c r="E1878" s="6">
        <v>5.9593850825583345E-3</v>
      </c>
    </row>
    <row r="1879" spans="2:5" x14ac:dyDescent="0.3">
      <c r="B1879" s="4">
        <v>45868</v>
      </c>
      <c r="C1879" s="5">
        <v>2412.04</v>
      </c>
      <c r="D1879" s="6">
        <f t="shared" si="32"/>
        <v>5.1504959583853935</v>
      </c>
      <c r="E1879" s="6">
        <v>5.9555585212864278E-3</v>
      </c>
    </row>
    <row r="1880" spans="2:5" x14ac:dyDescent="0.3">
      <c r="B1880" s="4">
        <v>41248</v>
      </c>
      <c r="C1880" s="7">
        <v>392.17</v>
      </c>
      <c r="D1880" s="6">
        <f t="shared" si="32"/>
        <v>0.79803768740543757</v>
      </c>
      <c r="E1880" s="6">
        <v>5.9510067974861951E-3</v>
      </c>
    </row>
    <row r="1881" spans="2:5" x14ac:dyDescent="0.3">
      <c r="B1881" s="4">
        <v>40578</v>
      </c>
      <c r="C1881" s="7">
        <v>218.11</v>
      </c>
      <c r="D1881" s="6">
        <f t="shared" si="32"/>
        <v>8.1951939291736942</v>
      </c>
      <c r="E1881" s="6">
        <v>5.9496356424685011E-3</v>
      </c>
    </row>
    <row r="1882" spans="2:5" x14ac:dyDescent="0.3">
      <c r="B1882" s="4">
        <v>37953</v>
      </c>
      <c r="C1882" s="7">
        <v>23.72</v>
      </c>
      <c r="D1882" s="6">
        <f t="shared" si="32"/>
        <v>-0.99267507859158932</v>
      </c>
      <c r="E1882" s="6">
        <v>5.9372349448685571E-3</v>
      </c>
    </row>
    <row r="1883" spans="2:5" x14ac:dyDescent="0.3">
      <c r="B1883" s="4">
        <v>44802</v>
      </c>
      <c r="C1883" s="5">
        <v>3238.26</v>
      </c>
      <c r="D1883" s="6">
        <f t="shared" si="32"/>
        <v>4.2122437945915782E-2</v>
      </c>
      <c r="E1883" s="6">
        <v>5.9300999947191806E-3</v>
      </c>
    </row>
    <row r="1884" spans="2:5" x14ac:dyDescent="0.3">
      <c r="B1884" s="4">
        <v>45159</v>
      </c>
      <c r="C1884" s="5">
        <v>3107.37</v>
      </c>
      <c r="D1884" s="6">
        <f t="shared" si="32"/>
        <v>-3.3495486864941887E-2</v>
      </c>
      <c r="E1884" s="6">
        <v>5.9273694910425652E-3</v>
      </c>
    </row>
    <row r="1885" spans="2:5" x14ac:dyDescent="0.3">
      <c r="B1885" s="4">
        <v>45301</v>
      </c>
      <c r="C1885" s="5">
        <v>3215.06</v>
      </c>
      <c r="D1885" s="6">
        <f t="shared" si="32"/>
        <v>13.668582899899626</v>
      </c>
      <c r="E1885" s="6">
        <v>5.9227878715821429E-3</v>
      </c>
    </row>
    <row r="1886" spans="2:5" x14ac:dyDescent="0.3">
      <c r="B1886" s="4">
        <v>40585</v>
      </c>
      <c r="C1886" s="7">
        <v>219.18</v>
      </c>
      <c r="D1886" s="6">
        <f t="shared" si="32"/>
        <v>-0.92220707866604201</v>
      </c>
      <c r="E1886" s="6">
        <v>5.9204185598238585E-3</v>
      </c>
    </row>
    <row r="1887" spans="2:5" x14ac:dyDescent="0.3">
      <c r="B1887" s="4">
        <v>44356</v>
      </c>
      <c r="C1887" s="5">
        <v>2817.48</v>
      </c>
      <c r="D1887" s="6">
        <f t="shared" si="32"/>
        <v>74.152840757535344</v>
      </c>
      <c r="E1887" s="6">
        <v>5.9123430872713052E-3</v>
      </c>
    </row>
    <row r="1888" spans="2:5" x14ac:dyDescent="0.3">
      <c r="B1888" s="4">
        <v>38586</v>
      </c>
      <c r="C1888" s="7">
        <v>37.49</v>
      </c>
      <c r="D1888" s="6">
        <f t="shared" si="32"/>
        <v>-0.35339772335288022</v>
      </c>
      <c r="E1888" s="6">
        <v>5.9028709417761963E-3</v>
      </c>
    </row>
    <row r="1889" spans="2:5" x14ac:dyDescent="0.3">
      <c r="B1889" s="4">
        <v>39031</v>
      </c>
      <c r="C1889" s="7">
        <v>57.98</v>
      </c>
      <c r="D1889" s="6">
        <f t="shared" si="32"/>
        <v>-0.65688247129837851</v>
      </c>
      <c r="E1889" s="6">
        <v>5.8986814712004912E-3</v>
      </c>
    </row>
    <row r="1890" spans="2:5" x14ac:dyDescent="0.3">
      <c r="B1890" s="4">
        <v>40217</v>
      </c>
      <c r="C1890" s="7">
        <v>168.98</v>
      </c>
      <c r="D1890" s="6">
        <f t="shared" si="32"/>
        <v>-0.30337634497258525</v>
      </c>
      <c r="E1890" s="6">
        <v>5.8932079290432799E-3</v>
      </c>
    </row>
    <row r="1891" spans="2:5" x14ac:dyDescent="0.3">
      <c r="B1891" s="4">
        <v>40920</v>
      </c>
      <c r="C1891" s="7">
        <v>242.57</v>
      </c>
      <c r="D1891" s="6">
        <f t="shared" si="32"/>
        <v>-0.91567475491900152</v>
      </c>
      <c r="E1891" s="6">
        <v>5.8884511714699878E-3</v>
      </c>
    </row>
    <row r="1892" spans="2:5" x14ac:dyDescent="0.3">
      <c r="B1892" s="4">
        <v>45982</v>
      </c>
      <c r="C1892" s="5">
        <v>2876.6</v>
      </c>
      <c r="D1892" s="6">
        <f t="shared" si="32"/>
        <v>12.996010314795893</v>
      </c>
      <c r="E1892" s="6">
        <v>5.8745366808866792E-3</v>
      </c>
    </row>
    <row r="1893" spans="2:5" x14ac:dyDescent="0.3">
      <c r="B1893" s="4">
        <v>40367</v>
      </c>
      <c r="C1893" s="7">
        <v>205.53</v>
      </c>
      <c r="D1893" s="6">
        <f t="shared" si="32"/>
        <v>7.5637499999999998</v>
      </c>
      <c r="E1893" s="6">
        <v>5.8728527382175336E-3</v>
      </c>
    </row>
    <row r="1894" spans="2:5" x14ac:dyDescent="0.3">
      <c r="B1894" s="4">
        <v>37959</v>
      </c>
      <c r="C1894" s="7">
        <v>24</v>
      </c>
      <c r="D1894" s="6">
        <f t="shared" si="32"/>
        <v>-0.99262237633258332</v>
      </c>
      <c r="E1894" s="6">
        <v>5.8675607711651543E-3</v>
      </c>
    </row>
    <row r="1895" spans="2:5" x14ac:dyDescent="0.3">
      <c r="B1895" s="4">
        <v>45554</v>
      </c>
      <c r="C1895" s="5">
        <v>3253.08</v>
      </c>
      <c r="D1895" s="6">
        <f t="shared" si="32"/>
        <v>2.5302571860816862E-2</v>
      </c>
      <c r="E1895" s="6">
        <v>5.8656013555506148E-3</v>
      </c>
    </row>
    <row r="1896" spans="2:5" x14ac:dyDescent="0.3">
      <c r="B1896" s="4">
        <v>45273</v>
      </c>
      <c r="C1896" s="5">
        <v>3172.8</v>
      </c>
      <c r="D1896" s="6">
        <f t="shared" si="32"/>
        <v>1.3529935257080561</v>
      </c>
      <c r="E1896" s="6">
        <v>5.8618208102565175E-3</v>
      </c>
    </row>
    <row r="1897" spans="2:5" x14ac:dyDescent="0.3">
      <c r="B1897" s="4">
        <v>43536</v>
      </c>
      <c r="C1897" s="5">
        <v>1348.41</v>
      </c>
      <c r="D1897" s="6">
        <f t="shared" si="32"/>
        <v>3.6720834343924333</v>
      </c>
      <c r="E1897" s="6">
        <v>5.8482585765757449E-3</v>
      </c>
    </row>
    <row r="1898" spans="2:5" x14ac:dyDescent="0.3">
      <c r="B1898" s="4">
        <v>41011</v>
      </c>
      <c r="C1898" s="7">
        <v>288.61</v>
      </c>
      <c r="D1898" s="6">
        <f t="shared" si="32"/>
        <v>-0.83767533943013972</v>
      </c>
      <c r="E1898" s="6">
        <v>5.8200320624521365E-3</v>
      </c>
    </row>
    <row r="1899" spans="2:5" x14ac:dyDescent="0.3">
      <c r="B1899" s="4">
        <v>43871</v>
      </c>
      <c r="C1899" s="5">
        <v>1777.98</v>
      </c>
      <c r="D1899" s="6">
        <f t="shared" si="32"/>
        <v>14.084245355052177</v>
      </c>
      <c r="E1899" s="6">
        <v>5.8097764904876826E-3</v>
      </c>
    </row>
    <row r="1900" spans="2:5" x14ac:dyDescent="0.3">
      <c r="B1900" s="4">
        <v>40079</v>
      </c>
      <c r="C1900" s="7">
        <v>117.87</v>
      </c>
      <c r="D1900" s="6">
        <f t="shared" si="32"/>
        <v>0.50594097355308565</v>
      </c>
      <c r="E1900" s="6">
        <v>5.8025428790853045E-3</v>
      </c>
    </row>
    <row r="1901" spans="2:5" x14ac:dyDescent="0.3">
      <c r="B1901" s="4">
        <v>39323</v>
      </c>
      <c r="C1901" s="7">
        <v>78.27</v>
      </c>
      <c r="D1901" s="6">
        <f t="shared" si="32"/>
        <v>-0.96560800063273899</v>
      </c>
      <c r="E1901" s="6">
        <v>5.7825751734772923E-3</v>
      </c>
    </row>
    <row r="1902" spans="2:5" x14ac:dyDescent="0.3">
      <c r="B1902" s="4">
        <v>45737</v>
      </c>
      <c r="C1902" s="5">
        <v>2275.8200000000002</v>
      </c>
      <c r="D1902" s="6">
        <f t="shared" si="32"/>
        <v>-0.11260235514310214</v>
      </c>
      <c r="E1902" s="6">
        <v>5.7717124219978898E-3</v>
      </c>
    </row>
    <row r="1903" spans="2:5" x14ac:dyDescent="0.3">
      <c r="B1903" s="4">
        <v>45904</v>
      </c>
      <c r="C1903" s="5">
        <v>2564.6</v>
      </c>
      <c r="D1903" s="6">
        <f t="shared" si="32"/>
        <v>2.7891671776866498E-2</v>
      </c>
      <c r="E1903" s="6">
        <v>5.757043358222939E-3</v>
      </c>
    </row>
    <row r="1904" spans="2:5" x14ac:dyDescent="0.3">
      <c r="B1904" s="4">
        <v>45847</v>
      </c>
      <c r="C1904" s="5">
        <v>2495.0100000000002</v>
      </c>
      <c r="D1904" s="6">
        <f t="shared" si="32"/>
        <v>18.284356160148402</v>
      </c>
      <c r="E1904" s="6">
        <v>5.7563701007365574E-3</v>
      </c>
    </row>
    <row r="1905" spans="2:5" x14ac:dyDescent="0.3">
      <c r="B1905" s="4">
        <v>40094</v>
      </c>
      <c r="C1905" s="7">
        <v>129.38</v>
      </c>
      <c r="D1905" s="6">
        <f t="shared" si="32"/>
        <v>4.2829726418946512</v>
      </c>
      <c r="E1905" s="6">
        <v>5.7524875621891257E-3</v>
      </c>
    </row>
    <row r="1906" spans="2:5" x14ac:dyDescent="0.3">
      <c r="B1906" s="4">
        <v>38327</v>
      </c>
      <c r="C1906" s="7">
        <v>24.49</v>
      </c>
      <c r="D1906" s="6">
        <f t="shared" si="32"/>
        <v>-0.98216015792885913</v>
      </c>
      <c r="E1906" s="6">
        <v>5.7494866529772901E-3</v>
      </c>
    </row>
    <row r="1907" spans="2:5" x14ac:dyDescent="0.3">
      <c r="B1907" s="4">
        <v>43543</v>
      </c>
      <c r="C1907" s="5">
        <v>1372.77</v>
      </c>
      <c r="D1907" s="6">
        <f t="shared" si="32"/>
        <v>-0.50700826339434812</v>
      </c>
      <c r="E1907" s="6">
        <v>5.7438843017590044E-3</v>
      </c>
    </row>
    <row r="1908" spans="2:5" x14ac:dyDescent="0.3">
      <c r="B1908" s="4">
        <v>45379</v>
      </c>
      <c r="C1908" s="5">
        <v>2784.57</v>
      </c>
      <c r="D1908" s="6">
        <f t="shared" si="32"/>
        <v>0.60758945581765911</v>
      </c>
      <c r="E1908" s="6">
        <v>5.7428295896586054E-3</v>
      </c>
    </row>
    <row r="1909" spans="2:5" x14ac:dyDescent="0.3">
      <c r="B1909" s="4">
        <v>43768</v>
      </c>
      <c r="C1909" s="5">
        <v>1732.14</v>
      </c>
      <c r="D1909" s="6">
        <f t="shared" si="32"/>
        <v>3.9878768681429442</v>
      </c>
      <c r="E1909" s="6">
        <v>5.7424880243867613E-3</v>
      </c>
    </row>
    <row r="1910" spans="2:5" x14ac:dyDescent="0.3">
      <c r="B1910" s="4">
        <v>41079</v>
      </c>
      <c r="C1910" s="7">
        <v>347.27</v>
      </c>
      <c r="D1910" s="6">
        <f t="shared" si="32"/>
        <v>-5.1693063899508486E-2</v>
      </c>
      <c r="E1910" s="6">
        <v>5.7343102899011303E-3</v>
      </c>
    </row>
    <row r="1911" spans="2:5" x14ac:dyDescent="0.3">
      <c r="B1911" s="4">
        <v>41522</v>
      </c>
      <c r="C1911" s="7">
        <v>366.2</v>
      </c>
      <c r="D1911" s="6">
        <f t="shared" si="32"/>
        <v>8.878608038845428</v>
      </c>
      <c r="E1911" s="6">
        <v>5.712402504668747E-3</v>
      </c>
    </row>
    <row r="1912" spans="2:5" x14ac:dyDescent="0.3">
      <c r="B1912" s="4">
        <v>38575</v>
      </c>
      <c r="C1912" s="7">
        <v>37.07</v>
      </c>
      <c r="D1912" s="6">
        <f t="shared" si="32"/>
        <v>-0.97128026341274454</v>
      </c>
      <c r="E1912" s="6">
        <v>5.6972327726533059E-3</v>
      </c>
    </row>
    <row r="1913" spans="2:5" x14ac:dyDescent="0.3">
      <c r="B1913" s="4">
        <v>43650</v>
      </c>
      <c r="C1913" s="5">
        <v>1290.75</v>
      </c>
      <c r="D1913" s="6">
        <f t="shared" si="32"/>
        <v>0.33179595121649236</v>
      </c>
      <c r="E1913" s="6">
        <v>5.6956304930498858E-3</v>
      </c>
    </row>
    <row r="1914" spans="2:5" x14ac:dyDescent="0.3">
      <c r="B1914" s="4">
        <v>42678</v>
      </c>
      <c r="C1914" s="7">
        <v>969.18</v>
      </c>
      <c r="D1914" s="6">
        <f t="shared" si="32"/>
        <v>3.0859190556492413</v>
      </c>
      <c r="E1914" s="6">
        <v>5.6864169347306259E-3</v>
      </c>
    </row>
    <row r="1915" spans="2:5" x14ac:dyDescent="0.3">
      <c r="B1915" s="4">
        <v>40917</v>
      </c>
      <c r="C1915" s="7">
        <v>237.2</v>
      </c>
      <c r="D1915" s="6">
        <f t="shared" si="32"/>
        <v>-0.46260676499241032</v>
      </c>
      <c r="E1915" s="6">
        <v>5.6813363859915837E-3</v>
      </c>
    </row>
    <row r="1916" spans="2:5" x14ac:dyDescent="0.3">
      <c r="B1916" s="4">
        <v>41638</v>
      </c>
      <c r="C1916" s="7">
        <v>441.39</v>
      </c>
      <c r="D1916" s="6">
        <f t="shared" si="32"/>
        <v>-0.26552515974440899</v>
      </c>
      <c r="E1916" s="6">
        <v>5.6732740943267468E-3</v>
      </c>
    </row>
    <row r="1917" spans="2:5" x14ac:dyDescent="0.3">
      <c r="B1917" s="4">
        <v>41948</v>
      </c>
      <c r="C1917" s="7">
        <v>600.96</v>
      </c>
      <c r="D1917" s="6">
        <f t="shared" si="32"/>
        <v>11.551378446115288</v>
      </c>
      <c r="E1917" s="6">
        <v>5.6729755509814517E-3</v>
      </c>
    </row>
    <row r="1918" spans="2:5" x14ac:dyDescent="0.3">
      <c r="B1918" s="4">
        <v>38924</v>
      </c>
      <c r="C1918" s="7">
        <v>47.88</v>
      </c>
      <c r="D1918" s="6">
        <f t="shared" si="32"/>
        <v>-0.73541114058355439</v>
      </c>
      <c r="E1918" s="6">
        <v>5.6710775047259633E-3</v>
      </c>
    </row>
    <row r="1919" spans="2:5" x14ac:dyDescent="0.3">
      <c r="B1919" s="4">
        <v>40324</v>
      </c>
      <c r="C1919" s="7">
        <v>180.96</v>
      </c>
      <c r="D1919" s="6">
        <f t="shared" si="32"/>
        <v>-0.54054740263037626</v>
      </c>
      <c r="E1919" s="6">
        <v>5.6685561853951887E-3</v>
      </c>
    </row>
    <row r="1920" spans="2:5" x14ac:dyDescent="0.3">
      <c r="B1920" s="4">
        <v>41277</v>
      </c>
      <c r="C1920" s="7">
        <v>393.86</v>
      </c>
      <c r="D1920" s="6">
        <f t="shared" si="32"/>
        <v>16.072388383181622</v>
      </c>
      <c r="E1920" s="6">
        <v>5.6684710448371648E-3</v>
      </c>
    </row>
    <row r="1921" spans="2:5" x14ac:dyDescent="0.3">
      <c r="B1921" s="4">
        <v>38309</v>
      </c>
      <c r="C1921" s="7">
        <v>23.07</v>
      </c>
      <c r="D1921" s="6">
        <f t="shared" si="32"/>
        <v>-0.98594869171173805</v>
      </c>
      <c r="E1921" s="6">
        <v>5.6669572798604623E-3</v>
      </c>
    </row>
    <row r="1922" spans="2:5" x14ac:dyDescent="0.3">
      <c r="B1922" s="4">
        <v>43808</v>
      </c>
      <c r="C1922" s="5">
        <v>1641.84</v>
      </c>
      <c r="D1922" s="6">
        <f t="shared" si="32"/>
        <v>-0.3277924715246105</v>
      </c>
      <c r="E1922" s="6">
        <v>5.6535241116984578E-3</v>
      </c>
    </row>
    <row r="1923" spans="2:5" x14ac:dyDescent="0.3">
      <c r="B1923" s="4">
        <v>44287</v>
      </c>
      <c r="C1923" s="5">
        <v>2442.46</v>
      </c>
      <c r="D1923" s="6">
        <f t="shared" si="32"/>
        <v>8.325925925925926</v>
      </c>
      <c r="E1923" s="6">
        <v>5.6531602936514217E-3</v>
      </c>
    </row>
    <row r="1924" spans="2:5" x14ac:dyDescent="0.3">
      <c r="B1924" s="4">
        <v>40869</v>
      </c>
      <c r="C1924" s="7">
        <v>261.89999999999998</v>
      </c>
      <c r="D1924" s="6">
        <f t="shared" si="32"/>
        <v>-0.546532767725738</v>
      </c>
      <c r="E1924" s="6">
        <v>5.6445110010366331E-3</v>
      </c>
    </row>
    <row r="1925" spans="2:5" x14ac:dyDescent="0.3">
      <c r="B1925" s="4">
        <v>41856</v>
      </c>
      <c r="C1925" s="7">
        <v>577.54999999999995</v>
      </c>
      <c r="D1925" s="6">
        <f t="shared" si="32"/>
        <v>-0.69517601731144774</v>
      </c>
      <c r="E1925" s="6">
        <v>5.6415524716616622E-3</v>
      </c>
    </row>
    <row r="1926" spans="2:5" x14ac:dyDescent="0.3">
      <c r="B1926" s="4">
        <v>44070</v>
      </c>
      <c r="C1926" s="5">
        <v>1894.7</v>
      </c>
      <c r="D1926" s="6">
        <f t="shared" si="32"/>
        <v>-0.31566419977823285</v>
      </c>
      <c r="E1926" s="6">
        <v>5.6313658052429168E-3</v>
      </c>
    </row>
    <row r="1927" spans="2:5" x14ac:dyDescent="0.3">
      <c r="B1927" s="4">
        <v>45378</v>
      </c>
      <c r="C1927" s="5">
        <v>2768.67</v>
      </c>
      <c r="D1927" s="6">
        <f t="shared" si="32"/>
        <v>30.605821917808225</v>
      </c>
      <c r="E1927" s="6">
        <v>5.629873927145799E-3</v>
      </c>
    </row>
    <row r="1928" spans="2:5" x14ac:dyDescent="0.3">
      <c r="B1928" s="4">
        <v>39633</v>
      </c>
      <c r="C1928" s="7">
        <v>87.6</v>
      </c>
      <c r="D1928" s="6">
        <f t="shared" ref="D1928:D1991" si="33">((C1928-C1929)/C1929)</f>
        <v>-0.84198849185591362</v>
      </c>
      <c r="E1928" s="6">
        <v>5.6250717483640788E-3</v>
      </c>
    </row>
    <row r="1929" spans="2:5" x14ac:dyDescent="0.3">
      <c r="B1929" s="4">
        <v>41877</v>
      </c>
      <c r="C1929" s="7">
        <v>554.39</v>
      </c>
      <c r="D1929" s="6">
        <f t="shared" si="33"/>
        <v>0.28838019986056235</v>
      </c>
      <c r="E1929" s="6">
        <v>5.6231747356201324E-3</v>
      </c>
    </row>
    <row r="1930" spans="2:5" x14ac:dyDescent="0.3">
      <c r="B1930" s="4">
        <v>41702</v>
      </c>
      <c r="C1930" s="7">
        <v>430.3</v>
      </c>
      <c r="D1930" s="6">
        <f t="shared" si="33"/>
        <v>22.918843802112288</v>
      </c>
      <c r="E1930" s="6">
        <v>5.6087870997897507E-3</v>
      </c>
    </row>
    <row r="1931" spans="2:5" x14ac:dyDescent="0.3">
      <c r="B1931" s="4">
        <v>37763</v>
      </c>
      <c r="C1931" s="7">
        <v>17.989999999999998</v>
      </c>
      <c r="D1931" s="6">
        <f t="shared" si="33"/>
        <v>-0.54605097148624782</v>
      </c>
      <c r="E1931" s="6">
        <v>5.5897149245387294E-3</v>
      </c>
    </row>
    <row r="1932" spans="2:5" x14ac:dyDescent="0.3">
      <c r="B1932" s="4">
        <v>38607</v>
      </c>
      <c r="C1932" s="7">
        <v>39.630000000000003</v>
      </c>
      <c r="D1932" s="6">
        <f t="shared" si="33"/>
        <v>-0.35340186000978946</v>
      </c>
      <c r="E1932" s="6">
        <v>5.5823395077393041E-3</v>
      </c>
    </row>
    <row r="1933" spans="2:5" x14ac:dyDescent="0.3">
      <c r="B1933" s="4">
        <v>39084</v>
      </c>
      <c r="C1933" s="7">
        <v>61.29</v>
      </c>
      <c r="D1933" s="6">
        <f t="shared" si="33"/>
        <v>-0.97795482339400042</v>
      </c>
      <c r="E1933" s="6">
        <v>5.5783429040196274E-3</v>
      </c>
    </row>
    <row r="1934" spans="2:5" x14ac:dyDescent="0.3">
      <c r="B1934" s="4">
        <v>46006</v>
      </c>
      <c r="C1934" s="5">
        <v>2780.2</v>
      </c>
      <c r="D1934" s="6">
        <f t="shared" si="33"/>
        <v>170.08923076923077</v>
      </c>
      <c r="E1934" s="6">
        <v>5.5700231481480159E-3</v>
      </c>
    </row>
    <row r="1935" spans="2:5" x14ac:dyDescent="0.3">
      <c r="B1935" s="4">
        <v>37623</v>
      </c>
      <c r="C1935" s="7">
        <v>16.25</v>
      </c>
      <c r="D1935" s="6">
        <f t="shared" si="33"/>
        <v>-0.67859968354430378</v>
      </c>
      <c r="E1935" s="6">
        <v>5.5693069306930604E-3</v>
      </c>
    </row>
    <row r="1936" spans="2:5" x14ac:dyDescent="0.3">
      <c r="B1936" s="4">
        <v>38828</v>
      </c>
      <c r="C1936" s="7">
        <v>50.56</v>
      </c>
      <c r="D1936" s="6">
        <f t="shared" si="33"/>
        <v>-0.98123006901365051</v>
      </c>
      <c r="E1936" s="6">
        <v>5.5688146380270713E-3</v>
      </c>
    </row>
    <row r="1937" spans="2:5" x14ac:dyDescent="0.3">
      <c r="B1937" s="4">
        <v>45019</v>
      </c>
      <c r="C1937" s="5">
        <v>2693.67</v>
      </c>
      <c r="D1937" s="6">
        <f t="shared" si="33"/>
        <v>164.35727440147332</v>
      </c>
      <c r="E1937" s="6">
        <v>5.558500511426796E-3</v>
      </c>
    </row>
    <row r="1938" spans="2:5" x14ac:dyDescent="0.3">
      <c r="B1938" s="4">
        <v>37592</v>
      </c>
      <c r="C1938" s="7">
        <v>16.29</v>
      </c>
      <c r="D1938" s="6">
        <f t="shared" si="33"/>
        <v>-0.98421633981861878</v>
      </c>
      <c r="E1938" s="6">
        <v>5.5555555555555471E-3</v>
      </c>
    </row>
    <row r="1939" spans="2:5" x14ac:dyDescent="0.3">
      <c r="B1939" s="4">
        <v>42601</v>
      </c>
      <c r="C1939" s="5">
        <v>1032.08</v>
      </c>
      <c r="D1939" s="6">
        <f t="shared" si="33"/>
        <v>21.783222958057397</v>
      </c>
      <c r="E1939" s="6">
        <v>5.5534987041834577E-3</v>
      </c>
    </row>
    <row r="1940" spans="2:5" x14ac:dyDescent="0.3">
      <c r="B1940" s="4">
        <v>38708</v>
      </c>
      <c r="C1940" s="7">
        <v>45.3</v>
      </c>
      <c r="D1940" s="6">
        <f t="shared" si="33"/>
        <v>1.7740355174525415</v>
      </c>
      <c r="E1940" s="6">
        <v>5.5493895671476145E-3</v>
      </c>
    </row>
    <row r="1941" spans="2:5" x14ac:dyDescent="0.3">
      <c r="B1941" s="4">
        <v>37594</v>
      </c>
      <c r="C1941" s="7">
        <v>16.329999999999998</v>
      </c>
      <c r="D1941" s="6">
        <f t="shared" si="33"/>
        <v>-0.99503328882657271</v>
      </c>
      <c r="E1941" s="6">
        <v>5.5418719211822575E-3</v>
      </c>
    </row>
    <row r="1942" spans="2:5" x14ac:dyDescent="0.3">
      <c r="B1942" s="4">
        <v>45565</v>
      </c>
      <c r="C1942" s="5">
        <v>3287.89</v>
      </c>
      <c r="D1942" s="6">
        <f t="shared" si="33"/>
        <v>2.5847425288108239</v>
      </c>
      <c r="E1942" s="6">
        <v>5.5416741850343879E-3</v>
      </c>
    </row>
    <row r="1943" spans="2:5" x14ac:dyDescent="0.3">
      <c r="B1943" s="4">
        <v>42545</v>
      </c>
      <c r="C1943" s="7">
        <v>917.19</v>
      </c>
      <c r="D1943" s="6">
        <f t="shared" si="33"/>
        <v>35.067243413291393</v>
      </c>
      <c r="E1943" s="6">
        <v>5.5364308110597803E-3</v>
      </c>
    </row>
    <row r="1944" spans="2:5" x14ac:dyDescent="0.3">
      <c r="B1944" s="4">
        <v>38362</v>
      </c>
      <c r="C1944" s="7">
        <v>25.43</v>
      </c>
      <c r="D1944" s="6">
        <f t="shared" si="33"/>
        <v>-0.91047350818517869</v>
      </c>
      <c r="E1944" s="6">
        <v>5.5357848952155226E-3</v>
      </c>
    </row>
    <row r="1945" spans="2:5" x14ac:dyDescent="0.3">
      <c r="B1945" s="4">
        <v>40982</v>
      </c>
      <c r="C1945" s="7">
        <v>284.05</v>
      </c>
      <c r="D1945" s="6">
        <f t="shared" si="33"/>
        <v>0.1303673047077083</v>
      </c>
      <c r="E1945" s="6">
        <v>5.5223193741371452E-3</v>
      </c>
    </row>
    <row r="1946" spans="2:5" x14ac:dyDescent="0.3">
      <c r="B1946" s="4">
        <v>40681</v>
      </c>
      <c r="C1946" s="7">
        <v>251.29</v>
      </c>
      <c r="D1946" s="6">
        <f t="shared" si="33"/>
        <v>1.0595852798950902</v>
      </c>
      <c r="E1946" s="6">
        <v>5.5219879156496159E-3</v>
      </c>
    </row>
    <row r="1947" spans="2:5" x14ac:dyDescent="0.3">
      <c r="B1947" s="4">
        <v>40087</v>
      </c>
      <c r="C1947" s="7">
        <v>122.01</v>
      </c>
      <c r="D1947" s="6">
        <f t="shared" si="33"/>
        <v>2.9408914728682172</v>
      </c>
      <c r="E1947" s="6">
        <v>5.5216746332619228E-3</v>
      </c>
    </row>
    <row r="1948" spans="2:5" x14ac:dyDescent="0.3">
      <c r="B1948" s="4">
        <v>38429</v>
      </c>
      <c r="C1948" s="7">
        <v>30.96</v>
      </c>
      <c r="D1948" s="6">
        <f t="shared" si="33"/>
        <v>-0.98819564123289971</v>
      </c>
      <c r="E1948" s="6">
        <v>5.5212731406301301E-3</v>
      </c>
    </row>
    <row r="1949" spans="2:5" x14ac:dyDescent="0.3">
      <c r="B1949" s="4">
        <v>44628</v>
      </c>
      <c r="C1949" s="5">
        <v>2622.76</v>
      </c>
      <c r="D1949" s="6">
        <f t="shared" si="33"/>
        <v>1.0871378209974296</v>
      </c>
      <c r="E1949" s="6">
        <v>5.5207103313960077E-3</v>
      </c>
    </row>
    <row r="1950" spans="2:5" x14ac:dyDescent="0.3">
      <c r="B1950" s="4">
        <v>43446</v>
      </c>
      <c r="C1950" s="5">
        <v>1256.6300000000001</v>
      </c>
      <c r="D1950" s="6">
        <f t="shared" si="33"/>
        <v>75.530450669914728</v>
      </c>
      <c r="E1950" s="6">
        <v>5.51314673452086E-3</v>
      </c>
    </row>
    <row r="1951" spans="2:5" x14ac:dyDescent="0.3">
      <c r="B1951" s="4">
        <v>37595</v>
      </c>
      <c r="C1951" s="7">
        <v>16.420000000000002</v>
      </c>
      <c r="D1951" s="6">
        <f t="shared" si="33"/>
        <v>-0.65409732462607961</v>
      </c>
      <c r="E1951" s="6">
        <v>5.5113288426211528E-3</v>
      </c>
    </row>
    <row r="1952" spans="2:5" x14ac:dyDescent="0.3">
      <c r="B1952" s="4">
        <v>38917</v>
      </c>
      <c r="C1952" s="7">
        <v>47.47</v>
      </c>
      <c r="D1952" s="6">
        <f t="shared" si="33"/>
        <v>-0.98276306568335903</v>
      </c>
      <c r="E1952" s="6">
        <v>5.5073077737767002E-3</v>
      </c>
    </row>
    <row r="1953" spans="2:5" x14ac:dyDescent="0.3">
      <c r="B1953" s="4">
        <v>44712</v>
      </c>
      <c r="C1953" s="5">
        <v>2753.97</v>
      </c>
      <c r="D1953" s="6">
        <f t="shared" si="33"/>
        <v>166.41458966565349</v>
      </c>
      <c r="E1953" s="6">
        <v>5.5022089159880638E-3</v>
      </c>
    </row>
    <row r="1954" spans="2:5" x14ac:dyDescent="0.3">
      <c r="B1954" s="4">
        <v>37628</v>
      </c>
      <c r="C1954" s="7">
        <v>16.45</v>
      </c>
      <c r="D1954" s="6">
        <f t="shared" si="33"/>
        <v>0</v>
      </c>
      <c r="E1954" s="6">
        <v>5.5012224938875221E-3</v>
      </c>
    </row>
    <row r="1955" spans="2:5" x14ac:dyDescent="0.3">
      <c r="B1955" s="4">
        <v>37481</v>
      </c>
      <c r="C1955" s="7">
        <v>16.45</v>
      </c>
      <c r="D1955" s="6">
        <f t="shared" si="33"/>
        <v>-0.98759211627959598</v>
      </c>
      <c r="E1955" s="6">
        <v>5.5012224938875221E-3</v>
      </c>
    </row>
    <row r="1956" spans="2:5" x14ac:dyDescent="0.3">
      <c r="B1956" s="4">
        <v>43340</v>
      </c>
      <c r="C1956" s="5">
        <v>1325.77</v>
      </c>
      <c r="D1956" s="6">
        <f t="shared" si="33"/>
        <v>6.4741797271394743</v>
      </c>
      <c r="E1956" s="6">
        <v>5.498589327427722E-3</v>
      </c>
    </row>
    <row r="1957" spans="2:5" x14ac:dyDescent="0.3">
      <c r="B1957" s="4">
        <v>40277</v>
      </c>
      <c r="C1957" s="7">
        <v>177.38</v>
      </c>
      <c r="D1957" s="6">
        <f t="shared" si="33"/>
        <v>9.756822316555489</v>
      </c>
      <c r="E1957" s="6">
        <v>5.4985545037129352E-3</v>
      </c>
    </row>
    <row r="1958" spans="2:5" x14ac:dyDescent="0.3">
      <c r="B1958" s="4">
        <v>37602</v>
      </c>
      <c r="C1958" s="7">
        <v>16.489999999999998</v>
      </c>
      <c r="D1958" s="6">
        <f t="shared" si="33"/>
        <v>-0.98911019243723008</v>
      </c>
      <c r="E1958" s="6">
        <v>5.4878048780487724E-3</v>
      </c>
    </row>
    <row r="1959" spans="2:5" x14ac:dyDescent="0.3">
      <c r="B1959" s="4">
        <v>43697</v>
      </c>
      <c r="C1959" s="5">
        <v>1514.26</v>
      </c>
      <c r="D1959" s="6">
        <f t="shared" si="33"/>
        <v>0.87255459649296374</v>
      </c>
      <c r="E1959" s="6">
        <v>5.4847277556440846E-3</v>
      </c>
    </row>
    <row r="1960" spans="2:5" x14ac:dyDescent="0.3">
      <c r="B1960" s="4">
        <v>42726</v>
      </c>
      <c r="C1960" s="7">
        <v>808.66</v>
      </c>
      <c r="D1960" s="6">
        <f t="shared" si="33"/>
        <v>0.15996786872077343</v>
      </c>
      <c r="E1960" s="6">
        <v>5.4833695990052448E-3</v>
      </c>
    </row>
    <row r="1961" spans="2:5" x14ac:dyDescent="0.3">
      <c r="B1961" s="4">
        <v>42137</v>
      </c>
      <c r="C1961" s="7">
        <v>697.14</v>
      </c>
      <c r="D1961" s="6">
        <f t="shared" si="33"/>
        <v>-0.78610547760694882</v>
      </c>
      <c r="E1961" s="6">
        <v>5.4807165315717459E-3</v>
      </c>
    </row>
    <row r="1962" spans="2:5" x14ac:dyDescent="0.3">
      <c r="B1962" s="4">
        <v>45278</v>
      </c>
      <c r="C1962" s="5">
        <v>3259.27</v>
      </c>
      <c r="D1962" s="6">
        <f t="shared" si="33"/>
        <v>0.27818519796699498</v>
      </c>
      <c r="E1962" s="6">
        <v>5.4789280304548688E-3</v>
      </c>
    </row>
    <row r="1963" spans="2:5" x14ac:dyDescent="0.3">
      <c r="B1963" s="4">
        <v>45903</v>
      </c>
      <c r="C1963" s="5">
        <v>2549.92</v>
      </c>
      <c r="D1963" s="6">
        <f t="shared" si="33"/>
        <v>125.10880316518301</v>
      </c>
      <c r="E1963" s="6">
        <v>5.4730997933786964E-3</v>
      </c>
    </row>
    <row r="1964" spans="2:5" x14ac:dyDescent="0.3">
      <c r="B1964" s="4">
        <v>37831</v>
      </c>
      <c r="C1964" s="7">
        <v>20.22</v>
      </c>
      <c r="D1964" s="6">
        <f t="shared" si="33"/>
        <v>-0.98751173476950438</v>
      </c>
      <c r="E1964" s="6">
        <v>5.4699154649427862E-3</v>
      </c>
    </row>
    <row r="1965" spans="2:5" x14ac:dyDescent="0.3">
      <c r="B1965" s="4">
        <v>44015</v>
      </c>
      <c r="C1965" s="5">
        <v>1619.12</v>
      </c>
      <c r="D1965" s="6">
        <f t="shared" si="33"/>
        <v>-0.34850033397445696</v>
      </c>
      <c r="E1965" s="6">
        <v>5.4585085044680064E-3</v>
      </c>
    </row>
    <row r="1966" spans="2:5" x14ac:dyDescent="0.3">
      <c r="B1966" s="4">
        <v>45880</v>
      </c>
      <c r="C1966" s="5">
        <v>2485.2199999999998</v>
      </c>
      <c r="D1966" s="6">
        <f t="shared" si="33"/>
        <v>22.239386571909481</v>
      </c>
      <c r="E1966" s="6">
        <v>5.4536480374149463E-3</v>
      </c>
    </row>
    <row r="1967" spans="2:5" x14ac:dyDescent="0.3">
      <c r="B1967" s="4">
        <v>39618</v>
      </c>
      <c r="C1967" s="7">
        <v>106.94</v>
      </c>
      <c r="D1967" s="6">
        <f t="shared" si="33"/>
        <v>-0.2750322012066978</v>
      </c>
      <c r="E1967" s="6">
        <v>5.4531778864234512E-3</v>
      </c>
    </row>
    <row r="1968" spans="2:5" x14ac:dyDescent="0.3">
      <c r="B1968" s="4">
        <v>40140</v>
      </c>
      <c r="C1968" s="7">
        <v>147.51</v>
      </c>
      <c r="D1968" s="6">
        <f t="shared" si="33"/>
        <v>2.0763295099061518</v>
      </c>
      <c r="E1968" s="6">
        <v>5.4529343603025218E-3</v>
      </c>
    </row>
    <row r="1969" spans="2:5" x14ac:dyDescent="0.3">
      <c r="B1969" s="4">
        <v>38905</v>
      </c>
      <c r="C1969" s="7">
        <v>47.95</v>
      </c>
      <c r="D1969" s="6">
        <f t="shared" si="33"/>
        <v>8.2392776523702166E-2</v>
      </c>
      <c r="E1969" s="6">
        <v>5.4518767037115773E-3</v>
      </c>
    </row>
    <row r="1970" spans="2:5" x14ac:dyDescent="0.3">
      <c r="B1970" s="4">
        <v>38861</v>
      </c>
      <c r="C1970" s="7">
        <v>44.3</v>
      </c>
      <c r="D1970" s="6">
        <f t="shared" si="33"/>
        <v>-0.98583392758354937</v>
      </c>
      <c r="E1970" s="6">
        <v>5.4471175669540371E-3</v>
      </c>
    </row>
    <row r="1971" spans="2:5" x14ac:dyDescent="0.3">
      <c r="B1971" s="4">
        <v>45152</v>
      </c>
      <c r="C1971" s="5">
        <v>3127.19</v>
      </c>
      <c r="D1971" s="6">
        <f t="shared" si="33"/>
        <v>8.7060353038508967E-2</v>
      </c>
      <c r="E1971" s="6">
        <v>5.4174141733700845E-3</v>
      </c>
    </row>
    <row r="1972" spans="2:5" x14ac:dyDescent="0.3">
      <c r="B1972" s="4">
        <v>45497</v>
      </c>
      <c r="C1972" s="5">
        <v>2876.74</v>
      </c>
      <c r="D1972" s="6">
        <f t="shared" si="33"/>
        <v>1.7241598090927168</v>
      </c>
      <c r="E1972" s="6">
        <v>5.4172316897568894E-3</v>
      </c>
    </row>
    <row r="1973" spans="2:5" x14ac:dyDescent="0.3">
      <c r="B1973" s="4">
        <v>43151</v>
      </c>
      <c r="C1973" s="5">
        <v>1056.01</v>
      </c>
      <c r="D1973" s="6">
        <f t="shared" si="33"/>
        <v>-0.67484173317568241</v>
      </c>
      <c r="E1973" s="6">
        <v>5.4078242076300437E-3</v>
      </c>
    </row>
    <row r="1974" spans="2:5" x14ac:dyDescent="0.3">
      <c r="B1974" s="4">
        <v>45104</v>
      </c>
      <c r="C1974" s="5">
        <v>3247.68</v>
      </c>
      <c r="D1974" s="6">
        <f t="shared" si="33"/>
        <v>1.5158846359432012</v>
      </c>
      <c r="E1974" s="6">
        <v>5.3958671929416717E-3</v>
      </c>
    </row>
    <row r="1975" spans="2:5" x14ac:dyDescent="0.3">
      <c r="B1975" s="4">
        <v>43291</v>
      </c>
      <c r="C1975" s="5">
        <v>1290.8699999999999</v>
      </c>
      <c r="D1975" s="6">
        <f t="shared" si="33"/>
        <v>75.79179060083284</v>
      </c>
      <c r="E1975" s="6">
        <v>5.3896179757777522E-3</v>
      </c>
    </row>
    <row r="1976" spans="2:5" x14ac:dyDescent="0.3">
      <c r="B1976" s="4">
        <v>37511</v>
      </c>
      <c r="C1976" s="7">
        <v>16.809999999999999</v>
      </c>
      <c r="D1976" s="6">
        <f t="shared" si="33"/>
        <v>-0.99470657883135372</v>
      </c>
      <c r="E1976" s="6">
        <v>5.3827751196172165E-3</v>
      </c>
    </row>
    <row r="1977" spans="2:5" x14ac:dyDescent="0.3">
      <c r="B1977" s="4">
        <v>44544</v>
      </c>
      <c r="C1977" s="5">
        <v>3175.64</v>
      </c>
      <c r="D1977" s="6">
        <f t="shared" si="33"/>
        <v>5.3014828766214703E-2</v>
      </c>
      <c r="E1977" s="6">
        <v>5.3788802178145034E-3</v>
      </c>
    </row>
    <row r="1978" spans="2:5" x14ac:dyDescent="0.3">
      <c r="B1978" s="4">
        <v>45064</v>
      </c>
      <c r="C1978" s="5">
        <v>3015.76</v>
      </c>
      <c r="D1978" s="6">
        <f t="shared" si="33"/>
        <v>33.266106124304052</v>
      </c>
      <c r="E1978" s="6">
        <v>5.3706265731002373E-3</v>
      </c>
    </row>
    <row r="1979" spans="2:5" x14ac:dyDescent="0.3">
      <c r="B1979" s="4">
        <v>39468</v>
      </c>
      <c r="C1979" s="7">
        <v>88.01</v>
      </c>
      <c r="D1979" s="6">
        <f t="shared" si="33"/>
        <v>-0.89365635572740454</v>
      </c>
      <c r="E1979" s="6">
        <v>5.3689741832305101E-3</v>
      </c>
    </row>
    <row r="1980" spans="2:5" x14ac:dyDescent="0.3">
      <c r="B1980" s="4">
        <v>42233</v>
      </c>
      <c r="C1980" s="7">
        <v>827.6</v>
      </c>
      <c r="D1980" s="6">
        <f t="shared" si="33"/>
        <v>-0.36461628228357335</v>
      </c>
      <c r="E1980" s="6">
        <v>5.3572079349845942E-3</v>
      </c>
    </row>
    <row r="1981" spans="2:5" x14ac:dyDescent="0.3">
      <c r="B1981" s="4">
        <v>43493</v>
      </c>
      <c r="C1981" s="5">
        <v>1302.52</v>
      </c>
      <c r="D1981" s="6">
        <f t="shared" si="33"/>
        <v>-0.1093758547125431</v>
      </c>
      <c r="E1981" s="6">
        <v>5.3566742308464588E-3</v>
      </c>
    </row>
    <row r="1982" spans="2:5" x14ac:dyDescent="0.3">
      <c r="B1982" s="4">
        <v>43717</v>
      </c>
      <c r="C1982" s="5">
        <v>1462.48</v>
      </c>
      <c r="D1982" s="6">
        <f t="shared" si="33"/>
        <v>0.79891264237742621</v>
      </c>
      <c r="E1982" s="6">
        <v>5.3550928376492335E-3</v>
      </c>
    </row>
    <row r="1983" spans="2:5" x14ac:dyDescent="0.3">
      <c r="B1983" s="4">
        <v>42424</v>
      </c>
      <c r="C1983" s="7">
        <v>812.98</v>
      </c>
      <c r="D1983" s="6">
        <f t="shared" si="33"/>
        <v>47.105325443786988</v>
      </c>
      <c r="E1983" s="6">
        <v>5.3546033512645039E-3</v>
      </c>
    </row>
    <row r="1984" spans="2:5" x14ac:dyDescent="0.3">
      <c r="B1984" s="4">
        <v>37512</v>
      </c>
      <c r="C1984" s="7">
        <v>16.899999999999999</v>
      </c>
      <c r="D1984" s="6">
        <f t="shared" si="33"/>
        <v>-0.88318241515172458</v>
      </c>
      <c r="E1984" s="6">
        <v>5.3539559785841682E-3</v>
      </c>
    </row>
    <row r="1985" spans="2:5" x14ac:dyDescent="0.3">
      <c r="B1985" s="4">
        <v>40130</v>
      </c>
      <c r="C1985" s="7">
        <v>144.66999999999999</v>
      </c>
      <c r="D1985" s="6">
        <f t="shared" si="33"/>
        <v>-0.50975940359200278</v>
      </c>
      <c r="E1985" s="6">
        <v>5.3509381514939662E-3</v>
      </c>
    </row>
    <row r="1986" spans="2:5" x14ac:dyDescent="0.3">
      <c r="B1986" s="4">
        <v>41018</v>
      </c>
      <c r="C1986" s="7">
        <v>295.10000000000002</v>
      </c>
      <c r="D1986" s="6">
        <f t="shared" si="33"/>
        <v>2.483650100342345</v>
      </c>
      <c r="E1986" s="6">
        <v>5.3486866759787765E-3</v>
      </c>
    </row>
    <row r="1987" spans="2:5" x14ac:dyDescent="0.3">
      <c r="B1987" s="4">
        <v>39414</v>
      </c>
      <c r="C1987" s="7">
        <v>84.71</v>
      </c>
      <c r="D1987" s="6">
        <f t="shared" si="33"/>
        <v>0.66228414442700145</v>
      </c>
      <c r="E1987" s="6">
        <v>5.34061239022061E-3</v>
      </c>
    </row>
    <row r="1988" spans="2:5" x14ac:dyDescent="0.3">
      <c r="B1988" s="4">
        <v>38936</v>
      </c>
      <c r="C1988" s="7">
        <v>50.96</v>
      </c>
      <c r="D1988" s="6">
        <f t="shared" si="33"/>
        <v>-0.78917756081416512</v>
      </c>
      <c r="E1988" s="6">
        <v>5.3264943775893298E-3</v>
      </c>
    </row>
    <row r="1989" spans="2:5" x14ac:dyDescent="0.3">
      <c r="B1989" s="4">
        <v>40491</v>
      </c>
      <c r="C1989" s="7">
        <v>241.72</v>
      </c>
      <c r="D1989" s="6">
        <f t="shared" si="33"/>
        <v>1.285336106646497</v>
      </c>
      <c r="E1989" s="6">
        <v>5.3235734486774293E-3</v>
      </c>
    </row>
    <row r="1990" spans="2:5" x14ac:dyDescent="0.3">
      <c r="B1990" s="4">
        <v>39604</v>
      </c>
      <c r="C1990" s="7">
        <v>105.77</v>
      </c>
      <c r="D1990" s="6">
        <f t="shared" si="33"/>
        <v>3.3065960912052117</v>
      </c>
      <c r="E1990" s="6">
        <v>5.3226879574185182E-3</v>
      </c>
    </row>
    <row r="1991" spans="2:5" x14ac:dyDescent="0.3">
      <c r="B1991" s="4">
        <v>38247</v>
      </c>
      <c r="C1991" s="7">
        <v>24.56</v>
      </c>
      <c r="D1991" s="6">
        <f t="shared" si="33"/>
        <v>-0.8341996894619591</v>
      </c>
      <c r="E1991" s="6">
        <v>5.3213262382316414E-3</v>
      </c>
    </row>
    <row r="1992" spans="2:5" x14ac:dyDescent="0.3">
      <c r="B1992" s="4">
        <v>40158</v>
      </c>
      <c r="C1992" s="7">
        <v>148.13</v>
      </c>
      <c r="D1992" s="6">
        <f t="shared" ref="D1992:D2055" si="34">((C1992-C1993)/C1993)</f>
        <v>4.999594977723774</v>
      </c>
      <c r="E1992" s="6">
        <v>5.2935188327112399E-3</v>
      </c>
    </row>
    <row r="1993" spans="2:5" x14ac:dyDescent="0.3">
      <c r="B1993" s="4">
        <v>38230</v>
      </c>
      <c r="C1993" s="7">
        <v>24.69</v>
      </c>
      <c r="D1993" s="6">
        <f t="shared" si="34"/>
        <v>-0.99211708475810079</v>
      </c>
      <c r="E1993" s="6">
        <v>5.2931596091206259E-3</v>
      </c>
    </row>
    <row r="1994" spans="2:5" x14ac:dyDescent="0.3">
      <c r="B1994" s="4">
        <v>45530</v>
      </c>
      <c r="C1994" s="5">
        <v>3132.09</v>
      </c>
      <c r="D1994" s="6">
        <f t="shared" si="34"/>
        <v>9.4841598590589299E-2</v>
      </c>
      <c r="E1994" s="6">
        <v>5.2927205032739242E-3</v>
      </c>
    </row>
    <row r="1995" spans="2:5" x14ac:dyDescent="0.3">
      <c r="B1995" s="4">
        <v>44410</v>
      </c>
      <c r="C1995" s="5">
        <v>2860.77</v>
      </c>
      <c r="D1995" s="6">
        <f t="shared" si="34"/>
        <v>0.2590973909369389</v>
      </c>
      <c r="E1995" s="6">
        <v>5.2745136624310421E-3</v>
      </c>
    </row>
    <row r="1996" spans="2:5" x14ac:dyDescent="0.3">
      <c r="B1996" s="4">
        <v>44252</v>
      </c>
      <c r="C1996" s="5">
        <v>2272.08</v>
      </c>
      <c r="D1996" s="6">
        <f t="shared" si="34"/>
        <v>4.5900602780169759</v>
      </c>
      <c r="E1996" s="6">
        <v>5.247276813761549E-3</v>
      </c>
    </row>
    <row r="1997" spans="2:5" x14ac:dyDescent="0.3">
      <c r="B1997" s="4">
        <v>41327</v>
      </c>
      <c r="C1997" s="7">
        <v>406.45</v>
      </c>
      <c r="D1997" s="6">
        <f t="shared" si="34"/>
        <v>15.264505802320928</v>
      </c>
      <c r="E1997" s="6">
        <v>5.2432419063636257E-3</v>
      </c>
    </row>
    <row r="1998" spans="2:5" x14ac:dyDescent="0.3">
      <c r="B1998" s="4">
        <v>37972</v>
      </c>
      <c r="C1998" s="7">
        <v>24.99</v>
      </c>
      <c r="D1998" s="6">
        <f t="shared" si="34"/>
        <v>-0.82902298850574718</v>
      </c>
      <c r="E1998" s="6">
        <v>5.2292839903458977E-3</v>
      </c>
    </row>
    <row r="1999" spans="2:5" x14ac:dyDescent="0.3">
      <c r="B1999" s="4">
        <v>40128</v>
      </c>
      <c r="C1999" s="7">
        <v>146.16</v>
      </c>
      <c r="D1999" s="6">
        <f t="shared" si="34"/>
        <v>-0.88971720037424917</v>
      </c>
      <c r="E1999" s="6">
        <v>5.2269601100412028E-3</v>
      </c>
    </row>
    <row r="2000" spans="2:5" x14ac:dyDescent="0.3">
      <c r="B2000" s="4">
        <v>43476</v>
      </c>
      <c r="C2000" s="5">
        <v>1325.32</v>
      </c>
      <c r="D2000" s="6">
        <f t="shared" si="34"/>
        <v>-0.58540606318450139</v>
      </c>
      <c r="E2000" s="6">
        <v>5.2259126385169269E-3</v>
      </c>
    </row>
    <row r="2001" spans="2:5" x14ac:dyDescent="0.3">
      <c r="B2001" s="4">
        <v>44481</v>
      </c>
      <c r="C2001" s="5">
        <v>3196.67</v>
      </c>
      <c r="D2001" s="6">
        <f t="shared" si="34"/>
        <v>8.3069907063889864E-2</v>
      </c>
      <c r="E2001" s="6">
        <v>5.2042061305863242E-3</v>
      </c>
    </row>
    <row r="2002" spans="2:5" x14ac:dyDescent="0.3">
      <c r="B2002" s="4">
        <v>45344</v>
      </c>
      <c r="C2002" s="5">
        <v>2951.49</v>
      </c>
      <c r="D2002" s="6">
        <f t="shared" si="34"/>
        <v>6.030537624163312</v>
      </c>
      <c r="E2002" s="6">
        <v>5.1971405509785556E-3</v>
      </c>
    </row>
    <row r="2003" spans="2:5" x14ac:dyDescent="0.3">
      <c r="B2003" s="4">
        <v>41691</v>
      </c>
      <c r="C2003" s="7">
        <v>419.81</v>
      </c>
      <c r="D2003" s="6">
        <f t="shared" si="34"/>
        <v>0.23241545326444346</v>
      </c>
      <c r="E2003" s="6">
        <v>5.1958624652811416E-3</v>
      </c>
    </row>
    <row r="2004" spans="2:5" x14ac:dyDescent="0.3">
      <c r="B2004" s="4">
        <v>41058</v>
      </c>
      <c r="C2004" s="7">
        <v>340.64</v>
      </c>
      <c r="D2004" s="6">
        <f t="shared" si="34"/>
        <v>1.2234986945169715</v>
      </c>
      <c r="E2004" s="6">
        <v>5.193578847969756E-3</v>
      </c>
    </row>
    <row r="2005" spans="2:5" x14ac:dyDescent="0.3">
      <c r="B2005" s="4">
        <v>40176</v>
      </c>
      <c r="C2005" s="7">
        <v>153.19999999999999</v>
      </c>
      <c r="D2005" s="6">
        <f t="shared" si="34"/>
        <v>-0.85824921121052578</v>
      </c>
      <c r="E2005" s="6">
        <v>5.1833869168689201E-3</v>
      </c>
    </row>
    <row r="2006" spans="2:5" x14ac:dyDescent="0.3">
      <c r="B2006" s="4">
        <v>42907</v>
      </c>
      <c r="C2006" s="5">
        <v>1080.77</v>
      </c>
      <c r="D2006" s="6">
        <f t="shared" si="34"/>
        <v>10.130484037075181</v>
      </c>
      <c r="E2006" s="6">
        <v>5.1804315476189884E-3</v>
      </c>
    </row>
    <row r="2007" spans="2:5" x14ac:dyDescent="0.3">
      <c r="B2007" s="4">
        <v>39492</v>
      </c>
      <c r="C2007" s="7">
        <v>97.1</v>
      </c>
      <c r="D2007" s="6">
        <f t="shared" si="34"/>
        <v>-0.96930527500387242</v>
      </c>
      <c r="E2007" s="6">
        <v>5.175983436853002E-3</v>
      </c>
    </row>
    <row r="2008" spans="2:5" x14ac:dyDescent="0.3">
      <c r="B2008" s="4">
        <v>44554</v>
      </c>
      <c r="C2008" s="5">
        <v>3163.41</v>
      </c>
      <c r="D2008" s="6">
        <f t="shared" si="34"/>
        <v>2.3948359679340649</v>
      </c>
      <c r="E2008" s="6">
        <v>5.1697731908971261E-3</v>
      </c>
    </row>
    <row r="2009" spans="2:5" x14ac:dyDescent="0.3">
      <c r="B2009" s="4">
        <v>42775</v>
      </c>
      <c r="C2009" s="7">
        <v>931.83</v>
      </c>
      <c r="D2009" s="6">
        <f t="shared" si="34"/>
        <v>-0.28123384988005523</v>
      </c>
      <c r="E2009" s="6">
        <v>5.1669830859510674E-3</v>
      </c>
    </row>
    <row r="2010" spans="2:5" x14ac:dyDescent="0.3">
      <c r="B2010" s="4">
        <v>43465</v>
      </c>
      <c r="C2010" s="5">
        <v>1296.43</v>
      </c>
      <c r="D2010" s="6">
        <f t="shared" si="34"/>
        <v>22.735444891980965</v>
      </c>
      <c r="E2010" s="6">
        <v>5.1637113593897225E-3</v>
      </c>
    </row>
    <row r="2011" spans="2:5" x14ac:dyDescent="0.3">
      <c r="B2011" s="4">
        <v>39016</v>
      </c>
      <c r="C2011" s="7">
        <v>54.62</v>
      </c>
      <c r="D2011" s="6">
        <f t="shared" si="34"/>
        <v>0.46986006458557594</v>
      </c>
      <c r="E2011" s="6">
        <v>5.152741994847148E-3</v>
      </c>
    </row>
    <row r="2012" spans="2:5" x14ac:dyDescent="0.3">
      <c r="B2012" s="4">
        <v>38567</v>
      </c>
      <c r="C2012" s="7">
        <v>37.159999999999997</v>
      </c>
      <c r="D2012" s="6">
        <f t="shared" si="34"/>
        <v>-0.96420210972496512</v>
      </c>
      <c r="E2012" s="6">
        <v>5.1393021368676692E-3</v>
      </c>
    </row>
    <row r="2013" spans="2:5" x14ac:dyDescent="0.3">
      <c r="B2013" s="4">
        <v>43166</v>
      </c>
      <c r="C2013" s="5">
        <v>1038.05</v>
      </c>
      <c r="D2013" s="6">
        <f t="shared" si="34"/>
        <v>-0.2936945886547504</v>
      </c>
      <c r="E2013" s="6">
        <v>5.131929314935807E-3</v>
      </c>
    </row>
    <row r="2014" spans="2:5" x14ac:dyDescent="0.3">
      <c r="B2014" s="4">
        <v>43721</v>
      </c>
      <c r="C2014" s="5">
        <v>1469.69</v>
      </c>
      <c r="D2014" s="6">
        <f t="shared" si="34"/>
        <v>-0.54888840460046717</v>
      </c>
      <c r="E2014" s="6">
        <v>5.1292923628256243E-3</v>
      </c>
    </row>
    <row r="2015" spans="2:5" x14ac:dyDescent="0.3">
      <c r="B2015" s="4">
        <v>44561</v>
      </c>
      <c r="C2015" s="5">
        <v>3257.93</v>
      </c>
      <c r="D2015" s="6">
        <f t="shared" si="34"/>
        <v>0.30855802483020101</v>
      </c>
      <c r="E2015" s="6">
        <v>5.1244554687595398E-3</v>
      </c>
    </row>
    <row r="2016" spans="2:5" x14ac:dyDescent="0.3">
      <c r="B2016" s="4">
        <v>45917</v>
      </c>
      <c r="C2016" s="5">
        <v>2489.71</v>
      </c>
      <c r="D2016" s="6">
        <f t="shared" si="34"/>
        <v>1.5209528586166336E-2</v>
      </c>
      <c r="E2016" s="6">
        <v>5.1190336814652369E-3</v>
      </c>
    </row>
    <row r="2017" spans="2:5" x14ac:dyDescent="0.3">
      <c r="B2017" s="4">
        <v>45610</v>
      </c>
      <c r="C2017" s="5">
        <v>2452.41</v>
      </c>
      <c r="D2017" s="6">
        <f t="shared" si="34"/>
        <v>4.0144355613715828</v>
      </c>
      <c r="E2017" s="6">
        <v>5.1190202957473122E-3</v>
      </c>
    </row>
    <row r="2018" spans="2:5" x14ac:dyDescent="0.3">
      <c r="B2018" s="4">
        <v>41782</v>
      </c>
      <c r="C2018" s="7">
        <v>489.07</v>
      </c>
      <c r="D2018" s="6">
        <f t="shared" si="34"/>
        <v>1.0893284347231715</v>
      </c>
      <c r="E2018" s="6">
        <v>5.1173496650088563E-3</v>
      </c>
    </row>
    <row r="2019" spans="2:5" x14ac:dyDescent="0.3">
      <c r="B2019" s="4">
        <v>40562</v>
      </c>
      <c r="C2019" s="7">
        <v>234.08</v>
      </c>
      <c r="D2019" s="6">
        <f t="shared" si="34"/>
        <v>1.2868307932786247</v>
      </c>
      <c r="E2019" s="6">
        <v>5.1097084460476026E-3</v>
      </c>
    </row>
    <row r="2020" spans="2:5" x14ac:dyDescent="0.3">
      <c r="B2020" s="4">
        <v>39682</v>
      </c>
      <c r="C2020" s="7">
        <v>102.36</v>
      </c>
      <c r="D2020" s="6">
        <f t="shared" si="34"/>
        <v>-0.5633105802047782</v>
      </c>
      <c r="E2020" s="6">
        <v>5.1060487038491363E-3</v>
      </c>
    </row>
    <row r="2021" spans="2:5" x14ac:dyDescent="0.3">
      <c r="B2021" s="4">
        <v>40401</v>
      </c>
      <c r="C2021" s="7">
        <v>234.4</v>
      </c>
      <c r="D2021" s="6">
        <f t="shared" si="34"/>
        <v>-0.90347156446897003</v>
      </c>
      <c r="E2021" s="6">
        <v>5.1026971399168036E-3</v>
      </c>
    </row>
    <row r="2022" spans="2:5" x14ac:dyDescent="0.3">
      <c r="B2022" s="4">
        <v>46052</v>
      </c>
      <c r="C2022" s="5">
        <v>2428.3000000000002</v>
      </c>
      <c r="D2022" s="6">
        <f t="shared" si="34"/>
        <v>-0.17509418323011955</v>
      </c>
      <c r="E2022" s="6">
        <v>5.0910596026490819E-3</v>
      </c>
    </row>
    <row r="2023" spans="2:5" x14ac:dyDescent="0.3">
      <c r="B2023" s="4">
        <v>45055</v>
      </c>
      <c r="C2023" s="5">
        <v>2943.73</v>
      </c>
      <c r="D2023" s="6">
        <f t="shared" si="34"/>
        <v>9.5449562974638198</v>
      </c>
      <c r="E2023" s="6">
        <v>5.0804923434112741E-3</v>
      </c>
    </row>
    <row r="2024" spans="2:5" x14ac:dyDescent="0.3">
      <c r="B2024" s="4">
        <v>40849</v>
      </c>
      <c r="C2024" s="7">
        <v>279.16000000000003</v>
      </c>
      <c r="D2024" s="6">
        <f t="shared" si="34"/>
        <v>9.8453768453768458</v>
      </c>
      <c r="E2024" s="6">
        <v>5.0765076507651666E-3</v>
      </c>
    </row>
    <row r="2025" spans="2:5" x14ac:dyDescent="0.3">
      <c r="B2025" s="4">
        <v>38342</v>
      </c>
      <c r="C2025" s="7">
        <v>25.74</v>
      </c>
      <c r="D2025" s="6">
        <f t="shared" si="34"/>
        <v>-0.90584534347794277</v>
      </c>
      <c r="E2025" s="6">
        <v>5.0761421319796569E-3</v>
      </c>
    </row>
    <row r="2026" spans="2:5" x14ac:dyDescent="0.3">
      <c r="B2026" s="4">
        <v>40807</v>
      </c>
      <c r="C2026" s="7">
        <v>273.38</v>
      </c>
      <c r="D2026" s="6">
        <f t="shared" si="34"/>
        <v>-1.0961707103186618E-3</v>
      </c>
      <c r="E2026" s="6">
        <v>5.0735294117646894E-3</v>
      </c>
    </row>
    <row r="2027" spans="2:5" x14ac:dyDescent="0.3">
      <c r="B2027" s="4">
        <v>40813</v>
      </c>
      <c r="C2027" s="7">
        <v>273.68</v>
      </c>
      <c r="D2027" s="6">
        <f t="shared" si="34"/>
        <v>-0.88112911702492691</v>
      </c>
      <c r="E2027" s="6">
        <v>5.0679397723099352E-3</v>
      </c>
    </row>
    <row r="2028" spans="2:5" x14ac:dyDescent="0.3">
      <c r="B2028" s="4">
        <v>45803</v>
      </c>
      <c r="C2028" s="5">
        <v>2302.33</v>
      </c>
      <c r="D2028" s="6">
        <f t="shared" si="34"/>
        <v>43.498067259373791</v>
      </c>
      <c r="E2028" s="6">
        <v>5.0507255234069513E-3</v>
      </c>
    </row>
    <row r="2029" spans="2:5" x14ac:dyDescent="0.3">
      <c r="B2029" s="4">
        <v>38849</v>
      </c>
      <c r="C2029" s="7">
        <v>51.74</v>
      </c>
      <c r="D2029" s="6">
        <f t="shared" si="34"/>
        <v>-0.64415405777166435</v>
      </c>
      <c r="E2029" s="6">
        <v>5.0505050505051498E-3</v>
      </c>
    </row>
    <row r="2030" spans="2:5" x14ac:dyDescent="0.3">
      <c r="B2030" s="4">
        <v>40133</v>
      </c>
      <c r="C2030" s="7">
        <v>145.4</v>
      </c>
      <c r="D2030" s="6">
        <f t="shared" si="34"/>
        <v>-0.67193140794223816</v>
      </c>
      <c r="E2030" s="6">
        <v>5.0459666827954537E-3</v>
      </c>
    </row>
    <row r="2031" spans="2:5" x14ac:dyDescent="0.3">
      <c r="B2031" s="4">
        <v>41634</v>
      </c>
      <c r="C2031" s="7">
        <v>443.2</v>
      </c>
      <c r="D2031" s="6">
        <f t="shared" si="34"/>
        <v>-0.57423916384875495</v>
      </c>
      <c r="E2031" s="6">
        <v>5.0342419157330728E-3</v>
      </c>
    </row>
    <row r="2032" spans="2:5" x14ac:dyDescent="0.3">
      <c r="B2032" s="4">
        <v>43158</v>
      </c>
      <c r="C2032" s="5">
        <v>1040.96</v>
      </c>
      <c r="D2032" s="6">
        <f t="shared" si="34"/>
        <v>8.8046529151361028</v>
      </c>
      <c r="E2032" s="6">
        <v>5.0301713734009525E-3</v>
      </c>
    </row>
    <row r="2033" spans="2:5" x14ac:dyDescent="0.3">
      <c r="B2033" s="4">
        <v>39678</v>
      </c>
      <c r="C2033" s="7">
        <v>106.17</v>
      </c>
      <c r="D2033" s="6">
        <f t="shared" si="34"/>
        <v>5.6232064878353087</v>
      </c>
      <c r="E2033" s="6">
        <v>5.0170390003786555E-3</v>
      </c>
    </row>
    <row r="2034" spans="2:5" x14ac:dyDescent="0.3">
      <c r="B2034" s="4">
        <v>37671</v>
      </c>
      <c r="C2034" s="7">
        <v>16.03</v>
      </c>
      <c r="D2034" s="6">
        <f t="shared" si="34"/>
        <v>-0.98463249321739799</v>
      </c>
      <c r="E2034" s="6">
        <v>5.0156739811913383E-3</v>
      </c>
    </row>
    <row r="2035" spans="2:5" x14ac:dyDescent="0.3">
      <c r="B2035" s="4">
        <v>43182</v>
      </c>
      <c r="C2035" s="5">
        <v>1043.1099999999999</v>
      </c>
      <c r="D2035" s="6">
        <f t="shared" si="34"/>
        <v>2.1127391005938345</v>
      </c>
      <c r="E2035" s="6">
        <v>5.0100683103542869E-3</v>
      </c>
    </row>
    <row r="2036" spans="2:5" x14ac:dyDescent="0.3">
      <c r="B2036" s="4">
        <v>41130</v>
      </c>
      <c r="C2036" s="7">
        <v>335.11</v>
      </c>
      <c r="D2036" s="6">
        <f t="shared" si="34"/>
        <v>-0.88563423157779775</v>
      </c>
      <c r="E2036" s="6">
        <v>5.0083973128599328E-3</v>
      </c>
    </row>
    <row r="2037" spans="2:5" x14ac:dyDescent="0.3">
      <c r="B2037" s="4">
        <v>44649</v>
      </c>
      <c r="C2037" s="5">
        <v>2930.16</v>
      </c>
      <c r="D2037" s="6">
        <f t="shared" si="34"/>
        <v>181.11062771908016</v>
      </c>
      <c r="E2037" s="6">
        <v>5.004167281183333E-3</v>
      </c>
    </row>
    <row r="2038" spans="2:5" x14ac:dyDescent="0.3">
      <c r="B2038" s="4">
        <v>37677</v>
      </c>
      <c r="C2038" s="7">
        <v>16.09</v>
      </c>
      <c r="D2038" s="6">
        <f t="shared" si="34"/>
        <v>-0.96477439411520027</v>
      </c>
      <c r="E2038" s="6">
        <v>4.9968769519049524E-3</v>
      </c>
    </row>
    <row r="2039" spans="2:5" x14ac:dyDescent="0.3">
      <c r="B2039" s="4">
        <v>41613</v>
      </c>
      <c r="C2039" s="7">
        <v>456.77</v>
      </c>
      <c r="D2039" s="6">
        <f t="shared" si="34"/>
        <v>3.3415074612679407</v>
      </c>
      <c r="E2039" s="6">
        <v>4.9944994499449549E-3</v>
      </c>
    </row>
    <row r="2040" spans="2:5" x14ac:dyDescent="0.3">
      <c r="B2040" s="4">
        <v>39603</v>
      </c>
      <c r="C2040" s="7">
        <v>105.21</v>
      </c>
      <c r="D2040" s="6">
        <f t="shared" si="34"/>
        <v>-0.87133737709729486</v>
      </c>
      <c r="E2040" s="6">
        <v>4.9670455630909929E-3</v>
      </c>
    </row>
    <row r="2041" spans="2:5" x14ac:dyDescent="0.3">
      <c r="B2041" s="4">
        <v>42733</v>
      </c>
      <c r="C2041" s="7">
        <v>817.72</v>
      </c>
      <c r="D2041" s="6">
        <f t="shared" si="34"/>
        <v>49.476543209876546</v>
      </c>
      <c r="E2041" s="6">
        <v>4.9650968439682404E-3</v>
      </c>
    </row>
    <row r="2042" spans="2:5" x14ac:dyDescent="0.3">
      <c r="B2042" s="4">
        <v>37739</v>
      </c>
      <c r="C2042" s="7">
        <v>16.2</v>
      </c>
      <c r="D2042" s="6">
        <f t="shared" si="34"/>
        <v>-0.98798959097884831</v>
      </c>
      <c r="E2042" s="6">
        <v>4.9627791563274376E-3</v>
      </c>
    </row>
    <row r="2043" spans="2:5" x14ac:dyDescent="0.3">
      <c r="B2043" s="4">
        <v>43622</v>
      </c>
      <c r="C2043" s="5">
        <v>1348.83</v>
      </c>
      <c r="D2043" s="6">
        <f t="shared" si="34"/>
        <v>1.8914446183197924</v>
      </c>
      <c r="E2043" s="6">
        <v>4.9621135921677989E-3</v>
      </c>
    </row>
    <row r="2044" spans="2:5" x14ac:dyDescent="0.3">
      <c r="B2044" s="4">
        <v>41718</v>
      </c>
      <c r="C2044" s="7">
        <v>466.49</v>
      </c>
      <c r="D2044" s="6">
        <f t="shared" si="34"/>
        <v>-0.81720038245713045</v>
      </c>
      <c r="E2044" s="6">
        <v>4.9548676188629903E-3</v>
      </c>
    </row>
    <row r="2045" spans="2:5" x14ac:dyDescent="0.3">
      <c r="B2045" s="4">
        <v>45911</v>
      </c>
      <c r="C2045" s="5">
        <v>2551.92</v>
      </c>
      <c r="D2045" s="6">
        <f t="shared" si="34"/>
        <v>0.5579106737320213</v>
      </c>
      <c r="E2045" s="6">
        <v>4.9540431765734113E-3</v>
      </c>
    </row>
    <row r="2046" spans="2:5" x14ac:dyDescent="0.3">
      <c r="B2046" s="4">
        <v>44047</v>
      </c>
      <c r="C2046" s="5">
        <v>1638.04</v>
      </c>
      <c r="D2046" s="6">
        <f t="shared" si="34"/>
        <v>-0.43701840128128461</v>
      </c>
      <c r="E2046" s="6">
        <v>4.9510113683073533E-3</v>
      </c>
    </row>
    <row r="2047" spans="2:5" x14ac:dyDescent="0.3">
      <c r="B2047" s="4">
        <v>45492</v>
      </c>
      <c r="C2047" s="5">
        <v>2909.58</v>
      </c>
      <c r="D2047" s="6">
        <f t="shared" si="34"/>
        <v>0.2807659293496203</v>
      </c>
      <c r="E2047" s="6">
        <v>4.9460152110690258E-3</v>
      </c>
    </row>
    <row r="2048" spans="2:5" x14ac:dyDescent="0.3">
      <c r="B2048" s="4">
        <v>45832</v>
      </c>
      <c r="C2048" s="5">
        <v>2271.75</v>
      </c>
      <c r="D2048" s="6">
        <f t="shared" si="34"/>
        <v>138.71402214022137</v>
      </c>
      <c r="E2048" s="6">
        <v>4.9456552993270885E-3</v>
      </c>
    </row>
    <row r="2049" spans="2:5" x14ac:dyDescent="0.3">
      <c r="B2049" s="4">
        <v>37735</v>
      </c>
      <c r="C2049" s="7">
        <v>16.260000000000002</v>
      </c>
      <c r="D2049" s="6">
        <f t="shared" si="34"/>
        <v>-0.96298067071921323</v>
      </c>
      <c r="E2049" s="6">
        <v>4.9443757725588285E-3</v>
      </c>
    </row>
    <row r="2050" spans="2:5" x14ac:dyDescent="0.3">
      <c r="B2050" s="4">
        <v>41359</v>
      </c>
      <c r="C2050" s="7">
        <v>439.23</v>
      </c>
      <c r="D2050" s="6">
        <f t="shared" si="34"/>
        <v>13.396263520157326</v>
      </c>
      <c r="E2050" s="6">
        <v>4.9420001372778386E-3</v>
      </c>
    </row>
    <row r="2051" spans="2:5" x14ac:dyDescent="0.3">
      <c r="B2051" s="4">
        <v>38496</v>
      </c>
      <c r="C2051" s="7">
        <v>30.51</v>
      </c>
      <c r="D2051" s="6">
        <f t="shared" si="34"/>
        <v>0.36327077747989289</v>
      </c>
      <c r="E2051" s="6">
        <v>4.9407114624506632E-3</v>
      </c>
    </row>
    <row r="2052" spans="2:5" x14ac:dyDescent="0.3">
      <c r="B2052" s="4">
        <v>37858</v>
      </c>
      <c r="C2052" s="7">
        <v>22.38</v>
      </c>
      <c r="D2052" s="6">
        <f t="shared" si="34"/>
        <v>-0.66691471945229952</v>
      </c>
      <c r="E2052" s="6">
        <v>4.9393803322855603E-3</v>
      </c>
    </row>
    <row r="2053" spans="2:5" x14ac:dyDescent="0.3">
      <c r="B2053" s="4">
        <v>39197</v>
      </c>
      <c r="C2053" s="7">
        <v>67.19</v>
      </c>
      <c r="D2053" s="6">
        <f t="shared" si="34"/>
        <v>0.82829931972789106</v>
      </c>
      <c r="E2053" s="6">
        <v>4.9356865091235167E-3</v>
      </c>
    </row>
    <row r="2054" spans="2:5" x14ac:dyDescent="0.3">
      <c r="B2054" s="4">
        <v>38560</v>
      </c>
      <c r="C2054" s="7">
        <v>36.75</v>
      </c>
      <c r="D2054" s="6">
        <f t="shared" si="34"/>
        <v>-0.62553495007132665</v>
      </c>
      <c r="E2054" s="6">
        <v>4.9220672682526584E-3</v>
      </c>
    </row>
    <row r="2055" spans="2:5" x14ac:dyDescent="0.3">
      <c r="B2055" s="4">
        <v>39511</v>
      </c>
      <c r="C2055" s="7">
        <v>98.14</v>
      </c>
      <c r="D2055" s="6">
        <f t="shared" si="34"/>
        <v>4.9987775061124697</v>
      </c>
      <c r="E2055" s="6">
        <v>4.9150112635675198E-3</v>
      </c>
    </row>
    <row r="2056" spans="2:5" x14ac:dyDescent="0.3">
      <c r="B2056" s="4">
        <v>37627</v>
      </c>
      <c r="C2056" s="7">
        <v>16.36</v>
      </c>
      <c r="D2056" s="6">
        <f t="shared" ref="D2056:D2119" si="35">((C2056-C2057)/C2057)</f>
        <v>-0.79022951660469287</v>
      </c>
      <c r="E2056" s="6">
        <v>4.9140049140048089E-3</v>
      </c>
    </row>
    <row r="2057" spans="2:5" x14ac:dyDescent="0.3">
      <c r="B2057" s="4">
        <v>39318</v>
      </c>
      <c r="C2057" s="7">
        <v>77.989999999999995</v>
      </c>
      <c r="D2057" s="6">
        <f t="shared" si="35"/>
        <v>-0.96607980097598323</v>
      </c>
      <c r="E2057" s="6">
        <v>4.8962762530601143E-3</v>
      </c>
    </row>
    <row r="2058" spans="2:5" x14ac:dyDescent="0.3">
      <c r="B2058" s="4">
        <v>44258</v>
      </c>
      <c r="C2058" s="5">
        <v>2299.2199999999998</v>
      </c>
      <c r="D2058" s="6">
        <f t="shared" si="35"/>
        <v>-0.30974046443206893</v>
      </c>
      <c r="E2058" s="6">
        <v>4.8950621061003919E-3</v>
      </c>
    </row>
    <row r="2059" spans="2:5" x14ac:dyDescent="0.3">
      <c r="B2059" s="4">
        <v>44818</v>
      </c>
      <c r="C2059" s="5">
        <v>3330.95</v>
      </c>
      <c r="D2059" s="6">
        <f t="shared" si="35"/>
        <v>3.2460610850499689</v>
      </c>
      <c r="E2059" s="6">
        <v>4.8933095606579725E-3</v>
      </c>
    </row>
    <row r="2060" spans="2:5" x14ac:dyDescent="0.3">
      <c r="B2060" s="4">
        <v>42212</v>
      </c>
      <c r="C2060" s="7">
        <v>784.48</v>
      </c>
      <c r="D2060" s="6">
        <f t="shared" si="35"/>
        <v>-0.74228223196833065</v>
      </c>
      <c r="E2060" s="6">
        <v>4.8932954166987551E-3</v>
      </c>
    </row>
    <row r="2061" spans="2:5" x14ac:dyDescent="0.3">
      <c r="B2061" s="4">
        <v>45581</v>
      </c>
      <c r="C2061" s="5">
        <v>3043.95</v>
      </c>
      <c r="D2061" s="6">
        <f t="shared" si="35"/>
        <v>28.636354785317884</v>
      </c>
      <c r="E2061" s="6">
        <v>4.8924938843825485E-3</v>
      </c>
    </row>
    <row r="2062" spans="2:5" x14ac:dyDescent="0.3">
      <c r="B2062" s="4">
        <v>39661</v>
      </c>
      <c r="C2062" s="7">
        <v>102.71</v>
      </c>
      <c r="D2062" s="6">
        <f t="shared" si="35"/>
        <v>-0.90301410738229682</v>
      </c>
      <c r="E2062" s="6">
        <v>4.8918892476274341E-3</v>
      </c>
    </row>
    <row r="2063" spans="2:5" x14ac:dyDescent="0.3">
      <c r="B2063" s="4">
        <v>42922</v>
      </c>
      <c r="C2063" s="5">
        <v>1059.02</v>
      </c>
      <c r="D2063" s="6">
        <f t="shared" si="35"/>
        <v>0.37329961745445117</v>
      </c>
      <c r="E2063" s="6">
        <v>4.8867507377571154E-3</v>
      </c>
    </row>
    <row r="2064" spans="2:5" x14ac:dyDescent="0.3">
      <c r="B2064" s="4">
        <v>42020</v>
      </c>
      <c r="C2064" s="7">
        <v>771.15</v>
      </c>
      <c r="D2064" s="6">
        <f t="shared" si="35"/>
        <v>45.849939246658558</v>
      </c>
      <c r="E2064" s="6">
        <v>4.8866301798279905E-3</v>
      </c>
    </row>
    <row r="2065" spans="2:5" x14ac:dyDescent="0.3">
      <c r="B2065" s="4">
        <v>37461</v>
      </c>
      <c r="C2065" s="7">
        <v>16.46</v>
      </c>
      <c r="D2065" s="6">
        <f t="shared" si="35"/>
        <v>-0.8546578366445915</v>
      </c>
      <c r="E2065" s="6">
        <v>4.8840048840049968E-3</v>
      </c>
    </row>
    <row r="2066" spans="2:5" x14ac:dyDescent="0.3">
      <c r="B2066" s="4">
        <v>40045</v>
      </c>
      <c r="C2066" s="7">
        <v>113.25</v>
      </c>
      <c r="D2066" s="6">
        <f t="shared" si="35"/>
        <v>-0.67836755559342254</v>
      </c>
      <c r="E2066" s="6">
        <v>4.8802129547470905E-3</v>
      </c>
    </row>
    <row r="2067" spans="2:5" x14ac:dyDescent="0.3">
      <c r="B2067" s="4">
        <v>41093</v>
      </c>
      <c r="C2067" s="7">
        <v>352.11</v>
      </c>
      <c r="D2067" s="6">
        <f t="shared" si="35"/>
        <v>-0.54773617622503368</v>
      </c>
      <c r="E2067" s="6">
        <v>4.8801369863014738E-3</v>
      </c>
    </row>
    <row r="2068" spans="2:5" x14ac:dyDescent="0.3">
      <c r="B2068" s="4">
        <v>42390</v>
      </c>
      <c r="C2068" s="7">
        <v>778.55</v>
      </c>
      <c r="D2068" s="6">
        <f t="shared" si="35"/>
        <v>-0.75524530484699504</v>
      </c>
      <c r="E2068" s="6">
        <v>4.8788672767401588E-3</v>
      </c>
    </row>
    <row r="2069" spans="2:5" x14ac:dyDescent="0.3">
      <c r="B2069" s="4">
        <v>44477</v>
      </c>
      <c r="C2069" s="5">
        <v>3180.94</v>
      </c>
      <c r="D2069" s="6">
        <f t="shared" si="35"/>
        <v>36.604208535287853</v>
      </c>
      <c r="E2069" s="6">
        <v>4.8775864792292073E-3</v>
      </c>
    </row>
    <row r="2070" spans="2:5" x14ac:dyDescent="0.3">
      <c r="B2070" s="4">
        <v>39405</v>
      </c>
      <c r="C2070" s="7">
        <v>84.59</v>
      </c>
      <c r="D2070" s="6">
        <f t="shared" si="35"/>
        <v>0.28030876343272304</v>
      </c>
      <c r="E2070" s="6">
        <v>4.8705155618911445E-3</v>
      </c>
    </row>
    <row r="2071" spans="2:5" x14ac:dyDescent="0.3">
      <c r="B2071" s="4">
        <v>39202</v>
      </c>
      <c r="C2071" s="7">
        <v>66.069999999999993</v>
      </c>
      <c r="D2071" s="6">
        <f t="shared" si="35"/>
        <v>0.77369127516778502</v>
      </c>
      <c r="E2071" s="6">
        <v>4.8669201520911507E-3</v>
      </c>
    </row>
    <row r="2072" spans="2:5" x14ac:dyDescent="0.3">
      <c r="B2072" s="4">
        <v>38576</v>
      </c>
      <c r="C2072" s="7">
        <v>37.25</v>
      </c>
      <c r="D2072" s="6">
        <f t="shared" si="35"/>
        <v>0.49658497388509437</v>
      </c>
      <c r="E2072" s="6">
        <v>4.8556784461828897E-3</v>
      </c>
    </row>
    <row r="2073" spans="2:5" x14ac:dyDescent="0.3">
      <c r="B2073" s="4">
        <v>38237</v>
      </c>
      <c r="C2073" s="7">
        <v>24.89</v>
      </c>
      <c r="D2073" s="6">
        <f t="shared" si="35"/>
        <v>-0.94299260209340152</v>
      </c>
      <c r="E2073" s="6">
        <v>4.8445700444085986E-3</v>
      </c>
    </row>
    <row r="2074" spans="2:5" x14ac:dyDescent="0.3">
      <c r="B2074" s="4">
        <v>41471</v>
      </c>
      <c r="C2074" s="7">
        <v>436.61</v>
      </c>
      <c r="D2074" s="6">
        <f t="shared" si="35"/>
        <v>-0.85736267469895255</v>
      </c>
      <c r="E2074" s="6">
        <v>4.8330303100044252E-3</v>
      </c>
    </row>
    <row r="2075" spans="2:5" x14ac:dyDescent="0.3">
      <c r="B2075" s="4">
        <v>45505</v>
      </c>
      <c r="C2075" s="5">
        <v>3060.98</v>
      </c>
      <c r="D2075" s="6">
        <f t="shared" si="35"/>
        <v>182.51199040767386</v>
      </c>
      <c r="E2075" s="6">
        <v>4.8288562734097882E-3</v>
      </c>
    </row>
    <row r="2076" spans="2:5" x14ac:dyDescent="0.3">
      <c r="B2076" s="4">
        <v>37497</v>
      </c>
      <c r="C2076" s="7">
        <v>16.68</v>
      </c>
      <c r="D2076" s="6">
        <f t="shared" si="35"/>
        <v>-0.99353813969705196</v>
      </c>
      <c r="E2076" s="6">
        <v>4.8192771084336321E-3</v>
      </c>
    </row>
    <row r="2077" spans="2:5" x14ac:dyDescent="0.3">
      <c r="B2077" s="4">
        <v>44194</v>
      </c>
      <c r="C2077" s="5">
        <v>2581.3000000000002</v>
      </c>
      <c r="D2077" s="6">
        <f t="shared" si="35"/>
        <v>3.4263250853096014</v>
      </c>
      <c r="E2077" s="6">
        <v>4.8074115883922864E-3</v>
      </c>
    </row>
    <row r="2078" spans="2:5" x14ac:dyDescent="0.3">
      <c r="B2078" s="4">
        <v>41906</v>
      </c>
      <c r="C2078" s="7">
        <v>583.16999999999996</v>
      </c>
      <c r="D2078" s="6">
        <f t="shared" si="35"/>
        <v>-0.73682951704468524</v>
      </c>
      <c r="E2078" s="6">
        <v>4.8071952858471413E-3</v>
      </c>
    </row>
    <row r="2079" spans="2:5" x14ac:dyDescent="0.3">
      <c r="B2079" s="4">
        <v>45820</v>
      </c>
      <c r="C2079" s="5">
        <v>2215.94</v>
      </c>
      <c r="D2079" s="6">
        <f t="shared" si="35"/>
        <v>95.052882531426093</v>
      </c>
      <c r="E2079" s="6">
        <v>4.7974026916240099E-3</v>
      </c>
    </row>
    <row r="2080" spans="2:5" x14ac:dyDescent="0.3">
      <c r="B2080" s="4">
        <v>38313</v>
      </c>
      <c r="C2080" s="7">
        <v>23.07</v>
      </c>
      <c r="D2080" s="6">
        <f t="shared" si="35"/>
        <v>-4.3327556325814607E-4</v>
      </c>
      <c r="E2080" s="6">
        <v>4.790940766550498E-3</v>
      </c>
    </row>
    <row r="2081" spans="2:5" x14ac:dyDescent="0.3">
      <c r="B2081" s="4">
        <v>38134</v>
      </c>
      <c r="C2081" s="7">
        <v>23.08</v>
      </c>
      <c r="D2081" s="6">
        <f t="shared" si="35"/>
        <v>-0.98528004898146615</v>
      </c>
      <c r="E2081" s="6">
        <v>4.7888550282977555E-3</v>
      </c>
    </row>
    <row r="2082" spans="2:5" x14ac:dyDescent="0.3">
      <c r="B2082" s="4">
        <v>43991</v>
      </c>
      <c r="C2082" s="5">
        <v>1567.94</v>
      </c>
      <c r="D2082" s="6">
        <f t="shared" si="35"/>
        <v>-9.8589767912477075E-2</v>
      </c>
      <c r="E2082" s="6">
        <v>4.7741414555684727E-3</v>
      </c>
    </row>
    <row r="2083" spans="2:5" x14ac:dyDescent="0.3">
      <c r="B2083" s="4">
        <v>43944</v>
      </c>
      <c r="C2083" s="5">
        <v>1739.43</v>
      </c>
      <c r="D2083" s="6">
        <f t="shared" si="35"/>
        <v>0.43375370919881306</v>
      </c>
      <c r="E2083" s="6">
        <v>4.7713396142493175E-3</v>
      </c>
    </row>
    <row r="2084" spans="2:5" x14ac:dyDescent="0.3">
      <c r="B2084" s="4">
        <v>43417</v>
      </c>
      <c r="C2084" s="5">
        <v>1213.2</v>
      </c>
      <c r="D2084" s="6">
        <f t="shared" si="35"/>
        <v>0.63559150657229535</v>
      </c>
      <c r="E2084" s="6">
        <v>4.7704233750745298E-3</v>
      </c>
    </row>
    <row r="2085" spans="2:5" x14ac:dyDescent="0.3">
      <c r="B2085" s="4">
        <v>42094</v>
      </c>
      <c r="C2085" s="7">
        <v>741.75</v>
      </c>
      <c r="D2085" s="6">
        <f t="shared" si="35"/>
        <v>-0.31635944700460827</v>
      </c>
      <c r="E2085" s="6">
        <v>4.7681616840279878E-3</v>
      </c>
    </row>
    <row r="2086" spans="2:5" x14ac:dyDescent="0.3">
      <c r="B2086" s="4">
        <v>42634</v>
      </c>
      <c r="C2086" s="5">
        <v>1085</v>
      </c>
      <c r="D2086" s="6">
        <f t="shared" si="35"/>
        <v>63.201183431952664</v>
      </c>
      <c r="E2086" s="6">
        <v>4.759876280258645E-3</v>
      </c>
    </row>
    <row r="2087" spans="2:5" x14ac:dyDescent="0.3">
      <c r="B2087" s="4">
        <v>37517</v>
      </c>
      <c r="C2087" s="7">
        <v>16.899999999999999</v>
      </c>
      <c r="D2087" s="6">
        <f t="shared" si="35"/>
        <v>-0.99303698637474191</v>
      </c>
      <c r="E2087" s="6">
        <v>4.7562425683708859E-3</v>
      </c>
    </row>
    <row r="2088" spans="2:5" x14ac:dyDescent="0.3">
      <c r="B2088" s="4">
        <v>45841</v>
      </c>
      <c r="C2088" s="5">
        <v>2427.11</v>
      </c>
      <c r="D2088" s="6">
        <f t="shared" si="35"/>
        <v>5.2711159341653113</v>
      </c>
      <c r="E2088" s="6">
        <v>4.7523834362050554E-3</v>
      </c>
    </row>
    <row r="2089" spans="2:5" x14ac:dyDescent="0.3">
      <c r="B2089" s="4">
        <v>41255</v>
      </c>
      <c r="C2089" s="7">
        <v>387.03</v>
      </c>
      <c r="D2089" s="6">
        <f t="shared" si="35"/>
        <v>15.532678342588635</v>
      </c>
      <c r="E2089" s="6">
        <v>4.7246956205705803E-3</v>
      </c>
    </row>
    <row r="2090" spans="2:5" x14ac:dyDescent="0.3">
      <c r="B2090" s="4">
        <v>37880</v>
      </c>
      <c r="C2090" s="7">
        <v>23.41</v>
      </c>
      <c r="D2090" s="6">
        <f t="shared" si="35"/>
        <v>-0.98628981721708464</v>
      </c>
      <c r="E2090" s="6">
        <v>4.7210300429184303E-3</v>
      </c>
    </row>
    <row r="2091" spans="2:5" x14ac:dyDescent="0.3">
      <c r="B2091" s="4">
        <v>43752</v>
      </c>
      <c r="C2091" s="5">
        <v>1707.49</v>
      </c>
      <c r="D2091" s="6">
        <f t="shared" si="35"/>
        <v>21.235837999739548</v>
      </c>
      <c r="E2091" s="6">
        <v>4.7191183133565061E-3</v>
      </c>
    </row>
    <row r="2092" spans="2:5" x14ac:dyDescent="0.3">
      <c r="B2092" s="4">
        <v>39926</v>
      </c>
      <c r="C2092" s="7">
        <v>76.790000000000006</v>
      </c>
      <c r="D2092" s="6">
        <f t="shared" si="35"/>
        <v>-0.88637002619156846</v>
      </c>
      <c r="E2092" s="6">
        <v>4.7101923328535834E-3</v>
      </c>
    </row>
    <row r="2093" spans="2:5" x14ac:dyDescent="0.3">
      <c r="B2093" s="4">
        <v>42165</v>
      </c>
      <c r="C2093" s="7">
        <v>675.79</v>
      </c>
      <c r="D2093" s="6">
        <f t="shared" si="35"/>
        <v>-0.79775062324735069</v>
      </c>
      <c r="E2093" s="6">
        <v>4.6979765993190436E-3</v>
      </c>
    </row>
    <row r="2094" spans="2:5" x14ac:dyDescent="0.3">
      <c r="B2094" s="4">
        <v>45547</v>
      </c>
      <c r="C2094" s="5">
        <v>3341.37</v>
      </c>
      <c r="D2094" s="6">
        <f t="shared" si="35"/>
        <v>61.362262038073908</v>
      </c>
      <c r="E2094" s="6">
        <v>4.6906430691238147E-3</v>
      </c>
    </row>
    <row r="2095" spans="2:5" x14ac:dyDescent="0.3">
      <c r="B2095" s="4">
        <v>38771</v>
      </c>
      <c r="C2095" s="7">
        <v>53.58</v>
      </c>
      <c r="D2095" s="6">
        <f t="shared" si="35"/>
        <v>-0.98226896373708561</v>
      </c>
      <c r="E2095" s="6">
        <v>4.6877929870616916E-3</v>
      </c>
    </row>
    <row r="2096" spans="2:5" x14ac:dyDescent="0.3">
      <c r="B2096" s="4">
        <v>44889</v>
      </c>
      <c r="C2096" s="5">
        <v>3021.82</v>
      </c>
      <c r="D2096" s="6">
        <f t="shared" si="35"/>
        <v>2.862589955645316</v>
      </c>
      <c r="E2096" s="6">
        <v>4.6779153852548128E-3</v>
      </c>
    </row>
    <row r="2097" spans="2:5" x14ac:dyDescent="0.3">
      <c r="B2097" s="4">
        <v>42340</v>
      </c>
      <c r="C2097" s="7">
        <v>782.33</v>
      </c>
      <c r="D2097" s="6">
        <f t="shared" si="35"/>
        <v>-0.12948703683097809</v>
      </c>
      <c r="E2097" s="6">
        <v>4.6745174588090077E-3</v>
      </c>
    </row>
    <row r="2098" spans="2:5" x14ac:dyDescent="0.3">
      <c r="B2098" s="4">
        <v>42755</v>
      </c>
      <c r="C2098" s="7">
        <v>898.7</v>
      </c>
      <c r="D2098" s="6">
        <f t="shared" si="35"/>
        <v>-0.51691626261866108</v>
      </c>
      <c r="E2098" s="6">
        <v>4.6728971962617539E-3</v>
      </c>
    </row>
    <row r="2099" spans="2:5" x14ac:dyDescent="0.3">
      <c r="B2099" s="4">
        <v>44097</v>
      </c>
      <c r="C2099" s="5">
        <v>1860.34</v>
      </c>
      <c r="D2099" s="6">
        <f t="shared" si="35"/>
        <v>21.725873442462742</v>
      </c>
      <c r="E2099" s="6">
        <v>4.6714082810836929E-3</v>
      </c>
    </row>
    <row r="2100" spans="2:5" x14ac:dyDescent="0.3">
      <c r="B2100" s="4">
        <v>39762</v>
      </c>
      <c r="C2100" s="7">
        <v>81.86</v>
      </c>
      <c r="D2100" s="6">
        <f t="shared" si="35"/>
        <v>-0.97144680895592139</v>
      </c>
      <c r="E2100" s="6">
        <v>4.6637211585664629E-3</v>
      </c>
    </row>
    <row r="2101" spans="2:5" x14ac:dyDescent="0.3">
      <c r="B2101" s="4">
        <v>45328</v>
      </c>
      <c r="C2101" s="5">
        <v>2866.93</v>
      </c>
      <c r="D2101" s="6">
        <f t="shared" si="35"/>
        <v>52.179929512149883</v>
      </c>
      <c r="E2101" s="6">
        <v>4.6607303679873447E-3</v>
      </c>
    </row>
    <row r="2102" spans="2:5" x14ac:dyDescent="0.3">
      <c r="B2102" s="4">
        <v>38972</v>
      </c>
      <c r="C2102" s="7">
        <v>53.91</v>
      </c>
      <c r="D2102" s="6">
        <f t="shared" si="35"/>
        <v>-0.95799569905877946</v>
      </c>
      <c r="E2102" s="6">
        <v>4.6589638464405517E-3</v>
      </c>
    </row>
    <row r="2103" spans="2:5" x14ac:dyDescent="0.3">
      <c r="B2103" s="4">
        <v>43649</v>
      </c>
      <c r="C2103" s="5">
        <v>1283.44</v>
      </c>
      <c r="D2103" s="6">
        <f t="shared" si="35"/>
        <v>52.790444258172684</v>
      </c>
      <c r="E2103" s="6">
        <v>4.6418423339152446E-3</v>
      </c>
    </row>
    <row r="2104" spans="2:5" x14ac:dyDescent="0.3">
      <c r="B2104" s="4">
        <v>37958</v>
      </c>
      <c r="C2104" s="7">
        <v>23.86</v>
      </c>
      <c r="D2104" s="6">
        <f t="shared" si="35"/>
        <v>-0.98600931148925197</v>
      </c>
      <c r="E2104" s="6">
        <v>4.6315789473683972E-3</v>
      </c>
    </row>
    <row r="2105" spans="2:5" x14ac:dyDescent="0.3">
      <c r="B2105" s="4">
        <v>43831</v>
      </c>
      <c r="C2105" s="5">
        <v>1705.42</v>
      </c>
      <c r="D2105" s="6">
        <f t="shared" si="35"/>
        <v>-7.9345688923015325E-3</v>
      </c>
      <c r="E2105" s="6">
        <v>4.6242570262199122E-3</v>
      </c>
    </row>
    <row r="2106" spans="2:5" x14ac:dyDescent="0.3">
      <c r="B2106" s="4">
        <v>43822</v>
      </c>
      <c r="C2106" s="5">
        <v>1719.06</v>
      </c>
      <c r="D2106" s="6">
        <f t="shared" si="35"/>
        <v>1.4652383410772669</v>
      </c>
      <c r="E2106" s="6">
        <v>4.6108802748995557E-3</v>
      </c>
    </row>
    <row r="2107" spans="2:5" x14ac:dyDescent="0.3">
      <c r="B2107" s="4">
        <v>42158</v>
      </c>
      <c r="C2107" s="7">
        <v>697.32</v>
      </c>
      <c r="D2107" s="6">
        <f t="shared" si="35"/>
        <v>-0.71398688306734426</v>
      </c>
      <c r="E2107" s="6">
        <v>4.6101538638852729E-3</v>
      </c>
    </row>
    <row r="2108" spans="2:5" x14ac:dyDescent="0.3">
      <c r="B2108" s="4">
        <v>45771</v>
      </c>
      <c r="C2108" s="5">
        <v>2438.0700000000002</v>
      </c>
      <c r="D2108" s="6">
        <f t="shared" si="35"/>
        <v>0.36497850136605908</v>
      </c>
      <c r="E2108" s="6">
        <v>4.6067188871355075E-3</v>
      </c>
    </row>
    <row r="2109" spans="2:5" x14ac:dyDescent="0.3">
      <c r="B2109" s="4">
        <v>43872</v>
      </c>
      <c r="C2109" s="5">
        <v>1786.16</v>
      </c>
      <c r="D2109" s="6">
        <f t="shared" si="35"/>
        <v>0.6295147473383631</v>
      </c>
      <c r="E2109" s="6">
        <v>4.6007266673416258E-3</v>
      </c>
    </row>
    <row r="2110" spans="2:5" x14ac:dyDescent="0.3">
      <c r="B2110" s="4">
        <v>42621</v>
      </c>
      <c r="C2110" s="5">
        <v>1096.1300000000001</v>
      </c>
      <c r="D2110" s="6">
        <f t="shared" si="35"/>
        <v>1.5405280222325252E-2</v>
      </c>
      <c r="E2110" s="6">
        <v>4.5916122882911307E-3</v>
      </c>
    </row>
    <row r="2111" spans="2:5" x14ac:dyDescent="0.3">
      <c r="B2111" s="4">
        <v>43012</v>
      </c>
      <c r="C2111" s="5">
        <v>1079.5</v>
      </c>
      <c r="D2111" s="6">
        <f t="shared" si="35"/>
        <v>0.45297189619898776</v>
      </c>
      <c r="E2111" s="6">
        <v>4.5691845261914615E-3</v>
      </c>
    </row>
    <row r="2112" spans="2:5" x14ac:dyDescent="0.3">
      <c r="B2112" s="4">
        <v>42313</v>
      </c>
      <c r="C2112" s="7">
        <v>742.96</v>
      </c>
      <c r="D2112" s="6">
        <f t="shared" si="35"/>
        <v>1.2017543859649125</v>
      </c>
      <c r="E2112" s="6">
        <v>4.5565786449248968E-3</v>
      </c>
    </row>
    <row r="2113" spans="2:5" x14ac:dyDescent="0.3">
      <c r="B2113" s="4">
        <v>41087</v>
      </c>
      <c r="C2113" s="7">
        <v>337.44</v>
      </c>
      <c r="D2113" s="6">
        <f t="shared" si="35"/>
        <v>12.903584672435105</v>
      </c>
      <c r="E2113" s="6">
        <v>4.5547914619986684E-3</v>
      </c>
    </row>
    <row r="2114" spans="2:5" x14ac:dyDescent="0.3">
      <c r="B2114" s="4">
        <v>38226</v>
      </c>
      <c r="C2114" s="7">
        <v>24.27</v>
      </c>
      <c r="D2114" s="6">
        <f t="shared" si="35"/>
        <v>-0.71151788898133839</v>
      </c>
      <c r="E2114" s="6">
        <v>4.5529801324503075E-3</v>
      </c>
    </row>
    <row r="2115" spans="2:5" x14ac:dyDescent="0.3">
      <c r="B2115" s="4">
        <v>39427</v>
      </c>
      <c r="C2115" s="7">
        <v>84.13</v>
      </c>
      <c r="D2115" s="6">
        <f t="shared" si="35"/>
        <v>-0.97252386566642601</v>
      </c>
      <c r="E2115" s="6">
        <v>4.5373134328357666E-3</v>
      </c>
    </row>
    <row r="2116" spans="2:5" x14ac:dyDescent="0.3">
      <c r="B2116" s="4">
        <v>45246</v>
      </c>
      <c r="C2116" s="5">
        <v>3061.93</v>
      </c>
      <c r="D2116" s="6">
        <f t="shared" si="35"/>
        <v>152.32648973460192</v>
      </c>
      <c r="E2116" s="6">
        <v>4.52736595880088E-3</v>
      </c>
    </row>
    <row r="2117" spans="2:5" x14ac:dyDescent="0.3">
      <c r="B2117" s="4">
        <v>37810</v>
      </c>
      <c r="C2117" s="7">
        <v>19.97</v>
      </c>
      <c r="D2117" s="6">
        <f t="shared" si="35"/>
        <v>-0.91512601470525734</v>
      </c>
      <c r="E2117" s="6">
        <v>4.5271629778671964E-3</v>
      </c>
    </row>
    <row r="2118" spans="2:5" x14ac:dyDescent="0.3">
      <c r="B2118" s="4">
        <v>40518</v>
      </c>
      <c r="C2118" s="7">
        <v>235.29</v>
      </c>
      <c r="D2118" s="6">
        <f t="shared" si="35"/>
        <v>-0.92012885836781666</v>
      </c>
      <c r="E2118" s="6">
        <v>4.5254664218930211E-3</v>
      </c>
    </row>
    <row r="2119" spans="2:5" x14ac:dyDescent="0.3">
      <c r="B2119" s="4">
        <v>45342</v>
      </c>
      <c r="C2119" s="5">
        <v>2945.87</v>
      </c>
      <c r="D2119" s="6">
        <f t="shared" si="35"/>
        <v>1.2342247368261383</v>
      </c>
      <c r="E2119" s="6">
        <v>4.5215695233937559E-3</v>
      </c>
    </row>
    <row r="2120" spans="2:5" x14ac:dyDescent="0.3">
      <c r="B2120" s="4">
        <v>43339</v>
      </c>
      <c r="C2120" s="5">
        <v>1318.52</v>
      </c>
      <c r="D2120" s="6">
        <f t="shared" ref="D2120:D2183" si="36">((C2120-C2121)/C2121)</f>
        <v>-2.6692650662887236E-2</v>
      </c>
      <c r="E2120" s="6">
        <v>4.5177854470932009E-3</v>
      </c>
    </row>
    <row r="2121" spans="2:5" x14ac:dyDescent="0.3">
      <c r="B2121" s="4">
        <v>43538</v>
      </c>
      <c r="C2121" s="5">
        <v>1354.68</v>
      </c>
      <c r="D2121" s="6">
        <f t="shared" si="36"/>
        <v>4.7882413262690147</v>
      </c>
      <c r="E2121" s="6">
        <v>4.5158276422041883E-3</v>
      </c>
    </row>
    <row r="2122" spans="2:5" x14ac:dyDescent="0.3">
      <c r="B2122" s="4">
        <v>40660</v>
      </c>
      <c r="C2122" s="7">
        <v>234.04</v>
      </c>
      <c r="D2122" s="6">
        <f t="shared" si="36"/>
        <v>-0.80788047939582996</v>
      </c>
      <c r="E2122" s="6">
        <v>4.5066311858877328E-3</v>
      </c>
    </row>
    <row r="2123" spans="2:5" x14ac:dyDescent="0.3">
      <c r="B2123" s="4">
        <v>43371</v>
      </c>
      <c r="C2123" s="5">
        <v>1218.2</v>
      </c>
      <c r="D2123" s="6">
        <f t="shared" si="36"/>
        <v>29.311022642448371</v>
      </c>
      <c r="E2123" s="6">
        <v>4.5022016260699215E-3</v>
      </c>
    </row>
    <row r="2124" spans="2:5" x14ac:dyDescent="0.3">
      <c r="B2124" s="4">
        <v>38610</v>
      </c>
      <c r="C2124" s="7">
        <v>40.19</v>
      </c>
      <c r="D2124" s="6">
        <f t="shared" si="36"/>
        <v>-0.83193242169531223</v>
      </c>
      <c r="E2124" s="6">
        <v>4.4988752811796979E-3</v>
      </c>
    </row>
    <row r="2125" spans="2:5" x14ac:dyDescent="0.3">
      <c r="B2125" s="4">
        <v>40557</v>
      </c>
      <c r="C2125" s="7">
        <v>239.13</v>
      </c>
      <c r="D2125" s="6">
        <f t="shared" si="36"/>
        <v>9.6945438282647576</v>
      </c>
      <c r="E2125" s="6">
        <v>4.4946652104511185E-3</v>
      </c>
    </row>
    <row r="2126" spans="2:5" x14ac:dyDescent="0.3">
      <c r="B2126" s="4">
        <v>38127</v>
      </c>
      <c r="C2126" s="7">
        <v>22.36</v>
      </c>
      <c r="D2126" s="6">
        <f t="shared" si="36"/>
        <v>-0.98154232223341209</v>
      </c>
      <c r="E2126" s="6">
        <v>4.4923629829289246E-3</v>
      </c>
    </row>
    <row r="2127" spans="2:5" x14ac:dyDescent="0.3">
      <c r="B2127" s="4">
        <v>43265</v>
      </c>
      <c r="C2127" s="5">
        <v>1211.42</v>
      </c>
      <c r="D2127" s="6">
        <f t="shared" si="36"/>
        <v>-0.294307484388107</v>
      </c>
      <c r="E2127" s="6">
        <v>4.4858666180214776E-3</v>
      </c>
    </row>
    <row r="2128" spans="2:5" x14ac:dyDescent="0.3">
      <c r="B2128" s="4">
        <v>43860</v>
      </c>
      <c r="C2128" s="5">
        <v>1716.64</v>
      </c>
      <c r="D2128" s="6">
        <f t="shared" si="36"/>
        <v>0.60222510523515738</v>
      </c>
      <c r="E2128" s="6">
        <v>4.4822057601610794E-3</v>
      </c>
    </row>
    <row r="2129" spans="2:5" x14ac:dyDescent="0.3">
      <c r="B2129" s="4">
        <v>42902</v>
      </c>
      <c r="C2129" s="5">
        <v>1071.4100000000001</v>
      </c>
      <c r="D2129" s="6">
        <f t="shared" si="36"/>
        <v>-0.6565465199774323</v>
      </c>
      <c r="E2129" s="6">
        <v>4.4719867996699742E-3</v>
      </c>
    </row>
    <row r="2130" spans="2:5" x14ac:dyDescent="0.3">
      <c r="B2130" s="4">
        <v>45089</v>
      </c>
      <c r="C2130" s="5">
        <v>3119.52</v>
      </c>
      <c r="D2130" s="6">
        <f t="shared" si="36"/>
        <v>137.39929015084294</v>
      </c>
      <c r="E2130" s="6">
        <v>4.4628194973049618E-3</v>
      </c>
    </row>
    <row r="2131" spans="2:5" x14ac:dyDescent="0.3">
      <c r="B2131" s="4">
        <v>38141</v>
      </c>
      <c r="C2131" s="7">
        <v>22.54</v>
      </c>
      <c r="D2131" s="6">
        <f t="shared" si="36"/>
        <v>-0.98678804006963539</v>
      </c>
      <c r="E2131" s="6">
        <v>4.4563279857396552E-3</v>
      </c>
    </row>
    <row r="2132" spans="2:5" x14ac:dyDescent="0.3">
      <c r="B2132" s="4">
        <v>43774</v>
      </c>
      <c r="C2132" s="5">
        <v>1706.03</v>
      </c>
      <c r="D2132" s="6">
        <f t="shared" si="36"/>
        <v>-0.23325183593855336</v>
      </c>
      <c r="E2132" s="6">
        <v>4.4510647818330291E-3</v>
      </c>
    </row>
    <row r="2133" spans="2:5" x14ac:dyDescent="0.3">
      <c r="B2133" s="4">
        <v>45708</v>
      </c>
      <c r="C2133" s="5">
        <v>2225.02</v>
      </c>
      <c r="D2133" s="6">
        <f t="shared" si="36"/>
        <v>1.0865561348887807</v>
      </c>
      <c r="E2133" s="6">
        <v>4.4466113210272391E-3</v>
      </c>
    </row>
    <row r="2134" spans="2:5" x14ac:dyDescent="0.3">
      <c r="B2134" s="4">
        <v>42965</v>
      </c>
      <c r="C2134" s="5">
        <v>1066.3599999999999</v>
      </c>
      <c r="D2134" s="6">
        <f t="shared" si="36"/>
        <v>0.46520287445554342</v>
      </c>
      <c r="E2134" s="6">
        <v>4.4459515466634637E-3</v>
      </c>
    </row>
    <row r="2135" spans="2:5" x14ac:dyDescent="0.3">
      <c r="B2135" s="4">
        <v>42255</v>
      </c>
      <c r="C2135" s="7">
        <v>727.79</v>
      </c>
      <c r="D2135" s="6">
        <f t="shared" si="36"/>
        <v>0.57772767673264092</v>
      </c>
      <c r="E2135" s="6">
        <v>4.4440150710075123E-3</v>
      </c>
    </row>
    <row r="2136" spans="2:5" x14ac:dyDescent="0.3">
      <c r="B2136" s="4">
        <v>41792</v>
      </c>
      <c r="C2136" s="7">
        <v>461.29</v>
      </c>
      <c r="D2136" s="6">
        <f t="shared" si="36"/>
        <v>-0.41732770816491505</v>
      </c>
      <c r="E2136" s="6">
        <v>4.4420250408274808E-3</v>
      </c>
    </row>
    <row r="2137" spans="2:5" x14ac:dyDescent="0.3">
      <c r="B2137" s="4">
        <v>42415</v>
      </c>
      <c r="C2137" s="7">
        <v>791.68</v>
      </c>
      <c r="D2137" s="6">
        <f t="shared" si="36"/>
        <v>-0.72461963365172577</v>
      </c>
      <c r="E2137" s="6">
        <v>4.4406100129412065E-3</v>
      </c>
    </row>
    <row r="2138" spans="2:5" x14ac:dyDescent="0.3">
      <c r="B2138" s="4">
        <v>44421</v>
      </c>
      <c r="C2138" s="5">
        <v>2874.86</v>
      </c>
      <c r="D2138" s="6">
        <f t="shared" si="36"/>
        <v>-0.1123386307426768</v>
      </c>
      <c r="E2138" s="6">
        <v>4.4372082622915121E-3</v>
      </c>
    </row>
    <row r="2139" spans="2:5" x14ac:dyDescent="0.3">
      <c r="B2139" s="4">
        <v>44841</v>
      </c>
      <c r="C2139" s="5">
        <v>3238.69</v>
      </c>
      <c r="D2139" s="6">
        <f t="shared" si="36"/>
        <v>1.8758191408123037</v>
      </c>
      <c r="E2139" s="6">
        <v>4.4287171916723373E-3</v>
      </c>
    </row>
    <row r="2140" spans="2:5" x14ac:dyDescent="0.3">
      <c r="B2140" s="4">
        <v>42986</v>
      </c>
      <c r="C2140" s="5">
        <v>1126.18</v>
      </c>
      <c r="D2140" s="6">
        <f t="shared" si="36"/>
        <v>7.4896679424649976E-2</v>
      </c>
      <c r="E2140" s="6">
        <v>4.4237526979540465E-3</v>
      </c>
    </row>
    <row r="2141" spans="2:5" x14ac:dyDescent="0.3">
      <c r="B2141" s="4">
        <v>43185</v>
      </c>
      <c r="C2141" s="5">
        <v>1047.71</v>
      </c>
      <c r="D2141" s="6">
        <f t="shared" si="36"/>
        <v>9.6865565075479392</v>
      </c>
      <c r="E2141" s="6">
        <v>4.4098896568915422E-3</v>
      </c>
    </row>
    <row r="2142" spans="2:5" x14ac:dyDescent="0.3">
      <c r="B2142" s="4">
        <v>39518</v>
      </c>
      <c r="C2142" s="7">
        <v>98.04</v>
      </c>
      <c r="D2142" s="6">
        <f t="shared" si="36"/>
        <v>0.43165887850467288</v>
      </c>
      <c r="E2142" s="6">
        <v>4.4052863436124046E-3</v>
      </c>
    </row>
    <row r="2143" spans="2:5" x14ac:dyDescent="0.3">
      <c r="B2143" s="4">
        <v>39223</v>
      </c>
      <c r="C2143" s="7">
        <v>68.48</v>
      </c>
      <c r="D2143" s="6">
        <f t="shared" si="36"/>
        <v>-0.97341491063248287</v>
      </c>
      <c r="E2143" s="6">
        <v>4.4001173364622637E-3</v>
      </c>
    </row>
    <row r="2144" spans="2:5" x14ac:dyDescent="0.3">
      <c r="B2144" s="4">
        <v>45905</v>
      </c>
      <c r="C2144" s="5">
        <v>2575.88</v>
      </c>
      <c r="D2144" s="6">
        <f t="shared" si="36"/>
        <v>4.8102993255588391</v>
      </c>
      <c r="E2144" s="6">
        <v>4.3983467207362554E-3</v>
      </c>
    </row>
    <row r="2145" spans="2:5" x14ac:dyDescent="0.3">
      <c r="B2145" s="4">
        <v>41639</v>
      </c>
      <c r="C2145" s="7">
        <v>443.33</v>
      </c>
      <c r="D2145" s="6">
        <f t="shared" si="36"/>
        <v>7.4347412480974118</v>
      </c>
      <c r="E2145" s="6">
        <v>4.3952060536033843E-3</v>
      </c>
    </row>
    <row r="2146" spans="2:5" x14ac:dyDescent="0.3">
      <c r="B2146" s="4">
        <v>38842</v>
      </c>
      <c r="C2146" s="7">
        <v>52.56</v>
      </c>
      <c r="D2146" s="6">
        <f t="shared" si="36"/>
        <v>-0.87842339008142112</v>
      </c>
      <c r="E2146" s="6">
        <v>4.3951844066501813E-3</v>
      </c>
    </row>
    <row r="2147" spans="2:5" x14ac:dyDescent="0.3">
      <c r="B2147" s="4">
        <v>41421</v>
      </c>
      <c r="C2147" s="7">
        <v>432.32</v>
      </c>
      <c r="D2147" s="6">
        <f t="shared" si="36"/>
        <v>-0.66407136307830983</v>
      </c>
      <c r="E2147" s="6">
        <v>4.3909578793299405E-3</v>
      </c>
    </row>
    <row r="2148" spans="2:5" x14ac:dyDescent="0.3">
      <c r="B2148" s="4">
        <v>43460</v>
      </c>
      <c r="C2148" s="5">
        <v>1286.94</v>
      </c>
      <c r="D2148" s="6">
        <f t="shared" si="36"/>
        <v>3.8797633943806162</v>
      </c>
      <c r="E2148" s="6">
        <v>4.3861018324853418E-3</v>
      </c>
    </row>
    <row r="2149" spans="2:5" x14ac:dyDescent="0.3">
      <c r="B2149" s="4">
        <v>40690</v>
      </c>
      <c r="C2149" s="7">
        <v>263.73</v>
      </c>
      <c r="D2149" s="6">
        <f t="shared" si="36"/>
        <v>1.6111881188118813</v>
      </c>
      <c r="E2149" s="6">
        <v>4.3796176403383125E-3</v>
      </c>
    </row>
    <row r="2150" spans="2:5" x14ac:dyDescent="0.3">
      <c r="B2150" s="4">
        <v>40009</v>
      </c>
      <c r="C2150" s="7">
        <v>101</v>
      </c>
      <c r="D2150" s="6">
        <f t="shared" si="36"/>
        <v>-0.58891285766616464</v>
      </c>
      <c r="E2150" s="6">
        <v>4.3754972155926582E-3</v>
      </c>
    </row>
    <row r="2151" spans="2:5" x14ac:dyDescent="0.3">
      <c r="B2151" s="4">
        <v>40424</v>
      </c>
      <c r="C2151" s="7">
        <v>245.69</v>
      </c>
      <c r="D2151" s="6">
        <f t="shared" si="36"/>
        <v>-0.76917078487006518</v>
      </c>
      <c r="E2151" s="6">
        <v>4.3741313056986069E-3</v>
      </c>
    </row>
    <row r="2152" spans="2:5" x14ac:dyDescent="0.3">
      <c r="B2152" s="4">
        <v>42590</v>
      </c>
      <c r="C2152" s="5">
        <v>1064.3800000000001</v>
      </c>
      <c r="D2152" s="6">
        <f t="shared" si="36"/>
        <v>0.17163111199172232</v>
      </c>
      <c r="E2152" s="6">
        <v>4.3689549422034528E-3</v>
      </c>
    </row>
    <row r="2153" spans="2:5" x14ac:dyDescent="0.3">
      <c r="B2153" s="4">
        <v>42760</v>
      </c>
      <c r="C2153" s="7">
        <v>908.46</v>
      </c>
      <c r="D2153" s="6">
        <f t="shared" si="36"/>
        <v>55.426086956521736</v>
      </c>
      <c r="E2153" s="6">
        <v>4.367005339907846E-3</v>
      </c>
    </row>
    <row r="2154" spans="2:5" x14ac:dyDescent="0.3">
      <c r="B2154" s="4">
        <v>37672</v>
      </c>
      <c r="C2154" s="7">
        <v>16.100000000000001</v>
      </c>
      <c r="D2154" s="6">
        <f t="shared" si="36"/>
        <v>-0.99505263869512584</v>
      </c>
      <c r="E2154" s="6">
        <v>4.3668122270742529E-3</v>
      </c>
    </row>
    <row r="2155" spans="2:5" x14ac:dyDescent="0.3">
      <c r="B2155" s="4">
        <v>45545</v>
      </c>
      <c r="C2155" s="5">
        <v>3254.26</v>
      </c>
      <c r="D2155" s="6">
        <f t="shared" si="36"/>
        <v>200.50216718266256</v>
      </c>
      <c r="E2155" s="6">
        <v>4.3578363897857336E-3</v>
      </c>
    </row>
    <row r="2156" spans="2:5" x14ac:dyDescent="0.3">
      <c r="B2156" s="4">
        <v>37568</v>
      </c>
      <c r="C2156" s="7">
        <v>16.149999999999999</v>
      </c>
      <c r="D2156" s="6">
        <f t="shared" si="36"/>
        <v>-0.30025996533795496</v>
      </c>
      <c r="E2156" s="6">
        <v>4.3532338308457895E-3</v>
      </c>
    </row>
    <row r="2157" spans="2:5" x14ac:dyDescent="0.3">
      <c r="B2157" s="4">
        <v>37902</v>
      </c>
      <c r="C2157" s="7">
        <v>23.08</v>
      </c>
      <c r="D2157" s="6">
        <f t="shared" si="36"/>
        <v>-0.58421905962889575</v>
      </c>
      <c r="E2157" s="6">
        <v>4.3516100957353291E-3</v>
      </c>
    </row>
    <row r="2158" spans="2:5" x14ac:dyDescent="0.3">
      <c r="B2158" s="4">
        <v>39000</v>
      </c>
      <c r="C2158" s="7">
        <v>55.51</v>
      </c>
      <c r="D2158" s="6">
        <f t="shared" si="36"/>
        <v>-0.97571985320811983</v>
      </c>
      <c r="E2158" s="6">
        <v>4.3423195223447593E-3</v>
      </c>
    </row>
    <row r="2159" spans="2:5" x14ac:dyDescent="0.3">
      <c r="B2159" s="4">
        <v>45834</v>
      </c>
      <c r="C2159" s="5">
        <v>2286.23</v>
      </c>
      <c r="D2159" s="6">
        <f t="shared" si="36"/>
        <v>2.8535430151024812</v>
      </c>
      <c r="E2159" s="6">
        <v>4.3402815911437647E-3</v>
      </c>
    </row>
    <row r="2160" spans="2:5" x14ac:dyDescent="0.3">
      <c r="B2160" s="4">
        <v>41953</v>
      </c>
      <c r="C2160" s="7">
        <v>593.28</v>
      </c>
      <c r="D2160" s="6">
        <f t="shared" si="36"/>
        <v>-0.70012434164636428</v>
      </c>
      <c r="E2160" s="6">
        <v>4.3336944745394528E-3</v>
      </c>
    </row>
    <row r="2161" spans="2:5" x14ac:dyDescent="0.3">
      <c r="B2161" s="4">
        <v>44123</v>
      </c>
      <c r="C2161" s="5">
        <v>1978.42</v>
      </c>
      <c r="D2161" s="6">
        <f t="shared" si="36"/>
        <v>-0.16582198423072048</v>
      </c>
      <c r="E2161" s="6">
        <v>4.319994314461062E-3</v>
      </c>
    </row>
    <row r="2162" spans="2:5" x14ac:dyDescent="0.3">
      <c r="B2162" s="4">
        <v>45861</v>
      </c>
      <c r="C2162" s="5">
        <v>2371.6999999999998</v>
      </c>
      <c r="D2162" s="6">
        <f t="shared" si="36"/>
        <v>10.445876164277784</v>
      </c>
      <c r="E2162" s="6">
        <v>4.3150357186713577E-3</v>
      </c>
    </row>
    <row r="2163" spans="2:5" x14ac:dyDescent="0.3">
      <c r="B2163" s="4">
        <v>40372</v>
      </c>
      <c r="C2163" s="7">
        <v>207.21</v>
      </c>
      <c r="D2163" s="6">
        <f t="shared" si="36"/>
        <v>-0.87936424766395949</v>
      </c>
      <c r="E2163" s="6">
        <v>4.3136874757658721E-3</v>
      </c>
    </row>
    <row r="2164" spans="2:5" x14ac:dyDescent="0.3">
      <c r="B2164" s="4">
        <v>44055</v>
      </c>
      <c r="C2164" s="5">
        <v>1717.65</v>
      </c>
      <c r="D2164" s="6">
        <f t="shared" si="36"/>
        <v>4.1451294033069743</v>
      </c>
      <c r="E2164" s="6">
        <v>4.3033637570237373E-3</v>
      </c>
    </row>
    <row r="2165" spans="2:5" x14ac:dyDescent="0.3">
      <c r="B2165" s="4">
        <v>41054</v>
      </c>
      <c r="C2165" s="7">
        <v>333.84</v>
      </c>
      <c r="D2165" s="6">
        <f t="shared" si="36"/>
        <v>-0.84793659469800498</v>
      </c>
      <c r="E2165" s="6">
        <v>4.3019163081734904E-3</v>
      </c>
    </row>
    <row r="2166" spans="2:5" x14ac:dyDescent="0.3">
      <c r="B2166" s="4">
        <v>46101</v>
      </c>
      <c r="C2166" s="5">
        <v>2195.4</v>
      </c>
      <c r="D2166" s="6">
        <f t="shared" si="36"/>
        <v>0.47690196368626769</v>
      </c>
      <c r="E2166" s="6">
        <v>4.3000914913083671E-3</v>
      </c>
    </row>
    <row r="2167" spans="2:5" x14ac:dyDescent="0.3">
      <c r="B2167" s="4">
        <v>43685</v>
      </c>
      <c r="C2167" s="5">
        <v>1486.49</v>
      </c>
      <c r="D2167" s="6">
        <f t="shared" si="36"/>
        <v>0.22572851559278989</v>
      </c>
      <c r="E2167" s="6">
        <v>4.2969198651469122E-3</v>
      </c>
    </row>
    <row r="2168" spans="2:5" x14ac:dyDescent="0.3">
      <c r="B2168" s="4">
        <v>43370</v>
      </c>
      <c r="C2168" s="5">
        <v>1212.74</v>
      </c>
      <c r="D2168" s="6">
        <f t="shared" si="36"/>
        <v>10.752495396840779</v>
      </c>
      <c r="E2168" s="6">
        <v>4.2896419225546259E-3</v>
      </c>
    </row>
    <row r="2169" spans="2:5" x14ac:dyDescent="0.3">
      <c r="B2169" s="4">
        <v>39590</v>
      </c>
      <c r="C2169" s="7">
        <v>103.19</v>
      </c>
      <c r="D2169" s="6">
        <f t="shared" si="36"/>
        <v>-0.96630167495599528</v>
      </c>
      <c r="E2169" s="6">
        <v>4.282238442822362E-3</v>
      </c>
    </row>
    <row r="2170" spans="2:5" x14ac:dyDescent="0.3">
      <c r="B2170" s="4">
        <v>44900</v>
      </c>
      <c r="C2170" s="5">
        <v>3062.17</v>
      </c>
      <c r="D2170" s="6">
        <f t="shared" si="36"/>
        <v>0.11123328434307694</v>
      </c>
      <c r="E2170" s="6">
        <v>4.2799233877316017E-3</v>
      </c>
    </row>
    <row r="2171" spans="2:5" x14ac:dyDescent="0.3">
      <c r="B2171" s="4">
        <v>44986</v>
      </c>
      <c r="C2171" s="5">
        <v>2755.65</v>
      </c>
      <c r="D2171" s="6">
        <f t="shared" si="36"/>
        <v>49.898596231991135</v>
      </c>
      <c r="E2171" s="6">
        <v>4.2749059739351069E-3</v>
      </c>
    </row>
    <row r="2172" spans="2:5" x14ac:dyDescent="0.3">
      <c r="B2172" s="4">
        <v>38973</v>
      </c>
      <c r="C2172" s="7">
        <v>54.14</v>
      </c>
      <c r="D2172" s="6">
        <f t="shared" si="36"/>
        <v>2.2792247122955778</v>
      </c>
      <c r="E2172" s="6">
        <v>4.2663698757188645E-3</v>
      </c>
    </row>
    <row r="2173" spans="2:5" x14ac:dyDescent="0.3">
      <c r="B2173" s="4">
        <v>37693</v>
      </c>
      <c r="C2173" s="7">
        <v>16.510000000000002</v>
      </c>
      <c r="D2173" s="6">
        <f t="shared" si="36"/>
        <v>-0.1250662427133015</v>
      </c>
      <c r="E2173" s="6">
        <v>4.2579075425790928E-3</v>
      </c>
    </row>
    <row r="2174" spans="2:5" x14ac:dyDescent="0.3">
      <c r="B2174" s="4">
        <v>37802</v>
      </c>
      <c r="C2174" s="7">
        <v>18.87</v>
      </c>
      <c r="D2174" s="6">
        <f t="shared" si="36"/>
        <v>-0.95630123662637212</v>
      </c>
      <c r="E2174" s="6">
        <v>4.2575838211815781E-3</v>
      </c>
    </row>
    <row r="2175" spans="2:5" x14ac:dyDescent="0.3">
      <c r="B2175" s="4">
        <v>41465</v>
      </c>
      <c r="C2175" s="7">
        <v>431.82</v>
      </c>
      <c r="D2175" s="6">
        <f t="shared" si="36"/>
        <v>-3.6975914362176593E-2</v>
      </c>
      <c r="E2175" s="6">
        <v>4.2559129282075956E-3</v>
      </c>
    </row>
    <row r="2176" spans="2:5" x14ac:dyDescent="0.3">
      <c r="B2176" s="4">
        <v>41655</v>
      </c>
      <c r="C2176" s="7">
        <v>448.4</v>
      </c>
      <c r="D2176" s="6">
        <f t="shared" si="36"/>
        <v>-0.4478512498460781</v>
      </c>
      <c r="E2176" s="6">
        <v>4.2553191489361191E-3</v>
      </c>
    </row>
    <row r="2177" spans="2:5" x14ac:dyDescent="0.3">
      <c r="B2177" s="4">
        <v>42727</v>
      </c>
      <c r="C2177" s="7">
        <v>812.1</v>
      </c>
      <c r="D2177" s="6">
        <f t="shared" si="36"/>
        <v>48.099153567110044</v>
      </c>
      <c r="E2177" s="6">
        <v>4.2539509806346978E-3</v>
      </c>
    </row>
    <row r="2178" spans="2:5" x14ac:dyDescent="0.3">
      <c r="B2178" s="4">
        <v>37649</v>
      </c>
      <c r="C2178" s="7">
        <v>16.54</v>
      </c>
      <c r="D2178" s="6">
        <f t="shared" si="36"/>
        <v>-0.9899089733265003</v>
      </c>
      <c r="E2178" s="6">
        <v>4.2501517911354156E-3</v>
      </c>
    </row>
    <row r="2179" spans="2:5" x14ac:dyDescent="0.3">
      <c r="B2179" s="4">
        <v>43985</v>
      </c>
      <c r="C2179" s="5">
        <v>1639.08</v>
      </c>
      <c r="D2179" s="6">
        <f t="shared" si="36"/>
        <v>85.540654699049611</v>
      </c>
      <c r="E2179" s="6">
        <v>4.2459332781912421E-3</v>
      </c>
    </row>
    <row r="2180" spans="2:5" x14ac:dyDescent="0.3">
      <c r="B2180" s="4">
        <v>37796</v>
      </c>
      <c r="C2180" s="7">
        <v>18.940000000000001</v>
      </c>
      <c r="D2180" s="6">
        <f t="shared" si="36"/>
        <v>-0.97822613094211641</v>
      </c>
      <c r="E2180" s="6">
        <v>4.2417815482503635E-3</v>
      </c>
    </row>
    <row r="2181" spans="2:5" x14ac:dyDescent="0.3">
      <c r="B2181" s="4">
        <v>42712</v>
      </c>
      <c r="C2181" s="7">
        <v>869.85</v>
      </c>
      <c r="D2181" s="6">
        <f t="shared" si="36"/>
        <v>-0.73266559919355589</v>
      </c>
      <c r="E2181" s="6">
        <v>4.2369946200559614E-3</v>
      </c>
    </row>
    <row r="2182" spans="2:5" x14ac:dyDescent="0.3">
      <c r="B2182" s="4">
        <v>44578</v>
      </c>
      <c r="C2182" s="5">
        <v>3253.79</v>
      </c>
      <c r="D2182" s="6">
        <f t="shared" si="36"/>
        <v>2.2728379166750492</v>
      </c>
      <c r="E2182" s="6">
        <v>4.2344764156329335E-3</v>
      </c>
    </row>
    <row r="2183" spans="2:5" x14ac:dyDescent="0.3">
      <c r="B2183" s="4">
        <v>42849</v>
      </c>
      <c r="C2183" s="7">
        <v>994.18</v>
      </c>
      <c r="D2183" s="6">
        <f t="shared" si="36"/>
        <v>18.041945987358741</v>
      </c>
      <c r="E2183" s="6">
        <v>4.2323659834947232E-3</v>
      </c>
    </row>
    <row r="2184" spans="2:5" x14ac:dyDescent="0.3">
      <c r="B2184" s="4">
        <v>38960</v>
      </c>
      <c r="C2184" s="7">
        <v>52.21</v>
      </c>
      <c r="D2184" s="6">
        <f t="shared" ref="D2184:D2247" si="37">((C2184-C2185)/C2185)</f>
        <v>-0.84184059858834936</v>
      </c>
      <c r="E2184" s="6">
        <v>4.2315829967301188E-3</v>
      </c>
    </row>
    <row r="2185" spans="2:5" x14ac:dyDescent="0.3">
      <c r="B2185" s="4">
        <v>41142</v>
      </c>
      <c r="C2185" s="7">
        <v>330.11</v>
      </c>
      <c r="D2185" s="6">
        <f t="shared" si="37"/>
        <v>3.6318226462747307</v>
      </c>
      <c r="E2185" s="6">
        <v>4.2285227549281644E-3</v>
      </c>
    </row>
    <row r="2186" spans="2:5" x14ac:dyDescent="0.3">
      <c r="B2186" s="4">
        <v>39241</v>
      </c>
      <c r="C2186" s="7">
        <v>71.27</v>
      </c>
      <c r="D2186" s="6">
        <f t="shared" si="37"/>
        <v>-0.97676723224618189</v>
      </c>
      <c r="E2186" s="6">
        <v>4.227138227419997E-3</v>
      </c>
    </row>
    <row r="2187" spans="2:5" x14ac:dyDescent="0.3">
      <c r="B2187" s="4">
        <v>45254</v>
      </c>
      <c r="C2187" s="5">
        <v>3067.65</v>
      </c>
      <c r="D2187" s="6">
        <f t="shared" si="37"/>
        <v>116.22009935040121</v>
      </c>
      <c r="E2187" s="6">
        <v>4.2262189253423569E-3</v>
      </c>
    </row>
    <row r="2188" spans="2:5" x14ac:dyDescent="0.3">
      <c r="B2188" s="4">
        <v>37999</v>
      </c>
      <c r="C2188" s="7">
        <v>26.17</v>
      </c>
      <c r="D2188" s="6">
        <f t="shared" si="37"/>
        <v>-0.97661618192378141</v>
      </c>
      <c r="E2188" s="6">
        <v>4.2210283960093242E-3</v>
      </c>
    </row>
    <row r="2189" spans="2:5" x14ac:dyDescent="0.3">
      <c r="B2189" s="4">
        <v>43117</v>
      </c>
      <c r="C2189" s="5">
        <v>1119.1500000000001</v>
      </c>
      <c r="D2189" s="6">
        <f t="shared" si="37"/>
        <v>-0.54383154599591577</v>
      </c>
      <c r="E2189" s="6">
        <v>4.2083161351686507E-3</v>
      </c>
    </row>
    <row r="2190" spans="2:5" x14ac:dyDescent="0.3">
      <c r="B2190" s="4">
        <v>45924</v>
      </c>
      <c r="C2190" s="5">
        <v>2453.37</v>
      </c>
      <c r="D2190" s="6">
        <f t="shared" si="37"/>
        <v>7.8582105719237436</v>
      </c>
      <c r="E2190" s="6">
        <v>4.207786041447407E-3</v>
      </c>
    </row>
    <row r="2191" spans="2:5" x14ac:dyDescent="0.3">
      <c r="B2191" s="4">
        <v>40753</v>
      </c>
      <c r="C2191" s="7">
        <v>276.95999999999998</v>
      </c>
      <c r="D2191" s="6">
        <f t="shared" si="37"/>
        <v>-0.90881825215229883</v>
      </c>
      <c r="E2191" s="6">
        <v>4.2059463379259176E-3</v>
      </c>
    </row>
    <row r="2192" spans="2:5" x14ac:dyDescent="0.3">
      <c r="B2192" s="4">
        <v>44657</v>
      </c>
      <c r="C2192" s="5">
        <v>3037.45</v>
      </c>
      <c r="D2192" s="6">
        <f t="shared" si="37"/>
        <v>44.416417464114829</v>
      </c>
      <c r="E2192" s="6">
        <v>4.2053340298141648E-3</v>
      </c>
    </row>
    <row r="2193" spans="2:5" x14ac:dyDescent="0.3">
      <c r="B2193" s="4">
        <v>39100</v>
      </c>
      <c r="C2193" s="7">
        <v>66.88</v>
      </c>
      <c r="D2193" s="6">
        <f t="shared" si="37"/>
        <v>-0.94930721887032721</v>
      </c>
      <c r="E2193" s="6">
        <v>4.2042042042042217E-3</v>
      </c>
    </row>
    <row r="2194" spans="2:5" x14ac:dyDescent="0.3">
      <c r="B2194" s="4">
        <v>43329</v>
      </c>
      <c r="C2194" s="5">
        <v>1319.32</v>
      </c>
      <c r="D2194" s="6">
        <f t="shared" si="37"/>
        <v>-0.49446111283542743</v>
      </c>
      <c r="E2194" s="6">
        <v>4.1939093171767536E-3</v>
      </c>
    </row>
    <row r="2195" spans="2:5" x14ac:dyDescent="0.3">
      <c r="B2195" s="4">
        <v>45968</v>
      </c>
      <c r="C2195" s="5">
        <v>2609.73</v>
      </c>
      <c r="D2195" s="6">
        <f t="shared" si="37"/>
        <v>-0.21547979426008487</v>
      </c>
      <c r="E2195" s="6">
        <v>4.1903310707853778E-3</v>
      </c>
    </row>
    <row r="2196" spans="2:5" x14ac:dyDescent="0.3">
      <c r="B2196" s="4">
        <v>45119</v>
      </c>
      <c r="C2196" s="5">
        <v>3326.53</v>
      </c>
      <c r="D2196" s="6">
        <f t="shared" si="37"/>
        <v>3.3558072541573916</v>
      </c>
      <c r="E2196" s="6">
        <v>4.1869675728871498E-3</v>
      </c>
    </row>
    <row r="2197" spans="2:5" x14ac:dyDescent="0.3">
      <c r="B2197" s="4">
        <v>42305</v>
      </c>
      <c r="C2197" s="7">
        <v>763.7</v>
      </c>
      <c r="D2197" s="6">
        <f t="shared" si="37"/>
        <v>0.70850111856823272</v>
      </c>
      <c r="E2197" s="6">
        <v>4.1813496029033609E-3</v>
      </c>
    </row>
    <row r="2198" spans="2:5" x14ac:dyDescent="0.3">
      <c r="B2198" s="4">
        <v>41652</v>
      </c>
      <c r="C2198" s="7">
        <v>447</v>
      </c>
      <c r="D2198" s="6">
        <f t="shared" si="37"/>
        <v>-0.53940792795392023</v>
      </c>
      <c r="E2198" s="6">
        <v>4.1784607089904611E-3</v>
      </c>
    </row>
    <row r="2199" spans="2:5" x14ac:dyDescent="0.3">
      <c r="B2199" s="4">
        <v>42573</v>
      </c>
      <c r="C2199" s="7">
        <v>970.49</v>
      </c>
      <c r="D2199" s="6">
        <f t="shared" si="37"/>
        <v>56.527563722584468</v>
      </c>
      <c r="E2199" s="6">
        <v>4.1698570039111526E-3</v>
      </c>
    </row>
    <row r="2200" spans="2:5" x14ac:dyDescent="0.3">
      <c r="B2200" s="4">
        <v>37526</v>
      </c>
      <c r="C2200" s="7">
        <v>16.87</v>
      </c>
      <c r="D2200" s="6">
        <f t="shared" si="37"/>
        <v>-0.99367544181931333</v>
      </c>
      <c r="E2200" s="6">
        <v>4.1666666666666831E-3</v>
      </c>
    </row>
    <row r="2201" spans="2:5" x14ac:dyDescent="0.3">
      <c r="B2201" s="4">
        <v>44984</v>
      </c>
      <c r="C2201" s="5">
        <v>2667.38</v>
      </c>
      <c r="D2201" s="6">
        <f t="shared" si="37"/>
        <v>44.918058185574104</v>
      </c>
      <c r="E2201" s="6">
        <v>4.1598747143616124E-3</v>
      </c>
    </row>
    <row r="2202" spans="2:5" x14ac:dyDescent="0.3">
      <c r="B2202" s="4">
        <v>39059</v>
      </c>
      <c r="C2202" s="7">
        <v>58.09</v>
      </c>
      <c r="D2202" s="6">
        <f t="shared" si="37"/>
        <v>-0.98073562135828951</v>
      </c>
      <c r="E2202" s="6">
        <v>4.1486603284356435E-3</v>
      </c>
    </row>
    <row r="2203" spans="2:5" x14ac:dyDescent="0.3">
      <c r="B2203" s="4">
        <v>45516</v>
      </c>
      <c r="C2203" s="5">
        <v>3015.41</v>
      </c>
      <c r="D2203" s="6">
        <f t="shared" si="37"/>
        <v>6.8279082290589099E-2</v>
      </c>
      <c r="E2203" s="6">
        <v>4.1459093694221098E-3</v>
      </c>
    </row>
    <row r="2204" spans="2:5" x14ac:dyDescent="0.3">
      <c r="B2204" s="4">
        <v>45042</v>
      </c>
      <c r="C2204" s="5">
        <v>2822.68</v>
      </c>
      <c r="D2204" s="6">
        <f t="shared" si="37"/>
        <v>165.23557126030622</v>
      </c>
      <c r="E2204" s="6">
        <v>4.1408162103704939E-3</v>
      </c>
    </row>
    <row r="2205" spans="2:5" x14ac:dyDescent="0.3">
      <c r="B2205" s="4">
        <v>37533</v>
      </c>
      <c r="C2205" s="7">
        <v>16.98</v>
      </c>
      <c r="D2205" s="6">
        <f t="shared" si="37"/>
        <v>-0.97163855019208278</v>
      </c>
      <c r="E2205" s="6">
        <v>4.1395623891188815E-3</v>
      </c>
    </row>
    <row r="2206" spans="2:5" x14ac:dyDescent="0.3">
      <c r="B2206" s="4">
        <v>41893</v>
      </c>
      <c r="C2206" s="7">
        <v>598.70000000000005</v>
      </c>
      <c r="D2206" s="6">
        <f t="shared" si="37"/>
        <v>-0.81762964226532808</v>
      </c>
      <c r="E2206" s="6">
        <v>4.1258553602576756E-3</v>
      </c>
    </row>
    <row r="2207" spans="2:5" x14ac:dyDescent="0.3">
      <c r="B2207" s="4">
        <v>45107</v>
      </c>
      <c r="C2207" s="5">
        <v>3282.88</v>
      </c>
      <c r="D2207" s="6">
        <f t="shared" si="37"/>
        <v>8.4184071608905207</v>
      </c>
      <c r="E2207" s="6">
        <v>4.1200094206600745E-3</v>
      </c>
    </row>
    <row r="2208" spans="2:5" x14ac:dyDescent="0.3">
      <c r="B2208" s="4">
        <v>41170</v>
      </c>
      <c r="C2208" s="7">
        <v>348.56</v>
      </c>
      <c r="D2208" s="6">
        <f t="shared" si="37"/>
        <v>-0.87019216445702374</v>
      </c>
      <c r="E2208" s="6">
        <v>4.1194941376429773E-3</v>
      </c>
    </row>
    <row r="2209" spans="2:5" x14ac:dyDescent="0.3">
      <c r="B2209" s="4">
        <v>44202</v>
      </c>
      <c r="C2209" s="5">
        <v>2685.2</v>
      </c>
      <c r="D2209" s="6">
        <f t="shared" si="37"/>
        <v>155.38905066977284</v>
      </c>
      <c r="E2209" s="6">
        <v>4.1171345341953127E-3</v>
      </c>
    </row>
    <row r="2210" spans="2:5" x14ac:dyDescent="0.3">
      <c r="B2210" s="4">
        <v>37701</v>
      </c>
      <c r="C2210" s="7">
        <v>17.170000000000002</v>
      </c>
      <c r="D2210" s="6">
        <f t="shared" si="37"/>
        <v>-0.95791769809563487</v>
      </c>
      <c r="E2210" s="6">
        <v>4.0935672514620042E-3</v>
      </c>
    </row>
    <row r="2211" spans="2:5" x14ac:dyDescent="0.3">
      <c r="B2211" s="4">
        <v>41375</v>
      </c>
      <c r="C2211" s="7">
        <v>408.01</v>
      </c>
      <c r="D2211" s="6">
        <f t="shared" si="37"/>
        <v>4.3530569404355806</v>
      </c>
      <c r="E2211" s="6">
        <v>4.0851482711947041E-3</v>
      </c>
    </row>
    <row r="2212" spans="2:5" x14ac:dyDescent="0.3">
      <c r="B2212" s="4">
        <v>39933</v>
      </c>
      <c r="C2212" s="7">
        <v>76.22</v>
      </c>
      <c r="D2212" s="6">
        <f t="shared" si="37"/>
        <v>0.47541618273325598</v>
      </c>
      <c r="E2212" s="6">
        <v>4.0837834277434107E-3</v>
      </c>
    </row>
    <row r="2213" spans="2:5" x14ac:dyDescent="0.3">
      <c r="B2213" s="4">
        <v>38839</v>
      </c>
      <c r="C2213" s="7">
        <v>51.66</v>
      </c>
      <c r="D2213" s="6">
        <f t="shared" si="37"/>
        <v>-0.88074516955608384</v>
      </c>
      <c r="E2213" s="6">
        <v>4.0816326530611026E-3</v>
      </c>
    </row>
    <row r="2214" spans="2:5" x14ac:dyDescent="0.3">
      <c r="B2214" s="4">
        <v>41543</v>
      </c>
      <c r="C2214" s="7">
        <v>433.19</v>
      </c>
      <c r="D2214" s="6">
        <f t="shared" si="37"/>
        <v>1.6209462729912874</v>
      </c>
      <c r="E2214" s="6">
        <v>4.0794566905407387E-3</v>
      </c>
    </row>
    <row r="2215" spans="2:5" x14ac:dyDescent="0.3">
      <c r="B2215" s="4">
        <v>40253</v>
      </c>
      <c r="C2215" s="7">
        <v>165.28</v>
      </c>
      <c r="D2215" s="6">
        <f t="shared" si="37"/>
        <v>-0.94696359523160101</v>
      </c>
      <c r="E2215" s="6">
        <v>4.070226596196996E-3</v>
      </c>
    </row>
    <row r="2216" spans="2:5" x14ac:dyDescent="0.3">
      <c r="B2216" s="4">
        <v>45083</v>
      </c>
      <c r="C2216" s="5">
        <v>3116.35</v>
      </c>
      <c r="D2216" s="6">
        <f t="shared" si="37"/>
        <v>5.3350748089120179</v>
      </c>
      <c r="E2216" s="6">
        <v>4.0628403152326315E-3</v>
      </c>
    </row>
    <row r="2217" spans="2:5" x14ac:dyDescent="0.3">
      <c r="B2217" s="4">
        <v>41740</v>
      </c>
      <c r="C2217" s="7">
        <v>491.92</v>
      </c>
      <c r="D2217" s="6">
        <f t="shared" si="37"/>
        <v>-0.8223794908828308</v>
      </c>
      <c r="E2217" s="6">
        <v>4.0618047476170252E-3</v>
      </c>
    </row>
    <row r="2218" spans="2:5" x14ac:dyDescent="0.3">
      <c r="B2218" s="4">
        <v>46022</v>
      </c>
      <c r="C2218" s="5">
        <v>2769.5</v>
      </c>
      <c r="D2218" s="6">
        <f t="shared" si="37"/>
        <v>-4.4086938213396938E-2</v>
      </c>
      <c r="E2218" s="6">
        <v>4.0604720298734066E-3</v>
      </c>
    </row>
    <row r="2219" spans="2:5" x14ac:dyDescent="0.3">
      <c r="B2219" s="4">
        <v>45229</v>
      </c>
      <c r="C2219" s="5">
        <v>2897.23</v>
      </c>
      <c r="D2219" s="6">
        <f t="shared" si="37"/>
        <v>27.462815600746634</v>
      </c>
      <c r="E2219" s="6">
        <v>4.0442756345389014E-3</v>
      </c>
    </row>
    <row r="2220" spans="2:5" x14ac:dyDescent="0.3">
      <c r="B2220" s="4">
        <v>39688</v>
      </c>
      <c r="C2220" s="7">
        <v>101.79</v>
      </c>
      <c r="D2220" s="6">
        <f t="shared" si="37"/>
        <v>-0.96323864005720605</v>
      </c>
      <c r="E2220" s="6">
        <v>4.0441901755771436E-3</v>
      </c>
    </row>
    <row r="2221" spans="2:5" x14ac:dyDescent="0.3">
      <c r="B2221" s="4">
        <v>45034</v>
      </c>
      <c r="C2221" s="5">
        <v>2768.94</v>
      </c>
      <c r="D2221" s="6">
        <f t="shared" si="37"/>
        <v>0.61898859257786698</v>
      </c>
      <c r="E2221" s="6">
        <v>4.043092476221935E-3</v>
      </c>
    </row>
    <row r="2222" spans="2:5" x14ac:dyDescent="0.3">
      <c r="B2222" s="4">
        <v>44054</v>
      </c>
      <c r="C2222" s="5">
        <v>1710.29</v>
      </c>
      <c r="D2222" s="6">
        <f t="shared" si="37"/>
        <v>1.0649690910847096</v>
      </c>
      <c r="E2222" s="6">
        <v>4.0389571506565542E-3</v>
      </c>
    </row>
    <row r="2223" spans="2:5" x14ac:dyDescent="0.3">
      <c r="B2223" s="4">
        <v>42440</v>
      </c>
      <c r="C2223" s="7">
        <v>828.24</v>
      </c>
      <c r="D2223" s="6">
        <f t="shared" si="37"/>
        <v>1.385003023583955</v>
      </c>
      <c r="E2223" s="6">
        <v>4.0246326916550095E-3</v>
      </c>
    </row>
    <row r="2224" spans="2:5" x14ac:dyDescent="0.3">
      <c r="B2224" s="4">
        <v>41075</v>
      </c>
      <c r="C2224" s="7">
        <v>347.27</v>
      </c>
      <c r="D2224" s="6">
        <f t="shared" si="37"/>
        <v>-0.65614108048162234</v>
      </c>
      <c r="E2224" s="6">
        <v>4.0187348213252755E-3</v>
      </c>
    </row>
    <row r="2225" spans="2:5" x14ac:dyDescent="0.3">
      <c r="B2225" s="4">
        <v>42831</v>
      </c>
      <c r="C2225" s="5">
        <v>1009.92</v>
      </c>
      <c r="D2225" s="6">
        <f t="shared" si="37"/>
        <v>0.23860333345597698</v>
      </c>
      <c r="E2225" s="6">
        <v>4.0163836640553187E-3</v>
      </c>
    </row>
    <row r="2226" spans="2:5" x14ac:dyDescent="0.3">
      <c r="B2226" s="4">
        <v>42237</v>
      </c>
      <c r="C2226" s="7">
        <v>815.37</v>
      </c>
      <c r="D2226" s="6">
        <f t="shared" si="37"/>
        <v>0.66779848227617666</v>
      </c>
      <c r="E2226" s="6">
        <v>4.0142345248796235E-3</v>
      </c>
    </row>
    <row r="2227" spans="2:5" x14ac:dyDescent="0.3">
      <c r="B2227" s="4">
        <v>41772</v>
      </c>
      <c r="C2227" s="7">
        <v>488.89</v>
      </c>
      <c r="D2227" s="6">
        <f t="shared" si="37"/>
        <v>11.170525267612645</v>
      </c>
      <c r="E2227" s="6">
        <v>4.0046001560767007E-3</v>
      </c>
    </row>
    <row r="2228" spans="2:5" x14ac:dyDescent="0.3">
      <c r="B2228" s="4">
        <v>38650</v>
      </c>
      <c r="C2228" s="7">
        <v>40.17</v>
      </c>
      <c r="D2228" s="6">
        <f t="shared" si="37"/>
        <v>-0.98487962419260122</v>
      </c>
      <c r="E2228" s="6">
        <v>3.9990002499376079E-3</v>
      </c>
    </row>
    <row r="2229" spans="2:5" x14ac:dyDescent="0.3">
      <c r="B2229" s="4">
        <v>44197</v>
      </c>
      <c r="C2229" s="5">
        <v>2656.68</v>
      </c>
      <c r="D2229" s="6">
        <f t="shared" si="37"/>
        <v>-0.15531165346119119</v>
      </c>
      <c r="E2229" s="6">
        <v>3.9983371754657524E-3</v>
      </c>
    </row>
    <row r="2230" spans="2:5" x14ac:dyDescent="0.3">
      <c r="B2230" s="4">
        <v>44609</v>
      </c>
      <c r="C2230" s="5">
        <v>3145.16</v>
      </c>
      <c r="D2230" s="6">
        <f t="shared" si="37"/>
        <v>9.001431329125989E-2</v>
      </c>
      <c r="E2230" s="6">
        <v>3.9966290413197755E-3</v>
      </c>
    </row>
    <row r="2231" spans="2:5" x14ac:dyDescent="0.3">
      <c r="B2231" s="4">
        <v>45457</v>
      </c>
      <c r="C2231" s="5">
        <v>2885.43</v>
      </c>
      <c r="D2231" s="6">
        <f t="shared" si="37"/>
        <v>0.28405121199040539</v>
      </c>
      <c r="E2231" s="6">
        <v>3.9840221574262234E-3</v>
      </c>
    </row>
    <row r="2232" spans="2:5" x14ac:dyDescent="0.3">
      <c r="B2232" s="4">
        <v>45653</v>
      </c>
      <c r="C2232" s="5">
        <v>2247.13</v>
      </c>
      <c r="D2232" s="6">
        <f t="shared" si="37"/>
        <v>0.52337468646193497</v>
      </c>
      <c r="E2232" s="6">
        <v>3.980841919025078E-3</v>
      </c>
    </row>
    <row r="2233" spans="2:5" x14ac:dyDescent="0.3">
      <c r="B2233" s="4">
        <v>43727</v>
      </c>
      <c r="C2233" s="5">
        <v>1475.1</v>
      </c>
      <c r="D2233" s="6">
        <f t="shared" si="37"/>
        <v>-0.54834798423764786</v>
      </c>
      <c r="E2233" s="6">
        <v>3.9747900303553612E-3</v>
      </c>
    </row>
    <row r="2234" spans="2:5" x14ac:dyDescent="0.3">
      <c r="B2234" s="4">
        <v>45555</v>
      </c>
      <c r="C2234" s="5">
        <v>3266.01</v>
      </c>
      <c r="D2234" s="6">
        <f t="shared" si="37"/>
        <v>11.401784697171065</v>
      </c>
      <c r="E2234" s="6">
        <v>3.9746947508208499E-3</v>
      </c>
    </row>
    <row r="2235" spans="2:5" x14ac:dyDescent="0.3">
      <c r="B2235" s="4">
        <v>40947</v>
      </c>
      <c r="C2235" s="7">
        <v>263.35000000000002</v>
      </c>
      <c r="D2235" s="6">
        <f t="shared" si="37"/>
        <v>5.9302631578947373</v>
      </c>
      <c r="E2235" s="6">
        <v>3.9647745034501946E-3</v>
      </c>
    </row>
    <row r="2236" spans="2:5" x14ac:dyDescent="0.3">
      <c r="B2236" s="4">
        <v>38588</v>
      </c>
      <c r="C2236" s="7">
        <v>38</v>
      </c>
      <c r="D2236" s="6">
        <f t="shared" si="37"/>
        <v>-0.85905567300916141</v>
      </c>
      <c r="E2236" s="6">
        <v>3.9630118890356296E-3</v>
      </c>
    </row>
    <row r="2237" spans="2:5" x14ac:dyDescent="0.3">
      <c r="B2237" s="4">
        <v>40805</v>
      </c>
      <c r="C2237" s="7">
        <v>269.61</v>
      </c>
      <c r="D2237" s="6">
        <f t="shared" si="37"/>
        <v>0.11340078463762134</v>
      </c>
      <c r="E2237" s="6">
        <v>3.9471234407000644E-3</v>
      </c>
    </row>
    <row r="2238" spans="2:5" x14ac:dyDescent="0.3">
      <c r="B2238" s="4">
        <v>40414</v>
      </c>
      <c r="C2238" s="7">
        <v>242.15</v>
      </c>
      <c r="D2238" s="6">
        <f t="shared" si="37"/>
        <v>-0.92161908461189868</v>
      </c>
      <c r="E2238" s="6">
        <v>3.938640132670054E-3</v>
      </c>
    </row>
    <row r="2239" spans="2:5" x14ac:dyDescent="0.3">
      <c r="B2239" s="4">
        <v>45210</v>
      </c>
      <c r="C2239" s="5">
        <v>3089.4</v>
      </c>
      <c r="D2239" s="6">
        <f t="shared" si="37"/>
        <v>133.49717022202876</v>
      </c>
      <c r="E2239" s="6">
        <v>3.9352807177744469E-3</v>
      </c>
    </row>
    <row r="2240" spans="2:5" x14ac:dyDescent="0.3">
      <c r="B2240" s="4">
        <v>38154</v>
      </c>
      <c r="C2240" s="7">
        <v>22.97</v>
      </c>
      <c r="D2240" s="6">
        <f t="shared" si="37"/>
        <v>-0.98677376633845792</v>
      </c>
      <c r="E2240" s="6">
        <v>3.9335664335664279E-3</v>
      </c>
    </row>
    <row r="2241" spans="2:5" x14ac:dyDescent="0.3">
      <c r="B2241" s="4">
        <v>43886</v>
      </c>
      <c r="C2241" s="5">
        <v>1736.7</v>
      </c>
      <c r="D2241" s="6">
        <f t="shared" si="37"/>
        <v>83.965753424657535</v>
      </c>
      <c r="E2241" s="6">
        <v>3.9308630556679309E-3</v>
      </c>
    </row>
    <row r="2242" spans="2:5" x14ac:dyDescent="0.3">
      <c r="B2242" s="4">
        <v>37838</v>
      </c>
      <c r="C2242" s="7">
        <v>20.440000000000001</v>
      </c>
      <c r="D2242" s="6">
        <f t="shared" si="37"/>
        <v>-0.11515151515151516</v>
      </c>
      <c r="E2242" s="6">
        <v>3.9292730844794621E-3</v>
      </c>
    </row>
    <row r="2243" spans="2:5" x14ac:dyDescent="0.3">
      <c r="B2243" s="4">
        <v>37897</v>
      </c>
      <c r="C2243" s="7">
        <v>23.1</v>
      </c>
      <c r="D2243" s="6">
        <f t="shared" si="37"/>
        <v>-0.43877551020408156</v>
      </c>
      <c r="E2243" s="6">
        <v>3.9113428943937352E-3</v>
      </c>
    </row>
    <row r="2244" spans="2:5" x14ac:dyDescent="0.3">
      <c r="B2244" s="4">
        <v>38678</v>
      </c>
      <c r="C2244" s="7">
        <v>41.16</v>
      </c>
      <c r="D2244" s="6">
        <f t="shared" si="37"/>
        <v>0.59782608695652151</v>
      </c>
      <c r="E2244" s="6">
        <v>3.9024390243901606E-3</v>
      </c>
    </row>
    <row r="2245" spans="2:5" x14ac:dyDescent="0.3">
      <c r="B2245" s="4">
        <v>37987</v>
      </c>
      <c r="C2245" s="7">
        <v>25.76</v>
      </c>
      <c r="D2245" s="6">
        <f t="shared" si="37"/>
        <v>-0.96894627077983919</v>
      </c>
      <c r="E2245" s="6">
        <v>3.8971161340608505E-3</v>
      </c>
    </row>
    <row r="2246" spans="2:5" x14ac:dyDescent="0.3">
      <c r="B2246" s="4">
        <v>42226</v>
      </c>
      <c r="C2246" s="7">
        <v>829.53</v>
      </c>
      <c r="D2246" s="6">
        <f t="shared" si="37"/>
        <v>-0.73063534637840233</v>
      </c>
      <c r="E2246" s="6">
        <v>3.896842589343016E-3</v>
      </c>
    </row>
    <row r="2247" spans="2:5" x14ac:dyDescent="0.3">
      <c r="B2247" s="4">
        <v>45258</v>
      </c>
      <c r="C2247" s="5">
        <v>3079.58</v>
      </c>
      <c r="D2247" s="6">
        <f t="shared" si="37"/>
        <v>98.24524653561069</v>
      </c>
      <c r="E2247" s="6">
        <v>3.888970384496222E-3</v>
      </c>
    </row>
    <row r="2248" spans="2:5" x14ac:dyDescent="0.3">
      <c r="B2248" s="4">
        <v>38513</v>
      </c>
      <c r="C2248" s="7">
        <v>31.03</v>
      </c>
      <c r="D2248" s="6">
        <f t="shared" ref="D2248:D2311" si="38">((C2248-C2249)/C2249)</f>
        <v>-0.93029159365592851</v>
      </c>
      <c r="E2248" s="6">
        <v>3.8822387576836299E-3</v>
      </c>
    </row>
    <row r="2249" spans="2:5" x14ac:dyDescent="0.3">
      <c r="B2249" s="4">
        <v>41649</v>
      </c>
      <c r="C2249" s="7">
        <v>445.14</v>
      </c>
      <c r="D2249" s="6">
        <f t="shared" si="38"/>
        <v>13.317787069797363</v>
      </c>
      <c r="E2249" s="6">
        <v>3.8789409589102216E-3</v>
      </c>
    </row>
    <row r="2250" spans="2:5" x14ac:dyDescent="0.3">
      <c r="B2250" s="4">
        <v>38443</v>
      </c>
      <c r="C2250" s="7">
        <v>31.09</v>
      </c>
      <c r="D2250" s="6">
        <f t="shared" si="38"/>
        <v>-0.99076022349025195</v>
      </c>
      <c r="E2250" s="6">
        <v>3.8747174685179529E-3</v>
      </c>
    </row>
    <row r="2251" spans="2:5" x14ac:dyDescent="0.3">
      <c r="B2251" s="4">
        <v>44778</v>
      </c>
      <c r="C2251" s="5">
        <v>3364.8</v>
      </c>
      <c r="D2251" s="6">
        <f t="shared" si="38"/>
        <v>2.1191657010428737</v>
      </c>
      <c r="E2251" s="6">
        <v>3.8725229875112678E-3</v>
      </c>
    </row>
    <row r="2252" spans="2:5" x14ac:dyDescent="0.3">
      <c r="B2252" s="4">
        <v>42944</v>
      </c>
      <c r="C2252" s="5">
        <v>1078.75</v>
      </c>
      <c r="D2252" s="6">
        <f t="shared" si="38"/>
        <v>-0.52330133983808813</v>
      </c>
      <c r="E2252" s="6">
        <v>3.8712439162844267E-3</v>
      </c>
    </row>
    <row r="2253" spans="2:5" x14ac:dyDescent="0.3">
      <c r="B2253" s="4">
        <v>45727</v>
      </c>
      <c r="C2253" s="5">
        <v>2262.96</v>
      </c>
      <c r="D2253" s="6">
        <f t="shared" si="38"/>
        <v>-0.18916478555304742</v>
      </c>
      <c r="E2253" s="6">
        <v>3.8638127980481474E-3</v>
      </c>
    </row>
    <row r="2254" spans="2:5" x14ac:dyDescent="0.3">
      <c r="B2254" s="4">
        <v>46007</v>
      </c>
      <c r="C2254" s="5">
        <v>2790.9</v>
      </c>
      <c r="D2254" s="6">
        <f t="shared" si="38"/>
        <v>117.81226053639848</v>
      </c>
      <c r="E2254" s="6">
        <v>3.8486439824474044E-3</v>
      </c>
    </row>
    <row r="2255" spans="2:5" x14ac:dyDescent="0.3">
      <c r="B2255" s="4">
        <v>37938</v>
      </c>
      <c r="C2255" s="7">
        <v>23.49</v>
      </c>
      <c r="D2255" s="6">
        <f t="shared" si="38"/>
        <v>-0.99238109447572598</v>
      </c>
      <c r="E2255" s="6">
        <v>3.8461538461538403E-3</v>
      </c>
    </row>
    <row r="2256" spans="2:5" x14ac:dyDescent="0.3">
      <c r="B2256" s="4">
        <v>44908</v>
      </c>
      <c r="C2256" s="5">
        <v>3083.12</v>
      </c>
      <c r="D2256" s="6">
        <f t="shared" si="38"/>
        <v>2.8024715719888502</v>
      </c>
      <c r="E2256" s="6">
        <v>3.8354594411558946E-3</v>
      </c>
    </row>
    <row r="2257" spans="2:5" x14ac:dyDescent="0.3">
      <c r="B2257" s="4">
        <v>42356</v>
      </c>
      <c r="C2257" s="7">
        <v>810.82</v>
      </c>
      <c r="D2257" s="6">
        <f t="shared" si="38"/>
        <v>-0.72685868283644928</v>
      </c>
      <c r="E2257" s="6">
        <v>3.8255357607121583E-3</v>
      </c>
    </row>
    <row r="2258" spans="2:5" x14ac:dyDescent="0.3">
      <c r="B2258" s="4">
        <v>45996</v>
      </c>
      <c r="C2258" s="5">
        <v>2968.5</v>
      </c>
      <c r="D2258" s="6">
        <f t="shared" si="38"/>
        <v>111.99961933764752</v>
      </c>
      <c r="E2258" s="6">
        <v>3.8211821993778517E-3</v>
      </c>
    </row>
    <row r="2259" spans="2:5" x14ac:dyDescent="0.3">
      <c r="B2259" s="4">
        <v>38000</v>
      </c>
      <c r="C2259" s="7">
        <v>26.27</v>
      </c>
      <c r="D2259" s="6">
        <f t="shared" si="38"/>
        <v>-0.98871461772754421</v>
      </c>
      <c r="E2259" s="6">
        <v>3.8211692777989246E-3</v>
      </c>
    </row>
    <row r="2260" spans="2:5" x14ac:dyDescent="0.3">
      <c r="B2260" s="4">
        <v>44265</v>
      </c>
      <c r="C2260" s="5">
        <v>2327.79</v>
      </c>
      <c r="D2260" s="6">
        <f t="shared" si="38"/>
        <v>5.6388785899666312</v>
      </c>
      <c r="E2260" s="6">
        <v>3.8163988718983282E-3</v>
      </c>
    </row>
    <row r="2261" spans="2:5" x14ac:dyDescent="0.3">
      <c r="B2261" s="4">
        <v>41200</v>
      </c>
      <c r="C2261" s="7">
        <v>350.63</v>
      </c>
      <c r="D2261" s="6">
        <f t="shared" si="38"/>
        <v>-0.5556977584043995</v>
      </c>
      <c r="E2261" s="6">
        <v>3.8076152304608759E-3</v>
      </c>
    </row>
    <row r="2262" spans="2:5" x14ac:dyDescent="0.3">
      <c r="B2262" s="4">
        <v>42244</v>
      </c>
      <c r="C2262" s="7">
        <v>789.17</v>
      </c>
      <c r="D2262" s="6">
        <f t="shared" si="38"/>
        <v>-0.64666350269534534</v>
      </c>
      <c r="E2262" s="6">
        <v>3.80320028492204E-3</v>
      </c>
    </row>
    <row r="2263" spans="2:5" x14ac:dyDescent="0.3">
      <c r="B2263" s="4">
        <v>45709</v>
      </c>
      <c r="C2263" s="5">
        <v>2233.48</v>
      </c>
      <c r="D2263" s="6">
        <f t="shared" si="38"/>
        <v>-0.27886658185833563</v>
      </c>
      <c r="E2263" s="6">
        <v>3.8022130138156227E-3</v>
      </c>
    </row>
    <row r="2264" spans="2:5" x14ac:dyDescent="0.3">
      <c r="B2264" s="4">
        <v>44851</v>
      </c>
      <c r="C2264" s="5">
        <v>3097.18</v>
      </c>
      <c r="D2264" s="6">
        <f t="shared" si="38"/>
        <v>1.8470129702997602</v>
      </c>
      <c r="E2264" s="6">
        <v>3.7984611694851984E-3</v>
      </c>
    </row>
    <row r="2265" spans="2:5" x14ac:dyDescent="0.3">
      <c r="B2265" s="4">
        <v>43018</v>
      </c>
      <c r="C2265" s="5">
        <v>1087.8699999999999</v>
      </c>
      <c r="D2265" s="6">
        <f t="shared" si="38"/>
        <v>8.1325554063129601</v>
      </c>
      <c r="E2265" s="6">
        <v>3.7923525503800659E-3</v>
      </c>
    </row>
    <row r="2266" spans="2:5" x14ac:dyDescent="0.3">
      <c r="B2266" s="4">
        <v>40063</v>
      </c>
      <c r="C2266" s="7">
        <v>119.12</v>
      </c>
      <c r="D2266" s="6">
        <f t="shared" si="38"/>
        <v>-0.91000438192230404</v>
      </c>
      <c r="E2266" s="6">
        <v>3.7920283138114337E-3</v>
      </c>
    </row>
    <row r="2267" spans="2:5" x14ac:dyDescent="0.3">
      <c r="B2267" s="4">
        <v>43489</v>
      </c>
      <c r="C2267" s="5">
        <v>1323.62</v>
      </c>
      <c r="D2267" s="6">
        <f t="shared" si="38"/>
        <v>0.70052417904311615</v>
      </c>
      <c r="E2267" s="6">
        <v>3.7918429873655796E-3</v>
      </c>
    </row>
    <row r="2268" spans="2:5" x14ac:dyDescent="0.3">
      <c r="B2268" s="4">
        <v>42208</v>
      </c>
      <c r="C2268" s="7">
        <v>778.36</v>
      </c>
      <c r="D2268" s="6">
        <f t="shared" si="38"/>
        <v>-0.65471442830209603</v>
      </c>
      <c r="E2268" s="6">
        <v>3.7914936421552898E-3</v>
      </c>
    </row>
    <row r="2269" spans="2:5" x14ac:dyDescent="0.3">
      <c r="B2269" s="4">
        <v>45726</v>
      </c>
      <c r="C2269" s="5">
        <v>2254.25</v>
      </c>
      <c r="D2269" s="6">
        <f t="shared" si="38"/>
        <v>7.0202440673141924</v>
      </c>
      <c r="E2269" s="6">
        <v>3.7893968135225891E-3</v>
      </c>
    </row>
    <row r="2270" spans="2:5" x14ac:dyDescent="0.3">
      <c r="B2270" s="4">
        <v>40968</v>
      </c>
      <c r="C2270" s="7">
        <v>281.07</v>
      </c>
      <c r="D2270" s="6">
        <f t="shared" si="38"/>
        <v>-0.65713135551868851</v>
      </c>
      <c r="E2270" s="6">
        <v>3.7855790864612061E-3</v>
      </c>
    </row>
    <row r="2271" spans="2:5" x14ac:dyDescent="0.3">
      <c r="B2271" s="4">
        <v>42481</v>
      </c>
      <c r="C2271" s="7">
        <v>819.76</v>
      </c>
      <c r="D2271" s="6">
        <f t="shared" si="38"/>
        <v>-0.55455572943835851</v>
      </c>
      <c r="E2271" s="6">
        <v>3.7836580258856479E-3</v>
      </c>
    </row>
    <row r="2272" spans="2:5" x14ac:dyDescent="0.3">
      <c r="B2272" s="4">
        <v>44099</v>
      </c>
      <c r="C2272" s="5">
        <v>1840.32</v>
      </c>
      <c r="D2272" s="6">
        <f t="shared" si="38"/>
        <v>114.23606762680024</v>
      </c>
      <c r="E2272" s="6">
        <v>3.7798831672474684E-3</v>
      </c>
    </row>
    <row r="2273" spans="2:5" x14ac:dyDescent="0.3">
      <c r="B2273" s="4">
        <v>37679</v>
      </c>
      <c r="C2273" s="7">
        <v>15.97</v>
      </c>
      <c r="D2273" s="6">
        <f t="shared" si="38"/>
        <v>-0.78603965702036438</v>
      </c>
      <c r="E2273" s="6">
        <v>3.7712130735386862E-3</v>
      </c>
    </row>
    <row r="2274" spans="2:5" x14ac:dyDescent="0.3">
      <c r="B2274" s="4">
        <v>39812</v>
      </c>
      <c r="C2274" s="7">
        <v>74.64</v>
      </c>
      <c r="D2274" s="6">
        <f t="shared" si="38"/>
        <v>-0.80830572463209804</v>
      </c>
      <c r="E2274" s="6">
        <v>3.7654653039268576E-3</v>
      </c>
    </row>
    <row r="2275" spans="2:5" x14ac:dyDescent="0.3">
      <c r="B2275" s="4">
        <v>41246</v>
      </c>
      <c r="C2275" s="7">
        <v>389.37</v>
      </c>
      <c r="D2275" s="6">
        <f t="shared" si="38"/>
        <v>-0.70570273232304148</v>
      </c>
      <c r="E2275" s="6">
        <v>3.7637596349668206E-3</v>
      </c>
    </row>
    <row r="2276" spans="2:5" x14ac:dyDescent="0.3">
      <c r="B2276" s="4">
        <v>43473</v>
      </c>
      <c r="C2276" s="5">
        <v>1323.05</v>
      </c>
      <c r="D2276" s="6">
        <f t="shared" si="38"/>
        <v>-0.36592414381427985</v>
      </c>
      <c r="E2276" s="6">
        <v>3.7554055079281131E-3</v>
      </c>
    </row>
    <row r="2277" spans="2:5" x14ac:dyDescent="0.3">
      <c r="B2277" s="4">
        <v>44148</v>
      </c>
      <c r="C2277" s="5">
        <v>2086.58</v>
      </c>
      <c r="D2277" s="6">
        <f t="shared" si="38"/>
        <v>-0.33294118023164748</v>
      </c>
      <c r="E2277" s="6">
        <v>3.7522008100904021E-3</v>
      </c>
    </row>
    <row r="2278" spans="2:5" x14ac:dyDescent="0.3">
      <c r="B2278" s="4">
        <v>45084</v>
      </c>
      <c r="C2278" s="5">
        <v>3128.03</v>
      </c>
      <c r="D2278" s="6">
        <f t="shared" si="38"/>
        <v>14.356062837506139</v>
      </c>
      <c r="E2278" s="6">
        <v>3.7479743931202502E-3</v>
      </c>
    </row>
    <row r="2279" spans="2:5" x14ac:dyDescent="0.3">
      <c r="B2279" s="4">
        <v>40364</v>
      </c>
      <c r="C2279" s="7">
        <v>203.7</v>
      </c>
      <c r="D2279" s="6">
        <f t="shared" si="38"/>
        <v>7.4417737256527143</v>
      </c>
      <c r="E2279" s="6">
        <v>3.7449492460825411E-3</v>
      </c>
    </row>
    <row r="2280" spans="2:5" x14ac:dyDescent="0.3">
      <c r="B2280" s="4">
        <v>38055</v>
      </c>
      <c r="C2280" s="7">
        <v>24.13</v>
      </c>
      <c r="D2280" s="6">
        <f t="shared" si="38"/>
        <v>-2.0678246484698392E-3</v>
      </c>
      <c r="E2280" s="6">
        <v>3.7437603993344367E-3</v>
      </c>
    </row>
    <row r="2281" spans="2:5" x14ac:dyDescent="0.3">
      <c r="B2281" s="4">
        <v>38058</v>
      </c>
      <c r="C2281" s="7">
        <v>24.18</v>
      </c>
      <c r="D2281" s="6">
        <f t="shared" si="38"/>
        <v>-0.99222270468471085</v>
      </c>
      <c r="E2281" s="6">
        <v>3.7359900373598945E-3</v>
      </c>
    </row>
    <row r="2282" spans="2:5" x14ac:dyDescent="0.3">
      <c r="B2282" s="4">
        <v>44601</v>
      </c>
      <c r="C2282" s="5">
        <v>3109.05</v>
      </c>
      <c r="D2282" s="6">
        <f t="shared" si="38"/>
        <v>191.3917079207921</v>
      </c>
      <c r="E2282" s="6">
        <v>3.7320540179307765E-3</v>
      </c>
    </row>
    <row r="2283" spans="2:5" x14ac:dyDescent="0.3">
      <c r="B2283" s="4">
        <v>37726</v>
      </c>
      <c r="C2283" s="7">
        <v>16.16</v>
      </c>
      <c r="D2283" s="6">
        <f t="shared" si="38"/>
        <v>0</v>
      </c>
      <c r="E2283" s="6">
        <v>3.7267080745340816E-3</v>
      </c>
    </row>
    <row r="2284" spans="2:5" x14ac:dyDescent="0.3">
      <c r="B2284" s="4">
        <v>37673</v>
      </c>
      <c r="C2284" s="7">
        <v>16.16</v>
      </c>
      <c r="D2284" s="6">
        <f t="shared" si="38"/>
        <v>-0.98212942893793964</v>
      </c>
      <c r="E2284" s="6">
        <v>3.7267080745340816E-3</v>
      </c>
    </row>
    <row r="2285" spans="2:5" x14ac:dyDescent="0.3">
      <c r="B2285" s="4">
        <v>42765</v>
      </c>
      <c r="C2285" s="7">
        <v>904.28</v>
      </c>
      <c r="D2285" s="6">
        <f t="shared" si="38"/>
        <v>-0.56974083008597765</v>
      </c>
      <c r="E2285" s="6">
        <v>3.718379896329374E-3</v>
      </c>
    </row>
    <row r="2286" spans="2:5" x14ac:dyDescent="0.3">
      <c r="B2286" s="4">
        <v>44153</v>
      </c>
      <c r="C2286" s="5">
        <v>2101.71</v>
      </c>
      <c r="D2286" s="6">
        <f t="shared" si="38"/>
        <v>-0.2731570501736087</v>
      </c>
      <c r="E2286" s="6">
        <v>3.7011213203690615E-3</v>
      </c>
    </row>
    <row r="2287" spans="2:5" x14ac:dyDescent="0.3">
      <c r="B2287" s="4">
        <v>45474</v>
      </c>
      <c r="C2287" s="5">
        <v>2891.56</v>
      </c>
      <c r="D2287" s="6">
        <f t="shared" si="38"/>
        <v>116.92659053833606</v>
      </c>
      <c r="E2287" s="6">
        <v>3.6862968336723052E-3</v>
      </c>
    </row>
    <row r="2288" spans="2:5" x14ac:dyDescent="0.3">
      <c r="B2288" s="4">
        <v>38162</v>
      </c>
      <c r="C2288" s="7">
        <v>24.52</v>
      </c>
      <c r="D2288" s="6">
        <f t="shared" si="38"/>
        <v>-0.18375499334221038</v>
      </c>
      <c r="E2288" s="6">
        <v>3.6839950880065437E-3</v>
      </c>
    </row>
    <row r="2289" spans="2:5" x14ac:dyDescent="0.3">
      <c r="B2289" s="4">
        <v>38482</v>
      </c>
      <c r="C2289" s="7">
        <v>30.04</v>
      </c>
      <c r="D2289" s="6">
        <f t="shared" si="38"/>
        <v>-0.97542720185850196</v>
      </c>
      <c r="E2289" s="6">
        <v>3.6752422318743548E-3</v>
      </c>
    </row>
    <row r="2290" spans="2:5" x14ac:dyDescent="0.3">
      <c r="B2290" s="4">
        <v>43354</v>
      </c>
      <c r="C2290" s="5">
        <v>1222.49</v>
      </c>
      <c r="D2290" s="6">
        <f t="shared" si="38"/>
        <v>-0.44746214689265534</v>
      </c>
      <c r="E2290" s="6">
        <v>3.6698904779888897E-3</v>
      </c>
    </row>
    <row r="2291" spans="2:5" x14ac:dyDescent="0.3">
      <c r="B2291" s="4">
        <v>45701</v>
      </c>
      <c r="C2291" s="5">
        <v>2212.5</v>
      </c>
      <c r="D2291" s="6">
        <f t="shared" si="38"/>
        <v>88.502427184466029</v>
      </c>
      <c r="E2291" s="6">
        <v>3.656257371486611E-3</v>
      </c>
    </row>
    <row r="2292" spans="2:5" x14ac:dyDescent="0.3">
      <c r="B2292" s="4">
        <v>38232</v>
      </c>
      <c r="C2292" s="7">
        <v>24.72</v>
      </c>
      <c r="D2292" s="6">
        <f t="shared" si="38"/>
        <v>0.49999999999999989</v>
      </c>
      <c r="E2292" s="6">
        <v>3.6540803897685691E-3</v>
      </c>
    </row>
    <row r="2293" spans="2:5" x14ac:dyDescent="0.3">
      <c r="B2293" s="4">
        <v>37586</v>
      </c>
      <c r="C2293" s="7">
        <v>16.48</v>
      </c>
      <c r="D2293" s="6">
        <f t="shared" si="38"/>
        <v>-0.57150286011440454</v>
      </c>
      <c r="E2293" s="6">
        <v>3.6540803897684966E-3</v>
      </c>
    </row>
    <row r="2294" spans="2:5" x14ac:dyDescent="0.3">
      <c r="B2294" s="4">
        <v>38600</v>
      </c>
      <c r="C2294" s="7">
        <v>38.46</v>
      </c>
      <c r="D2294" s="6">
        <f t="shared" si="38"/>
        <v>0.16369137670196685</v>
      </c>
      <c r="E2294" s="6">
        <v>3.6534446764092004E-3</v>
      </c>
    </row>
    <row r="2295" spans="2:5" x14ac:dyDescent="0.3">
      <c r="B2295" s="4">
        <v>38534</v>
      </c>
      <c r="C2295" s="7">
        <v>33.049999999999997</v>
      </c>
      <c r="D2295" s="6">
        <f t="shared" si="38"/>
        <v>-0.95796128113154755</v>
      </c>
      <c r="E2295" s="6">
        <v>3.6440935317339036E-3</v>
      </c>
    </row>
    <row r="2296" spans="2:5" x14ac:dyDescent="0.3">
      <c r="B2296" s="4">
        <v>42243</v>
      </c>
      <c r="C2296" s="7">
        <v>786.18</v>
      </c>
      <c r="D2296" s="6">
        <f t="shared" si="38"/>
        <v>4.0085727893316339E-2</v>
      </c>
      <c r="E2296" s="6">
        <v>3.6383133545247965E-3</v>
      </c>
    </row>
    <row r="2297" spans="2:5" x14ac:dyDescent="0.3">
      <c r="B2297" s="4">
        <v>42048</v>
      </c>
      <c r="C2297" s="7">
        <v>755.88</v>
      </c>
      <c r="D2297" s="6">
        <f t="shared" si="38"/>
        <v>10.387164808677314</v>
      </c>
      <c r="E2297" s="6">
        <v>3.6381018137398215E-3</v>
      </c>
    </row>
    <row r="2298" spans="2:5" x14ac:dyDescent="0.3">
      <c r="B2298" s="4">
        <v>39217</v>
      </c>
      <c r="C2298" s="7">
        <v>66.38</v>
      </c>
      <c r="D2298" s="6">
        <f t="shared" si="38"/>
        <v>0.33132771760930596</v>
      </c>
      <c r="E2298" s="6">
        <v>3.628666465074008E-3</v>
      </c>
    </row>
    <row r="2299" spans="2:5" x14ac:dyDescent="0.3">
      <c r="B2299" s="4">
        <v>38825</v>
      </c>
      <c r="C2299" s="7">
        <v>49.86</v>
      </c>
      <c r="D2299" s="6">
        <f t="shared" si="38"/>
        <v>-0.77531431661484396</v>
      </c>
      <c r="E2299" s="6">
        <v>3.6231884057970959E-3</v>
      </c>
    </row>
    <row r="2300" spans="2:5" x14ac:dyDescent="0.3">
      <c r="B2300" s="4">
        <v>40637</v>
      </c>
      <c r="C2300" s="7">
        <v>221.91</v>
      </c>
      <c r="D2300" s="6">
        <f t="shared" si="38"/>
        <v>4.7119691119691121</v>
      </c>
      <c r="E2300" s="6">
        <v>3.6181086337116496E-3</v>
      </c>
    </row>
    <row r="2301" spans="2:5" x14ac:dyDescent="0.3">
      <c r="B2301" s="4">
        <v>38594</v>
      </c>
      <c r="C2301" s="7">
        <v>38.85</v>
      </c>
      <c r="D2301" s="6">
        <f t="shared" si="38"/>
        <v>-0.97036228954174075</v>
      </c>
      <c r="E2301" s="6">
        <v>3.6166365280289477E-3</v>
      </c>
    </row>
    <row r="2302" spans="2:5" x14ac:dyDescent="0.3">
      <c r="B2302" s="4">
        <v>43468</v>
      </c>
      <c r="C2302" s="5">
        <v>1310.83</v>
      </c>
      <c r="D2302" s="6">
        <f t="shared" si="38"/>
        <v>51.349440894568687</v>
      </c>
      <c r="E2302" s="6">
        <v>3.6137844438830021E-3</v>
      </c>
    </row>
    <row r="2303" spans="2:5" x14ac:dyDescent="0.3">
      <c r="B2303" s="4">
        <v>37984</v>
      </c>
      <c r="C2303" s="7">
        <v>25.04</v>
      </c>
      <c r="D2303" s="6">
        <f t="shared" si="38"/>
        <v>-0.93846305079747361</v>
      </c>
      <c r="E2303" s="6">
        <v>3.6072144288577098E-3</v>
      </c>
    </row>
    <row r="2304" spans="2:5" x14ac:dyDescent="0.3">
      <c r="B2304" s="4">
        <v>41320</v>
      </c>
      <c r="C2304" s="7">
        <v>406.91</v>
      </c>
      <c r="D2304" s="6">
        <f t="shared" si="38"/>
        <v>12.202790395846854</v>
      </c>
      <c r="E2304" s="6">
        <v>3.6009372302380971E-3</v>
      </c>
    </row>
    <row r="2305" spans="2:5" x14ac:dyDescent="0.3">
      <c r="B2305" s="4">
        <v>38491</v>
      </c>
      <c r="C2305" s="7">
        <v>30.82</v>
      </c>
      <c r="D2305" s="6">
        <f t="shared" si="38"/>
        <v>-0.97028968043572561</v>
      </c>
      <c r="E2305" s="6">
        <v>3.5818951481601897E-3</v>
      </c>
    </row>
    <row r="2306" spans="2:5" x14ac:dyDescent="0.3">
      <c r="B2306" s="4">
        <v>43179</v>
      </c>
      <c r="C2306" s="5">
        <v>1037.3499999999999</v>
      </c>
      <c r="D2306" s="6">
        <f t="shared" si="38"/>
        <v>-0.65763687429248474</v>
      </c>
      <c r="E2306" s="6">
        <v>3.5795482029698815E-3</v>
      </c>
    </row>
    <row r="2307" spans="2:5" x14ac:dyDescent="0.3">
      <c r="B2307" s="4">
        <v>44923</v>
      </c>
      <c r="C2307" s="5">
        <v>3029.97</v>
      </c>
      <c r="D2307" s="6">
        <f t="shared" si="38"/>
        <v>96.709448564979027</v>
      </c>
      <c r="E2307" s="6">
        <v>3.5671701112877526E-3</v>
      </c>
    </row>
    <row r="2308" spans="2:5" x14ac:dyDescent="0.3">
      <c r="B2308" s="4">
        <v>38461</v>
      </c>
      <c r="C2308" s="7">
        <v>31.01</v>
      </c>
      <c r="D2308" s="6">
        <f t="shared" si="38"/>
        <v>-0.93082911378287347</v>
      </c>
      <c r="E2308" s="6">
        <v>3.5598705501619092E-3</v>
      </c>
    </row>
    <row r="2309" spans="2:5" x14ac:dyDescent="0.3">
      <c r="B2309" s="4">
        <v>41712</v>
      </c>
      <c r="C2309" s="7">
        <v>448.31</v>
      </c>
      <c r="D2309" s="6">
        <f t="shared" si="38"/>
        <v>-0.80557627589078173</v>
      </c>
      <c r="E2309" s="6">
        <v>3.5592765042979382E-3</v>
      </c>
    </row>
    <row r="2310" spans="2:5" x14ac:dyDescent="0.3">
      <c r="B2310" s="4">
        <v>45741</v>
      </c>
      <c r="C2310" s="5">
        <v>2305.84</v>
      </c>
      <c r="D2310" s="6">
        <f t="shared" si="38"/>
        <v>1.3375843960990248</v>
      </c>
      <c r="E2310" s="6">
        <v>3.5514083771457775E-3</v>
      </c>
    </row>
    <row r="2311" spans="2:5" x14ac:dyDescent="0.3">
      <c r="B2311" s="4">
        <v>42817</v>
      </c>
      <c r="C2311" s="7">
        <v>986.42</v>
      </c>
      <c r="D2311" s="6">
        <f t="shared" si="38"/>
        <v>-6.8219602508879443E-2</v>
      </c>
      <c r="E2311" s="6">
        <v>3.5506088938174734E-3</v>
      </c>
    </row>
    <row r="2312" spans="2:5" x14ac:dyDescent="0.3">
      <c r="B2312" s="4">
        <v>42927</v>
      </c>
      <c r="C2312" s="5">
        <v>1058.6400000000001</v>
      </c>
      <c r="D2312" s="6">
        <f t="shared" ref="D2312:D2375" si="39">((C2312-C2313)/C2313)</f>
        <v>0.30697909850738908</v>
      </c>
      <c r="E2312" s="6">
        <v>3.5453597497393202E-3</v>
      </c>
    </row>
    <row r="2313" spans="2:5" x14ac:dyDescent="0.3">
      <c r="B2313" s="4">
        <v>42353</v>
      </c>
      <c r="C2313" s="7">
        <v>809.99</v>
      </c>
      <c r="D2313" s="6">
        <f t="shared" si="39"/>
        <v>27.470650263620385</v>
      </c>
      <c r="E2313" s="6">
        <v>3.5434192757052936E-3</v>
      </c>
    </row>
    <row r="2314" spans="2:5" x14ac:dyDescent="0.3">
      <c r="B2314" s="4">
        <v>38397</v>
      </c>
      <c r="C2314" s="7">
        <v>28.45</v>
      </c>
      <c r="D2314" s="6">
        <f t="shared" si="39"/>
        <v>-0.61564442042691159</v>
      </c>
      <c r="E2314" s="6">
        <v>3.5273368606701188E-3</v>
      </c>
    </row>
    <row r="2315" spans="2:5" x14ac:dyDescent="0.3">
      <c r="B2315" s="4">
        <v>39799</v>
      </c>
      <c r="C2315" s="7">
        <v>74.02</v>
      </c>
      <c r="D2315" s="6">
        <f t="shared" si="39"/>
        <v>-0.75005065171878171</v>
      </c>
      <c r="E2315" s="6">
        <v>3.5249457700649522E-3</v>
      </c>
    </row>
    <row r="2316" spans="2:5" x14ac:dyDescent="0.3">
      <c r="B2316" s="4">
        <v>41019</v>
      </c>
      <c r="C2316" s="7">
        <v>296.14</v>
      </c>
      <c r="D2316" s="6">
        <f t="shared" si="39"/>
        <v>-0.72643966966578599</v>
      </c>
      <c r="E2316" s="6">
        <v>3.5242290748897444E-3</v>
      </c>
    </row>
    <row r="2317" spans="2:5" x14ac:dyDescent="0.3">
      <c r="B2317" s="4">
        <v>43014</v>
      </c>
      <c r="C2317" s="5">
        <v>1082.54</v>
      </c>
      <c r="D2317" s="6">
        <f t="shared" si="39"/>
        <v>-0.64944674539925973</v>
      </c>
      <c r="E2317" s="6">
        <v>3.5133256083429557E-3</v>
      </c>
    </row>
    <row r="2318" spans="2:5" x14ac:dyDescent="0.3">
      <c r="B2318" s="4">
        <v>45534</v>
      </c>
      <c r="C2318" s="5">
        <v>3088.09</v>
      </c>
      <c r="D2318" s="6">
        <f t="shared" si="39"/>
        <v>9.6809975096845609</v>
      </c>
      <c r="E2318" s="6">
        <v>3.5128425102687907E-3</v>
      </c>
    </row>
    <row r="2319" spans="2:5" x14ac:dyDescent="0.3">
      <c r="B2319" s="4">
        <v>40791</v>
      </c>
      <c r="C2319" s="7">
        <v>289.12</v>
      </c>
      <c r="D2319" s="6">
        <f t="shared" si="39"/>
        <v>-0.30010409353893819</v>
      </c>
      <c r="E2319" s="6">
        <v>3.5056054979000759E-3</v>
      </c>
    </row>
    <row r="2320" spans="2:5" x14ac:dyDescent="0.3">
      <c r="B2320" s="4">
        <v>41442</v>
      </c>
      <c r="C2320" s="7">
        <v>413.09</v>
      </c>
      <c r="D2320" s="6">
        <f t="shared" si="39"/>
        <v>22.961136890951277</v>
      </c>
      <c r="E2320" s="6">
        <v>3.4981173326855287E-3</v>
      </c>
    </row>
    <row r="2321" spans="2:5" x14ac:dyDescent="0.3">
      <c r="B2321" s="4">
        <v>37505</v>
      </c>
      <c r="C2321" s="7">
        <v>17.239999999999998</v>
      </c>
      <c r="D2321" s="6">
        <f t="shared" si="39"/>
        <v>-0.99377594859020191</v>
      </c>
      <c r="E2321" s="6">
        <v>3.4924330616995765E-3</v>
      </c>
    </row>
    <row r="2322" spans="2:5" x14ac:dyDescent="0.3">
      <c r="B2322" s="4">
        <v>45352</v>
      </c>
      <c r="C2322" s="5">
        <v>2769.9</v>
      </c>
      <c r="D2322" s="6">
        <f t="shared" si="39"/>
        <v>2.4247249565721891E-3</v>
      </c>
      <c r="E2322" s="6">
        <v>3.4924246266655576E-3</v>
      </c>
    </row>
    <row r="2323" spans="2:5" x14ac:dyDescent="0.3">
      <c r="B2323" s="4">
        <v>45371</v>
      </c>
      <c r="C2323" s="5">
        <v>2763.2</v>
      </c>
      <c r="D2323" s="6">
        <f t="shared" si="39"/>
        <v>118.77459904638056</v>
      </c>
      <c r="E2323" s="6">
        <v>3.4827008908304698E-3</v>
      </c>
    </row>
    <row r="2324" spans="2:5" x14ac:dyDescent="0.3">
      <c r="B2324" s="4">
        <v>37904</v>
      </c>
      <c r="C2324" s="7">
        <v>23.07</v>
      </c>
      <c r="D2324" s="6">
        <f t="shared" si="39"/>
        <v>-0.98082453661374791</v>
      </c>
      <c r="E2324" s="6">
        <v>3.479773814702125E-3</v>
      </c>
    </row>
    <row r="2325" spans="2:5" x14ac:dyDescent="0.3">
      <c r="B2325" s="4">
        <v>43262</v>
      </c>
      <c r="C2325" s="5">
        <v>1203.0999999999999</v>
      </c>
      <c r="D2325" s="6">
        <f t="shared" si="39"/>
        <v>-0.57954736076940283</v>
      </c>
      <c r="E2325" s="6">
        <v>3.4781013069986114E-3</v>
      </c>
    </row>
    <row r="2326" spans="2:5" x14ac:dyDescent="0.3">
      <c r="B2326" s="4">
        <v>45602</v>
      </c>
      <c r="C2326" s="5">
        <v>2861.44</v>
      </c>
      <c r="D2326" s="6">
        <f t="shared" si="39"/>
        <v>122.44434857635895</v>
      </c>
      <c r="E2326" s="6">
        <v>3.4647701608944261E-3</v>
      </c>
    </row>
    <row r="2327" spans="2:5" x14ac:dyDescent="0.3">
      <c r="B2327" s="4">
        <v>37873</v>
      </c>
      <c r="C2327" s="7">
        <v>23.18</v>
      </c>
      <c r="D2327" s="6">
        <f t="shared" si="39"/>
        <v>-0.70373210633946826</v>
      </c>
      <c r="E2327" s="6">
        <v>3.463203463203389E-3</v>
      </c>
    </row>
    <row r="2328" spans="2:5" x14ac:dyDescent="0.3">
      <c r="B2328" s="4">
        <v>39827</v>
      </c>
      <c r="C2328" s="7">
        <v>78.239999999999995</v>
      </c>
      <c r="D2328" s="6">
        <f t="shared" si="39"/>
        <v>-0.91434108102781941</v>
      </c>
      <c r="E2328" s="6">
        <v>3.4628703347440812E-3</v>
      </c>
    </row>
    <row r="2329" spans="2:5" x14ac:dyDescent="0.3">
      <c r="B2329" s="4">
        <v>42543</v>
      </c>
      <c r="C2329" s="7">
        <v>913.39</v>
      </c>
      <c r="D2329" s="6">
        <f t="shared" si="39"/>
        <v>3.1919776033778513</v>
      </c>
      <c r="E2329" s="6">
        <v>3.4606257690279235E-3</v>
      </c>
    </row>
    <row r="2330" spans="2:5" x14ac:dyDescent="0.3">
      <c r="B2330" s="4">
        <v>40584</v>
      </c>
      <c r="C2330" s="7">
        <v>217.89</v>
      </c>
      <c r="D2330" s="6">
        <f t="shared" si="39"/>
        <v>3.9940407976163188</v>
      </c>
      <c r="E2330" s="6">
        <v>3.4539928156949434E-3</v>
      </c>
    </row>
    <row r="2331" spans="2:5" x14ac:dyDescent="0.3">
      <c r="B2331" s="4">
        <v>38693</v>
      </c>
      <c r="C2331" s="7">
        <v>43.63</v>
      </c>
      <c r="D2331" s="6">
        <f t="shared" si="39"/>
        <v>-0.91136617572371759</v>
      </c>
      <c r="E2331" s="6">
        <v>3.4498620055199102E-3</v>
      </c>
    </row>
    <row r="2332" spans="2:5" x14ac:dyDescent="0.3">
      <c r="B2332" s="4">
        <v>41806</v>
      </c>
      <c r="C2332" s="7">
        <v>492.25</v>
      </c>
      <c r="D2332" s="6">
        <f t="shared" si="39"/>
        <v>-0.38772591017077751</v>
      </c>
      <c r="E2332" s="6">
        <v>3.445042400521848E-3</v>
      </c>
    </row>
    <row r="2333" spans="2:5" x14ac:dyDescent="0.3">
      <c r="B2333" s="4">
        <v>42229</v>
      </c>
      <c r="C2333" s="7">
        <v>803.97</v>
      </c>
      <c r="D2333" s="6">
        <f t="shared" si="39"/>
        <v>0.11345474690118423</v>
      </c>
      <c r="E2333" s="6">
        <v>3.4447897554948028E-3</v>
      </c>
    </row>
    <row r="2334" spans="2:5" x14ac:dyDescent="0.3">
      <c r="B2334" s="4">
        <v>42156</v>
      </c>
      <c r="C2334" s="7">
        <v>722.05</v>
      </c>
      <c r="D2334" s="6">
        <f t="shared" si="39"/>
        <v>-0.4018902934013685</v>
      </c>
      <c r="E2334" s="6">
        <v>3.4325578809860104E-3</v>
      </c>
    </row>
    <row r="2335" spans="2:5" x14ac:dyDescent="0.3">
      <c r="B2335" s="4">
        <v>43263</v>
      </c>
      <c r="C2335" s="5">
        <v>1207.22</v>
      </c>
      <c r="D2335" s="6">
        <f t="shared" si="39"/>
        <v>1.0902432689810408</v>
      </c>
      <c r="E2335" s="6">
        <v>3.4244867425817626E-3</v>
      </c>
    </row>
    <row r="2336" spans="2:5" x14ac:dyDescent="0.3">
      <c r="B2336" s="4">
        <v>41913</v>
      </c>
      <c r="C2336" s="7">
        <v>577.54999999999995</v>
      </c>
      <c r="D2336" s="6">
        <f t="shared" si="39"/>
        <v>0.51444829032934747</v>
      </c>
      <c r="E2336" s="6">
        <v>3.4226345599220149E-3</v>
      </c>
    </row>
    <row r="2337" spans="2:5" x14ac:dyDescent="0.3">
      <c r="B2337" s="4">
        <v>41519</v>
      </c>
      <c r="C2337" s="7">
        <v>381.36</v>
      </c>
      <c r="D2337" s="6">
        <f t="shared" si="39"/>
        <v>15.221182475542323</v>
      </c>
      <c r="E2337" s="6">
        <v>3.4205125506499272E-3</v>
      </c>
    </row>
    <row r="2338" spans="2:5" x14ac:dyDescent="0.3">
      <c r="B2338" s="4">
        <v>37932</v>
      </c>
      <c r="C2338" s="7">
        <v>23.51</v>
      </c>
      <c r="D2338" s="6">
        <f t="shared" si="39"/>
        <v>-0.9863394169702675</v>
      </c>
      <c r="E2338" s="6">
        <v>3.4144259496372963E-3</v>
      </c>
    </row>
    <row r="2339" spans="2:5" x14ac:dyDescent="0.3">
      <c r="B2339" s="4">
        <v>43825</v>
      </c>
      <c r="C2339" s="5">
        <v>1721.01</v>
      </c>
      <c r="D2339" s="6">
        <f t="shared" si="39"/>
        <v>1.2830516568942185</v>
      </c>
      <c r="E2339" s="6">
        <v>3.410760512138756E-3</v>
      </c>
    </row>
    <row r="2340" spans="2:5" x14ac:dyDescent="0.3">
      <c r="B2340" s="4">
        <v>42100</v>
      </c>
      <c r="C2340" s="7">
        <v>753.82</v>
      </c>
      <c r="D2340" s="6">
        <f t="shared" si="39"/>
        <v>2.3146601002550353</v>
      </c>
      <c r="E2340" s="6">
        <v>3.4076085509677865E-3</v>
      </c>
    </row>
    <row r="2341" spans="2:5" x14ac:dyDescent="0.3">
      <c r="B2341" s="4">
        <v>40395</v>
      </c>
      <c r="C2341" s="7">
        <v>227.42</v>
      </c>
      <c r="D2341" s="6">
        <f t="shared" si="39"/>
        <v>1.2510573883620381E-2</v>
      </c>
      <c r="E2341" s="6">
        <v>3.3973086256341577E-3</v>
      </c>
    </row>
    <row r="2342" spans="2:5" x14ac:dyDescent="0.3">
      <c r="B2342" s="4">
        <v>40641</v>
      </c>
      <c r="C2342" s="7">
        <v>224.61</v>
      </c>
      <c r="D2342" s="6">
        <f t="shared" si="39"/>
        <v>-0.90371491280714689</v>
      </c>
      <c r="E2342" s="6">
        <v>3.3951306678580268E-3</v>
      </c>
    </row>
    <row r="2343" spans="2:5" x14ac:dyDescent="0.3">
      <c r="B2343" s="4">
        <v>45939</v>
      </c>
      <c r="C2343" s="5">
        <v>2332.7600000000002</v>
      </c>
      <c r="D2343" s="6">
        <f t="shared" si="39"/>
        <v>22.153945409429284</v>
      </c>
      <c r="E2343" s="6">
        <v>3.3937381444985432E-3</v>
      </c>
    </row>
    <row r="2344" spans="2:5" x14ac:dyDescent="0.3">
      <c r="B2344" s="4">
        <v>39721</v>
      </c>
      <c r="C2344" s="7">
        <v>100.75</v>
      </c>
      <c r="D2344" s="6">
        <f t="shared" si="39"/>
        <v>-0.82359223980949714</v>
      </c>
      <c r="E2344" s="6">
        <v>3.3861169206254697E-3</v>
      </c>
    </row>
    <row r="2345" spans="2:5" x14ac:dyDescent="0.3">
      <c r="B2345" s="4">
        <v>41885</v>
      </c>
      <c r="C2345" s="7">
        <v>571.12</v>
      </c>
      <c r="D2345" s="6">
        <f t="shared" si="39"/>
        <v>11.791041433370662</v>
      </c>
      <c r="E2345" s="6">
        <v>3.3731553056921275E-3</v>
      </c>
    </row>
    <row r="2346" spans="2:5" x14ac:dyDescent="0.3">
      <c r="B2346" s="4">
        <v>38700</v>
      </c>
      <c r="C2346" s="7">
        <v>44.65</v>
      </c>
      <c r="D2346" s="6">
        <f t="shared" si="39"/>
        <v>-0.98493447424183123</v>
      </c>
      <c r="E2346" s="6">
        <v>3.3707865168539006E-3</v>
      </c>
    </row>
    <row r="2347" spans="2:5" x14ac:dyDescent="0.3">
      <c r="B2347" s="4">
        <v>44876</v>
      </c>
      <c r="C2347" s="5">
        <v>2963.72</v>
      </c>
      <c r="D2347" s="6">
        <f t="shared" si="39"/>
        <v>3.1436735006386163E-2</v>
      </c>
      <c r="E2347" s="6">
        <v>3.3685764294443432E-3</v>
      </c>
    </row>
    <row r="2348" spans="2:5" x14ac:dyDescent="0.3">
      <c r="B2348" s="4">
        <v>45453</v>
      </c>
      <c r="C2348" s="5">
        <v>2873.39</v>
      </c>
      <c r="D2348" s="6">
        <f t="shared" si="39"/>
        <v>0.28134476115729007</v>
      </c>
      <c r="E2348" s="6">
        <v>3.3662156263639885E-3</v>
      </c>
    </row>
    <row r="2349" spans="2:5" x14ac:dyDescent="0.3">
      <c r="B2349" s="4">
        <v>45810</v>
      </c>
      <c r="C2349" s="5">
        <v>2242.48</v>
      </c>
      <c r="D2349" s="6">
        <f t="shared" si="39"/>
        <v>40.712797619047613</v>
      </c>
      <c r="E2349" s="6">
        <v>3.3647134624333239E-3</v>
      </c>
    </row>
    <row r="2350" spans="2:5" x14ac:dyDescent="0.3">
      <c r="B2350" s="4">
        <v>38772</v>
      </c>
      <c r="C2350" s="7">
        <v>53.76</v>
      </c>
      <c r="D2350" s="6">
        <f t="shared" si="39"/>
        <v>-0.97607189114846904</v>
      </c>
      <c r="E2350" s="6">
        <v>3.3594624860022342E-3</v>
      </c>
    </row>
    <row r="2351" spans="2:5" x14ac:dyDescent="0.3">
      <c r="B2351" s="4">
        <v>45695</v>
      </c>
      <c r="C2351" s="5">
        <v>2246.73</v>
      </c>
      <c r="D2351" s="6">
        <f t="shared" si="39"/>
        <v>8.2736616172039454</v>
      </c>
      <c r="E2351" s="6">
        <v>3.3583272672058368E-3</v>
      </c>
    </row>
    <row r="2352" spans="2:5" x14ac:dyDescent="0.3">
      <c r="B2352" s="4">
        <v>40927</v>
      </c>
      <c r="C2352" s="7">
        <v>242.27</v>
      </c>
      <c r="D2352" s="6">
        <f t="shared" si="39"/>
        <v>-0.14992982456140347</v>
      </c>
      <c r="E2352" s="6">
        <v>3.3545928932328427E-3</v>
      </c>
    </row>
    <row r="2353" spans="2:5" x14ac:dyDescent="0.3">
      <c r="B2353" s="4">
        <v>40983</v>
      </c>
      <c r="C2353" s="7">
        <v>285</v>
      </c>
      <c r="D2353" s="6">
        <f t="shared" si="39"/>
        <v>1.7530079617265968E-2</v>
      </c>
      <c r="E2353" s="6">
        <v>3.3444816053511306E-3</v>
      </c>
    </row>
    <row r="2354" spans="2:5" x14ac:dyDescent="0.3">
      <c r="B2354" s="4">
        <v>40850</v>
      </c>
      <c r="C2354" s="7">
        <v>280.08999999999997</v>
      </c>
      <c r="D2354" s="6">
        <f t="shared" si="39"/>
        <v>-0.50278704821415898</v>
      </c>
      <c r="E2354" s="6">
        <v>3.3314228399482374E-3</v>
      </c>
    </row>
    <row r="2355" spans="2:5" x14ac:dyDescent="0.3">
      <c r="B2355" s="4">
        <v>41865</v>
      </c>
      <c r="C2355" s="7">
        <v>563.32000000000005</v>
      </c>
      <c r="D2355" s="6">
        <f t="shared" si="39"/>
        <v>-0.37067655733309496</v>
      </c>
      <c r="E2355" s="6">
        <v>3.3306616795796677E-3</v>
      </c>
    </row>
    <row r="2356" spans="2:5" x14ac:dyDescent="0.3">
      <c r="B2356" s="4">
        <v>42753</v>
      </c>
      <c r="C2356" s="7">
        <v>895.12</v>
      </c>
      <c r="D2356" s="6">
        <f t="shared" si="39"/>
        <v>10.405708460754331</v>
      </c>
      <c r="E2356" s="6">
        <v>3.3290365969848427E-3</v>
      </c>
    </row>
    <row r="2357" spans="2:5" x14ac:dyDescent="0.3">
      <c r="B2357" s="4">
        <v>39819</v>
      </c>
      <c r="C2357" s="7">
        <v>78.48</v>
      </c>
      <c r="D2357" s="6">
        <f t="shared" si="39"/>
        <v>2.2470004137360364</v>
      </c>
      <c r="E2357" s="6">
        <v>3.323958066990605E-3</v>
      </c>
    </row>
    <row r="2358" spans="2:5" x14ac:dyDescent="0.3">
      <c r="B2358" s="4">
        <v>38184</v>
      </c>
      <c r="C2358" s="7">
        <v>24.17</v>
      </c>
      <c r="D2358" s="6">
        <f t="shared" si="39"/>
        <v>-0.97765843377948669</v>
      </c>
      <c r="E2358" s="6">
        <v>3.3208800332088771E-3</v>
      </c>
    </row>
    <row r="2359" spans="2:5" x14ac:dyDescent="0.3">
      <c r="B2359" s="4">
        <v>42888</v>
      </c>
      <c r="C2359" s="5">
        <v>1081.8399999999999</v>
      </c>
      <c r="D2359" s="6">
        <f t="shared" si="39"/>
        <v>9.1944967960799087</v>
      </c>
      <c r="E2359" s="6">
        <v>3.310859061274019E-3</v>
      </c>
    </row>
    <row r="2360" spans="2:5" x14ac:dyDescent="0.3">
      <c r="B2360" s="4">
        <v>39605</v>
      </c>
      <c r="C2360" s="7">
        <v>106.12</v>
      </c>
      <c r="D2360" s="6">
        <f t="shared" si="39"/>
        <v>-0.96900990561629763</v>
      </c>
      <c r="E2360" s="6">
        <v>3.3090668431503124E-3</v>
      </c>
    </row>
    <row r="2361" spans="2:5" x14ac:dyDescent="0.3">
      <c r="B2361" s="4">
        <v>44791</v>
      </c>
      <c r="C2361" s="5">
        <v>3424.32</v>
      </c>
      <c r="D2361" s="6">
        <f t="shared" si="39"/>
        <v>0.26706998945440413</v>
      </c>
      <c r="E2361" s="6">
        <v>3.3049715209901437E-3</v>
      </c>
    </row>
    <row r="2362" spans="2:5" x14ac:dyDescent="0.3">
      <c r="B2362" s="4">
        <v>44972</v>
      </c>
      <c r="C2362" s="5">
        <v>2702.55</v>
      </c>
      <c r="D2362" s="6">
        <f t="shared" si="39"/>
        <v>58.08504591167469</v>
      </c>
      <c r="E2362" s="6">
        <v>3.2966176257671165E-3</v>
      </c>
    </row>
    <row r="2363" spans="2:5" x14ac:dyDescent="0.3">
      <c r="B2363" s="4">
        <v>38890</v>
      </c>
      <c r="C2363" s="7">
        <v>45.74</v>
      </c>
      <c r="D2363" s="6">
        <f t="shared" si="39"/>
        <v>0.87382220401474808</v>
      </c>
      <c r="E2363" s="6">
        <v>3.2901952182495847E-3</v>
      </c>
    </row>
    <row r="2364" spans="2:5" x14ac:dyDescent="0.3">
      <c r="B2364" s="4">
        <v>38254</v>
      </c>
      <c r="C2364" s="7">
        <v>24.41</v>
      </c>
      <c r="D2364" s="6">
        <f t="shared" si="39"/>
        <v>-0.99028295277220479</v>
      </c>
      <c r="E2364" s="6">
        <v>3.2881216605015148E-3</v>
      </c>
    </row>
    <row r="2365" spans="2:5" x14ac:dyDescent="0.3">
      <c r="B2365" s="4">
        <v>45950</v>
      </c>
      <c r="C2365" s="5">
        <v>2512.08</v>
      </c>
      <c r="D2365" s="6">
        <f t="shared" si="39"/>
        <v>-0.15060980351714795</v>
      </c>
      <c r="E2365" s="6">
        <v>3.2709104633190976E-3</v>
      </c>
    </row>
    <row r="2366" spans="2:5" x14ac:dyDescent="0.3">
      <c r="B2366" s="4">
        <v>44862</v>
      </c>
      <c r="C2366" s="5">
        <v>2957.51</v>
      </c>
      <c r="D2366" s="6">
        <f t="shared" si="39"/>
        <v>49.70306874678554</v>
      </c>
      <c r="E2366" s="6">
        <v>3.2701577749359124E-3</v>
      </c>
    </row>
    <row r="2367" spans="2:5" x14ac:dyDescent="0.3">
      <c r="B2367" s="4">
        <v>39063</v>
      </c>
      <c r="C2367" s="7">
        <v>58.33</v>
      </c>
      <c r="D2367" s="6">
        <f t="shared" si="39"/>
        <v>0.58247422680412364</v>
      </c>
      <c r="E2367" s="6">
        <v>3.2679738562091114E-3</v>
      </c>
    </row>
    <row r="2368" spans="2:5" x14ac:dyDescent="0.3">
      <c r="B2368" s="4">
        <v>38574</v>
      </c>
      <c r="C2368" s="7">
        <v>36.86</v>
      </c>
      <c r="D2368" s="6">
        <f t="shared" si="39"/>
        <v>-0.98728952368472778</v>
      </c>
      <c r="E2368" s="6">
        <v>3.2661948829612801E-3</v>
      </c>
    </row>
    <row r="2369" spans="2:5" x14ac:dyDescent="0.3">
      <c r="B2369" s="4">
        <v>44382</v>
      </c>
      <c r="C2369" s="5">
        <v>2899.97</v>
      </c>
      <c r="D2369" s="6">
        <f t="shared" si="39"/>
        <v>1.5717161505444996</v>
      </c>
      <c r="E2369" s="6">
        <v>3.2623662014709489E-3</v>
      </c>
    </row>
    <row r="2370" spans="2:5" x14ac:dyDescent="0.3">
      <c r="B2370" s="4">
        <v>42656</v>
      </c>
      <c r="C2370" s="5">
        <v>1127.6400000000001</v>
      </c>
      <c r="D2370" s="6">
        <f t="shared" si="39"/>
        <v>20.528064146620846</v>
      </c>
      <c r="E2370" s="6">
        <v>3.2562856990338636E-3</v>
      </c>
    </row>
    <row r="2371" spans="2:5" x14ac:dyDescent="0.3">
      <c r="B2371" s="4">
        <v>38961</v>
      </c>
      <c r="C2371" s="7">
        <v>52.38</v>
      </c>
      <c r="D2371" s="6">
        <f t="shared" si="39"/>
        <v>-0.83656786271450856</v>
      </c>
      <c r="E2371" s="6">
        <v>3.2560812104961063E-3</v>
      </c>
    </row>
    <row r="2372" spans="2:5" x14ac:dyDescent="0.3">
      <c r="B2372" s="4">
        <v>41033</v>
      </c>
      <c r="C2372" s="7">
        <v>320.5</v>
      </c>
      <c r="D2372" s="6">
        <f t="shared" si="39"/>
        <v>-0.86872985382116952</v>
      </c>
      <c r="E2372" s="6">
        <v>3.255493645526891E-3</v>
      </c>
    </row>
    <row r="2373" spans="2:5" x14ac:dyDescent="0.3">
      <c r="B2373" s="4">
        <v>45764</v>
      </c>
      <c r="C2373" s="5">
        <v>2441.5300000000002</v>
      </c>
      <c r="D2373" s="6">
        <f t="shared" si="39"/>
        <v>2.3086200588131671</v>
      </c>
      <c r="E2373" s="6">
        <v>3.2544244969407886E-3</v>
      </c>
    </row>
    <row r="2374" spans="2:5" x14ac:dyDescent="0.3">
      <c r="B2374" s="4">
        <v>42321</v>
      </c>
      <c r="C2374" s="7">
        <v>737.93</v>
      </c>
      <c r="D2374" s="6">
        <f t="shared" si="39"/>
        <v>-9.2314694088415541E-2</v>
      </c>
      <c r="E2374" s="6">
        <v>3.2493134295891271E-3</v>
      </c>
    </row>
    <row r="2375" spans="2:5" x14ac:dyDescent="0.3">
      <c r="B2375" s="4">
        <v>42362</v>
      </c>
      <c r="C2375" s="7">
        <v>812.98</v>
      </c>
      <c r="D2375" s="6">
        <f t="shared" si="39"/>
        <v>-0.58932314950924669</v>
      </c>
      <c r="E2375" s="6">
        <v>3.2455111988646825E-3</v>
      </c>
    </row>
    <row r="2376" spans="2:5" x14ac:dyDescent="0.3">
      <c r="B2376" s="4">
        <v>44118</v>
      </c>
      <c r="C2376" s="5">
        <v>1979.61</v>
      </c>
      <c r="D2376" s="6">
        <f t="shared" ref="D2376:D2439" si="40">((C2376-C2377)/C2377)</f>
        <v>0.13440148532723614</v>
      </c>
      <c r="E2376" s="6">
        <v>3.2434459586155877E-3</v>
      </c>
    </row>
    <row r="2377" spans="2:5" x14ac:dyDescent="0.3">
      <c r="B2377" s="4">
        <v>43945</v>
      </c>
      <c r="C2377" s="5">
        <v>1745.07</v>
      </c>
      <c r="D2377" s="6">
        <f t="shared" si="40"/>
        <v>2.3375420036241813E-2</v>
      </c>
      <c r="E2377" s="6">
        <v>3.2424414894533684E-3</v>
      </c>
    </row>
    <row r="2378" spans="2:5" x14ac:dyDescent="0.3">
      <c r="B2378" s="4">
        <v>43763</v>
      </c>
      <c r="C2378" s="5">
        <v>1705.21</v>
      </c>
      <c r="D2378" s="6">
        <f t="shared" si="40"/>
        <v>21.931818181818183</v>
      </c>
      <c r="E2378" s="6">
        <v>3.2417485438606757E-3</v>
      </c>
    </row>
    <row r="2379" spans="2:5" x14ac:dyDescent="0.3">
      <c r="B2379" s="4">
        <v>39811</v>
      </c>
      <c r="C2379" s="7">
        <v>74.36</v>
      </c>
      <c r="D2379" s="6">
        <f t="shared" si="40"/>
        <v>1.9983870967741937</v>
      </c>
      <c r="E2379" s="6">
        <v>3.2379924446842264E-3</v>
      </c>
    </row>
    <row r="2380" spans="2:5" x14ac:dyDescent="0.3">
      <c r="B2380" s="4">
        <v>38233</v>
      </c>
      <c r="C2380" s="7">
        <v>24.8</v>
      </c>
      <c r="D2380" s="6">
        <f t="shared" si="40"/>
        <v>-0.99279691661559633</v>
      </c>
      <c r="E2380" s="6">
        <v>3.2362459546926314E-3</v>
      </c>
    </row>
    <row r="2381" spans="2:5" x14ac:dyDescent="0.3">
      <c r="B2381" s="4">
        <v>45127</v>
      </c>
      <c r="C2381" s="5">
        <v>3442.97</v>
      </c>
      <c r="D2381" s="6">
        <f t="shared" si="40"/>
        <v>0.25706305451093492</v>
      </c>
      <c r="E2381" s="6">
        <v>3.2285417073390837E-3</v>
      </c>
    </row>
    <row r="2382" spans="2:5" x14ac:dyDescent="0.3">
      <c r="B2382" s="4">
        <v>44711</v>
      </c>
      <c r="C2382" s="5">
        <v>2738.9</v>
      </c>
      <c r="D2382" s="6">
        <f t="shared" si="40"/>
        <v>5.8797568511215488</v>
      </c>
      <c r="E2382" s="6">
        <v>3.2269998424960147E-3</v>
      </c>
    </row>
    <row r="2383" spans="2:5" x14ac:dyDescent="0.3">
      <c r="B2383" s="4">
        <v>41263</v>
      </c>
      <c r="C2383" s="7">
        <v>398.11</v>
      </c>
      <c r="D2383" s="6">
        <f t="shared" si="40"/>
        <v>-0.8723621860432309</v>
      </c>
      <c r="E2383" s="6">
        <v>3.2255625834741062E-3</v>
      </c>
    </row>
    <row r="2384" spans="2:5" x14ac:dyDescent="0.3">
      <c r="B2384" s="4">
        <v>44602</v>
      </c>
      <c r="C2384" s="5">
        <v>3119.06</v>
      </c>
      <c r="D2384" s="6">
        <f t="shared" si="40"/>
        <v>2.8648146312450438</v>
      </c>
      <c r="E2384" s="6">
        <v>3.2196330068669731E-3</v>
      </c>
    </row>
    <row r="2385" spans="2:5" x14ac:dyDescent="0.3">
      <c r="B2385" s="4">
        <v>42447</v>
      </c>
      <c r="C2385" s="7">
        <v>807.04</v>
      </c>
      <c r="D2385" s="6">
        <f t="shared" si="40"/>
        <v>-0.22243739823298755</v>
      </c>
      <c r="E2385" s="6">
        <v>3.2195910249237592E-3</v>
      </c>
    </row>
    <row r="2386" spans="2:5" x14ac:dyDescent="0.3">
      <c r="B2386" s="4">
        <v>43181</v>
      </c>
      <c r="C2386" s="5">
        <v>1037.9100000000001</v>
      </c>
      <c r="D2386" s="6">
        <f t="shared" si="40"/>
        <v>54.414308595835557</v>
      </c>
      <c r="E2386" s="6">
        <v>3.2186974424405603E-3</v>
      </c>
    </row>
    <row r="2387" spans="2:5" x14ac:dyDescent="0.3">
      <c r="B2387" s="4">
        <v>37784</v>
      </c>
      <c r="C2387" s="7">
        <v>18.73</v>
      </c>
      <c r="D2387" s="6">
        <f t="shared" si="40"/>
        <v>-0.99353819297101675</v>
      </c>
      <c r="E2387" s="6">
        <v>3.213711837171865E-3</v>
      </c>
    </row>
    <row r="2388" spans="2:5" x14ac:dyDescent="0.3">
      <c r="B2388" s="4">
        <v>45477</v>
      </c>
      <c r="C2388" s="5">
        <v>2898.57</v>
      </c>
      <c r="D2388" s="6">
        <f t="shared" si="40"/>
        <v>1.9059219826160185</v>
      </c>
      <c r="E2388" s="6">
        <v>3.1945011663563365E-3</v>
      </c>
    </row>
    <row r="2389" spans="2:5" x14ac:dyDescent="0.3">
      <c r="B2389" s="4">
        <v>42825</v>
      </c>
      <c r="C2389" s="7">
        <v>997.47</v>
      </c>
      <c r="D2389" s="6">
        <f t="shared" si="40"/>
        <v>-0.69120965869514739</v>
      </c>
      <c r="E2389" s="6">
        <v>3.1780832939426154E-3</v>
      </c>
    </row>
    <row r="2390" spans="2:5" x14ac:dyDescent="0.3">
      <c r="B2390" s="4">
        <v>45103</v>
      </c>
      <c r="C2390" s="5">
        <v>3230.25</v>
      </c>
      <c r="D2390" s="6">
        <f t="shared" si="40"/>
        <v>168.655987394958</v>
      </c>
      <c r="E2390" s="6">
        <v>3.1676526762006232E-3</v>
      </c>
    </row>
    <row r="2391" spans="2:5" x14ac:dyDescent="0.3">
      <c r="B2391" s="4">
        <v>37778</v>
      </c>
      <c r="C2391" s="7">
        <v>19.04</v>
      </c>
      <c r="D2391" s="6">
        <f t="shared" si="40"/>
        <v>-0.99188523402405449</v>
      </c>
      <c r="E2391" s="6">
        <v>3.1612223393044634E-3</v>
      </c>
    </row>
    <row r="2392" spans="2:5" x14ac:dyDescent="0.3">
      <c r="B2392" s="4">
        <v>45930</v>
      </c>
      <c r="C2392" s="5">
        <v>2346.34</v>
      </c>
      <c r="D2392" s="6">
        <f t="shared" si="40"/>
        <v>14.072525213592858</v>
      </c>
      <c r="E2392" s="6">
        <v>3.1595373992604923E-3</v>
      </c>
    </row>
    <row r="2393" spans="2:5" x14ac:dyDescent="0.3">
      <c r="B2393" s="4">
        <v>40183</v>
      </c>
      <c r="C2393" s="7">
        <v>155.66999999999999</v>
      </c>
      <c r="D2393" s="6">
        <f t="shared" si="40"/>
        <v>-0.77367296200985747</v>
      </c>
      <c r="E2393" s="6">
        <v>3.1576234050778493E-3</v>
      </c>
    </row>
    <row r="2394" spans="2:5" x14ac:dyDescent="0.3">
      <c r="B2394" s="4">
        <v>42004</v>
      </c>
      <c r="C2394" s="7">
        <v>687.81</v>
      </c>
      <c r="D2394" s="6">
        <f t="shared" si="40"/>
        <v>-0.75473460873286147</v>
      </c>
      <c r="E2394" s="6">
        <v>3.1356649068050892E-3</v>
      </c>
    </row>
    <row r="2395" spans="2:5" x14ac:dyDescent="0.3">
      <c r="B2395" s="4">
        <v>45040</v>
      </c>
      <c r="C2395" s="5">
        <v>2804.35</v>
      </c>
      <c r="D2395" s="6">
        <f t="shared" si="40"/>
        <v>-0.10046927575002333</v>
      </c>
      <c r="E2395" s="6">
        <v>3.1227420035627226E-3</v>
      </c>
    </row>
    <row r="2396" spans="2:5" x14ac:dyDescent="0.3">
      <c r="B2396" s="4">
        <v>44615</v>
      </c>
      <c r="C2396" s="5">
        <v>3117.57</v>
      </c>
      <c r="D2396" s="6">
        <f t="shared" si="40"/>
        <v>191.08687615526802</v>
      </c>
      <c r="E2396" s="6">
        <v>3.1146533500221343E-3</v>
      </c>
    </row>
    <row r="2397" spans="2:5" x14ac:dyDescent="0.3">
      <c r="B2397" s="4">
        <v>37664</v>
      </c>
      <c r="C2397" s="7">
        <v>16.23</v>
      </c>
      <c r="D2397" s="6">
        <f t="shared" si="40"/>
        <v>-0.98995413440291158</v>
      </c>
      <c r="E2397" s="6">
        <v>3.0902348578492407E-3</v>
      </c>
    </row>
    <row r="2398" spans="2:5" x14ac:dyDescent="0.3">
      <c r="B2398" s="4">
        <v>44011</v>
      </c>
      <c r="C2398" s="5">
        <v>1615.59</v>
      </c>
      <c r="D2398" s="6">
        <f t="shared" si="40"/>
        <v>5.960449786739046</v>
      </c>
      <c r="E2398" s="6">
        <v>3.0857682134830238E-3</v>
      </c>
    </row>
    <row r="2399" spans="2:5" x14ac:dyDescent="0.3">
      <c r="B2399" s="4">
        <v>40456</v>
      </c>
      <c r="C2399" s="7">
        <v>232.11</v>
      </c>
      <c r="D2399" s="6">
        <f t="shared" si="40"/>
        <v>-0.28374375115719308</v>
      </c>
      <c r="E2399" s="6">
        <v>3.0682800345722037E-3</v>
      </c>
    </row>
    <row r="2400" spans="2:5" x14ac:dyDescent="0.3">
      <c r="B2400" s="4">
        <v>41037</v>
      </c>
      <c r="C2400" s="7">
        <v>324.06</v>
      </c>
      <c r="D2400" s="6">
        <f t="shared" si="40"/>
        <v>-0.86959985835694054</v>
      </c>
      <c r="E2400" s="6">
        <v>3.0643513789581486E-3</v>
      </c>
    </row>
    <row r="2401" spans="2:5" x14ac:dyDescent="0.3">
      <c r="B2401" s="4">
        <v>45897</v>
      </c>
      <c r="C2401" s="5">
        <v>2485.12</v>
      </c>
      <c r="D2401" s="6">
        <f t="shared" si="40"/>
        <v>150.62416107382549</v>
      </c>
      <c r="E2401" s="6">
        <v>3.06353505305675E-3</v>
      </c>
    </row>
    <row r="2402" spans="2:5" x14ac:dyDescent="0.3">
      <c r="B2402" s="4">
        <v>37713</v>
      </c>
      <c r="C2402" s="7">
        <v>16.39</v>
      </c>
      <c r="D2402" s="6">
        <f t="shared" si="40"/>
        <v>-0.84440858173533317</v>
      </c>
      <c r="E2402" s="6">
        <v>3.059975520195882E-3</v>
      </c>
    </row>
    <row r="2403" spans="2:5" x14ac:dyDescent="0.3">
      <c r="B2403" s="4">
        <v>39667</v>
      </c>
      <c r="C2403" s="7">
        <v>105.34</v>
      </c>
      <c r="D2403" s="6">
        <f t="shared" si="40"/>
        <v>3.5661031642826186</v>
      </c>
      <c r="E2403" s="6">
        <v>3.0470386593030602E-3</v>
      </c>
    </row>
    <row r="2404" spans="2:5" x14ac:dyDescent="0.3">
      <c r="B2404" s="4">
        <v>38288</v>
      </c>
      <c r="C2404" s="7">
        <v>23.07</v>
      </c>
      <c r="D2404" s="6">
        <f t="shared" si="40"/>
        <v>-0.99177393474772679</v>
      </c>
      <c r="E2404" s="6">
        <v>3.0434782608695777E-3</v>
      </c>
    </row>
    <row r="2405" spans="2:5" x14ac:dyDescent="0.3">
      <c r="B2405" s="4">
        <v>46001</v>
      </c>
      <c r="C2405" s="5">
        <v>2804.5</v>
      </c>
      <c r="D2405" s="6">
        <f t="shared" si="40"/>
        <v>168.35386473429952</v>
      </c>
      <c r="E2405" s="6">
        <v>3.0400572246065808E-3</v>
      </c>
    </row>
    <row r="2406" spans="2:5" x14ac:dyDescent="0.3">
      <c r="B2406" s="4">
        <v>37455</v>
      </c>
      <c r="C2406" s="7">
        <v>16.559999999999999</v>
      </c>
      <c r="D2406" s="6">
        <f t="shared" si="40"/>
        <v>-0.9901792174212144</v>
      </c>
      <c r="E2406" s="6">
        <v>3.0284675953965567E-3</v>
      </c>
    </row>
    <row r="2407" spans="2:5" x14ac:dyDescent="0.3">
      <c r="B2407" s="4">
        <v>43735</v>
      </c>
      <c r="C2407" s="5">
        <v>1686.22</v>
      </c>
      <c r="D2407" s="6">
        <f t="shared" si="40"/>
        <v>-0.46140922447936633</v>
      </c>
      <c r="E2407" s="6">
        <v>3.0217590444578837E-3</v>
      </c>
    </row>
    <row r="2408" spans="2:5" x14ac:dyDescent="0.3">
      <c r="B2408" s="4">
        <v>45187</v>
      </c>
      <c r="C2408" s="5">
        <v>3130.8</v>
      </c>
      <c r="D2408" s="6">
        <f t="shared" si="40"/>
        <v>187.37545126353791</v>
      </c>
      <c r="E2408" s="6">
        <v>3.0178959306460837E-3</v>
      </c>
    </row>
    <row r="2409" spans="2:5" x14ac:dyDescent="0.3">
      <c r="B2409" s="4">
        <v>37645</v>
      </c>
      <c r="C2409" s="7">
        <v>16.62</v>
      </c>
      <c r="D2409" s="6">
        <f t="shared" si="40"/>
        <v>-0.97891264353232255</v>
      </c>
      <c r="E2409" s="6">
        <v>3.0175015087507973E-3</v>
      </c>
    </row>
    <row r="2410" spans="2:5" x14ac:dyDescent="0.3">
      <c r="B2410" s="4">
        <v>42107</v>
      </c>
      <c r="C2410" s="7">
        <v>788.15</v>
      </c>
      <c r="D2410" s="6">
        <f t="shared" si="40"/>
        <v>46.251199040767389</v>
      </c>
      <c r="E2410" s="6">
        <v>3.0161113797755154E-3</v>
      </c>
    </row>
    <row r="2411" spans="2:5" x14ac:dyDescent="0.3">
      <c r="B2411" s="4">
        <v>37643</v>
      </c>
      <c r="C2411" s="7">
        <v>16.68</v>
      </c>
      <c r="D2411" s="6">
        <f t="shared" si="40"/>
        <v>-0.99452583490863267</v>
      </c>
      <c r="E2411" s="6">
        <v>3.0066145520144748E-3</v>
      </c>
    </row>
    <row r="2412" spans="2:5" x14ac:dyDescent="0.3">
      <c r="B2412" s="4">
        <v>44868</v>
      </c>
      <c r="C2412" s="5">
        <v>3047.04</v>
      </c>
      <c r="D2412" s="6">
        <f t="shared" si="40"/>
        <v>129.21538461538461</v>
      </c>
      <c r="E2412" s="6">
        <v>3.0020540369726295E-3</v>
      </c>
    </row>
    <row r="2413" spans="2:5" x14ac:dyDescent="0.3">
      <c r="B2413" s="4">
        <v>37937</v>
      </c>
      <c r="C2413" s="7">
        <v>23.4</v>
      </c>
      <c r="D2413" s="6">
        <f t="shared" si="40"/>
        <v>-0.93280110275113437</v>
      </c>
      <c r="E2413" s="6">
        <v>3.0004286326618212E-3</v>
      </c>
    </row>
    <row r="2414" spans="2:5" x14ac:dyDescent="0.3">
      <c r="B2414" s="4">
        <v>41081</v>
      </c>
      <c r="C2414" s="7">
        <v>348.22</v>
      </c>
      <c r="D2414" s="6">
        <f t="shared" si="40"/>
        <v>-0.74075535470998577</v>
      </c>
      <c r="E2414" s="6">
        <v>2.9955642606141497E-3</v>
      </c>
    </row>
    <row r="2415" spans="2:5" x14ac:dyDescent="0.3">
      <c r="B2415" s="4">
        <v>43626</v>
      </c>
      <c r="C2415" s="5">
        <v>1343.21</v>
      </c>
      <c r="D2415" s="6">
        <f t="shared" si="40"/>
        <v>17.205611276768774</v>
      </c>
      <c r="E2415" s="6">
        <v>2.9943249701314149E-3</v>
      </c>
    </row>
    <row r="2416" spans="2:5" x14ac:dyDescent="0.3">
      <c r="B2416" s="4">
        <v>39286</v>
      </c>
      <c r="C2416" s="7">
        <v>73.78</v>
      </c>
      <c r="D2416" s="6">
        <f t="shared" si="40"/>
        <v>-0.97230033376258174</v>
      </c>
      <c r="E2416" s="6">
        <v>2.9907558455682282E-3</v>
      </c>
    </row>
    <row r="2417" spans="2:5" x14ac:dyDescent="0.3">
      <c r="B2417" s="4">
        <v>44333</v>
      </c>
      <c r="C2417" s="5">
        <v>2663.57</v>
      </c>
      <c r="D2417" s="6">
        <f t="shared" si="40"/>
        <v>-0.117497183751905</v>
      </c>
      <c r="E2417" s="6">
        <v>2.9747671962254687E-3</v>
      </c>
    </row>
    <row r="2418" spans="2:5" x14ac:dyDescent="0.3">
      <c r="B2418" s="4">
        <v>45243</v>
      </c>
      <c r="C2418" s="5">
        <v>3018.2</v>
      </c>
      <c r="D2418" s="6">
        <f t="shared" si="40"/>
        <v>19.315003028875275</v>
      </c>
      <c r="E2418" s="6">
        <v>2.9741629974245468E-3</v>
      </c>
    </row>
    <row r="2419" spans="2:5" x14ac:dyDescent="0.3">
      <c r="B2419" s="4">
        <v>40161</v>
      </c>
      <c r="C2419" s="7">
        <v>148.57</v>
      </c>
      <c r="D2419" s="6">
        <f t="shared" si="40"/>
        <v>0.7598910210850508</v>
      </c>
      <c r="E2419" s="6">
        <v>2.9703638695740076E-3</v>
      </c>
    </row>
    <row r="2420" spans="2:5" x14ac:dyDescent="0.3">
      <c r="B2420" s="4">
        <v>39408</v>
      </c>
      <c r="C2420" s="7">
        <v>84.42</v>
      </c>
      <c r="D2420" s="6">
        <f t="shared" si="40"/>
        <v>-0.64346650899569224</v>
      </c>
      <c r="E2420" s="6">
        <v>2.9701793988356896E-3</v>
      </c>
    </row>
    <row r="2421" spans="2:5" x14ac:dyDescent="0.3">
      <c r="B2421" s="4">
        <v>40904</v>
      </c>
      <c r="C2421" s="7">
        <v>236.78</v>
      </c>
      <c r="D2421" s="6">
        <f t="shared" si="40"/>
        <v>-0.91629755057744711</v>
      </c>
      <c r="E2421" s="6">
        <v>2.965096577431331E-3</v>
      </c>
    </row>
    <row r="2422" spans="2:5" x14ac:dyDescent="0.3">
      <c r="B2422" s="4">
        <v>45390</v>
      </c>
      <c r="C2422" s="5">
        <v>2828.83</v>
      </c>
      <c r="D2422" s="6">
        <f t="shared" si="40"/>
        <v>0.73401046966372008</v>
      </c>
      <c r="E2422" s="6">
        <v>2.964044999592312E-3</v>
      </c>
    </row>
    <row r="2423" spans="2:5" x14ac:dyDescent="0.3">
      <c r="B2423" s="4">
        <v>43796</v>
      </c>
      <c r="C2423" s="5">
        <v>1631.38</v>
      </c>
      <c r="D2423" s="6">
        <f t="shared" si="40"/>
        <v>1.0897445751031181</v>
      </c>
      <c r="E2423" s="6">
        <v>2.957142944970197E-3</v>
      </c>
    </row>
    <row r="2424" spans="2:5" x14ac:dyDescent="0.3">
      <c r="B2424" s="4">
        <v>42209</v>
      </c>
      <c r="C2424" s="7">
        <v>780.66</v>
      </c>
      <c r="D2424" s="6">
        <f t="shared" si="40"/>
        <v>-0.54684452493730851</v>
      </c>
      <c r="E2424" s="6">
        <v>2.9549308803123934E-3</v>
      </c>
    </row>
    <row r="2425" spans="2:5" x14ac:dyDescent="0.3">
      <c r="B2425" s="4">
        <v>44056</v>
      </c>
      <c r="C2425" s="5">
        <v>1722.72</v>
      </c>
      <c r="D2425" s="6">
        <f t="shared" si="40"/>
        <v>0.1010609740508757</v>
      </c>
      <c r="E2425" s="6">
        <v>2.9517072744738079E-3</v>
      </c>
    </row>
    <row r="2426" spans="2:5" x14ac:dyDescent="0.3">
      <c r="B2426" s="4">
        <v>43987</v>
      </c>
      <c r="C2426" s="5">
        <v>1564.6</v>
      </c>
      <c r="D2426" s="6">
        <f t="shared" si="40"/>
        <v>37.226239921817736</v>
      </c>
      <c r="E2426" s="6">
        <v>2.942288831481797E-3</v>
      </c>
    </row>
    <row r="2427" spans="2:5" x14ac:dyDescent="0.3">
      <c r="B2427" s="4">
        <v>38629</v>
      </c>
      <c r="C2427" s="7">
        <v>40.93</v>
      </c>
      <c r="D2427" s="6">
        <f t="shared" si="40"/>
        <v>-0.9872844365604293</v>
      </c>
      <c r="E2427" s="6">
        <v>2.9404557706443871E-3</v>
      </c>
    </row>
    <row r="2428" spans="2:5" x14ac:dyDescent="0.3">
      <c r="B2428" s="4">
        <v>44448</v>
      </c>
      <c r="C2428" s="5">
        <v>3218.89</v>
      </c>
      <c r="D2428" s="6">
        <f t="shared" si="40"/>
        <v>103.17119741100323</v>
      </c>
      <c r="E2428" s="6">
        <v>2.9225645036157089E-3</v>
      </c>
    </row>
    <row r="2429" spans="2:5" x14ac:dyDescent="0.3">
      <c r="B2429" s="4">
        <v>38460</v>
      </c>
      <c r="C2429" s="7">
        <v>30.9</v>
      </c>
      <c r="D2429" s="6">
        <f t="shared" si="40"/>
        <v>-0.91099717725675444</v>
      </c>
      <c r="E2429" s="6">
        <v>2.92112950340798E-3</v>
      </c>
    </row>
    <row r="2430" spans="2:5" x14ac:dyDescent="0.3">
      <c r="B2430" s="4">
        <v>41198</v>
      </c>
      <c r="C2430" s="7">
        <v>347.18</v>
      </c>
      <c r="D2430" s="6">
        <f t="shared" si="40"/>
        <v>10.202968699580511</v>
      </c>
      <c r="E2430" s="6">
        <v>2.9176416211687635E-3</v>
      </c>
    </row>
    <row r="2431" spans="2:5" x14ac:dyDescent="0.3">
      <c r="B2431" s="4">
        <v>38464</v>
      </c>
      <c r="C2431" s="7">
        <v>30.99</v>
      </c>
      <c r="D2431" s="6">
        <f t="shared" si="40"/>
        <v>-0.957186079604327</v>
      </c>
      <c r="E2431" s="6">
        <v>2.9126213592232963E-3</v>
      </c>
    </row>
    <row r="2432" spans="2:5" x14ac:dyDescent="0.3">
      <c r="B2432" s="4">
        <v>41977</v>
      </c>
      <c r="C2432" s="7">
        <v>723.83</v>
      </c>
      <c r="D2432" s="6">
        <f t="shared" si="40"/>
        <v>-0.57129488690543173</v>
      </c>
      <c r="E2432" s="6">
        <v>2.9096753633630619E-3</v>
      </c>
    </row>
    <row r="2433" spans="2:5" x14ac:dyDescent="0.3">
      <c r="B2433" s="4">
        <v>43748</v>
      </c>
      <c r="C2433" s="5">
        <v>1688.41</v>
      </c>
      <c r="D2433" s="6">
        <f t="shared" si="40"/>
        <v>5.0296050282122708</v>
      </c>
      <c r="E2433" s="6">
        <v>2.9046283976430932E-3</v>
      </c>
    </row>
    <row r="2434" spans="2:5" x14ac:dyDescent="0.3">
      <c r="B2434" s="4">
        <v>40970</v>
      </c>
      <c r="C2434" s="7">
        <v>280.02</v>
      </c>
      <c r="D2434" s="6">
        <f t="shared" si="40"/>
        <v>3.7316661034133149</v>
      </c>
      <c r="E2434" s="6">
        <v>2.9010422262813018E-3</v>
      </c>
    </row>
    <row r="2435" spans="2:5" x14ac:dyDescent="0.3">
      <c r="B2435" s="4">
        <v>39052</v>
      </c>
      <c r="C2435" s="7">
        <v>59.18</v>
      </c>
      <c r="D2435" s="6">
        <f t="shared" si="40"/>
        <v>-0.98055374828309116</v>
      </c>
      <c r="E2435" s="6">
        <v>2.8808676495509526E-3</v>
      </c>
    </row>
    <row r="2436" spans="2:5" x14ac:dyDescent="0.3">
      <c r="B2436" s="4">
        <v>45075</v>
      </c>
      <c r="C2436" s="5">
        <v>3043.26</v>
      </c>
      <c r="D2436" s="6">
        <f t="shared" si="40"/>
        <v>2.3177724963478186</v>
      </c>
      <c r="E2436" s="6">
        <v>2.876887030281466E-3</v>
      </c>
    </row>
    <row r="2437" spans="2:5" x14ac:dyDescent="0.3">
      <c r="B2437" s="4">
        <v>42534</v>
      </c>
      <c r="C2437" s="7">
        <v>917.26</v>
      </c>
      <c r="D2437" s="6">
        <f t="shared" si="40"/>
        <v>1.007177399943106</v>
      </c>
      <c r="E2437" s="6">
        <v>2.875479702174645E-3</v>
      </c>
    </row>
    <row r="2438" spans="2:5" x14ac:dyDescent="0.3">
      <c r="B2438" s="4">
        <v>41610</v>
      </c>
      <c r="C2438" s="7">
        <v>456.99</v>
      </c>
      <c r="D2438" s="6">
        <f t="shared" si="40"/>
        <v>3.7458285091602532E-2</v>
      </c>
      <c r="E2438" s="6">
        <v>2.874824438202252E-3</v>
      </c>
    </row>
    <row r="2439" spans="2:5" x14ac:dyDescent="0.3">
      <c r="B2439" s="4">
        <v>41361</v>
      </c>
      <c r="C2439" s="7">
        <v>440.49</v>
      </c>
      <c r="D2439" s="6">
        <f t="shared" si="40"/>
        <v>16.993872549019606</v>
      </c>
      <c r="E2439" s="6">
        <v>2.868656512533276E-3</v>
      </c>
    </row>
    <row r="2440" spans="2:5" x14ac:dyDescent="0.3">
      <c r="B2440" s="4">
        <v>38257</v>
      </c>
      <c r="C2440" s="7">
        <v>24.48</v>
      </c>
      <c r="D2440" s="6">
        <f t="shared" ref="D2440:D2503" si="41">((C2440-C2441)/C2441)</f>
        <v>-0.98918135374498395</v>
      </c>
      <c r="E2440" s="6">
        <v>2.8676771814830104E-3</v>
      </c>
    </row>
    <row r="2441" spans="2:5" x14ac:dyDescent="0.3">
      <c r="B2441" s="4">
        <v>45736</v>
      </c>
      <c r="C2441" s="5">
        <v>2262.7600000000002</v>
      </c>
      <c r="D2441" s="6">
        <f t="shared" si="41"/>
        <v>5.6006242525013867</v>
      </c>
      <c r="E2441" s="6">
        <v>2.8497604517071047E-3</v>
      </c>
    </row>
    <row r="2442" spans="2:5" x14ac:dyDescent="0.3">
      <c r="B2442" s="4">
        <v>41071</v>
      </c>
      <c r="C2442" s="7">
        <v>342.81</v>
      </c>
      <c r="D2442" s="6">
        <f t="shared" si="41"/>
        <v>-0.88233941411679917</v>
      </c>
      <c r="E2442" s="6">
        <v>2.8375848350106112E-3</v>
      </c>
    </row>
    <row r="2443" spans="2:5" x14ac:dyDescent="0.3">
      <c r="B2443" s="4">
        <v>44644</v>
      </c>
      <c r="C2443" s="5">
        <v>2913.55</v>
      </c>
      <c r="D2443" s="6">
        <f t="shared" si="41"/>
        <v>0.24998391158666092</v>
      </c>
      <c r="E2443" s="6">
        <v>2.8327344320074957E-3</v>
      </c>
    </row>
    <row r="2444" spans="2:5" x14ac:dyDescent="0.3">
      <c r="B2444" s="4">
        <v>45751</v>
      </c>
      <c r="C2444" s="5">
        <v>2330.87</v>
      </c>
      <c r="D2444" s="6">
        <f t="shared" si="41"/>
        <v>6.1442101391528228</v>
      </c>
      <c r="E2444" s="6">
        <v>2.8309720387730995E-3</v>
      </c>
    </row>
    <row r="2445" spans="2:5" x14ac:dyDescent="0.3">
      <c r="B2445" s="4">
        <v>41155</v>
      </c>
      <c r="C2445" s="7">
        <v>326.26</v>
      </c>
      <c r="D2445" s="6">
        <f t="shared" si="41"/>
        <v>12.071314102564102</v>
      </c>
      <c r="E2445" s="6">
        <v>2.8278109055142804E-3</v>
      </c>
    </row>
    <row r="2446" spans="2:5" x14ac:dyDescent="0.3">
      <c r="B2446" s="4">
        <v>38201</v>
      </c>
      <c r="C2446" s="7">
        <v>24.96</v>
      </c>
      <c r="D2446" s="6">
        <f t="shared" si="41"/>
        <v>-0.82954312640852279</v>
      </c>
      <c r="E2446" s="6">
        <v>2.8123744475693161E-3</v>
      </c>
    </row>
    <row r="2447" spans="2:5" x14ac:dyDescent="0.3">
      <c r="B2447" s="4">
        <v>40123</v>
      </c>
      <c r="C2447" s="7">
        <v>146.43</v>
      </c>
      <c r="D2447" s="6">
        <f t="shared" si="41"/>
        <v>-0.94784290538133853</v>
      </c>
      <c r="E2447" s="6">
        <v>2.8078345432132347E-3</v>
      </c>
    </row>
    <row r="2448" spans="2:5" x14ac:dyDescent="0.3">
      <c r="B2448" s="4">
        <v>44354</v>
      </c>
      <c r="C2448" s="5">
        <v>2807.48</v>
      </c>
      <c r="D2448" s="6">
        <f t="shared" si="41"/>
        <v>0.21642301926359847</v>
      </c>
      <c r="E2448" s="6">
        <v>2.8039419494718617E-3</v>
      </c>
    </row>
    <row r="2449" spans="2:5" x14ac:dyDescent="0.3">
      <c r="B2449" s="4">
        <v>44274</v>
      </c>
      <c r="C2449" s="5">
        <v>2307.98</v>
      </c>
      <c r="D2449" s="6">
        <f t="shared" si="41"/>
        <v>3.8230622949449358</v>
      </c>
      <c r="E2449" s="6">
        <v>2.7850554186923944E-3</v>
      </c>
    </row>
    <row r="2450" spans="2:5" x14ac:dyDescent="0.3">
      <c r="B2450" s="4">
        <v>41779</v>
      </c>
      <c r="C2450" s="7">
        <v>478.53</v>
      </c>
      <c r="D2450" s="6">
        <f t="shared" si="41"/>
        <v>-0.84105742499277591</v>
      </c>
      <c r="E2450" s="6">
        <v>2.7660778273715832E-3</v>
      </c>
    </row>
    <row r="2451" spans="2:5" x14ac:dyDescent="0.3">
      <c r="B2451" s="4">
        <v>44887</v>
      </c>
      <c r="C2451" s="5">
        <v>3010.71</v>
      </c>
      <c r="D2451" s="6">
        <f t="shared" si="41"/>
        <v>1.1985453589502046</v>
      </c>
      <c r="E2451" s="6">
        <v>2.7611060411268122E-3</v>
      </c>
    </row>
    <row r="2452" spans="2:5" x14ac:dyDescent="0.3">
      <c r="B2452" s="4">
        <v>43501</v>
      </c>
      <c r="C2452" s="5">
        <v>1369.41</v>
      </c>
      <c r="D2452" s="6">
        <f t="shared" si="41"/>
        <v>0.95214472052345733</v>
      </c>
      <c r="E2452" s="6">
        <v>2.7606104097712292E-3</v>
      </c>
    </row>
    <row r="2453" spans="2:5" x14ac:dyDescent="0.3">
      <c r="B2453" s="4">
        <v>42187</v>
      </c>
      <c r="C2453" s="7">
        <v>701.49</v>
      </c>
      <c r="D2453" s="6">
        <f t="shared" si="41"/>
        <v>-0.75014603219831877</v>
      </c>
      <c r="E2453" s="6">
        <v>2.7588770084053743E-3</v>
      </c>
    </row>
    <row r="2454" spans="2:5" x14ac:dyDescent="0.3">
      <c r="B2454" s="4">
        <v>46013</v>
      </c>
      <c r="C2454" s="5">
        <v>2807.6</v>
      </c>
      <c r="D2454" s="6">
        <f t="shared" si="41"/>
        <v>50.271000730460187</v>
      </c>
      <c r="E2454" s="6">
        <v>2.7500982177934277E-3</v>
      </c>
    </row>
    <row r="2455" spans="2:5" x14ac:dyDescent="0.3">
      <c r="B2455" s="4">
        <v>38987</v>
      </c>
      <c r="C2455" s="7">
        <v>54.76</v>
      </c>
      <c r="D2455" s="6">
        <f t="shared" si="41"/>
        <v>-0.93063876679881952</v>
      </c>
      <c r="E2455" s="6">
        <v>2.7467496795458447E-3</v>
      </c>
    </row>
    <row r="2456" spans="2:5" x14ac:dyDescent="0.3">
      <c r="B2456" s="4">
        <v>42300</v>
      </c>
      <c r="C2456" s="7">
        <v>789.49</v>
      </c>
      <c r="D2456" s="6">
        <f t="shared" si="41"/>
        <v>-0.75459727955438416</v>
      </c>
      <c r="E2456" s="6">
        <v>2.7434493795485604E-3</v>
      </c>
    </row>
    <row r="2457" spans="2:5" x14ac:dyDescent="0.3">
      <c r="B2457" s="4">
        <v>45168</v>
      </c>
      <c r="C2457" s="5">
        <v>3217.12</v>
      </c>
      <c r="D2457" s="6">
        <f t="shared" si="41"/>
        <v>0.19924998415721992</v>
      </c>
      <c r="E2457" s="6">
        <v>2.7397431062265924E-3</v>
      </c>
    </row>
    <row r="2458" spans="2:5" x14ac:dyDescent="0.3">
      <c r="B2458" s="4">
        <v>44965</v>
      </c>
      <c r="C2458" s="5">
        <v>2682.61</v>
      </c>
      <c r="D2458" s="6">
        <f t="shared" si="41"/>
        <v>-0.16793784215505345</v>
      </c>
      <c r="E2458" s="6">
        <v>2.7361519685716925E-3</v>
      </c>
    </row>
    <row r="2459" spans="2:5" x14ac:dyDescent="0.3">
      <c r="B2459" s="4">
        <v>45196</v>
      </c>
      <c r="C2459" s="5">
        <v>3224.05</v>
      </c>
      <c r="D2459" s="6">
        <f t="shared" si="41"/>
        <v>78.704573547589618</v>
      </c>
      <c r="E2459" s="6">
        <v>2.7338380099898494E-3</v>
      </c>
    </row>
    <row r="2460" spans="2:5" x14ac:dyDescent="0.3">
      <c r="B2460" s="4">
        <v>38646</v>
      </c>
      <c r="C2460" s="7">
        <v>40.450000000000003</v>
      </c>
      <c r="D2460" s="6">
        <f t="shared" si="41"/>
        <v>-0.85142878131198119</v>
      </c>
      <c r="E2460" s="6">
        <v>2.7268220128904169E-3</v>
      </c>
    </row>
    <row r="2461" spans="2:5" x14ac:dyDescent="0.3">
      <c r="B2461" s="4">
        <v>40990</v>
      </c>
      <c r="C2461" s="7">
        <v>272.26</v>
      </c>
      <c r="D2461" s="6">
        <f t="shared" si="41"/>
        <v>-0.73713734009172094</v>
      </c>
      <c r="E2461" s="6">
        <v>2.725397760754306E-3</v>
      </c>
    </row>
    <row r="2462" spans="2:5" x14ac:dyDescent="0.3">
      <c r="B2462" s="4">
        <v>43157</v>
      </c>
      <c r="C2462" s="5">
        <v>1035.75</v>
      </c>
      <c r="D2462" s="6">
        <f t="shared" si="41"/>
        <v>-0.68037833083890087</v>
      </c>
      <c r="E2462" s="6">
        <v>2.7203903421301771E-3</v>
      </c>
    </row>
    <row r="2463" spans="2:5" x14ac:dyDescent="0.3">
      <c r="B2463" s="4">
        <v>45097</v>
      </c>
      <c r="C2463" s="5">
        <v>3240.55</v>
      </c>
      <c r="D2463" s="6">
        <f t="shared" si="41"/>
        <v>0.1222295331763403</v>
      </c>
      <c r="E2463" s="6">
        <v>2.719880189122943E-3</v>
      </c>
    </row>
    <row r="2464" spans="2:5" x14ac:dyDescent="0.3">
      <c r="B2464" s="4">
        <v>44391</v>
      </c>
      <c r="C2464" s="5">
        <v>2887.6</v>
      </c>
      <c r="D2464" s="6">
        <f t="shared" si="41"/>
        <v>-5.7371831491667621E-2</v>
      </c>
      <c r="E2464" s="6">
        <v>2.7050395685826369E-3</v>
      </c>
    </row>
    <row r="2465" spans="2:5" x14ac:dyDescent="0.3">
      <c r="B2465" s="4">
        <v>45510</v>
      </c>
      <c r="C2465" s="5">
        <v>3063.35</v>
      </c>
      <c r="D2465" s="6">
        <f t="shared" si="41"/>
        <v>8.8966542010891977E-2</v>
      </c>
      <c r="E2465" s="6">
        <v>2.6971205619436881E-3</v>
      </c>
    </row>
    <row r="2466" spans="2:5" x14ac:dyDescent="0.3">
      <c r="B2466" s="4">
        <v>45412</v>
      </c>
      <c r="C2466" s="5">
        <v>2813.08</v>
      </c>
      <c r="D2466" s="6">
        <f t="shared" si="41"/>
        <v>1.1250679881549526</v>
      </c>
      <c r="E2466" s="6">
        <v>2.6839657108230987E-3</v>
      </c>
    </row>
    <row r="2467" spans="2:5" x14ac:dyDescent="0.3">
      <c r="B2467" s="4">
        <v>43522</v>
      </c>
      <c r="C2467" s="5">
        <v>1323.76</v>
      </c>
      <c r="D2467" s="6">
        <f t="shared" si="41"/>
        <v>17.620903080602055</v>
      </c>
      <c r="E2467" s="6">
        <v>2.6813712866037205E-3</v>
      </c>
    </row>
    <row r="2468" spans="2:5" x14ac:dyDescent="0.3">
      <c r="B2468" s="4">
        <v>39254</v>
      </c>
      <c r="C2468" s="7">
        <v>71.09</v>
      </c>
      <c r="D2468" s="6">
        <f t="shared" si="41"/>
        <v>-0.85042186546594556</v>
      </c>
      <c r="E2468" s="6">
        <v>2.6798307475317026E-3</v>
      </c>
    </row>
    <row r="2469" spans="2:5" x14ac:dyDescent="0.3">
      <c r="B2469" s="4">
        <v>41723</v>
      </c>
      <c r="C2469" s="7">
        <v>475.27</v>
      </c>
      <c r="D2469" s="6">
        <f t="shared" si="41"/>
        <v>-0.84954525165485339</v>
      </c>
      <c r="E2469" s="6">
        <v>2.6793248945147295E-3</v>
      </c>
    </row>
    <row r="2470" spans="2:5" x14ac:dyDescent="0.3">
      <c r="B2470" s="4">
        <v>44552</v>
      </c>
      <c r="C2470" s="5">
        <v>3158.89</v>
      </c>
      <c r="D2470" s="6">
        <f t="shared" si="41"/>
        <v>0.31068291488770211</v>
      </c>
      <c r="E2470" s="6">
        <v>2.6757997244846263E-3</v>
      </c>
    </row>
    <row r="2471" spans="2:5" x14ac:dyDescent="0.3">
      <c r="B2471" s="4">
        <v>44309</v>
      </c>
      <c r="C2471" s="5">
        <v>2410.11</v>
      </c>
      <c r="D2471" s="6">
        <f t="shared" si="41"/>
        <v>127.06110520722635</v>
      </c>
      <c r="E2471" s="6">
        <v>2.6667221367060404E-3</v>
      </c>
    </row>
    <row r="2472" spans="2:5" x14ac:dyDescent="0.3">
      <c r="B2472" s="4">
        <v>37775</v>
      </c>
      <c r="C2472" s="7">
        <v>18.82</v>
      </c>
      <c r="D2472" s="6">
        <f t="shared" si="41"/>
        <v>-0.89592434883592331</v>
      </c>
      <c r="E2472" s="6">
        <v>2.6638252530634368E-3</v>
      </c>
    </row>
    <row r="2473" spans="2:5" x14ac:dyDescent="0.3">
      <c r="B2473" s="4">
        <v>40301</v>
      </c>
      <c r="C2473" s="7">
        <v>180.83</v>
      </c>
      <c r="D2473" s="6">
        <f t="shared" si="41"/>
        <v>-0.57659977990587463</v>
      </c>
      <c r="E2473" s="6">
        <v>2.6614915442196739E-3</v>
      </c>
    </row>
    <row r="2474" spans="2:5" x14ac:dyDescent="0.3">
      <c r="B2474" s="4">
        <v>41695</v>
      </c>
      <c r="C2474" s="7">
        <v>427.09</v>
      </c>
      <c r="D2474" s="6">
        <f t="shared" si="41"/>
        <v>-0.67821677742115338</v>
      </c>
      <c r="E2474" s="6">
        <v>2.6528312517607182E-3</v>
      </c>
    </row>
    <row r="2475" spans="2:5" x14ac:dyDescent="0.3">
      <c r="B2475" s="4">
        <v>43523</v>
      </c>
      <c r="C2475" s="5">
        <v>1327.26</v>
      </c>
      <c r="D2475" s="6">
        <f t="shared" si="41"/>
        <v>0.44979682789356401</v>
      </c>
      <c r="E2475" s="6">
        <v>2.6439838037106422E-3</v>
      </c>
    </row>
    <row r="2476" spans="2:5" x14ac:dyDescent="0.3">
      <c r="B2476" s="4">
        <v>42558</v>
      </c>
      <c r="C2476" s="7">
        <v>915.48</v>
      </c>
      <c r="D2476" s="6">
        <f t="shared" si="41"/>
        <v>-0.6757101412312303</v>
      </c>
      <c r="E2476" s="6">
        <v>2.6394471398687594E-3</v>
      </c>
    </row>
    <row r="2477" spans="2:5" x14ac:dyDescent="0.3">
      <c r="B2477" s="4">
        <v>44343</v>
      </c>
      <c r="C2477" s="5">
        <v>2823.03</v>
      </c>
      <c r="D2477" s="6">
        <f t="shared" si="41"/>
        <v>1.6789049155437468</v>
      </c>
      <c r="E2477" s="6">
        <v>2.6353081570246136E-3</v>
      </c>
    </row>
    <row r="2478" spans="2:5" x14ac:dyDescent="0.3">
      <c r="B2478" s="4">
        <v>43139</v>
      </c>
      <c r="C2478" s="5">
        <v>1053.8</v>
      </c>
      <c r="D2478" s="6">
        <f t="shared" si="41"/>
        <v>11.516926000712672</v>
      </c>
      <c r="E2478" s="6">
        <v>2.6259704673466193E-3</v>
      </c>
    </row>
    <row r="2479" spans="2:5" x14ac:dyDescent="0.3">
      <c r="B2479" s="4">
        <v>39401</v>
      </c>
      <c r="C2479" s="7">
        <v>84.19</v>
      </c>
      <c r="D2479" s="6">
        <f t="shared" si="41"/>
        <v>-8.3076192736775915E-4</v>
      </c>
      <c r="E2479" s="6">
        <v>2.6199833273788122E-3</v>
      </c>
    </row>
    <row r="2480" spans="2:5" x14ac:dyDescent="0.3">
      <c r="B2480" s="4">
        <v>39413</v>
      </c>
      <c r="C2480" s="7">
        <v>84.26</v>
      </c>
      <c r="D2480" s="6">
        <f t="shared" si="41"/>
        <v>-0.74468214047633474</v>
      </c>
      <c r="E2480" s="6">
        <v>2.6178010471204051E-3</v>
      </c>
    </row>
    <row r="2481" spans="2:5" x14ac:dyDescent="0.3">
      <c r="B2481" s="4">
        <v>41100</v>
      </c>
      <c r="C2481" s="7">
        <v>330.02</v>
      </c>
      <c r="D2481" s="6">
        <f t="shared" si="41"/>
        <v>4.0454059012383432</v>
      </c>
      <c r="E2481" s="6">
        <v>2.6127111435166992E-3</v>
      </c>
    </row>
    <row r="2482" spans="2:5" x14ac:dyDescent="0.3">
      <c r="B2482" s="4">
        <v>39106</v>
      </c>
      <c r="C2482" s="7">
        <v>65.41</v>
      </c>
      <c r="D2482" s="6">
        <f t="shared" si="41"/>
        <v>0.53833490122295369</v>
      </c>
      <c r="E2482" s="6">
        <v>2.6057633353770955E-3</v>
      </c>
    </row>
    <row r="2483" spans="2:5" x14ac:dyDescent="0.3">
      <c r="B2483" s="4">
        <v>38684</v>
      </c>
      <c r="C2483" s="7">
        <v>42.52</v>
      </c>
      <c r="D2483" s="6">
        <f t="shared" si="41"/>
        <v>-0.35468204583396568</v>
      </c>
      <c r="E2483" s="6">
        <v>2.5937278943646909E-3</v>
      </c>
    </row>
    <row r="2484" spans="2:5" x14ac:dyDescent="0.3">
      <c r="B2484" s="4">
        <v>39848</v>
      </c>
      <c r="C2484" s="7">
        <v>65.89</v>
      </c>
      <c r="D2484" s="6">
        <f t="shared" si="41"/>
        <v>-0.91828509065654684</v>
      </c>
      <c r="E2484" s="6">
        <v>2.5867315885575426E-3</v>
      </c>
    </row>
    <row r="2485" spans="2:5" x14ac:dyDescent="0.3">
      <c r="B2485" s="4">
        <v>42377</v>
      </c>
      <c r="C2485" s="7">
        <v>806.34</v>
      </c>
      <c r="D2485" s="6">
        <f t="shared" si="41"/>
        <v>-0.68170998875007394</v>
      </c>
      <c r="E2485" s="6">
        <v>2.5737625424298435E-3</v>
      </c>
    </row>
    <row r="2486" spans="2:5" x14ac:dyDescent="0.3">
      <c r="B2486" s="4">
        <v>45909</v>
      </c>
      <c r="C2486" s="5">
        <v>2533.35</v>
      </c>
      <c r="D2486" s="6">
        <f t="shared" si="41"/>
        <v>2.5460233476106491</v>
      </c>
      <c r="E2486" s="6">
        <v>2.5684050560774167E-3</v>
      </c>
    </row>
    <row r="2487" spans="2:5" x14ac:dyDescent="0.3">
      <c r="B2487" s="4">
        <v>42129</v>
      </c>
      <c r="C2487" s="7">
        <v>714.42</v>
      </c>
      <c r="D2487" s="6">
        <f t="shared" si="41"/>
        <v>-0.73071849110084197</v>
      </c>
      <c r="E2487" s="6">
        <v>2.568096661474238E-3</v>
      </c>
    </row>
    <row r="2488" spans="2:5" x14ac:dyDescent="0.3">
      <c r="B2488" s="4">
        <v>45972</v>
      </c>
      <c r="C2488" s="5">
        <v>2653.06</v>
      </c>
      <c r="D2488" s="6">
        <f t="shared" si="41"/>
        <v>8.679874489200234</v>
      </c>
      <c r="E2488" s="6">
        <v>2.5658757420822377E-3</v>
      </c>
    </row>
    <row r="2489" spans="2:5" x14ac:dyDescent="0.3">
      <c r="B2489" s="4">
        <v>40808</v>
      </c>
      <c r="C2489" s="7">
        <v>274.08</v>
      </c>
      <c r="D2489" s="6">
        <f t="shared" si="41"/>
        <v>-0.83330190916997637</v>
      </c>
      <c r="E2489" s="6">
        <v>2.5605384446557491E-3</v>
      </c>
    </row>
    <row r="2490" spans="2:5" x14ac:dyDescent="0.3">
      <c r="B2490" s="4">
        <v>43838</v>
      </c>
      <c r="C2490" s="5">
        <v>1644.17</v>
      </c>
      <c r="D2490" s="6">
        <f t="shared" si="41"/>
        <v>5.046965796248621</v>
      </c>
      <c r="E2490" s="6">
        <v>2.5549092062098649E-3</v>
      </c>
    </row>
    <row r="2491" spans="2:5" x14ac:dyDescent="0.3">
      <c r="B2491" s="4">
        <v>40963</v>
      </c>
      <c r="C2491" s="7">
        <v>271.89999999999998</v>
      </c>
      <c r="D2491" s="6">
        <f t="shared" si="41"/>
        <v>-0.71477724511953344</v>
      </c>
      <c r="E2491" s="6">
        <v>2.5441539766232727E-3</v>
      </c>
    </row>
    <row r="2492" spans="2:5" x14ac:dyDescent="0.3">
      <c r="B2492" s="4">
        <v>42569</v>
      </c>
      <c r="C2492" s="7">
        <v>953.29</v>
      </c>
      <c r="D2492" s="6">
        <f t="shared" si="41"/>
        <v>39.13852631578947</v>
      </c>
      <c r="E2492" s="6">
        <v>2.5344943631162376E-3</v>
      </c>
    </row>
    <row r="2493" spans="2:5" x14ac:dyDescent="0.3">
      <c r="B2493" s="4">
        <v>37957</v>
      </c>
      <c r="C2493" s="7">
        <v>23.75</v>
      </c>
      <c r="D2493" s="6">
        <f t="shared" si="41"/>
        <v>-0.70118268746854551</v>
      </c>
      <c r="E2493" s="6">
        <v>2.5327142254115121E-3</v>
      </c>
    </row>
    <row r="2494" spans="2:5" x14ac:dyDescent="0.3">
      <c r="B2494" s="4">
        <v>39373</v>
      </c>
      <c r="C2494" s="7">
        <v>79.48</v>
      </c>
      <c r="D2494" s="6">
        <f t="shared" si="41"/>
        <v>-0.85926266954704822</v>
      </c>
      <c r="E2494" s="6">
        <v>2.5227043390514989E-3</v>
      </c>
    </row>
    <row r="2495" spans="2:5" x14ac:dyDescent="0.3">
      <c r="B2495" s="4">
        <v>41869</v>
      </c>
      <c r="C2495" s="7">
        <v>564.74</v>
      </c>
      <c r="D2495" s="6">
        <f t="shared" si="41"/>
        <v>5.8598272330571974E-3</v>
      </c>
      <c r="E2495" s="6">
        <v>2.5207697223602198E-3</v>
      </c>
    </row>
    <row r="2496" spans="2:5" x14ac:dyDescent="0.3">
      <c r="B2496" s="4">
        <v>41864</v>
      </c>
      <c r="C2496" s="7">
        <v>561.45000000000005</v>
      </c>
      <c r="D2496" s="6">
        <f t="shared" si="41"/>
        <v>1.0400784855201486</v>
      </c>
      <c r="E2496" s="6">
        <v>2.517677308763806E-3</v>
      </c>
    </row>
    <row r="2497" spans="2:5" x14ac:dyDescent="0.3">
      <c r="B2497" s="4">
        <v>40996</v>
      </c>
      <c r="C2497" s="7">
        <v>275.20999999999998</v>
      </c>
      <c r="D2497" s="6">
        <f t="shared" si="41"/>
        <v>3.0555555555555549</v>
      </c>
      <c r="E2497" s="6">
        <v>2.5134780708145044E-3</v>
      </c>
    </row>
    <row r="2498" spans="2:5" x14ac:dyDescent="0.3">
      <c r="B2498" s="4">
        <v>39853</v>
      </c>
      <c r="C2498" s="7">
        <v>67.86</v>
      </c>
      <c r="D2498" s="6">
        <f t="shared" si="41"/>
        <v>-0.97837930836726494</v>
      </c>
      <c r="E2498" s="6">
        <v>2.5114492539518645E-3</v>
      </c>
    </row>
    <row r="2499" spans="2:5" x14ac:dyDescent="0.3">
      <c r="B2499" s="4">
        <v>45189</v>
      </c>
      <c r="C2499" s="5">
        <v>3138.66</v>
      </c>
      <c r="D2499" s="6">
        <f t="shared" si="41"/>
        <v>-1.6445533571074922E-2</v>
      </c>
      <c r="E2499" s="6">
        <v>2.5105404369489179E-3</v>
      </c>
    </row>
    <row r="2500" spans="2:5" x14ac:dyDescent="0.3">
      <c r="B2500" s="4">
        <v>44461</v>
      </c>
      <c r="C2500" s="5">
        <v>3191.14</v>
      </c>
      <c r="D2500" s="6">
        <f t="shared" si="41"/>
        <v>32.282644972882771</v>
      </c>
      <c r="E2500" s="6">
        <v>2.5100922042630043E-3</v>
      </c>
    </row>
    <row r="2501" spans="2:5" x14ac:dyDescent="0.3">
      <c r="B2501" s="4">
        <v>39450</v>
      </c>
      <c r="C2501" s="7">
        <v>95.88</v>
      </c>
      <c r="D2501" s="6">
        <f t="shared" si="41"/>
        <v>-0.46715571857285765</v>
      </c>
      <c r="E2501" s="6">
        <v>2.5094102885821297E-3</v>
      </c>
    </row>
    <row r="2502" spans="2:5" x14ac:dyDescent="0.3">
      <c r="B2502" s="4">
        <v>40323</v>
      </c>
      <c r="C2502" s="7">
        <v>179.94</v>
      </c>
      <c r="D2502" s="6">
        <f t="shared" si="41"/>
        <v>-0.81803656662082358</v>
      </c>
      <c r="E2502" s="6">
        <v>2.5071034598027112E-3</v>
      </c>
    </row>
    <row r="2503" spans="2:5" x14ac:dyDescent="0.3">
      <c r="B2503" s="4">
        <v>42818</v>
      </c>
      <c r="C2503" s="7">
        <v>988.88</v>
      </c>
      <c r="D2503" s="6">
        <f t="shared" si="41"/>
        <v>33.856538597109619</v>
      </c>
      <c r="E2503" s="6">
        <v>2.4938667099207606E-3</v>
      </c>
    </row>
    <row r="2504" spans="2:5" x14ac:dyDescent="0.3">
      <c r="B2504" s="4">
        <v>38421</v>
      </c>
      <c r="C2504" s="7">
        <v>28.37</v>
      </c>
      <c r="D2504" s="6">
        <f t="shared" ref="D2504:D2567" si="42">((C2504-C2505)/C2505)</f>
        <v>-0.93822536744692431</v>
      </c>
      <c r="E2504" s="6">
        <v>2.4734982332155577E-3</v>
      </c>
    </row>
    <row r="2505" spans="2:5" x14ac:dyDescent="0.3">
      <c r="B2505" s="4">
        <v>41789</v>
      </c>
      <c r="C2505" s="7">
        <v>459.25</v>
      </c>
      <c r="D2505" s="6">
        <f t="shared" si="42"/>
        <v>1.0144310904465306</v>
      </c>
      <c r="E2505" s="6">
        <v>2.4666026368636938E-3</v>
      </c>
    </row>
    <row r="2506" spans="2:5" x14ac:dyDescent="0.3">
      <c r="B2506" s="4">
        <v>40396</v>
      </c>
      <c r="C2506" s="7">
        <v>227.98</v>
      </c>
      <c r="D2506" s="6">
        <f t="shared" si="42"/>
        <v>-0.32542312699727777</v>
      </c>
      <c r="E2506" s="6">
        <v>2.4624043619734513E-3</v>
      </c>
    </row>
    <row r="2507" spans="2:5" x14ac:dyDescent="0.3">
      <c r="B2507" s="4">
        <v>41135</v>
      </c>
      <c r="C2507" s="7">
        <v>337.96</v>
      </c>
      <c r="D2507" s="6">
        <f t="shared" si="42"/>
        <v>7.2731946144430832</v>
      </c>
      <c r="E2507" s="6">
        <v>2.4619582950196782E-3</v>
      </c>
    </row>
    <row r="2508" spans="2:5" x14ac:dyDescent="0.3">
      <c r="B2508" s="4">
        <v>38664</v>
      </c>
      <c r="C2508" s="7">
        <v>40.85</v>
      </c>
      <c r="D2508" s="6">
        <f t="shared" si="42"/>
        <v>-0.97631362271109001</v>
      </c>
      <c r="E2508" s="6">
        <v>2.4539877300613845E-3</v>
      </c>
    </row>
    <row r="2509" spans="2:5" x14ac:dyDescent="0.3">
      <c r="B2509" s="4">
        <v>43756</v>
      </c>
      <c r="C2509" s="5">
        <v>1724.62</v>
      </c>
      <c r="D2509" s="6">
        <f t="shared" si="42"/>
        <v>83.374755381604686</v>
      </c>
      <c r="E2509" s="6">
        <v>2.4529179260635897E-3</v>
      </c>
    </row>
    <row r="2510" spans="2:5" x14ac:dyDescent="0.3">
      <c r="B2510" s="4">
        <v>37840</v>
      </c>
      <c r="C2510" s="7">
        <v>20.440000000000001</v>
      </c>
      <c r="D2510" s="6">
        <f t="shared" si="42"/>
        <v>-0.99260903837948466</v>
      </c>
      <c r="E2510" s="6">
        <v>2.4521824423737472E-3</v>
      </c>
    </row>
    <row r="2511" spans="2:5" x14ac:dyDescent="0.3">
      <c r="B2511" s="4">
        <v>45357</v>
      </c>
      <c r="C2511" s="5">
        <v>2765.54</v>
      </c>
      <c r="D2511" s="6">
        <f t="shared" si="42"/>
        <v>111.37464445347419</v>
      </c>
      <c r="E2511" s="6">
        <v>2.44672483226342E-3</v>
      </c>
    </row>
    <row r="2512" spans="2:5" x14ac:dyDescent="0.3">
      <c r="B2512" s="4">
        <v>38028</v>
      </c>
      <c r="C2512" s="7">
        <v>24.61</v>
      </c>
      <c r="D2512" s="6">
        <f t="shared" si="42"/>
        <v>-0.98562214458478914</v>
      </c>
      <c r="E2512" s="6">
        <v>2.4439918533604365E-3</v>
      </c>
    </row>
    <row r="2513" spans="2:5" x14ac:dyDescent="0.3">
      <c r="B2513" s="4">
        <v>43753</v>
      </c>
      <c r="C2513" s="5">
        <v>1711.66</v>
      </c>
      <c r="D2513" s="6">
        <f t="shared" si="42"/>
        <v>45.298620503110634</v>
      </c>
      <c r="E2513" s="6">
        <v>2.4421812133600036E-3</v>
      </c>
    </row>
    <row r="2514" spans="2:5" x14ac:dyDescent="0.3">
      <c r="B2514" s="4">
        <v>38566</v>
      </c>
      <c r="C2514" s="7">
        <v>36.97</v>
      </c>
      <c r="D2514" s="6">
        <f t="shared" si="42"/>
        <v>-0.52669312508001542</v>
      </c>
      <c r="E2514" s="6">
        <v>2.4403470715834139E-3</v>
      </c>
    </row>
    <row r="2515" spans="2:5" x14ac:dyDescent="0.3">
      <c r="B2515" s="4">
        <v>39337</v>
      </c>
      <c r="C2515" s="7">
        <v>78.11</v>
      </c>
      <c r="D2515" s="6">
        <f t="shared" si="42"/>
        <v>-0.79863885952927227</v>
      </c>
      <c r="E2515" s="6">
        <v>2.4383983572894984E-3</v>
      </c>
    </row>
    <row r="2516" spans="2:5" x14ac:dyDescent="0.3">
      <c r="B2516" s="4">
        <v>41243</v>
      </c>
      <c r="C2516" s="7">
        <v>387.91</v>
      </c>
      <c r="D2516" s="6">
        <f t="shared" si="42"/>
        <v>3.9472006121668155</v>
      </c>
      <c r="E2516" s="6">
        <v>2.4291288730392477E-3</v>
      </c>
    </row>
    <row r="2517" spans="2:5" x14ac:dyDescent="0.3">
      <c r="B2517" s="4">
        <v>39315</v>
      </c>
      <c r="C2517" s="7">
        <v>78.41</v>
      </c>
      <c r="D2517" s="6">
        <f t="shared" si="42"/>
        <v>3.7320458660229328</v>
      </c>
      <c r="E2517" s="6">
        <v>2.4290462797238268E-3</v>
      </c>
    </row>
    <row r="2518" spans="2:5" x14ac:dyDescent="0.3">
      <c r="B2518" s="4">
        <v>37494</v>
      </c>
      <c r="C2518" s="7">
        <v>16.57</v>
      </c>
      <c r="D2518" s="6">
        <f t="shared" si="42"/>
        <v>-0.93759650510300152</v>
      </c>
      <c r="E2518" s="6">
        <v>2.4198427102237836E-3</v>
      </c>
    </row>
    <row r="2519" spans="2:5" x14ac:dyDescent="0.3">
      <c r="B2519" s="4">
        <v>40939</v>
      </c>
      <c r="C2519" s="7">
        <v>265.52999999999997</v>
      </c>
      <c r="D2519" s="6">
        <f t="shared" si="42"/>
        <v>3.5662940670679273</v>
      </c>
      <c r="E2519" s="6">
        <v>2.4160972479141773E-3</v>
      </c>
    </row>
    <row r="2520" spans="2:5" x14ac:dyDescent="0.3">
      <c r="B2520" s="4">
        <v>39050</v>
      </c>
      <c r="C2520" s="7">
        <v>58.15</v>
      </c>
      <c r="D2520" s="6">
        <f t="shared" si="42"/>
        <v>-0.30007221954742419</v>
      </c>
      <c r="E2520" s="6">
        <v>2.4133770039648436E-3</v>
      </c>
    </row>
    <row r="2521" spans="2:5" x14ac:dyDescent="0.3">
      <c r="B2521" s="4">
        <v>39769</v>
      </c>
      <c r="C2521" s="7">
        <v>83.08</v>
      </c>
      <c r="D2521" s="6">
        <f t="shared" si="42"/>
        <v>-0.69263780984091761</v>
      </c>
      <c r="E2521" s="6">
        <v>2.4131274131274473E-3</v>
      </c>
    </row>
    <row r="2522" spans="2:5" x14ac:dyDescent="0.3">
      <c r="B2522" s="4">
        <v>40865</v>
      </c>
      <c r="C2522" s="7">
        <v>270.3</v>
      </c>
      <c r="D2522" s="6">
        <f t="shared" si="42"/>
        <v>9.8076769292283092</v>
      </c>
      <c r="E2522" s="6">
        <v>2.4105321713333364E-3</v>
      </c>
    </row>
    <row r="2523" spans="2:5" x14ac:dyDescent="0.3">
      <c r="B2523" s="4">
        <v>38210</v>
      </c>
      <c r="C2523" s="7">
        <v>25.01</v>
      </c>
      <c r="D2523" s="6">
        <f t="shared" si="42"/>
        <v>-0.88891849877859208</v>
      </c>
      <c r="E2523" s="6">
        <v>2.4048096192385683E-3</v>
      </c>
    </row>
    <row r="2524" spans="2:5" x14ac:dyDescent="0.3">
      <c r="B2524" s="4">
        <v>40644</v>
      </c>
      <c r="C2524" s="7">
        <v>225.15</v>
      </c>
      <c r="D2524" s="6">
        <f t="shared" si="42"/>
        <v>12.465909090909092</v>
      </c>
      <c r="E2524" s="6">
        <v>2.4041672231868215E-3</v>
      </c>
    </row>
    <row r="2525" spans="2:5" x14ac:dyDescent="0.3">
      <c r="B2525" s="4">
        <v>37565</v>
      </c>
      <c r="C2525" s="7">
        <v>16.72</v>
      </c>
      <c r="D2525" s="6">
        <f t="shared" si="42"/>
        <v>-0.99405202345039567</v>
      </c>
      <c r="E2525" s="6">
        <v>2.3980815347721313E-3</v>
      </c>
    </row>
    <row r="2526" spans="2:5" x14ac:dyDescent="0.3">
      <c r="B2526" s="4">
        <v>45041</v>
      </c>
      <c r="C2526" s="5">
        <v>2811.04</v>
      </c>
      <c r="D2526" s="6">
        <f t="shared" si="42"/>
        <v>5.5580440462859277</v>
      </c>
      <c r="E2526" s="6">
        <v>2.3855795460623868E-3</v>
      </c>
    </row>
    <row r="2527" spans="2:5" x14ac:dyDescent="0.3">
      <c r="B2527" s="4">
        <v>41415</v>
      </c>
      <c r="C2527" s="7">
        <v>428.64</v>
      </c>
      <c r="D2527" s="6">
        <f t="shared" si="42"/>
        <v>4.9974814607527627</v>
      </c>
      <c r="E2527" s="6">
        <v>2.3852953556895884E-3</v>
      </c>
    </row>
    <row r="2528" spans="2:5" x14ac:dyDescent="0.3">
      <c r="B2528" s="4">
        <v>39274</v>
      </c>
      <c r="C2528" s="7">
        <v>71.47</v>
      </c>
      <c r="D2528" s="6">
        <f t="shared" si="42"/>
        <v>1.1214010092015436</v>
      </c>
      <c r="E2528" s="6">
        <v>2.3842917251052135E-3</v>
      </c>
    </row>
    <row r="2529" spans="2:5" x14ac:dyDescent="0.3">
      <c r="B2529" s="4">
        <v>38538</v>
      </c>
      <c r="C2529" s="7">
        <v>33.69</v>
      </c>
      <c r="D2529" s="6">
        <f t="shared" si="42"/>
        <v>-0.95563719680809045</v>
      </c>
      <c r="E2529" s="6">
        <v>2.3802439750073875E-3</v>
      </c>
    </row>
    <row r="2530" spans="2:5" x14ac:dyDescent="0.3">
      <c r="B2530" s="4">
        <v>42327</v>
      </c>
      <c r="C2530" s="7">
        <v>759.42</v>
      </c>
      <c r="D2530" s="6">
        <f t="shared" si="42"/>
        <v>-0.73151614784960495</v>
      </c>
      <c r="E2530" s="6">
        <v>2.3758612497029575E-3</v>
      </c>
    </row>
    <row r="2531" spans="2:5" x14ac:dyDescent="0.3">
      <c r="B2531" s="4">
        <v>44942</v>
      </c>
      <c r="C2531" s="5">
        <v>2828.55</v>
      </c>
      <c r="D2531" s="6">
        <f t="shared" si="42"/>
        <v>-1.5183694501698956E-2</v>
      </c>
      <c r="E2531" s="6">
        <v>2.3743288977090466E-3</v>
      </c>
    </row>
    <row r="2532" spans="2:5" x14ac:dyDescent="0.3">
      <c r="B2532" s="4">
        <v>45324</v>
      </c>
      <c r="C2532" s="5">
        <v>2872.16</v>
      </c>
      <c r="D2532" s="6">
        <f t="shared" si="42"/>
        <v>-6.3906343701926813E-2</v>
      </c>
      <c r="E2532" s="6">
        <v>2.3731747494205708E-3</v>
      </c>
    </row>
    <row r="2533" spans="2:5" x14ac:dyDescent="0.3">
      <c r="B2533" s="4">
        <v>45506</v>
      </c>
      <c r="C2533" s="5">
        <v>3068.24</v>
      </c>
      <c r="D2533" s="6">
        <f t="shared" si="42"/>
        <v>180.12396694214874</v>
      </c>
      <c r="E2533" s="6">
        <v>2.3717894269154856E-3</v>
      </c>
    </row>
    <row r="2534" spans="2:5" x14ac:dyDescent="0.3">
      <c r="B2534" s="4">
        <v>37518</v>
      </c>
      <c r="C2534" s="7">
        <v>16.940000000000001</v>
      </c>
      <c r="D2534" s="6">
        <f t="shared" si="42"/>
        <v>-0.99409558597997938</v>
      </c>
      <c r="E2534" s="6">
        <v>2.3668639053256038E-3</v>
      </c>
    </row>
    <row r="2535" spans="2:5" x14ac:dyDescent="0.3">
      <c r="B2535" s="4">
        <v>45482</v>
      </c>
      <c r="C2535" s="5">
        <v>2869.04</v>
      </c>
      <c r="D2535" s="6">
        <f t="shared" si="42"/>
        <v>0.12983688675010033</v>
      </c>
      <c r="E2535" s="6">
        <v>2.3652555489174611E-3</v>
      </c>
    </row>
    <row r="2536" spans="2:5" x14ac:dyDescent="0.3">
      <c r="B2536" s="4">
        <v>45910</v>
      </c>
      <c r="C2536" s="5">
        <v>2539.34</v>
      </c>
      <c r="D2536" s="6">
        <f t="shared" si="42"/>
        <v>4.7202649125968641</v>
      </c>
      <c r="E2536" s="6">
        <v>2.3644581285650369E-3</v>
      </c>
    </row>
    <row r="2537" spans="2:5" x14ac:dyDescent="0.3">
      <c r="B2537" s="4">
        <v>41645</v>
      </c>
      <c r="C2537" s="7">
        <v>443.92</v>
      </c>
      <c r="D2537" s="6">
        <f t="shared" si="42"/>
        <v>16.293338527463966</v>
      </c>
      <c r="E2537" s="6">
        <v>2.3482658959538033E-3</v>
      </c>
    </row>
    <row r="2538" spans="2:5" x14ac:dyDescent="0.3">
      <c r="B2538" s="4">
        <v>38334</v>
      </c>
      <c r="C2538" s="7">
        <v>25.67</v>
      </c>
      <c r="D2538" s="6">
        <f t="shared" si="42"/>
        <v>-0.96838903529295872</v>
      </c>
      <c r="E2538" s="6">
        <v>2.3428348301445636E-3</v>
      </c>
    </row>
    <row r="2539" spans="2:5" x14ac:dyDescent="0.3">
      <c r="B2539" s="4">
        <v>42373</v>
      </c>
      <c r="C2539" s="7">
        <v>812.06</v>
      </c>
      <c r="D2539" s="6">
        <f t="shared" si="42"/>
        <v>0.28324009987042109</v>
      </c>
      <c r="E2539" s="6">
        <v>2.3328437241566416E-3</v>
      </c>
    </row>
    <row r="2540" spans="2:5" x14ac:dyDescent="0.3">
      <c r="B2540" s="4">
        <v>41964</v>
      </c>
      <c r="C2540" s="7">
        <v>632.82000000000005</v>
      </c>
      <c r="D2540" s="6">
        <f t="shared" si="42"/>
        <v>-0.64633096741742579</v>
      </c>
      <c r="E2540" s="6">
        <v>2.328344024709E-3</v>
      </c>
    </row>
    <row r="2541" spans="2:5" x14ac:dyDescent="0.3">
      <c r="B2541" s="4">
        <v>43878</v>
      </c>
      <c r="C2541" s="5">
        <v>1789.3</v>
      </c>
      <c r="D2541" s="6">
        <f t="shared" si="42"/>
        <v>0.17574005322469366</v>
      </c>
      <c r="E2541" s="6">
        <v>2.3191198548028593E-3</v>
      </c>
    </row>
    <row r="2542" spans="2:5" x14ac:dyDescent="0.3">
      <c r="B2542" s="4">
        <v>43705</v>
      </c>
      <c r="C2542" s="5">
        <v>1521.85</v>
      </c>
      <c r="D2542" s="6">
        <f t="shared" si="42"/>
        <v>0.61190725853431194</v>
      </c>
      <c r="E2542" s="6">
        <v>2.3117351844777791E-3</v>
      </c>
    </row>
    <row r="2543" spans="2:5" x14ac:dyDescent="0.3">
      <c r="B2543" s="4">
        <v>42523</v>
      </c>
      <c r="C2543" s="7">
        <v>944.13</v>
      </c>
      <c r="D2543" s="6">
        <f t="shared" si="42"/>
        <v>0.68663915536738307</v>
      </c>
      <c r="E2543" s="6">
        <v>2.3037071637861044E-3</v>
      </c>
    </row>
    <row r="2544" spans="2:5" x14ac:dyDescent="0.3">
      <c r="B2544" s="4">
        <v>41872</v>
      </c>
      <c r="C2544" s="7">
        <v>559.77</v>
      </c>
      <c r="D2544" s="6">
        <f t="shared" si="42"/>
        <v>1.2432973991103276</v>
      </c>
      <c r="E2544" s="6">
        <v>2.2918942147576011E-3</v>
      </c>
    </row>
    <row r="2545" spans="2:5" x14ac:dyDescent="0.3">
      <c r="B2545" s="4">
        <v>40441</v>
      </c>
      <c r="C2545" s="7">
        <v>249.53</v>
      </c>
      <c r="D2545" s="6">
        <f t="shared" si="42"/>
        <v>-0.79998717506833283</v>
      </c>
      <c r="E2545" s="6">
        <v>2.2895244215938026E-3</v>
      </c>
    </row>
    <row r="2546" spans="2:5" x14ac:dyDescent="0.3">
      <c r="B2546" s="4">
        <v>43420</v>
      </c>
      <c r="C2546" s="5">
        <v>1247.57</v>
      </c>
      <c r="D2546" s="6">
        <f t="shared" si="42"/>
        <v>-0.58811391519089318</v>
      </c>
      <c r="E2546" s="6">
        <v>2.2816193069982393E-3</v>
      </c>
    </row>
    <row r="2547" spans="2:5" x14ac:dyDescent="0.3">
      <c r="B2547" s="4">
        <v>44509</v>
      </c>
      <c r="C2547" s="5">
        <v>3028.92</v>
      </c>
      <c r="D2547" s="6">
        <f t="shared" si="42"/>
        <v>-5.1446824502066814E-2</v>
      </c>
      <c r="E2547" s="6">
        <v>2.2766078542971334E-3</v>
      </c>
    </row>
    <row r="2548" spans="2:5" x14ac:dyDescent="0.3">
      <c r="B2548" s="4">
        <v>45091</v>
      </c>
      <c r="C2548" s="5">
        <v>3193.2</v>
      </c>
      <c r="D2548" s="6">
        <f t="shared" si="42"/>
        <v>0.5398117429210707</v>
      </c>
      <c r="E2548" s="6">
        <v>2.2535953948813366E-3</v>
      </c>
    </row>
    <row r="2549" spans="2:5" x14ac:dyDescent="0.3">
      <c r="B2549" s="4">
        <v>44155</v>
      </c>
      <c r="C2549" s="5">
        <v>2073.7600000000002</v>
      </c>
      <c r="D2549" s="6">
        <f t="shared" si="42"/>
        <v>0.23692843594545926</v>
      </c>
      <c r="E2549" s="6">
        <v>2.242499226724563E-3</v>
      </c>
    </row>
    <row r="2550" spans="2:5" x14ac:dyDescent="0.3">
      <c r="B2550" s="4">
        <v>43739</v>
      </c>
      <c r="C2550" s="5">
        <v>1676.54</v>
      </c>
      <c r="D2550" s="6">
        <f t="shared" si="42"/>
        <v>-0.45032376518417733</v>
      </c>
      <c r="E2550" s="6">
        <v>2.2417637599459585E-3</v>
      </c>
    </row>
    <row r="2551" spans="2:5" x14ac:dyDescent="0.3">
      <c r="B2551" s="4">
        <v>45076</v>
      </c>
      <c r="C2551" s="5">
        <v>3050.05</v>
      </c>
      <c r="D2551" s="6">
        <f t="shared" si="42"/>
        <v>18.914142073648474</v>
      </c>
      <c r="E2551" s="6">
        <v>2.2311600060461356E-3</v>
      </c>
    </row>
    <row r="2552" spans="2:5" x14ac:dyDescent="0.3">
      <c r="B2552" s="4">
        <v>40234</v>
      </c>
      <c r="C2552" s="7">
        <v>153.16</v>
      </c>
      <c r="D2552" s="6">
        <f t="shared" si="42"/>
        <v>-0.34714407502131289</v>
      </c>
      <c r="E2552" s="6">
        <v>2.2248396806700916E-3</v>
      </c>
    </row>
    <row r="2553" spans="2:5" x14ac:dyDescent="0.3">
      <c r="B2553" s="4">
        <v>40563</v>
      </c>
      <c r="C2553" s="7">
        <v>234.6</v>
      </c>
      <c r="D2553" s="6">
        <f t="shared" si="42"/>
        <v>-0.42232400088645938</v>
      </c>
      <c r="E2553" s="6">
        <v>2.2214627477784594E-3</v>
      </c>
    </row>
    <row r="2554" spans="2:5" x14ac:dyDescent="0.3">
      <c r="B2554" s="4">
        <v>41316</v>
      </c>
      <c r="C2554" s="7">
        <v>406.11</v>
      </c>
      <c r="D2554" s="6">
        <f t="shared" si="42"/>
        <v>-0.85568281562609938</v>
      </c>
      <c r="E2554" s="6">
        <v>2.1963377918167572E-3</v>
      </c>
    </row>
    <row r="2555" spans="2:5" x14ac:dyDescent="0.3">
      <c r="B2555" s="4">
        <v>45362</v>
      </c>
      <c r="C2555" s="5">
        <v>2814.01</v>
      </c>
      <c r="D2555" s="6">
        <f t="shared" si="42"/>
        <v>50.257012750455374</v>
      </c>
      <c r="E2555" s="6">
        <v>2.1938493865414142E-3</v>
      </c>
    </row>
    <row r="2556" spans="2:5" x14ac:dyDescent="0.3">
      <c r="B2556" s="4">
        <v>39021</v>
      </c>
      <c r="C2556" s="7">
        <v>54.9</v>
      </c>
      <c r="D2556" s="6">
        <f t="shared" si="42"/>
        <v>-0.94727288443253521</v>
      </c>
      <c r="E2556" s="6">
        <v>2.190580503833469E-3</v>
      </c>
    </row>
    <row r="2557" spans="2:5" x14ac:dyDescent="0.3">
      <c r="B2557" s="4">
        <v>42584</v>
      </c>
      <c r="C2557" s="5">
        <v>1041.21</v>
      </c>
      <c r="D2557" s="6">
        <f t="shared" si="42"/>
        <v>-0.64706420712237378</v>
      </c>
      <c r="E2557" s="6">
        <v>2.1849192446146857E-3</v>
      </c>
    </row>
    <row r="2558" spans="2:5" x14ac:dyDescent="0.3">
      <c r="B2558" s="4">
        <v>45056</v>
      </c>
      <c r="C2558" s="5">
        <v>2950.14</v>
      </c>
      <c r="D2558" s="6">
        <f t="shared" si="42"/>
        <v>5.3922256890275611</v>
      </c>
      <c r="E2558" s="6">
        <v>2.1775094862639759E-3</v>
      </c>
    </row>
    <row r="2559" spans="2:5" x14ac:dyDescent="0.3">
      <c r="B2559" s="4">
        <v>41795</v>
      </c>
      <c r="C2559" s="7">
        <v>461.52</v>
      </c>
      <c r="D2559" s="6">
        <f t="shared" si="42"/>
        <v>0.63781539444266988</v>
      </c>
      <c r="E2559" s="6">
        <v>2.1714583514288199E-3</v>
      </c>
    </row>
    <row r="2560" spans="2:5" x14ac:dyDescent="0.3">
      <c r="B2560" s="4">
        <v>40795</v>
      </c>
      <c r="C2560" s="7">
        <v>281.79000000000002</v>
      </c>
      <c r="D2560" s="6">
        <f t="shared" si="42"/>
        <v>11.19342276070965</v>
      </c>
      <c r="E2560" s="6">
        <v>2.1694288356213587E-3</v>
      </c>
    </row>
    <row r="2561" spans="2:5" x14ac:dyDescent="0.3">
      <c r="B2561" s="4">
        <v>37861</v>
      </c>
      <c r="C2561" s="7">
        <v>23.11</v>
      </c>
      <c r="D2561" s="6">
        <f t="shared" si="42"/>
        <v>-0.82176461514730836</v>
      </c>
      <c r="E2561" s="6">
        <v>2.168256721595868E-3</v>
      </c>
    </row>
    <row r="2562" spans="2:5" x14ac:dyDescent="0.3">
      <c r="B2562" s="4">
        <v>40095</v>
      </c>
      <c r="C2562" s="7">
        <v>129.66</v>
      </c>
      <c r="D2562" s="6">
        <f t="shared" si="42"/>
        <v>-0.91626789623573623</v>
      </c>
      <c r="E2562" s="6">
        <v>2.1641675684031625E-3</v>
      </c>
    </row>
    <row r="2563" spans="2:5" x14ac:dyDescent="0.3">
      <c r="B2563" s="4">
        <v>43998</v>
      </c>
      <c r="C2563" s="5">
        <v>1548.51</v>
      </c>
      <c r="D2563" s="6">
        <f t="shared" si="42"/>
        <v>-0.47129077965754473</v>
      </c>
      <c r="E2563" s="6">
        <v>2.1615744545907039E-3</v>
      </c>
    </row>
    <row r="2564" spans="2:5" x14ac:dyDescent="0.3">
      <c r="B2564" s="4">
        <v>45054</v>
      </c>
      <c r="C2564" s="5">
        <v>2928.85</v>
      </c>
      <c r="D2564" s="6">
        <f t="shared" si="42"/>
        <v>0.15544237680633416</v>
      </c>
      <c r="E2564" s="6">
        <v>2.1590807995784302E-3</v>
      </c>
    </row>
    <row r="2565" spans="2:5" x14ac:dyDescent="0.3">
      <c r="B2565" s="4">
        <v>44189</v>
      </c>
      <c r="C2565" s="5">
        <v>2534.83</v>
      </c>
      <c r="D2565" s="6">
        <f t="shared" si="42"/>
        <v>8.0919296987087499</v>
      </c>
      <c r="E2565" s="6">
        <v>2.1586402938281219E-3</v>
      </c>
    </row>
    <row r="2566" spans="2:5" x14ac:dyDescent="0.3">
      <c r="B2566" s="4">
        <v>40765</v>
      </c>
      <c r="C2566" s="7">
        <v>278.8</v>
      </c>
      <c r="D2566" s="6">
        <f t="shared" si="42"/>
        <v>-0.91395433530649905</v>
      </c>
      <c r="E2566" s="6">
        <v>2.156721782890089E-3</v>
      </c>
    </row>
    <row r="2567" spans="2:5" x14ac:dyDescent="0.3">
      <c r="B2567" s="4">
        <v>45544</v>
      </c>
      <c r="C2567" s="5">
        <v>3240.14</v>
      </c>
      <c r="D2567" s="6">
        <f t="shared" si="42"/>
        <v>8.799600774255989</v>
      </c>
      <c r="E2567" s="6">
        <v>2.1526794054151136E-3</v>
      </c>
    </row>
    <row r="2568" spans="2:5" x14ac:dyDescent="0.3">
      <c r="B2568" s="4">
        <v>41144</v>
      </c>
      <c r="C2568" s="7">
        <v>330.64</v>
      </c>
      <c r="D2568" s="6">
        <f t="shared" ref="D2568:D2631" si="43">((C2568-C2569)/C2569)</f>
        <v>13.154109589041095</v>
      </c>
      <c r="E2568" s="6">
        <v>2.151971630345769E-3</v>
      </c>
    </row>
    <row r="2569" spans="2:5" x14ac:dyDescent="0.3">
      <c r="B2569" s="4">
        <v>38093</v>
      </c>
      <c r="C2569" s="7">
        <v>23.36</v>
      </c>
      <c r="D2569" s="6">
        <f t="shared" si="43"/>
        <v>-0.97554771649587058</v>
      </c>
      <c r="E2569" s="6">
        <v>2.1450021450021757E-3</v>
      </c>
    </row>
    <row r="2570" spans="2:5" x14ac:dyDescent="0.3">
      <c r="B2570" s="4">
        <v>42570</v>
      </c>
      <c r="C2570" s="7">
        <v>955.33</v>
      </c>
      <c r="D2570" s="6">
        <f t="shared" si="43"/>
        <v>-0.54313164740990127</v>
      </c>
      <c r="E2570" s="6">
        <v>2.1399574106516143E-3</v>
      </c>
    </row>
    <row r="2571" spans="2:5" x14ac:dyDescent="0.3">
      <c r="B2571" s="4">
        <v>44149</v>
      </c>
      <c r="C2571" s="5">
        <v>2091.04</v>
      </c>
      <c r="D2571" s="6">
        <f t="shared" si="43"/>
        <v>1.4062323793742304</v>
      </c>
      <c r="E2571" s="6">
        <v>2.1374689683597257E-3</v>
      </c>
    </row>
    <row r="2572" spans="2:5" x14ac:dyDescent="0.3">
      <c r="B2572" s="4">
        <v>42751</v>
      </c>
      <c r="C2572" s="7">
        <v>869.01</v>
      </c>
      <c r="D2572" s="6">
        <f t="shared" si="43"/>
        <v>-0.18078978874235238</v>
      </c>
      <c r="E2572" s="6">
        <v>2.1334009871304292E-3</v>
      </c>
    </row>
    <row r="2573" spans="2:5" x14ac:dyDescent="0.3">
      <c r="B2573" s="4">
        <v>43171</v>
      </c>
      <c r="C2573" s="5">
        <v>1060.79</v>
      </c>
      <c r="D2573" s="6">
        <f t="shared" si="43"/>
        <v>43.986853265479226</v>
      </c>
      <c r="E2573" s="6">
        <v>2.1255691801915846E-3</v>
      </c>
    </row>
    <row r="2574" spans="2:5" x14ac:dyDescent="0.3">
      <c r="B2574" s="4">
        <v>37952</v>
      </c>
      <c r="C2574" s="7">
        <v>23.58</v>
      </c>
      <c r="D2574" s="6">
        <f t="shared" si="43"/>
        <v>-0.98742567657645652</v>
      </c>
      <c r="E2574" s="6">
        <v>2.1249468763279711E-3</v>
      </c>
    </row>
    <row r="2575" spans="2:5" x14ac:dyDescent="0.3">
      <c r="B2575" s="4">
        <v>44067</v>
      </c>
      <c r="C2575" s="5">
        <v>1875.25</v>
      </c>
      <c r="D2575" s="6">
        <f t="shared" si="43"/>
        <v>0.75784362433093677</v>
      </c>
      <c r="E2575" s="6">
        <v>2.1215424736009724E-3</v>
      </c>
    </row>
    <row r="2576" spans="2:5" x14ac:dyDescent="0.3">
      <c r="B2576" s="4">
        <v>43090</v>
      </c>
      <c r="C2576" s="5">
        <v>1066.79</v>
      </c>
      <c r="D2576" s="6">
        <f t="shared" si="43"/>
        <v>21.477665402444163</v>
      </c>
      <c r="E2576" s="6">
        <v>2.1135889680049601E-3</v>
      </c>
    </row>
    <row r="2577" spans="2:5" x14ac:dyDescent="0.3">
      <c r="B2577" s="4">
        <v>38730</v>
      </c>
      <c r="C2577" s="7">
        <v>47.46</v>
      </c>
      <c r="D2577" s="6">
        <f t="shared" si="43"/>
        <v>0.66467905997895471</v>
      </c>
      <c r="E2577" s="6">
        <v>2.1114864864865165E-3</v>
      </c>
    </row>
    <row r="2578" spans="2:5" x14ac:dyDescent="0.3">
      <c r="B2578" s="4">
        <v>38401</v>
      </c>
      <c r="C2578" s="7">
        <v>28.51</v>
      </c>
      <c r="D2578" s="6">
        <f t="shared" si="43"/>
        <v>-0.98738266676697972</v>
      </c>
      <c r="E2578" s="6">
        <v>2.1089630931459499E-3</v>
      </c>
    </row>
    <row r="2579" spans="2:5" x14ac:dyDescent="0.3">
      <c r="B2579" s="4">
        <v>45650</v>
      </c>
      <c r="C2579" s="5">
        <v>2259.59</v>
      </c>
      <c r="D2579" s="6">
        <f t="shared" si="43"/>
        <v>38.489514155889559</v>
      </c>
      <c r="E2579" s="6">
        <v>2.106579624274893E-3</v>
      </c>
    </row>
    <row r="2580" spans="2:5" x14ac:dyDescent="0.3">
      <c r="B2580" s="4">
        <v>39156</v>
      </c>
      <c r="C2580" s="7">
        <v>57.22</v>
      </c>
      <c r="D2580" s="6">
        <f t="shared" si="43"/>
        <v>-0.97551698022788647</v>
      </c>
      <c r="E2580" s="6">
        <v>2.1015761821365575E-3</v>
      </c>
    </row>
    <row r="2581" spans="2:5" x14ac:dyDescent="0.3">
      <c r="B2581" s="4">
        <v>44224</v>
      </c>
      <c r="C2581" s="5">
        <v>2337.13</v>
      </c>
      <c r="D2581" s="6">
        <f t="shared" si="43"/>
        <v>2.3480839481412512</v>
      </c>
      <c r="E2581" s="6">
        <v>2.0966967379001853E-3</v>
      </c>
    </row>
    <row r="2582" spans="2:5" x14ac:dyDescent="0.3">
      <c r="B2582" s="4">
        <v>42150</v>
      </c>
      <c r="C2582" s="7">
        <v>698.05</v>
      </c>
      <c r="D2582" s="6">
        <f t="shared" si="43"/>
        <v>-0.59168811417875522</v>
      </c>
      <c r="E2582" s="6">
        <v>2.095924431875167E-3</v>
      </c>
    </row>
    <row r="2583" spans="2:5" x14ac:dyDescent="0.3">
      <c r="B2583" s="4">
        <v>43775</v>
      </c>
      <c r="C2583" s="5">
        <v>1709.6</v>
      </c>
      <c r="D2583" s="6">
        <f t="shared" si="43"/>
        <v>1.2991473681379271</v>
      </c>
      <c r="E2583" s="6">
        <v>2.0925775044987114E-3</v>
      </c>
    </row>
    <row r="2584" spans="2:5" x14ac:dyDescent="0.3">
      <c r="B2584" s="4">
        <v>42087</v>
      </c>
      <c r="C2584" s="7">
        <v>743.58</v>
      </c>
      <c r="D2584" s="6">
        <f t="shared" si="43"/>
        <v>6.7464319199916662</v>
      </c>
      <c r="E2584" s="6">
        <v>2.0888643316308887E-3</v>
      </c>
    </row>
    <row r="2585" spans="2:5" x14ac:dyDescent="0.3">
      <c r="B2585" s="4">
        <v>39969</v>
      </c>
      <c r="C2585" s="7">
        <v>95.99</v>
      </c>
      <c r="D2585" s="6">
        <f t="shared" si="43"/>
        <v>-0.91311235019370718</v>
      </c>
      <c r="E2585" s="6">
        <v>2.0879006159305628E-3</v>
      </c>
    </row>
    <row r="2586" spans="2:5" x14ac:dyDescent="0.3">
      <c r="B2586" s="4">
        <v>43041</v>
      </c>
      <c r="C2586" s="5">
        <v>1104.76</v>
      </c>
      <c r="D2586" s="6">
        <f t="shared" si="43"/>
        <v>-0.54860589023632855</v>
      </c>
      <c r="E2586" s="6">
        <v>2.0862434918273265E-3</v>
      </c>
    </row>
    <row r="2587" spans="2:5" x14ac:dyDescent="0.3">
      <c r="B2587" s="4">
        <v>44326</v>
      </c>
      <c r="C2587" s="5">
        <v>2447.44</v>
      </c>
      <c r="D2587" s="6">
        <f t="shared" si="43"/>
        <v>0.760393589780476</v>
      </c>
      <c r="E2587" s="6">
        <v>2.0758525530530443E-3</v>
      </c>
    </row>
    <row r="2588" spans="2:5" x14ac:dyDescent="0.3">
      <c r="B2588" s="4">
        <v>43503</v>
      </c>
      <c r="C2588" s="5">
        <v>1390.28</v>
      </c>
      <c r="D2588" s="6">
        <f t="shared" si="43"/>
        <v>10.388269986893841</v>
      </c>
      <c r="E2588" s="6">
        <v>2.0758252847051187E-3</v>
      </c>
    </row>
    <row r="2589" spans="2:5" x14ac:dyDescent="0.3">
      <c r="B2589" s="4">
        <v>40028</v>
      </c>
      <c r="C2589" s="7">
        <v>122.08</v>
      </c>
      <c r="D2589" s="6">
        <f t="shared" si="43"/>
        <v>-0.96245067190782452</v>
      </c>
      <c r="E2589" s="6">
        <v>2.0520397274891244E-3</v>
      </c>
    </row>
    <row r="2590" spans="2:5" x14ac:dyDescent="0.3">
      <c r="B2590" s="4">
        <v>44796</v>
      </c>
      <c r="C2590" s="5">
        <v>3251.19</v>
      </c>
      <c r="D2590" s="6">
        <f t="shared" si="43"/>
        <v>1.4155354953750139</v>
      </c>
      <c r="E2590" s="6">
        <v>2.0465087608450699E-3</v>
      </c>
    </row>
    <row r="2591" spans="2:5" x14ac:dyDescent="0.3">
      <c r="B2591" s="4">
        <v>43627</v>
      </c>
      <c r="C2591" s="5">
        <v>1345.95</v>
      </c>
      <c r="D2591" s="6">
        <f t="shared" si="43"/>
        <v>-0.57914863546539253</v>
      </c>
      <c r="E2591" s="6">
        <v>2.0398895183925143E-3</v>
      </c>
    </row>
    <row r="2592" spans="2:5" x14ac:dyDescent="0.3">
      <c r="B2592" s="4">
        <v>45540</v>
      </c>
      <c r="C2592" s="5">
        <v>3198.16</v>
      </c>
      <c r="D2592" s="6">
        <f t="shared" si="43"/>
        <v>3.3100144199021604</v>
      </c>
      <c r="E2592" s="6">
        <v>2.0396973352340524E-3</v>
      </c>
    </row>
    <row r="2593" spans="2:5" x14ac:dyDescent="0.3">
      <c r="B2593" s="4">
        <v>42086</v>
      </c>
      <c r="C2593" s="7">
        <v>742.03</v>
      </c>
      <c r="D2593" s="6">
        <f t="shared" si="43"/>
        <v>11.500505390835579</v>
      </c>
      <c r="E2593" s="6">
        <v>2.0391076540809041E-3</v>
      </c>
    </row>
    <row r="2594" spans="2:5" x14ac:dyDescent="0.3">
      <c r="B2594" s="4">
        <v>39073</v>
      </c>
      <c r="C2594" s="7">
        <v>59.36</v>
      </c>
      <c r="D2594" s="6">
        <f t="shared" si="43"/>
        <v>-0.73338124326266607</v>
      </c>
      <c r="E2594" s="6">
        <v>2.0256583389601187E-3</v>
      </c>
    </row>
    <row r="2595" spans="2:5" x14ac:dyDescent="0.3">
      <c r="B2595" s="4">
        <v>40605</v>
      </c>
      <c r="C2595" s="7">
        <v>222.64</v>
      </c>
      <c r="D2595" s="6">
        <f t="shared" si="43"/>
        <v>-0.90219430228216224</v>
      </c>
      <c r="E2595" s="6">
        <v>2.0252936675817482E-3</v>
      </c>
    </row>
    <row r="2596" spans="2:5" x14ac:dyDescent="0.3">
      <c r="B2596" s="4">
        <v>45833</v>
      </c>
      <c r="C2596" s="5">
        <v>2276.35</v>
      </c>
      <c r="D2596" s="6">
        <f t="shared" si="43"/>
        <v>10.426312619214938</v>
      </c>
      <c r="E2596" s="6">
        <v>2.0248706943985515E-3</v>
      </c>
    </row>
    <row r="2597" spans="2:5" x14ac:dyDescent="0.3">
      <c r="B2597" s="4">
        <v>40343</v>
      </c>
      <c r="C2597" s="7">
        <v>199.22</v>
      </c>
      <c r="D2597" s="6">
        <f t="shared" si="43"/>
        <v>3.9471070275639426</v>
      </c>
      <c r="E2597" s="6">
        <v>2.0118700331958842E-3</v>
      </c>
    </row>
    <row r="2598" spans="2:5" x14ac:dyDescent="0.3">
      <c r="B2598" s="4">
        <v>38611</v>
      </c>
      <c r="C2598" s="7">
        <v>40.270000000000003</v>
      </c>
      <c r="D2598" s="6">
        <f t="shared" si="43"/>
        <v>-0.27297346091352226</v>
      </c>
      <c r="E2598" s="6">
        <v>1.990544911669704E-3</v>
      </c>
    </row>
    <row r="2599" spans="2:5" x14ac:dyDescent="0.3">
      <c r="B2599" s="4">
        <v>38994</v>
      </c>
      <c r="C2599" s="7">
        <v>55.39</v>
      </c>
      <c r="D2599" s="6">
        <f t="shared" si="43"/>
        <v>1.1971439904799681</v>
      </c>
      <c r="E2599" s="6">
        <v>1.9898697539797294E-3</v>
      </c>
    </row>
    <row r="2600" spans="2:5" x14ac:dyDescent="0.3">
      <c r="B2600" s="4">
        <v>37993</v>
      </c>
      <c r="C2600" s="7">
        <v>25.21</v>
      </c>
      <c r="D2600" s="6">
        <f t="shared" si="43"/>
        <v>0.24432379072063173</v>
      </c>
      <c r="E2600" s="6">
        <v>1.987281399046133E-3</v>
      </c>
    </row>
    <row r="2601" spans="2:5" x14ac:dyDescent="0.3">
      <c r="B2601" s="4">
        <v>37832</v>
      </c>
      <c r="C2601" s="7">
        <v>20.260000000000002</v>
      </c>
      <c r="D2601" s="6">
        <f t="shared" si="43"/>
        <v>-0.91312550919771884</v>
      </c>
      <c r="E2601" s="6">
        <v>1.9782393669635361E-3</v>
      </c>
    </row>
    <row r="2602" spans="2:5" x14ac:dyDescent="0.3">
      <c r="B2602" s="4">
        <v>40400</v>
      </c>
      <c r="C2602" s="7">
        <v>233.21</v>
      </c>
      <c r="D2602" s="6">
        <f t="shared" si="43"/>
        <v>0.98257247300858641</v>
      </c>
      <c r="E2602" s="6">
        <v>1.9763694951665219E-3</v>
      </c>
    </row>
    <row r="2603" spans="2:5" x14ac:dyDescent="0.3">
      <c r="B2603" s="4">
        <v>40070</v>
      </c>
      <c r="C2603" s="7">
        <v>117.63</v>
      </c>
      <c r="D2603" s="6">
        <f t="shared" si="43"/>
        <v>-0.96135600570313473</v>
      </c>
      <c r="E2603" s="6">
        <v>1.9591141396932688E-3</v>
      </c>
    </row>
    <row r="2604" spans="2:5" x14ac:dyDescent="0.3">
      <c r="B2604" s="4">
        <v>45062</v>
      </c>
      <c r="C2604" s="5">
        <v>3043.94</v>
      </c>
      <c r="D2604" s="6">
        <f t="shared" si="43"/>
        <v>-1.1550602797083412E-3</v>
      </c>
      <c r="E2604" s="6">
        <v>1.9486375994891649E-3</v>
      </c>
    </row>
    <row r="2605" spans="2:5" x14ac:dyDescent="0.3">
      <c r="B2605" s="4">
        <v>44673</v>
      </c>
      <c r="C2605" s="5">
        <v>3047.46</v>
      </c>
      <c r="D2605" s="6">
        <f t="shared" si="43"/>
        <v>64.678017241379308</v>
      </c>
      <c r="E2605" s="6">
        <v>1.9463824246927783E-3</v>
      </c>
    </row>
    <row r="2606" spans="2:5" x14ac:dyDescent="0.3">
      <c r="B2606" s="4">
        <v>38887</v>
      </c>
      <c r="C2606" s="7">
        <v>46.4</v>
      </c>
      <c r="D2606" s="6">
        <f t="shared" si="43"/>
        <v>-0.98126274557312165</v>
      </c>
      <c r="E2606" s="6">
        <v>1.9434247462750227E-3</v>
      </c>
    </row>
    <row r="2607" spans="2:5" x14ac:dyDescent="0.3">
      <c r="B2607" s="4">
        <v>44320</v>
      </c>
      <c r="C2607" s="5">
        <v>2476.35</v>
      </c>
      <c r="D2607" s="6">
        <f t="shared" si="43"/>
        <v>118.5149613899614</v>
      </c>
      <c r="E2607" s="6">
        <v>1.9380472252342503E-3</v>
      </c>
    </row>
    <row r="2608" spans="2:5" x14ac:dyDescent="0.3">
      <c r="B2608" s="4">
        <v>37844</v>
      </c>
      <c r="C2608" s="7">
        <v>20.72</v>
      </c>
      <c r="D2608" s="6">
        <f t="shared" si="43"/>
        <v>-0.94036552021873654</v>
      </c>
      <c r="E2608" s="6">
        <v>1.9342359767891271E-3</v>
      </c>
    </row>
    <row r="2609" spans="2:5" x14ac:dyDescent="0.3">
      <c r="B2609" s="4">
        <v>41214</v>
      </c>
      <c r="C2609" s="7">
        <v>347.45</v>
      </c>
      <c r="D2609" s="6">
        <f t="shared" si="43"/>
        <v>-0.87996614385407312</v>
      </c>
      <c r="E2609" s="6">
        <v>1.9320606724725069E-3</v>
      </c>
    </row>
    <row r="2610" spans="2:5" x14ac:dyDescent="0.3">
      <c r="B2610" s="4">
        <v>44935</v>
      </c>
      <c r="C2610" s="5">
        <v>2894.6</v>
      </c>
      <c r="D2610" s="6">
        <f t="shared" si="43"/>
        <v>54.601229350749129</v>
      </c>
      <c r="E2610" s="6">
        <v>1.9279827485348745E-3</v>
      </c>
    </row>
    <row r="2611" spans="2:5" x14ac:dyDescent="0.3">
      <c r="B2611" s="4">
        <v>38958</v>
      </c>
      <c r="C2611" s="7">
        <v>52.06</v>
      </c>
      <c r="D2611" s="6">
        <f t="shared" si="43"/>
        <v>-0.92487517677277853</v>
      </c>
      <c r="E2611" s="6">
        <v>1.9245573518091113E-3</v>
      </c>
    </row>
    <row r="2612" spans="2:5" x14ac:dyDescent="0.3">
      <c r="B2612" s="4">
        <v>42179</v>
      </c>
      <c r="C2612" s="7">
        <v>692.98</v>
      </c>
      <c r="D2612" s="6">
        <f t="shared" si="43"/>
        <v>-0.75630615582086402</v>
      </c>
      <c r="E2612" s="6">
        <v>1.9229379021181827E-3</v>
      </c>
    </row>
    <row r="2613" spans="2:5" x14ac:dyDescent="0.3">
      <c r="B2613" s="4">
        <v>44358</v>
      </c>
      <c r="C2613" s="5">
        <v>2843.65</v>
      </c>
      <c r="D2613" s="6">
        <f t="shared" si="43"/>
        <v>-1.1055699301672078E-2</v>
      </c>
      <c r="E2613" s="6">
        <v>1.91670101930444E-3</v>
      </c>
    </row>
    <row r="2614" spans="2:5" x14ac:dyDescent="0.3">
      <c r="B2614" s="4">
        <v>44393</v>
      </c>
      <c r="C2614" s="5">
        <v>2875.44</v>
      </c>
      <c r="D2614" s="6">
        <f t="shared" si="43"/>
        <v>48.525318635893903</v>
      </c>
      <c r="E2614" s="6">
        <v>1.9129253122877529E-3</v>
      </c>
    </row>
    <row r="2615" spans="2:5" x14ac:dyDescent="0.3">
      <c r="B2615" s="4">
        <v>39029</v>
      </c>
      <c r="C2615" s="7">
        <v>58.06</v>
      </c>
      <c r="D2615" s="6">
        <f t="shared" si="43"/>
        <v>-0.95957021593654912</v>
      </c>
      <c r="E2615" s="6">
        <v>1.8981880931837692E-3</v>
      </c>
    </row>
    <row r="2616" spans="2:5" x14ac:dyDescent="0.3">
      <c r="B2616" s="4">
        <v>43970</v>
      </c>
      <c r="C2616" s="5">
        <v>1436.07</v>
      </c>
      <c r="D2616" s="6">
        <f t="shared" si="43"/>
        <v>5.6254671280276813</v>
      </c>
      <c r="E2616" s="6">
        <v>1.8976523528796369E-3</v>
      </c>
    </row>
    <row r="2617" spans="2:5" x14ac:dyDescent="0.3">
      <c r="B2617" s="4">
        <v>40379</v>
      </c>
      <c r="C2617" s="7">
        <v>216.75</v>
      </c>
      <c r="D2617" s="6">
        <f t="shared" si="43"/>
        <v>1.2663111668757843</v>
      </c>
      <c r="E2617" s="6">
        <v>1.8951650180271636E-3</v>
      </c>
    </row>
    <row r="2618" spans="2:5" x14ac:dyDescent="0.3">
      <c r="B2618" s="4">
        <v>39449</v>
      </c>
      <c r="C2618" s="7">
        <v>95.64</v>
      </c>
      <c r="D2618" s="6">
        <f t="shared" si="43"/>
        <v>1.5688960515713137</v>
      </c>
      <c r="E2618" s="6">
        <v>1.8856065367693991E-3</v>
      </c>
    </row>
    <row r="2619" spans="2:5" x14ac:dyDescent="0.3">
      <c r="B2619" s="4">
        <v>38568</v>
      </c>
      <c r="C2619" s="7">
        <v>37.229999999999997</v>
      </c>
      <c r="D2619" s="6">
        <f t="shared" si="43"/>
        <v>-0.98873906573264125</v>
      </c>
      <c r="E2619" s="6">
        <v>1.8837459634015149E-3</v>
      </c>
    </row>
    <row r="2620" spans="2:5" x14ac:dyDescent="0.3">
      <c r="B2620" s="4">
        <v>45295</v>
      </c>
      <c r="C2620" s="5">
        <v>3306.12</v>
      </c>
      <c r="D2620" s="6">
        <f t="shared" si="43"/>
        <v>0.21565512828998171</v>
      </c>
      <c r="E2620" s="6">
        <v>1.8818695055319802E-3</v>
      </c>
    </row>
    <row r="2621" spans="2:5" x14ac:dyDescent="0.3">
      <c r="B2621" s="4">
        <v>45012</v>
      </c>
      <c r="C2621" s="5">
        <v>2719.62</v>
      </c>
      <c r="D2621" s="6">
        <f t="shared" si="43"/>
        <v>125.67070330693993</v>
      </c>
      <c r="E2621" s="6">
        <v>1.875094399398677E-3</v>
      </c>
    </row>
    <row r="2622" spans="2:5" x14ac:dyDescent="0.3">
      <c r="B2622" s="4">
        <v>37923</v>
      </c>
      <c r="C2622" s="7">
        <v>21.47</v>
      </c>
      <c r="D2622" s="6">
        <f t="shared" si="43"/>
        <v>-0.87098906381444541</v>
      </c>
      <c r="E2622" s="6">
        <v>1.8665422305179256E-3</v>
      </c>
    </row>
    <row r="2623" spans="2:5" x14ac:dyDescent="0.3">
      <c r="B2623" s="4">
        <v>40213</v>
      </c>
      <c r="C2623" s="7">
        <v>166.42</v>
      </c>
      <c r="D2623" s="6">
        <f t="shared" si="43"/>
        <v>-0.32675270035195603</v>
      </c>
      <c r="E2623" s="6">
        <v>1.8662332189511397E-3</v>
      </c>
    </row>
    <row r="2624" spans="2:5" x14ac:dyDescent="0.3">
      <c r="B2624" s="4">
        <v>40541</v>
      </c>
      <c r="C2624" s="7">
        <v>247.19</v>
      </c>
      <c r="D2624" s="6">
        <f t="shared" si="43"/>
        <v>3.5997394864160772</v>
      </c>
      <c r="E2624" s="6">
        <v>1.8643861711182587E-3</v>
      </c>
    </row>
    <row r="2625" spans="2:5" x14ac:dyDescent="0.3">
      <c r="B2625" s="4">
        <v>38968</v>
      </c>
      <c r="C2625" s="7">
        <v>53.74</v>
      </c>
      <c r="D2625" s="6">
        <f t="shared" si="43"/>
        <v>-0.9459524695517495</v>
      </c>
      <c r="E2625" s="6">
        <v>1.8642803877703471E-3</v>
      </c>
    </row>
    <row r="2626" spans="2:5" x14ac:dyDescent="0.3">
      <c r="B2626" s="4">
        <v>42824</v>
      </c>
      <c r="C2626" s="7">
        <v>994.31</v>
      </c>
      <c r="D2626" s="6">
        <f t="shared" si="43"/>
        <v>2.5943679282796515</v>
      </c>
      <c r="E2626" s="6">
        <v>1.8640549745076969E-3</v>
      </c>
    </row>
    <row r="2627" spans="2:5" x14ac:dyDescent="0.3">
      <c r="B2627" s="4">
        <v>40738</v>
      </c>
      <c r="C2627" s="7">
        <v>276.63</v>
      </c>
      <c r="D2627" s="6">
        <f t="shared" si="43"/>
        <v>15.992014742014742</v>
      </c>
      <c r="E2627" s="6">
        <v>1.8470230334636784E-3</v>
      </c>
    </row>
    <row r="2628" spans="2:5" x14ac:dyDescent="0.3">
      <c r="B2628" s="4">
        <v>37624</v>
      </c>
      <c r="C2628" s="7">
        <v>16.28</v>
      </c>
      <c r="D2628" s="6">
        <f t="shared" si="43"/>
        <v>-0.99022891233629828</v>
      </c>
      <c r="E2628" s="6">
        <v>1.8461538461539161E-3</v>
      </c>
    </row>
    <row r="2629" spans="2:5" x14ac:dyDescent="0.3">
      <c r="B2629" s="4">
        <v>44042</v>
      </c>
      <c r="C2629" s="5">
        <v>1666.14</v>
      </c>
      <c r="D2629" s="6">
        <f t="shared" si="43"/>
        <v>1.0772222914848524</v>
      </c>
      <c r="E2629" s="6">
        <v>1.8399595930443352E-3</v>
      </c>
    </row>
    <row r="2630" spans="2:5" x14ac:dyDescent="0.3">
      <c r="B2630" s="4">
        <v>42461</v>
      </c>
      <c r="C2630" s="7">
        <v>802.1</v>
      </c>
      <c r="D2630" s="6">
        <f t="shared" si="43"/>
        <v>47.968253968253975</v>
      </c>
      <c r="E2630" s="6">
        <v>1.8360541073904641E-3</v>
      </c>
    </row>
    <row r="2631" spans="2:5" x14ac:dyDescent="0.3">
      <c r="B2631" s="4">
        <v>37460</v>
      </c>
      <c r="C2631" s="7">
        <v>16.38</v>
      </c>
      <c r="D2631" s="6">
        <f t="shared" si="43"/>
        <v>-0.99470293763824746</v>
      </c>
      <c r="E2631" s="6">
        <v>1.8348623853209529E-3</v>
      </c>
    </row>
    <row r="2632" spans="2:5" x14ac:dyDescent="0.3">
      <c r="B2632" s="4">
        <v>45202</v>
      </c>
      <c r="C2632" s="5">
        <v>3092.28</v>
      </c>
      <c r="D2632" s="6">
        <f t="shared" ref="D2632:D2695" si="44">((C2632-C2633)/C2633)</f>
        <v>187.43875685557589</v>
      </c>
      <c r="E2632" s="6">
        <v>1.833721028179792E-3</v>
      </c>
    </row>
    <row r="2633" spans="2:5" x14ac:dyDescent="0.3">
      <c r="B2633" s="4">
        <v>37715</v>
      </c>
      <c r="C2633" s="7">
        <v>16.41</v>
      </c>
      <c r="D2633" s="6">
        <f t="shared" si="44"/>
        <v>-6.0901339829485764E-4</v>
      </c>
      <c r="E2633" s="6">
        <v>1.8315018315019011E-3</v>
      </c>
    </row>
    <row r="2634" spans="2:5" x14ac:dyDescent="0.3">
      <c r="B2634" s="4">
        <v>37651</v>
      </c>
      <c r="C2634" s="7">
        <v>16.420000000000002</v>
      </c>
      <c r="D2634" s="6">
        <f t="shared" si="44"/>
        <v>-0.97961312110451693</v>
      </c>
      <c r="E2634" s="6">
        <v>1.8303843807200204E-3</v>
      </c>
    </row>
    <row r="2635" spans="2:5" x14ac:dyDescent="0.3">
      <c r="B2635" s="4">
        <v>42494</v>
      </c>
      <c r="C2635" s="7">
        <v>805.42</v>
      </c>
      <c r="D2635" s="6">
        <f t="shared" si="44"/>
        <v>3.445904173106646</v>
      </c>
      <c r="E2635" s="6">
        <v>1.8284719198954082E-3</v>
      </c>
    </row>
    <row r="2636" spans="2:5" x14ac:dyDescent="0.3">
      <c r="B2636" s="4">
        <v>40302</v>
      </c>
      <c r="C2636" s="7">
        <v>181.16</v>
      </c>
      <c r="D2636" s="6">
        <f t="shared" si="44"/>
        <v>9.9927184466019412</v>
      </c>
      <c r="E2636" s="6">
        <v>1.8249184316760719E-3</v>
      </c>
    </row>
    <row r="2637" spans="2:5" x14ac:dyDescent="0.3">
      <c r="B2637" s="4">
        <v>37631</v>
      </c>
      <c r="C2637" s="7">
        <v>16.48</v>
      </c>
      <c r="D2637" s="6">
        <f t="shared" si="44"/>
        <v>-0.9334517848489744</v>
      </c>
      <c r="E2637" s="6">
        <v>1.8237082066869994E-3</v>
      </c>
    </row>
    <row r="2638" spans="2:5" x14ac:dyDescent="0.3">
      <c r="B2638" s="4">
        <v>40542</v>
      </c>
      <c r="C2638" s="7">
        <v>247.64</v>
      </c>
      <c r="D2638" s="6">
        <f t="shared" si="44"/>
        <v>-0.91341864205300327</v>
      </c>
      <c r="E2638" s="6">
        <v>1.8204619927990155E-3</v>
      </c>
    </row>
    <row r="2639" spans="2:5" x14ac:dyDescent="0.3">
      <c r="B2639" s="4">
        <v>45467</v>
      </c>
      <c r="C2639" s="5">
        <v>2860.2</v>
      </c>
      <c r="D2639" s="6">
        <f t="shared" si="44"/>
        <v>-6.5645514223195067E-3</v>
      </c>
      <c r="E2639" s="6">
        <v>1.7968035809978928E-3</v>
      </c>
    </row>
    <row r="2640" spans="2:5" x14ac:dyDescent="0.3">
      <c r="B2640" s="4">
        <v>45988</v>
      </c>
      <c r="C2640" s="5">
        <v>2879.1</v>
      </c>
      <c r="D2640" s="6">
        <f t="shared" si="44"/>
        <v>-2.0181050912061047E-2</v>
      </c>
      <c r="E2640" s="6">
        <v>1.7745302713987156E-3</v>
      </c>
    </row>
    <row r="2641" spans="2:5" x14ac:dyDescent="0.3">
      <c r="B2641" s="4">
        <v>44642</v>
      </c>
      <c r="C2641" s="5">
        <v>2938.4</v>
      </c>
      <c r="D2641" s="6">
        <f t="shared" si="44"/>
        <v>-9.0503899962857515E-2</v>
      </c>
      <c r="E2641" s="6">
        <v>1.7728078549025888E-3</v>
      </c>
    </row>
    <row r="2642" spans="2:5" x14ac:dyDescent="0.3">
      <c r="B2642" s="4">
        <v>45281</v>
      </c>
      <c r="C2642" s="5">
        <v>3230.8</v>
      </c>
      <c r="D2642" s="6">
        <f t="shared" si="44"/>
        <v>112.36140350877194</v>
      </c>
      <c r="E2642" s="6">
        <v>1.7580686669994923E-3</v>
      </c>
    </row>
    <row r="2643" spans="2:5" x14ac:dyDescent="0.3">
      <c r="B2643" s="4">
        <v>38398</v>
      </c>
      <c r="C2643" s="7">
        <v>28.5</v>
      </c>
      <c r="D2643" s="6">
        <f t="shared" si="44"/>
        <v>-0.93250603893335859</v>
      </c>
      <c r="E2643" s="6">
        <v>1.75746924428825E-3</v>
      </c>
    </row>
    <row r="2644" spans="2:5" x14ac:dyDescent="0.3">
      <c r="B2644" s="4">
        <v>41393</v>
      </c>
      <c r="C2644" s="7">
        <v>422.26</v>
      </c>
      <c r="D2644" s="6">
        <f t="shared" si="44"/>
        <v>-0.60181806180278563</v>
      </c>
      <c r="E2644" s="6">
        <v>1.7555513380148253E-3</v>
      </c>
    </row>
    <row r="2645" spans="2:5" x14ac:dyDescent="0.3">
      <c r="B2645" s="4">
        <v>42928</v>
      </c>
      <c r="C2645" s="5">
        <v>1060.47</v>
      </c>
      <c r="D2645" s="6">
        <f t="shared" si="44"/>
        <v>-0.64986661207887053</v>
      </c>
      <c r="E2645" s="6">
        <v>1.7286329630468592E-3</v>
      </c>
    </row>
    <row r="2646" spans="2:5" x14ac:dyDescent="0.3">
      <c r="B2646" s="4">
        <v>45218</v>
      </c>
      <c r="C2646" s="5">
        <v>3028.76</v>
      </c>
      <c r="D2646" s="6">
        <f t="shared" si="44"/>
        <v>73.398427904691729</v>
      </c>
      <c r="E2646" s="6">
        <v>1.7264530980242545E-3</v>
      </c>
    </row>
    <row r="2647" spans="2:5" x14ac:dyDescent="0.3">
      <c r="B2647" s="4">
        <v>38674</v>
      </c>
      <c r="C2647" s="7">
        <v>40.71</v>
      </c>
      <c r="D2647" s="6">
        <f t="shared" si="44"/>
        <v>-0.77427224840587738</v>
      </c>
      <c r="E2647" s="6">
        <v>1.7224409448818967E-3</v>
      </c>
    </row>
    <row r="2648" spans="2:5" x14ac:dyDescent="0.3">
      <c r="B2648" s="4">
        <v>40298</v>
      </c>
      <c r="C2648" s="7">
        <v>180.35</v>
      </c>
      <c r="D2648" s="6">
        <f t="shared" si="44"/>
        <v>6.7337049742710118</v>
      </c>
      <c r="E2648" s="6">
        <v>1.7218395912019678E-3</v>
      </c>
    </row>
    <row r="2649" spans="2:5" x14ac:dyDescent="0.3">
      <c r="B2649" s="4">
        <v>38090</v>
      </c>
      <c r="C2649" s="7">
        <v>23.32</v>
      </c>
      <c r="D2649" s="6">
        <f t="shared" si="44"/>
        <v>-0.99175362723707605</v>
      </c>
      <c r="E2649" s="6">
        <v>1.7182130584192073E-3</v>
      </c>
    </row>
    <row r="2650" spans="2:5" x14ac:dyDescent="0.3">
      <c r="B2650" s="4">
        <v>45469</v>
      </c>
      <c r="C2650" s="5">
        <v>2827.91</v>
      </c>
      <c r="D2650" s="6">
        <f t="shared" si="44"/>
        <v>0.15088557521691709</v>
      </c>
      <c r="E2650" s="6">
        <v>1.7144456212561823E-3</v>
      </c>
    </row>
    <row r="2651" spans="2:5" x14ac:dyDescent="0.3">
      <c r="B2651" s="4">
        <v>45615</v>
      </c>
      <c r="C2651" s="5">
        <v>2457.16</v>
      </c>
      <c r="D2651" s="6">
        <f t="shared" si="44"/>
        <v>-0.21499495227020052</v>
      </c>
      <c r="E2651" s="6">
        <v>1.7122170765115688E-3</v>
      </c>
    </row>
    <row r="2652" spans="2:5" x14ac:dyDescent="0.3">
      <c r="B2652" s="4">
        <v>44904</v>
      </c>
      <c r="C2652" s="5">
        <v>3130.12</v>
      </c>
      <c r="D2652" s="6">
        <f t="shared" si="44"/>
        <v>1.8979909267660404</v>
      </c>
      <c r="E2652" s="6">
        <v>1.7089203079895833E-3</v>
      </c>
    </row>
    <row r="2653" spans="2:5" x14ac:dyDescent="0.3">
      <c r="B2653" s="4">
        <v>43193</v>
      </c>
      <c r="C2653" s="5">
        <v>1080.0999999999999</v>
      </c>
      <c r="D2653" s="6">
        <f t="shared" si="44"/>
        <v>21.791728212703099</v>
      </c>
      <c r="E2653" s="6">
        <v>1.6971630482160566E-3</v>
      </c>
    </row>
    <row r="2654" spans="2:5" x14ac:dyDescent="0.3">
      <c r="B2654" s="4">
        <v>38903</v>
      </c>
      <c r="C2654" s="7">
        <v>47.39</v>
      </c>
      <c r="D2654" s="6">
        <f t="shared" si="44"/>
        <v>-0.20606466744848378</v>
      </c>
      <c r="E2654" s="6">
        <v>1.6909744240118007E-3</v>
      </c>
    </row>
    <row r="2655" spans="2:5" x14ac:dyDescent="0.3">
      <c r="B2655" s="4">
        <v>39066</v>
      </c>
      <c r="C2655" s="7">
        <v>59.69</v>
      </c>
      <c r="D2655" s="6">
        <f t="shared" si="44"/>
        <v>-0.73821323626156743</v>
      </c>
      <c r="E2655" s="6">
        <v>1.6781339150863284E-3</v>
      </c>
    </row>
    <row r="2656" spans="2:5" x14ac:dyDescent="0.3">
      <c r="B2656" s="4">
        <v>40592</v>
      </c>
      <c r="C2656" s="7">
        <v>228.01</v>
      </c>
      <c r="D2656" s="6">
        <f t="shared" si="44"/>
        <v>8.4885559717020378</v>
      </c>
      <c r="E2656" s="6">
        <v>1.6693757413346021E-3</v>
      </c>
    </row>
    <row r="2657" spans="2:5" x14ac:dyDescent="0.3">
      <c r="B2657" s="4">
        <v>38069</v>
      </c>
      <c r="C2657" s="7">
        <v>24.03</v>
      </c>
      <c r="D2657" s="6">
        <f t="shared" si="44"/>
        <v>-0.75007800312012485</v>
      </c>
      <c r="E2657" s="6">
        <v>1.6673614005836891E-3</v>
      </c>
    </row>
    <row r="2658" spans="2:5" x14ac:dyDescent="0.3">
      <c r="B2658" s="4">
        <v>39972</v>
      </c>
      <c r="C2658" s="7">
        <v>96.15</v>
      </c>
      <c r="D2658" s="6">
        <f t="shared" si="44"/>
        <v>2.9863184079601988</v>
      </c>
      <c r="E2658" s="6">
        <v>1.6668402958642651E-3</v>
      </c>
    </row>
    <row r="2659" spans="2:5" x14ac:dyDescent="0.3">
      <c r="B2659" s="4">
        <v>38064</v>
      </c>
      <c r="C2659" s="7">
        <v>24.12</v>
      </c>
      <c r="D2659" s="6">
        <f t="shared" si="44"/>
        <v>-2.4813895781637188E-3</v>
      </c>
      <c r="E2659" s="6">
        <v>1.6611295681064244E-3</v>
      </c>
    </row>
    <row r="2660" spans="2:5" x14ac:dyDescent="0.3">
      <c r="B2660" s="4">
        <v>38196</v>
      </c>
      <c r="C2660" s="7">
        <v>24.18</v>
      </c>
      <c r="D2660" s="6">
        <f t="shared" si="44"/>
        <v>-0.97980759595149813</v>
      </c>
      <c r="E2660" s="6">
        <v>1.6570008285003788E-3</v>
      </c>
    </row>
    <row r="2661" spans="2:5" x14ac:dyDescent="0.3">
      <c r="B2661" s="4">
        <v>43271</v>
      </c>
      <c r="C2661" s="5">
        <v>1197.48</v>
      </c>
      <c r="D2661" s="6">
        <f t="shared" si="44"/>
        <v>-0.61179136557707081</v>
      </c>
      <c r="E2661" s="6">
        <v>1.6562107904642561E-3</v>
      </c>
    </row>
    <row r="2662" spans="2:5" x14ac:dyDescent="0.3">
      <c r="B2662" s="4">
        <v>44595</v>
      </c>
      <c r="C2662" s="5">
        <v>3084.63</v>
      </c>
      <c r="D2662" s="6">
        <f t="shared" si="44"/>
        <v>20.107362802791847</v>
      </c>
      <c r="E2662" s="6">
        <v>1.6560968719252316E-3</v>
      </c>
    </row>
    <row r="2663" spans="2:5" x14ac:dyDescent="0.3">
      <c r="B2663" s="4">
        <v>40143</v>
      </c>
      <c r="C2663" s="7">
        <v>146.13999999999999</v>
      </c>
      <c r="D2663" s="6">
        <f t="shared" si="44"/>
        <v>4.9795417348608835</v>
      </c>
      <c r="E2663" s="6">
        <v>1.6449623029470915E-3</v>
      </c>
    </row>
    <row r="2664" spans="2:5" x14ac:dyDescent="0.3">
      <c r="B2664" s="4">
        <v>38168</v>
      </c>
      <c r="C2664" s="7">
        <v>24.44</v>
      </c>
      <c r="D2664" s="6">
        <f t="shared" si="44"/>
        <v>-5.2910052910052508E-3</v>
      </c>
      <c r="E2664" s="6">
        <v>1.6393442622951928E-3</v>
      </c>
    </row>
    <row r="2665" spans="2:5" x14ac:dyDescent="0.3">
      <c r="B2665" s="4">
        <v>38037</v>
      </c>
      <c r="C2665" s="7">
        <v>24.57</v>
      </c>
      <c r="D2665" s="6">
        <f t="shared" si="44"/>
        <v>0</v>
      </c>
      <c r="E2665" s="6">
        <v>1.6306563391764836E-3</v>
      </c>
    </row>
    <row r="2666" spans="2:5" x14ac:dyDescent="0.3">
      <c r="B2666" s="4">
        <v>38033</v>
      </c>
      <c r="C2666" s="7">
        <v>24.57</v>
      </c>
      <c r="D2666" s="6">
        <f t="shared" si="44"/>
        <v>-0.83341243474133841</v>
      </c>
      <c r="E2666" s="6">
        <v>1.6306563391764836E-3</v>
      </c>
    </row>
    <row r="2667" spans="2:5" x14ac:dyDescent="0.3">
      <c r="B2667" s="4">
        <v>40156</v>
      </c>
      <c r="C2667" s="7">
        <v>147.49</v>
      </c>
      <c r="D2667" s="6">
        <f t="shared" si="44"/>
        <v>-0.93687701953735214</v>
      </c>
      <c r="E2667" s="6">
        <v>1.6298811544992128E-3</v>
      </c>
    </row>
    <row r="2668" spans="2:5" x14ac:dyDescent="0.3">
      <c r="B2668" s="4">
        <v>45940</v>
      </c>
      <c r="C2668" s="5">
        <v>2336.5500000000002</v>
      </c>
      <c r="D2668" s="6">
        <f t="shared" si="44"/>
        <v>-0.14326414326414319</v>
      </c>
      <c r="E2668" s="6">
        <v>1.6246849225809612E-3</v>
      </c>
    </row>
    <row r="2669" spans="2:5" x14ac:dyDescent="0.3">
      <c r="B2669" s="4">
        <v>44207</v>
      </c>
      <c r="C2669" s="5">
        <v>2727.27</v>
      </c>
      <c r="D2669" s="6">
        <f t="shared" si="44"/>
        <v>7.3125666737785364</v>
      </c>
      <c r="E2669" s="6">
        <v>1.6196205460434448E-3</v>
      </c>
    </row>
    <row r="2670" spans="2:5" x14ac:dyDescent="0.3">
      <c r="B2670" s="4">
        <v>41047</v>
      </c>
      <c r="C2670" s="7">
        <v>328.09</v>
      </c>
      <c r="D2670" s="6">
        <f t="shared" si="44"/>
        <v>9.5938004520503721</v>
      </c>
      <c r="E2670" s="6">
        <v>1.6180241787763241E-3</v>
      </c>
    </row>
    <row r="2671" spans="2:5" x14ac:dyDescent="0.3">
      <c r="B2671" s="4">
        <v>38442</v>
      </c>
      <c r="C2671" s="7">
        <v>30.97</v>
      </c>
      <c r="D2671" s="6">
        <f t="shared" si="44"/>
        <v>-0.98936246947334439</v>
      </c>
      <c r="E2671" s="6">
        <v>1.6170763260024952E-3</v>
      </c>
    </row>
    <row r="2672" spans="2:5" x14ac:dyDescent="0.3">
      <c r="B2672" s="4">
        <v>45336</v>
      </c>
      <c r="C2672" s="5">
        <v>2911.39</v>
      </c>
      <c r="D2672" s="6">
        <f t="shared" si="44"/>
        <v>34.823674172511382</v>
      </c>
      <c r="E2672" s="6">
        <v>1.6169594968847101E-3</v>
      </c>
    </row>
    <row r="2673" spans="2:5" x14ac:dyDescent="0.3">
      <c r="B2673" s="4">
        <v>39947</v>
      </c>
      <c r="C2673" s="7">
        <v>81.27</v>
      </c>
      <c r="D2673" s="6">
        <f t="shared" si="44"/>
        <v>-0.95447466893723809</v>
      </c>
      <c r="E2673" s="6">
        <v>1.6021690904608756E-3</v>
      </c>
    </row>
    <row r="2674" spans="2:5" x14ac:dyDescent="0.3">
      <c r="B2674" s="4">
        <v>43875</v>
      </c>
      <c r="C2674" s="5">
        <v>1785.16</v>
      </c>
      <c r="D2674" s="6">
        <f t="shared" si="44"/>
        <v>-4.2115010235899584E-3</v>
      </c>
      <c r="E2674" s="6">
        <v>1.5990484259192489E-3</v>
      </c>
    </row>
    <row r="2675" spans="2:5" x14ac:dyDescent="0.3">
      <c r="B2675" s="4">
        <v>43896</v>
      </c>
      <c r="C2675" s="5">
        <v>1792.71</v>
      </c>
      <c r="D2675" s="6">
        <f t="shared" si="44"/>
        <v>19.399522075557577</v>
      </c>
      <c r="E2675" s="6">
        <v>1.5978992653016327E-3</v>
      </c>
    </row>
    <row r="2676" spans="2:5" x14ac:dyDescent="0.3">
      <c r="B2676" s="4">
        <v>39639</v>
      </c>
      <c r="C2676" s="7">
        <v>87.88</v>
      </c>
      <c r="D2676" s="6">
        <f t="shared" si="44"/>
        <v>3.6179716237519699</v>
      </c>
      <c r="E2676" s="6">
        <v>1.5956234328698493E-3</v>
      </c>
    </row>
    <row r="2677" spans="2:5" x14ac:dyDescent="0.3">
      <c r="B2677" s="4">
        <v>37804</v>
      </c>
      <c r="C2677" s="7">
        <v>19.03</v>
      </c>
      <c r="D2677" s="6">
        <f t="shared" si="44"/>
        <v>-0.93055504871729366</v>
      </c>
      <c r="E2677" s="6">
        <v>1.5789473684211124E-3</v>
      </c>
    </row>
    <row r="2678" spans="2:5" x14ac:dyDescent="0.3">
      <c r="B2678" s="4">
        <v>40704</v>
      </c>
      <c r="C2678" s="7">
        <v>274.02999999999997</v>
      </c>
      <c r="D2678" s="6">
        <f t="shared" si="44"/>
        <v>1.8535874205977296</v>
      </c>
      <c r="E2678" s="6">
        <v>1.5716374269004018E-3</v>
      </c>
    </row>
    <row r="2679" spans="2:5" x14ac:dyDescent="0.3">
      <c r="B2679" s="4">
        <v>39451</v>
      </c>
      <c r="C2679" s="7">
        <v>96.03</v>
      </c>
      <c r="D2679" s="6">
        <f t="shared" si="44"/>
        <v>2.7351225204200698</v>
      </c>
      <c r="E2679" s="6">
        <v>1.5644555694618867E-3</v>
      </c>
    </row>
    <row r="2680" spans="2:5" x14ac:dyDescent="0.3">
      <c r="B2680" s="4">
        <v>38335</v>
      </c>
      <c r="C2680" s="7">
        <v>25.71</v>
      </c>
      <c r="D2680" s="6">
        <f t="shared" si="44"/>
        <v>-0.96642814238332764</v>
      </c>
      <c r="E2680" s="6">
        <v>1.558239189715588E-3</v>
      </c>
    </row>
    <row r="2681" spans="2:5" x14ac:dyDescent="0.3">
      <c r="B2681" s="4">
        <v>42307</v>
      </c>
      <c r="C2681" s="7">
        <v>765.82</v>
      </c>
      <c r="D2681" s="6">
        <f t="shared" si="44"/>
        <v>-0.74763142891979972</v>
      </c>
      <c r="E2681" s="6">
        <v>1.5563082798216844E-3</v>
      </c>
    </row>
    <row r="2682" spans="2:5" x14ac:dyDescent="0.3">
      <c r="B2682" s="4">
        <v>45072</v>
      </c>
      <c r="C2682" s="5">
        <v>3034.53</v>
      </c>
      <c r="D2682" s="6">
        <f t="shared" si="44"/>
        <v>1.2071074776891242</v>
      </c>
      <c r="E2682" s="6">
        <v>1.5545477949185219E-3</v>
      </c>
    </row>
    <row r="2683" spans="2:5" x14ac:dyDescent="0.3">
      <c r="B2683" s="4">
        <v>43544</v>
      </c>
      <c r="C2683" s="5">
        <v>1374.89</v>
      </c>
      <c r="D2683" s="6">
        <f t="shared" si="44"/>
        <v>-0.52884391320439184</v>
      </c>
      <c r="E2683" s="6">
        <v>1.5443227926019059E-3</v>
      </c>
    </row>
    <row r="2684" spans="2:5" x14ac:dyDescent="0.3">
      <c r="B2684" s="4">
        <v>45502</v>
      </c>
      <c r="C2684" s="5">
        <v>2918.12</v>
      </c>
      <c r="D2684" s="6">
        <f t="shared" si="44"/>
        <v>110.97697620874905</v>
      </c>
      <c r="E2684" s="6">
        <v>1.5410330069362897E-3</v>
      </c>
    </row>
    <row r="2685" spans="2:5" x14ac:dyDescent="0.3">
      <c r="B2685" s="4">
        <v>37998</v>
      </c>
      <c r="C2685" s="7">
        <v>26.06</v>
      </c>
      <c r="D2685" s="6">
        <f t="shared" si="44"/>
        <v>-0.33874651103780762</v>
      </c>
      <c r="E2685" s="6">
        <v>1.5372790161413969E-3</v>
      </c>
    </row>
    <row r="2686" spans="2:5" x14ac:dyDescent="0.3">
      <c r="B2686" s="4">
        <v>38604</v>
      </c>
      <c r="C2686" s="7">
        <v>39.409999999999997</v>
      </c>
      <c r="D2686" s="6">
        <f t="shared" si="44"/>
        <v>0.49790954009882166</v>
      </c>
      <c r="E2686" s="6">
        <v>1.5247776365945405E-3</v>
      </c>
    </row>
    <row r="2687" spans="2:5" x14ac:dyDescent="0.3">
      <c r="B2687" s="4">
        <v>38001</v>
      </c>
      <c r="C2687" s="7">
        <v>26.31</v>
      </c>
      <c r="D2687" s="6">
        <f t="shared" si="44"/>
        <v>-0.99142110909310266</v>
      </c>
      <c r="E2687" s="6">
        <v>1.5226494099733212E-3</v>
      </c>
    </row>
    <row r="2688" spans="2:5" x14ac:dyDescent="0.3">
      <c r="B2688" s="4">
        <v>44901</v>
      </c>
      <c r="C2688" s="5">
        <v>3066.83</v>
      </c>
      <c r="D2688" s="6">
        <f t="shared" si="44"/>
        <v>16.228414134037411</v>
      </c>
      <c r="E2688" s="6">
        <v>1.5217966344128035E-3</v>
      </c>
    </row>
    <row r="2689" spans="2:5" x14ac:dyDescent="0.3">
      <c r="B2689" s="4">
        <v>40284</v>
      </c>
      <c r="C2689" s="7">
        <v>178.01</v>
      </c>
      <c r="D2689" s="6">
        <f t="shared" si="44"/>
        <v>-0.94651270402153787</v>
      </c>
      <c r="E2689" s="6">
        <v>1.5190728029705288E-3</v>
      </c>
    </row>
    <row r="2690" spans="2:5" x14ac:dyDescent="0.3">
      <c r="B2690" s="4">
        <v>45289</v>
      </c>
      <c r="C2690" s="5">
        <v>3328.08</v>
      </c>
      <c r="D2690" s="6">
        <f t="shared" si="44"/>
        <v>1.8007408517654078E-2</v>
      </c>
      <c r="E2690" s="6">
        <v>1.5166835187057524E-3</v>
      </c>
    </row>
    <row r="2691" spans="2:5" x14ac:dyDescent="0.3">
      <c r="B2691" s="4">
        <v>45146</v>
      </c>
      <c r="C2691" s="5">
        <v>3269.21</v>
      </c>
      <c r="D2691" s="6">
        <f t="shared" si="44"/>
        <v>1.1427747445418137</v>
      </c>
      <c r="E2691" s="6">
        <v>1.510287107723552E-3</v>
      </c>
    </row>
    <row r="2692" spans="2:5" x14ac:dyDescent="0.3">
      <c r="B2692" s="4">
        <v>44000</v>
      </c>
      <c r="C2692" s="5">
        <v>1525.69</v>
      </c>
      <c r="D2692" s="6">
        <f t="shared" si="44"/>
        <v>0.44123370489325542</v>
      </c>
      <c r="E2692" s="6">
        <v>1.5097906642422192E-3</v>
      </c>
    </row>
    <row r="2693" spans="2:5" x14ac:dyDescent="0.3">
      <c r="B2693" s="4">
        <v>43007</v>
      </c>
      <c r="C2693" s="5">
        <v>1058.5999999999999</v>
      </c>
      <c r="D2693" s="6">
        <f t="shared" si="44"/>
        <v>-0.67858487472522133</v>
      </c>
      <c r="E2693" s="6">
        <v>1.5042431008220529E-3</v>
      </c>
    </row>
    <row r="2694" spans="2:5" x14ac:dyDescent="0.3">
      <c r="B2694" s="4">
        <v>44811</v>
      </c>
      <c r="C2694" s="5">
        <v>3293.56</v>
      </c>
      <c r="D2694" s="6">
        <f t="shared" si="44"/>
        <v>0.37056348753885643</v>
      </c>
      <c r="E2694" s="6">
        <v>1.5021498379259551E-3</v>
      </c>
    </row>
    <row r="2695" spans="2:5" x14ac:dyDescent="0.3">
      <c r="B2695" s="4">
        <v>44237</v>
      </c>
      <c r="C2695" s="5">
        <v>2403.0700000000002</v>
      </c>
      <c r="D2695" s="6">
        <f t="shared" si="44"/>
        <v>8.4002112345485855</v>
      </c>
      <c r="E2695" s="6">
        <v>1.496157500791899E-3</v>
      </c>
    </row>
    <row r="2696" spans="2:5" x14ac:dyDescent="0.3">
      <c r="B2696" s="4">
        <v>40686</v>
      </c>
      <c r="C2696" s="7">
        <v>255.64</v>
      </c>
      <c r="D2696" s="6">
        <f t="shared" ref="D2696:D2759" si="45">((C2696-C2697)/C2697)</f>
        <v>-0.89427013971032243</v>
      </c>
      <c r="E2696" s="6">
        <v>1.4886782104520703E-3</v>
      </c>
    </row>
    <row r="2697" spans="2:5" x14ac:dyDescent="0.3">
      <c r="B2697" s="4">
        <v>44175</v>
      </c>
      <c r="C2697" s="5">
        <v>2417.86</v>
      </c>
      <c r="D2697" s="6">
        <f t="shared" si="45"/>
        <v>8.6884917454720316</v>
      </c>
      <c r="E2697" s="6">
        <v>1.4869919271664502E-3</v>
      </c>
    </row>
    <row r="2698" spans="2:5" x14ac:dyDescent="0.3">
      <c r="B2698" s="4">
        <v>40428</v>
      </c>
      <c r="C2698" s="7">
        <v>249.56</v>
      </c>
      <c r="D2698" s="6">
        <f t="shared" si="45"/>
        <v>0.84667751960929427</v>
      </c>
      <c r="E2698" s="6">
        <v>1.4848107869497354E-3</v>
      </c>
    </row>
    <row r="2699" spans="2:5" x14ac:dyDescent="0.3">
      <c r="B2699" s="4">
        <v>40102</v>
      </c>
      <c r="C2699" s="7">
        <v>135.13999999999999</v>
      </c>
      <c r="D2699" s="6">
        <f t="shared" si="45"/>
        <v>-0.95269648251408012</v>
      </c>
      <c r="E2699" s="6">
        <v>1.4821402104638257E-3</v>
      </c>
    </row>
    <row r="2700" spans="2:5" x14ac:dyDescent="0.3">
      <c r="B2700" s="4">
        <v>44944</v>
      </c>
      <c r="C2700" s="5">
        <v>2856.87</v>
      </c>
      <c r="D2700" s="6">
        <f t="shared" si="45"/>
        <v>4.849087893864013</v>
      </c>
      <c r="E2700" s="6">
        <v>1.4793262405131367E-3</v>
      </c>
    </row>
    <row r="2701" spans="2:5" x14ac:dyDescent="0.3">
      <c r="B2701" s="4">
        <v>41726</v>
      </c>
      <c r="C2701" s="7">
        <v>488.43</v>
      </c>
      <c r="D2701" s="6">
        <f t="shared" si="45"/>
        <v>-0.61107926042711758</v>
      </c>
      <c r="E2701" s="6">
        <v>1.4762871378483674E-3</v>
      </c>
    </row>
    <row r="2702" spans="2:5" x14ac:dyDescent="0.3">
      <c r="B2702" s="4">
        <v>43656</v>
      </c>
      <c r="C2702" s="5">
        <v>1255.8599999999999</v>
      </c>
      <c r="D2702" s="6">
        <f t="shared" si="45"/>
        <v>-0.48700624974469997</v>
      </c>
      <c r="E2702" s="6">
        <v>1.4752673423656184E-3</v>
      </c>
    </row>
    <row r="2703" spans="2:5" x14ac:dyDescent="0.3">
      <c r="B2703" s="4">
        <v>46146</v>
      </c>
      <c r="C2703" s="5">
        <v>2448.1</v>
      </c>
      <c r="D2703" s="6">
        <f t="shared" si="45"/>
        <v>0.42039883262838473</v>
      </c>
      <c r="E2703" s="6">
        <v>1.4726938024135442E-3</v>
      </c>
    </row>
    <row r="2704" spans="2:5" x14ac:dyDescent="0.3">
      <c r="B2704" s="4">
        <v>43826</v>
      </c>
      <c r="C2704" s="5">
        <v>1723.53</v>
      </c>
      <c r="D2704" s="6">
        <f t="shared" si="45"/>
        <v>61.651035986913847</v>
      </c>
      <c r="E2704" s="6">
        <v>1.4642564540589432E-3</v>
      </c>
    </row>
    <row r="2705" spans="2:5" x14ac:dyDescent="0.3">
      <c r="B2705" s="4">
        <v>38380</v>
      </c>
      <c r="C2705" s="7">
        <v>27.51</v>
      </c>
      <c r="D2705" s="6">
        <f t="shared" si="45"/>
        <v>-0.96680743243243239</v>
      </c>
      <c r="E2705" s="6">
        <v>1.4561339643248163E-3</v>
      </c>
    </row>
    <row r="2706" spans="2:5" x14ac:dyDescent="0.3">
      <c r="B2706" s="4">
        <v>42234</v>
      </c>
      <c r="C2706" s="7">
        <v>828.8</v>
      </c>
      <c r="D2706" s="6">
        <f t="shared" si="45"/>
        <v>-0.71161942671834877</v>
      </c>
      <c r="E2706" s="6">
        <v>1.4499758337360219E-3</v>
      </c>
    </row>
    <row r="2707" spans="2:5" x14ac:dyDescent="0.3">
      <c r="B2707" s="4">
        <v>45456</v>
      </c>
      <c r="C2707" s="5">
        <v>2873.98</v>
      </c>
      <c r="D2707" s="6">
        <f t="shared" si="45"/>
        <v>1.6639291838531773</v>
      </c>
      <c r="E2707" s="6">
        <v>1.4460786875877983E-3</v>
      </c>
    </row>
    <row r="2708" spans="2:5" x14ac:dyDescent="0.3">
      <c r="B2708" s="4">
        <v>42977</v>
      </c>
      <c r="C2708" s="5">
        <v>1078.8499999999999</v>
      </c>
      <c r="D2708" s="6">
        <f t="shared" si="45"/>
        <v>13.027434663892862</v>
      </c>
      <c r="E2708" s="6">
        <v>1.4387821405364844E-3</v>
      </c>
    </row>
    <row r="2709" spans="2:5" x14ac:dyDescent="0.3">
      <c r="B2709" s="4">
        <v>39776</v>
      </c>
      <c r="C2709" s="7">
        <v>76.91</v>
      </c>
      <c r="D2709" s="6">
        <f t="shared" si="45"/>
        <v>-0.97351091456400296</v>
      </c>
      <c r="E2709" s="6">
        <v>1.4322916666666594E-3</v>
      </c>
    </row>
    <row r="2710" spans="2:5" x14ac:dyDescent="0.3">
      <c r="B2710" s="4">
        <v>45597</v>
      </c>
      <c r="C2710" s="5">
        <v>2903.46</v>
      </c>
      <c r="D2710" s="6">
        <f t="shared" si="45"/>
        <v>6.1526125193998968</v>
      </c>
      <c r="E2710" s="6">
        <v>1.4313750513053421E-3</v>
      </c>
    </row>
    <row r="2711" spans="2:5" x14ac:dyDescent="0.3">
      <c r="B2711" s="4">
        <v>41437</v>
      </c>
      <c r="C2711" s="7">
        <v>405.93</v>
      </c>
      <c r="D2711" s="6">
        <f t="shared" si="45"/>
        <v>-7.9482062678579546E-2</v>
      </c>
      <c r="E2711" s="6">
        <v>1.4308622178363982E-3</v>
      </c>
    </row>
    <row r="2712" spans="2:5" x14ac:dyDescent="0.3">
      <c r="B2712" s="4">
        <v>41632</v>
      </c>
      <c r="C2712" s="7">
        <v>440.98</v>
      </c>
      <c r="D2712" s="6">
        <f t="shared" si="45"/>
        <v>-0.8707879654481312</v>
      </c>
      <c r="E2712" s="6">
        <v>1.4306801407970829E-3</v>
      </c>
    </row>
    <row r="2713" spans="2:5" x14ac:dyDescent="0.3">
      <c r="B2713" s="4">
        <v>44573</v>
      </c>
      <c r="C2713" s="5">
        <v>3412.84</v>
      </c>
      <c r="D2713" s="6">
        <f t="shared" si="45"/>
        <v>2.2263870900651361</v>
      </c>
      <c r="E2713" s="6">
        <v>1.4260647069525428E-3</v>
      </c>
    </row>
    <row r="2714" spans="2:5" x14ac:dyDescent="0.3">
      <c r="B2714" s="4">
        <v>43131</v>
      </c>
      <c r="C2714" s="5">
        <v>1057.79</v>
      </c>
      <c r="D2714" s="6">
        <f t="shared" si="45"/>
        <v>3.7924519753533885</v>
      </c>
      <c r="E2714" s="6">
        <v>1.4200645656022495E-3</v>
      </c>
    </row>
    <row r="2715" spans="2:5" x14ac:dyDescent="0.3">
      <c r="B2715" s="4">
        <v>40385</v>
      </c>
      <c r="C2715" s="7">
        <v>220.72</v>
      </c>
      <c r="D2715" s="6">
        <f t="shared" si="45"/>
        <v>-0.79411792140438586</v>
      </c>
      <c r="E2715" s="6">
        <v>1.4064697609001511E-3</v>
      </c>
    </row>
    <row r="2716" spans="2:5" x14ac:dyDescent="0.3">
      <c r="B2716" s="4">
        <v>42950</v>
      </c>
      <c r="C2716" s="5">
        <v>1072.07</v>
      </c>
      <c r="D2716" s="6">
        <f t="shared" si="45"/>
        <v>-0.59926961189254246</v>
      </c>
      <c r="E2716" s="6">
        <v>1.40112276637679E-3</v>
      </c>
    </row>
    <row r="2717" spans="2:5" x14ac:dyDescent="0.3">
      <c r="B2717" s="4">
        <v>44964</v>
      </c>
      <c r="C2717" s="5">
        <v>2675.29</v>
      </c>
      <c r="D2717" s="6">
        <f t="shared" si="45"/>
        <v>0.2776223041509866</v>
      </c>
      <c r="E2717" s="6">
        <v>1.3999363665287124E-3</v>
      </c>
    </row>
    <row r="2718" spans="2:5" x14ac:dyDescent="0.3">
      <c r="B2718" s="4">
        <v>44152</v>
      </c>
      <c r="C2718" s="5">
        <v>2093.96</v>
      </c>
      <c r="D2718" s="6">
        <f t="shared" si="45"/>
        <v>0.8770819513419511</v>
      </c>
      <c r="E2718" s="6">
        <v>1.3964343101997441E-3</v>
      </c>
    </row>
    <row r="2719" spans="2:5" x14ac:dyDescent="0.3">
      <c r="B2719" s="4">
        <v>43119</v>
      </c>
      <c r="C2719" s="5">
        <v>1115.54</v>
      </c>
      <c r="D2719" s="6">
        <f t="shared" si="45"/>
        <v>3.2859589833804E-2</v>
      </c>
      <c r="E2719" s="6">
        <v>1.3913948958248767E-3</v>
      </c>
    </row>
    <row r="2720" spans="2:5" x14ac:dyDescent="0.3">
      <c r="B2720" s="4">
        <v>43129</v>
      </c>
      <c r="C2720" s="5">
        <v>1080.05</v>
      </c>
      <c r="D2720" s="6">
        <f t="shared" si="45"/>
        <v>1.0406408827252631</v>
      </c>
      <c r="E2720" s="6">
        <v>1.3907561077372399E-3</v>
      </c>
    </row>
    <row r="2721" spans="2:5" x14ac:dyDescent="0.3">
      <c r="B2721" s="4">
        <v>41838</v>
      </c>
      <c r="C2721" s="7">
        <v>529.27</v>
      </c>
      <c r="D2721" s="6">
        <f t="shared" si="45"/>
        <v>0.96952331336285469</v>
      </c>
      <c r="E2721" s="6">
        <v>1.3811632042986684E-3</v>
      </c>
    </row>
    <row r="2722" spans="2:5" x14ac:dyDescent="0.3">
      <c r="B2722" s="4">
        <v>40954</v>
      </c>
      <c r="C2722" s="7">
        <v>268.73</v>
      </c>
      <c r="D2722" s="6">
        <f t="shared" si="45"/>
        <v>-0.83616921398045463</v>
      </c>
      <c r="E2722" s="6">
        <v>1.3787449694440473E-3</v>
      </c>
    </row>
    <row r="2723" spans="2:5" x14ac:dyDescent="0.3">
      <c r="B2723" s="4">
        <v>44048</v>
      </c>
      <c r="C2723" s="5">
        <v>1640.29</v>
      </c>
      <c r="D2723" s="6">
        <f t="shared" si="45"/>
        <v>-0.32118440655520614</v>
      </c>
      <c r="E2723" s="6">
        <v>1.3735928304559107E-3</v>
      </c>
    </row>
    <row r="2724" spans="2:5" x14ac:dyDescent="0.3">
      <c r="B2724" s="4">
        <v>46078</v>
      </c>
      <c r="C2724" s="5">
        <v>2416.4</v>
      </c>
      <c r="D2724" s="6">
        <f t="shared" si="45"/>
        <v>0.77902773380844759</v>
      </c>
      <c r="E2724" s="6">
        <v>1.3675355352037552E-3</v>
      </c>
    </row>
    <row r="2725" spans="2:5" x14ac:dyDescent="0.3">
      <c r="B2725" s="4">
        <v>43588</v>
      </c>
      <c r="C2725" s="5">
        <v>1358.27</v>
      </c>
      <c r="D2725" s="6">
        <f t="shared" si="45"/>
        <v>-0.5728616667662495</v>
      </c>
      <c r="E2725" s="6">
        <v>1.356501994205317E-3</v>
      </c>
    </row>
    <row r="2726" spans="2:5" x14ac:dyDescent="0.3">
      <c r="B2726" s="4">
        <v>44545</v>
      </c>
      <c r="C2726" s="5">
        <v>3179.93</v>
      </c>
      <c r="D2726" s="6">
        <f t="shared" si="45"/>
        <v>3.9285193967855423</v>
      </c>
      <c r="E2726" s="6">
        <v>1.3509087931881333E-3</v>
      </c>
    </row>
    <row r="2727" spans="2:5" x14ac:dyDescent="0.3">
      <c r="B2727" s="4">
        <v>41970</v>
      </c>
      <c r="C2727" s="7">
        <v>645.21</v>
      </c>
      <c r="D2727" s="6">
        <f t="shared" si="45"/>
        <v>1.4736801748265156</v>
      </c>
      <c r="E2727" s="6">
        <v>1.350218828568775E-3</v>
      </c>
    </row>
    <row r="2728" spans="2:5" x14ac:dyDescent="0.3">
      <c r="B2728" s="4">
        <v>40715</v>
      </c>
      <c r="C2728" s="7">
        <v>260.83</v>
      </c>
      <c r="D2728" s="6">
        <f t="shared" si="45"/>
        <v>-0.91209231941060098</v>
      </c>
      <c r="E2728" s="6">
        <v>1.3436732186730875E-3</v>
      </c>
    </row>
    <row r="2729" spans="2:5" x14ac:dyDescent="0.3">
      <c r="B2729" s="4">
        <v>45237</v>
      </c>
      <c r="C2729" s="5">
        <v>2967.09</v>
      </c>
      <c r="D2729" s="6">
        <f t="shared" si="45"/>
        <v>1.8030022483798442</v>
      </c>
      <c r="E2729" s="6">
        <v>1.3364246590598578E-3</v>
      </c>
    </row>
    <row r="2730" spans="2:5" x14ac:dyDescent="0.3">
      <c r="B2730" s="4">
        <v>43168</v>
      </c>
      <c r="C2730" s="5">
        <v>1058.54</v>
      </c>
      <c r="D2730" s="6">
        <f t="shared" si="45"/>
        <v>-0.15066756531227934</v>
      </c>
      <c r="E2730" s="6">
        <v>1.3338000056756069E-3</v>
      </c>
    </row>
    <row r="2731" spans="2:5" x14ac:dyDescent="0.3">
      <c r="B2731" s="4">
        <v>43287</v>
      </c>
      <c r="C2731" s="5">
        <v>1246.32</v>
      </c>
      <c r="D2731" s="6">
        <f t="shared" si="45"/>
        <v>-0.59586893432124388</v>
      </c>
      <c r="E2731" s="6">
        <v>1.3256525826121489E-3</v>
      </c>
    </row>
    <row r="2732" spans="2:5" x14ac:dyDescent="0.3">
      <c r="B2732" s="4">
        <v>44896</v>
      </c>
      <c r="C2732" s="5">
        <v>3083.95</v>
      </c>
      <c r="D2732" s="6">
        <f t="shared" si="45"/>
        <v>133.3769063180828</v>
      </c>
      <c r="E2732" s="6">
        <v>1.3247312386561534E-3</v>
      </c>
    </row>
    <row r="2733" spans="2:5" x14ac:dyDescent="0.3">
      <c r="B2733" s="4">
        <v>38299</v>
      </c>
      <c r="C2733" s="7">
        <v>22.95</v>
      </c>
      <c r="D2733" s="6">
        <f t="shared" si="45"/>
        <v>-0.99243253580943847</v>
      </c>
      <c r="E2733" s="6">
        <v>1.3089005235601039E-3</v>
      </c>
    </row>
    <row r="2734" spans="2:5" x14ac:dyDescent="0.3">
      <c r="B2734" s="4">
        <v>45219</v>
      </c>
      <c r="C2734" s="5">
        <v>3032.72</v>
      </c>
      <c r="D2734" s="6">
        <f t="shared" si="45"/>
        <v>3.1002095585750014</v>
      </c>
      <c r="E2734" s="6">
        <v>1.3074657615656511E-3</v>
      </c>
    </row>
    <row r="2735" spans="2:5" x14ac:dyDescent="0.3">
      <c r="B2735" s="4">
        <v>42074</v>
      </c>
      <c r="C2735" s="7">
        <v>739.65</v>
      </c>
      <c r="D2735" s="6">
        <f t="shared" si="45"/>
        <v>22.859677419354838</v>
      </c>
      <c r="E2735" s="6">
        <v>1.2995979368881703E-3</v>
      </c>
    </row>
    <row r="2736" spans="2:5" x14ac:dyDescent="0.3">
      <c r="B2736" s="4">
        <v>38432</v>
      </c>
      <c r="C2736" s="7">
        <v>31</v>
      </c>
      <c r="D2736" s="6">
        <f t="shared" si="45"/>
        <v>-0.60056693725035437</v>
      </c>
      <c r="E2736" s="6">
        <v>1.2919896640826599E-3</v>
      </c>
    </row>
    <row r="2737" spans="2:5" x14ac:dyDescent="0.3">
      <c r="B2737" s="4">
        <v>39317</v>
      </c>
      <c r="C2737" s="7">
        <v>77.61</v>
      </c>
      <c r="D2737" s="6">
        <f t="shared" si="45"/>
        <v>2.3195038494439695</v>
      </c>
      <c r="E2737" s="6">
        <v>1.2901561088891021E-3</v>
      </c>
    </row>
    <row r="2738" spans="2:5" x14ac:dyDescent="0.3">
      <c r="B2738" s="4">
        <v>37946</v>
      </c>
      <c r="C2738" s="7">
        <v>23.38</v>
      </c>
      <c r="D2738" s="6">
        <f t="shared" si="45"/>
        <v>-0.57265582160482542</v>
      </c>
      <c r="E2738" s="6">
        <v>1.2847965738756995E-3</v>
      </c>
    </row>
    <row r="2739" spans="2:5" x14ac:dyDescent="0.3">
      <c r="B2739" s="4">
        <v>38975</v>
      </c>
      <c r="C2739" s="7">
        <v>54.71</v>
      </c>
      <c r="D2739" s="6">
        <f t="shared" si="45"/>
        <v>-0.98151414399437753</v>
      </c>
      <c r="E2739" s="6">
        <v>1.2811127379209423E-3</v>
      </c>
    </row>
    <row r="2740" spans="2:5" x14ac:dyDescent="0.3">
      <c r="B2740" s="4">
        <v>45595</v>
      </c>
      <c r="C2740" s="5">
        <v>2959.56</v>
      </c>
      <c r="D2740" s="6">
        <f t="shared" si="45"/>
        <v>2.2922398418382218E-2</v>
      </c>
      <c r="E2740" s="6">
        <v>1.2720752418972066E-3</v>
      </c>
    </row>
    <row r="2741" spans="2:5" x14ac:dyDescent="0.3">
      <c r="B2741" s="4">
        <v>45322</v>
      </c>
      <c r="C2741" s="5">
        <v>2893.24</v>
      </c>
      <c r="D2741" s="6">
        <f t="shared" si="45"/>
        <v>9.4163306451612883</v>
      </c>
      <c r="E2741" s="6">
        <v>1.2700851683813223E-3</v>
      </c>
    </row>
    <row r="2742" spans="2:5" x14ac:dyDescent="0.3">
      <c r="B2742" s="4">
        <v>40751</v>
      </c>
      <c r="C2742" s="7">
        <v>277.76</v>
      </c>
      <c r="D2742" s="6">
        <f t="shared" si="45"/>
        <v>-0.78918927123969707</v>
      </c>
      <c r="E2742" s="6">
        <v>1.2616704516778985E-3</v>
      </c>
    </row>
    <row r="2743" spans="2:5" x14ac:dyDescent="0.3">
      <c r="B2743" s="4">
        <v>43531</v>
      </c>
      <c r="C2743" s="5">
        <v>1317.58</v>
      </c>
      <c r="D2743" s="6">
        <f t="shared" si="45"/>
        <v>-0.19100861439088343</v>
      </c>
      <c r="E2743" s="6">
        <v>1.2614748616936093E-3</v>
      </c>
    </row>
    <row r="2744" spans="2:5" x14ac:dyDescent="0.3">
      <c r="B2744" s="4">
        <v>44025</v>
      </c>
      <c r="C2744" s="5">
        <v>1628.67</v>
      </c>
      <c r="D2744" s="6">
        <f t="shared" si="45"/>
        <v>-0.44925267144596231</v>
      </c>
      <c r="E2744" s="6">
        <v>1.2602820572722468E-3</v>
      </c>
    </row>
    <row r="2745" spans="2:5" x14ac:dyDescent="0.3">
      <c r="B2745" s="4">
        <v>45995</v>
      </c>
      <c r="C2745" s="5">
        <v>2957.2</v>
      </c>
      <c r="D2745" s="6">
        <f t="shared" si="45"/>
        <v>0.80412779950339486</v>
      </c>
      <c r="E2745" s="6">
        <v>1.2527509734213029E-3</v>
      </c>
    </row>
    <row r="2746" spans="2:5" x14ac:dyDescent="0.3">
      <c r="B2746" s="4">
        <v>43789</v>
      </c>
      <c r="C2746" s="5">
        <v>1639.13</v>
      </c>
      <c r="D2746" s="6">
        <f t="shared" si="45"/>
        <v>0.51790972903894972</v>
      </c>
      <c r="E2746" s="6">
        <v>1.2522295794953099E-3</v>
      </c>
    </row>
    <row r="2747" spans="2:5" x14ac:dyDescent="0.3">
      <c r="B2747" s="4">
        <v>42633</v>
      </c>
      <c r="C2747" s="5">
        <v>1079.8599999999999</v>
      </c>
      <c r="D2747" s="6">
        <f t="shared" si="45"/>
        <v>66.072049689440988</v>
      </c>
      <c r="E2747" s="6">
        <v>1.251726919546327E-3</v>
      </c>
    </row>
    <row r="2748" spans="2:5" x14ac:dyDescent="0.3">
      <c r="B2748" s="4">
        <v>37722</v>
      </c>
      <c r="C2748" s="7">
        <v>16.100000000000001</v>
      </c>
      <c r="D2748" s="6">
        <f t="shared" si="45"/>
        <v>-0.97269010906993703</v>
      </c>
      <c r="E2748" s="6">
        <v>1.2437810945275577E-3</v>
      </c>
    </row>
    <row r="2749" spans="2:5" x14ac:dyDescent="0.3">
      <c r="B2749" s="4">
        <v>41956</v>
      </c>
      <c r="C2749" s="7">
        <v>589.53</v>
      </c>
      <c r="D2749" s="6">
        <f t="shared" si="45"/>
        <v>-0.81079337569805521</v>
      </c>
      <c r="E2749" s="6">
        <v>1.2398097826087267E-3</v>
      </c>
    </row>
    <row r="2750" spans="2:5" x14ac:dyDescent="0.3">
      <c r="B2750" s="4">
        <v>45538</v>
      </c>
      <c r="C2750" s="5">
        <v>3115.8</v>
      </c>
      <c r="D2750" s="6">
        <f t="shared" si="45"/>
        <v>3.7638455031670646E-2</v>
      </c>
      <c r="E2750" s="6">
        <v>1.2371664069153951E-3</v>
      </c>
    </row>
    <row r="2751" spans="2:5" x14ac:dyDescent="0.3">
      <c r="B2751" s="4">
        <v>44655</v>
      </c>
      <c r="C2751" s="5">
        <v>3002.78</v>
      </c>
      <c r="D2751" s="6">
        <f t="shared" si="45"/>
        <v>6.7023983583429532</v>
      </c>
      <c r="E2751" s="6">
        <v>1.2370501522138649E-3</v>
      </c>
    </row>
    <row r="2752" spans="2:5" x14ac:dyDescent="0.3">
      <c r="B2752" s="4">
        <v>41247</v>
      </c>
      <c r="C2752" s="7">
        <v>389.85</v>
      </c>
      <c r="D2752" s="6">
        <f t="shared" si="45"/>
        <v>1.6590955596480457</v>
      </c>
      <c r="E2752" s="6">
        <v>1.2327606132984518E-3</v>
      </c>
    </row>
    <row r="2753" spans="2:5" x14ac:dyDescent="0.3">
      <c r="B2753" s="4">
        <v>40126</v>
      </c>
      <c r="C2753" s="7">
        <v>146.61000000000001</v>
      </c>
      <c r="D2753" s="6">
        <f t="shared" si="45"/>
        <v>4.9743276283618592</v>
      </c>
      <c r="E2753" s="6">
        <v>1.2292562999385837E-3</v>
      </c>
    </row>
    <row r="2754" spans="2:5" x14ac:dyDescent="0.3">
      <c r="B2754" s="4">
        <v>37964</v>
      </c>
      <c r="C2754" s="7">
        <v>24.54</v>
      </c>
      <c r="D2754" s="6">
        <f t="shared" si="45"/>
        <v>-0.93029399233063481</v>
      </c>
      <c r="E2754" s="6">
        <v>1.2239902080782368E-3</v>
      </c>
    </row>
    <row r="2755" spans="2:5" x14ac:dyDescent="0.3">
      <c r="B2755" s="4">
        <v>41183</v>
      </c>
      <c r="C2755" s="7">
        <v>352.05</v>
      </c>
      <c r="D2755" s="6">
        <f t="shared" si="45"/>
        <v>0.95106406561737977</v>
      </c>
      <c r="E2755" s="6">
        <v>1.2229110972072318E-3</v>
      </c>
    </row>
    <row r="2756" spans="2:5" x14ac:dyDescent="0.3">
      <c r="B2756" s="4">
        <v>40331</v>
      </c>
      <c r="C2756" s="7">
        <v>180.44</v>
      </c>
      <c r="D2756" s="6">
        <f t="shared" si="45"/>
        <v>-0.9396630708835193</v>
      </c>
      <c r="E2756" s="6">
        <v>1.2207302186216782E-3</v>
      </c>
    </row>
    <row r="2757" spans="2:5" x14ac:dyDescent="0.3">
      <c r="B2757" s="4">
        <v>44881</v>
      </c>
      <c r="C2757" s="5">
        <v>2990.54</v>
      </c>
      <c r="D2757" s="6">
        <f t="shared" si="45"/>
        <v>10.026658309059401</v>
      </c>
      <c r="E2757" s="6">
        <v>1.218654792594286E-3</v>
      </c>
    </row>
    <row r="2758" spans="2:5" x14ac:dyDescent="0.3">
      <c r="B2758" s="4">
        <v>40708</v>
      </c>
      <c r="C2758" s="7">
        <v>271.20999999999998</v>
      </c>
      <c r="D2758" s="6">
        <f t="shared" si="45"/>
        <v>-0.71309030128639128</v>
      </c>
      <c r="E2758" s="6">
        <v>1.2182516243354404E-3</v>
      </c>
    </row>
    <row r="2759" spans="2:5" x14ac:dyDescent="0.3">
      <c r="B2759" s="4">
        <v>42524</v>
      </c>
      <c r="C2759" s="7">
        <v>945.28</v>
      </c>
      <c r="D2759" s="6">
        <f t="shared" si="45"/>
        <v>56.498783454987823</v>
      </c>
      <c r="E2759" s="6">
        <v>1.2180525986887159E-3</v>
      </c>
    </row>
    <row r="2760" spans="2:5" x14ac:dyDescent="0.3">
      <c r="B2760" s="4">
        <v>37599</v>
      </c>
      <c r="C2760" s="7">
        <v>16.440000000000001</v>
      </c>
      <c r="D2760" s="6">
        <f t="shared" ref="D2760:D2823" si="46">((C2760-C2761)/C2761)</f>
        <v>-0.97849940494095178</v>
      </c>
      <c r="E2760" s="6">
        <v>1.2180267965894989E-3</v>
      </c>
    </row>
    <row r="2761" spans="2:5" x14ac:dyDescent="0.3">
      <c r="B2761" s="4">
        <v>42306</v>
      </c>
      <c r="C2761" s="7">
        <v>764.63</v>
      </c>
      <c r="D2761" s="6">
        <f t="shared" si="46"/>
        <v>2.4435037153794186</v>
      </c>
      <c r="E2761" s="6">
        <v>1.2177556632184756E-3</v>
      </c>
    </row>
    <row r="2762" spans="2:5" x14ac:dyDescent="0.3">
      <c r="B2762" s="4">
        <v>40617</v>
      </c>
      <c r="C2762" s="7">
        <v>222.05</v>
      </c>
      <c r="D2762" s="6">
        <f t="shared" si="46"/>
        <v>-0.69116399393593786</v>
      </c>
      <c r="E2762" s="6">
        <v>1.217422671115566E-3</v>
      </c>
    </row>
    <row r="2763" spans="2:5" x14ac:dyDescent="0.3">
      <c r="B2763" s="4">
        <v>42117</v>
      </c>
      <c r="C2763" s="7">
        <v>718.99</v>
      </c>
      <c r="D2763" s="6">
        <f t="shared" si="46"/>
        <v>-0.70983077935128724</v>
      </c>
      <c r="E2763" s="6">
        <v>1.2114966857906819E-3</v>
      </c>
    </row>
    <row r="2764" spans="2:5" x14ac:dyDescent="0.3">
      <c r="B2764" s="4">
        <v>45919</v>
      </c>
      <c r="C2764" s="5">
        <v>2477.83</v>
      </c>
      <c r="D2764" s="6">
        <f t="shared" si="46"/>
        <v>148.35684147076552</v>
      </c>
      <c r="E2764" s="6">
        <v>1.2081589112830655E-3</v>
      </c>
    </row>
    <row r="2765" spans="2:5" x14ac:dyDescent="0.3">
      <c r="B2765" s="4">
        <v>37495</v>
      </c>
      <c r="C2765" s="7">
        <v>16.59</v>
      </c>
      <c r="D2765" s="6">
        <f t="shared" si="46"/>
        <v>-0.71465428276573784</v>
      </c>
      <c r="E2765" s="6">
        <v>1.207000603500276E-3</v>
      </c>
    </row>
    <row r="2766" spans="2:5" x14ac:dyDescent="0.3">
      <c r="B2766" s="4">
        <v>39048</v>
      </c>
      <c r="C2766" s="7">
        <v>58.14</v>
      </c>
      <c r="D2766" s="6">
        <f t="shared" si="46"/>
        <v>-0.97385650304872573</v>
      </c>
      <c r="E2766" s="6">
        <v>1.2054417082831114E-3</v>
      </c>
    </row>
    <row r="2767" spans="2:5" x14ac:dyDescent="0.3">
      <c r="B2767" s="4">
        <v>45817</v>
      </c>
      <c r="C2767" s="5">
        <v>2223.88</v>
      </c>
      <c r="D2767" s="6">
        <f t="shared" si="46"/>
        <v>-0.31849300375707124</v>
      </c>
      <c r="E2767" s="6">
        <v>1.2020475326511553E-3</v>
      </c>
    </row>
    <row r="2768" spans="2:5" x14ac:dyDescent="0.3">
      <c r="B2768" s="4">
        <v>45279</v>
      </c>
      <c r="C2768" s="5">
        <v>3263.18</v>
      </c>
      <c r="D2768" s="6">
        <f t="shared" si="46"/>
        <v>7.2752516927446553</v>
      </c>
      <c r="E2768" s="6">
        <v>1.1996551375000703E-3</v>
      </c>
    </row>
    <row r="2769" spans="2:5" x14ac:dyDescent="0.3">
      <c r="B2769" s="4">
        <v>41278</v>
      </c>
      <c r="C2769" s="7">
        <v>394.33</v>
      </c>
      <c r="D2769" s="6">
        <f t="shared" si="46"/>
        <v>22.472023809523808</v>
      </c>
      <c r="E2769" s="6">
        <v>1.1933174224342924E-3</v>
      </c>
    </row>
    <row r="2770" spans="2:5" x14ac:dyDescent="0.3">
      <c r="B2770" s="4">
        <v>37525</v>
      </c>
      <c r="C2770" s="7">
        <v>16.8</v>
      </c>
      <c r="D2770" s="6">
        <f t="shared" si="46"/>
        <v>-0.98893528458711488</v>
      </c>
      <c r="E2770" s="6">
        <v>1.1918951132300103E-3</v>
      </c>
    </row>
    <row r="2771" spans="2:5" x14ac:dyDescent="0.3">
      <c r="B2771" s="4">
        <v>43704</v>
      </c>
      <c r="C2771" s="5">
        <v>1518.34</v>
      </c>
      <c r="D2771" s="6">
        <f t="shared" si="46"/>
        <v>88.472009428403069</v>
      </c>
      <c r="E2771" s="6">
        <v>1.1869123135558274E-3</v>
      </c>
    </row>
    <row r="2772" spans="2:5" x14ac:dyDescent="0.3">
      <c r="B2772" s="4">
        <v>37750</v>
      </c>
      <c r="C2772" s="7">
        <v>16.97</v>
      </c>
      <c r="D2772" s="6">
        <f t="shared" si="46"/>
        <v>-0.92618850854682266</v>
      </c>
      <c r="E2772" s="6">
        <v>1.1799410029498273E-3</v>
      </c>
    </row>
    <row r="2773" spans="2:5" x14ac:dyDescent="0.3">
      <c r="B2773" s="4">
        <v>40648</v>
      </c>
      <c r="C2773" s="7">
        <v>229.91</v>
      </c>
      <c r="D2773" s="6">
        <f t="shared" si="46"/>
        <v>7.9703472493172072</v>
      </c>
      <c r="E2773" s="6">
        <v>1.175753353074422E-3</v>
      </c>
    </row>
    <row r="2774" spans="2:5" x14ac:dyDescent="0.3">
      <c r="B2774" s="4">
        <v>38344</v>
      </c>
      <c r="C2774" s="7">
        <v>25.63</v>
      </c>
      <c r="D2774" s="6">
        <f t="shared" si="46"/>
        <v>-0.62822744415433718</v>
      </c>
      <c r="E2774" s="6">
        <v>1.1718749999999056E-3</v>
      </c>
    </row>
    <row r="2775" spans="2:5" x14ac:dyDescent="0.3">
      <c r="B2775" s="4">
        <v>39227</v>
      </c>
      <c r="C2775" s="7">
        <v>68.94</v>
      </c>
      <c r="D2775" s="6">
        <f t="shared" si="46"/>
        <v>-0.97597767115125289</v>
      </c>
      <c r="E2775" s="6">
        <v>1.1617775196049709E-3</v>
      </c>
    </row>
    <row r="2776" spans="2:5" x14ac:dyDescent="0.3">
      <c r="B2776" s="4">
        <v>45455</v>
      </c>
      <c r="C2776" s="5">
        <v>2869.83</v>
      </c>
      <c r="D2776" s="6">
        <f t="shared" si="46"/>
        <v>1.3151445235924784</v>
      </c>
      <c r="E2776" s="6">
        <v>1.1547102409890549E-3</v>
      </c>
    </row>
    <row r="2777" spans="2:5" x14ac:dyDescent="0.3">
      <c r="B2777" s="4">
        <v>43350</v>
      </c>
      <c r="C2777" s="5">
        <v>1239.5899999999999</v>
      </c>
      <c r="D2777" s="6">
        <f t="shared" si="46"/>
        <v>-0.58829644489318744</v>
      </c>
      <c r="E2777" s="6">
        <v>1.1468538245958514E-3</v>
      </c>
    </row>
    <row r="2778" spans="2:5" x14ac:dyDescent="0.3">
      <c r="B2778" s="4">
        <v>44768</v>
      </c>
      <c r="C2778" s="5">
        <v>3010.88</v>
      </c>
      <c r="D2778" s="6">
        <f t="shared" si="46"/>
        <v>0.31605909607483168</v>
      </c>
      <c r="E2778" s="6">
        <v>1.1438299683451888E-3</v>
      </c>
    </row>
    <row r="2779" spans="2:5" x14ac:dyDescent="0.3">
      <c r="B2779" s="4">
        <v>46086</v>
      </c>
      <c r="C2779" s="5">
        <v>2287.8000000000002</v>
      </c>
      <c r="D2779" s="6">
        <f t="shared" si="46"/>
        <v>8.2627231871735702</v>
      </c>
      <c r="E2779" s="6">
        <v>1.1377559950990566E-3</v>
      </c>
    </row>
    <row r="2780" spans="2:5" x14ac:dyDescent="0.3">
      <c r="B2780" s="4">
        <v>40892</v>
      </c>
      <c r="C2780" s="7">
        <v>246.99</v>
      </c>
      <c r="D2780" s="6">
        <f t="shared" si="46"/>
        <v>-0.77209898870598659</v>
      </c>
      <c r="E2780" s="6">
        <v>1.1349357545296142E-3</v>
      </c>
    </row>
    <row r="2781" spans="2:5" x14ac:dyDescent="0.3">
      <c r="B2781" s="4">
        <v>43017</v>
      </c>
      <c r="C2781" s="5">
        <v>1083.76</v>
      </c>
      <c r="D2781" s="6">
        <f t="shared" si="46"/>
        <v>2.1129111015366941</v>
      </c>
      <c r="E2781" s="6">
        <v>1.1269791416483707E-3</v>
      </c>
    </row>
    <row r="2782" spans="2:5" x14ac:dyDescent="0.3">
      <c r="B2782" s="4">
        <v>41192</v>
      </c>
      <c r="C2782" s="7">
        <v>348.15</v>
      </c>
      <c r="D2782" s="6">
        <f t="shared" si="46"/>
        <v>0.11230031948881782</v>
      </c>
      <c r="E2782" s="6">
        <v>1.121463077984778E-3</v>
      </c>
    </row>
    <row r="2783" spans="2:5" x14ac:dyDescent="0.3">
      <c r="B2783" s="4">
        <v>41031</v>
      </c>
      <c r="C2783" s="7">
        <v>313</v>
      </c>
      <c r="D2783" s="6">
        <f t="shared" si="46"/>
        <v>-0.88866835976125946</v>
      </c>
      <c r="E2783" s="6">
        <v>1.1194626579242692E-3</v>
      </c>
    </row>
    <row r="2784" spans="2:5" x14ac:dyDescent="0.3">
      <c r="B2784" s="4">
        <v>45384</v>
      </c>
      <c r="C2784" s="5">
        <v>2811.42</v>
      </c>
      <c r="D2784" s="6">
        <f t="shared" si="46"/>
        <v>2.3906845482174734</v>
      </c>
      <c r="E2784" s="6">
        <v>1.1145572572633558E-3</v>
      </c>
    </row>
    <row r="2785" spans="2:5" x14ac:dyDescent="0.3">
      <c r="B2785" s="4">
        <v>42443</v>
      </c>
      <c r="C2785" s="7">
        <v>829.16</v>
      </c>
      <c r="D2785" s="6">
        <f t="shared" si="46"/>
        <v>0.86840326287800262</v>
      </c>
      <c r="E2785" s="6">
        <v>1.1107891432434549E-3</v>
      </c>
    </row>
    <row r="2786" spans="2:5" x14ac:dyDescent="0.3">
      <c r="B2786" s="4">
        <v>41647</v>
      </c>
      <c r="C2786" s="7">
        <v>443.78</v>
      </c>
      <c r="D2786" s="6">
        <f t="shared" si="46"/>
        <v>0.13597501663850906</v>
      </c>
      <c r="E2786" s="6">
        <v>1.1053712016962987E-3</v>
      </c>
    </row>
    <row r="2787" spans="2:5" x14ac:dyDescent="0.3">
      <c r="B2787" s="4">
        <v>41267</v>
      </c>
      <c r="C2787" s="7">
        <v>390.66</v>
      </c>
      <c r="D2787" s="6">
        <f t="shared" si="46"/>
        <v>1.6838417147568014</v>
      </c>
      <c r="E2787" s="6">
        <v>1.1019142556953766E-3</v>
      </c>
    </row>
    <row r="2788" spans="2:5" x14ac:dyDescent="0.3">
      <c r="B2788" s="4">
        <v>40134</v>
      </c>
      <c r="C2788" s="7">
        <v>145.56</v>
      </c>
      <c r="D2788" s="6">
        <f t="shared" si="46"/>
        <v>-0.93714048815878115</v>
      </c>
      <c r="E2788" s="6">
        <v>1.1004126547455061E-3</v>
      </c>
    </row>
    <row r="2789" spans="2:5" x14ac:dyDescent="0.3">
      <c r="B2789" s="4">
        <v>45744</v>
      </c>
      <c r="C2789" s="5">
        <v>2315.64</v>
      </c>
      <c r="D2789" s="6">
        <f t="shared" si="46"/>
        <v>21.738020424194811</v>
      </c>
      <c r="E2789" s="6">
        <v>1.0894376426644455E-3</v>
      </c>
    </row>
    <row r="2790" spans="2:5" x14ac:dyDescent="0.3">
      <c r="B2790" s="4">
        <v>39708</v>
      </c>
      <c r="C2790" s="7">
        <v>101.84</v>
      </c>
      <c r="D2790" s="6">
        <f t="shared" si="46"/>
        <v>-0.70395348837209304</v>
      </c>
      <c r="E2790" s="6">
        <v>1.0812936203676341E-3</v>
      </c>
    </row>
    <row r="2791" spans="2:5" x14ac:dyDescent="0.3">
      <c r="B2791" s="4">
        <v>41165</v>
      </c>
      <c r="C2791" s="7">
        <v>344</v>
      </c>
      <c r="D2791" s="6">
        <f t="shared" si="46"/>
        <v>4.261547873967575</v>
      </c>
      <c r="E2791" s="6">
        <v>1.076739516340263E-3</v>
      </c>
    </row>
    <row r="2792" spans="2:5" x14ac:dyDescent="0.3">
      <c r="B2792" s="4">
        <v>39132</v>
      </c>
      <c r="C2792" s="7">
        <v>65.38</v>
      </c>
      <c r="D2792" s="6">
        <f t="shared" si="46"/>
        <v>-0.61194207027540359</v>
      </c>
      <c r="E2792" s="6">
        <v>1.0718113612003242E-3</v>
      </c>
    </row>
    <row r="2793" spans="2:5" x14ac:dyDescent="0.3">
      <c r="B2793" s="4">
        <v>40248</v>
      </c>
      <c r="C2793" s="7">
        <v>168.48</v>
      </c>
      <c r="D2793" s="6">
        <f t="shared" si="46"/>
        <v>-1.4224751066856868E-3</v>
      </c>
      <c r="E2793" s="6">
        <v>1.0695187165774118E-3</v>
      </c>
    </row>
    <row r="2794" spans="2:5" x14ac:dyDescent="0.3">
      <c r="B2794" s="4">
        <v>40246</v>
      </c>
      <c r="C2794" s="7">
        <v>168.72</v>
      </c>
      <c r="D2794" s="6">
        <f t="shared" si="46"/>
        <v>-0.86944814138475346</v>
      </c>
      <c r="E2794" s="6">
        <v>1.0679957280171285E-3</v>
      </c>
    </row>
    <row r="2795" spans="2:5" x14ac:dyDescent="0.3">
      <c r="B2795" s="4">
        <v>43643</v>
      </c>
      <c r="C2795" s="5">
        <v>1292.3599999999999</v>
      </c>
      <c r="D2795" s="6">
        <f t="shared" si="46"/>
        <v>-0.59395500816890789</v>
      </c>
      <c r="E2795" s="6">
        <v>1.0612010937341813E-3</v>
      </c>
    </row>
    <row r="2796" spans="2:5" x14ac:dyDescent="0.3">
      <c r="B2796" s="4">
        <v>45170</v>
      </c>
      <c r="C2796" s="5">
        <v>3182.8</v>
      </c>
      <c r="D2796" s="6">
        <f t="shared" si="46"/>
        <v>1.369988681717996</v>
      </c>
      <c r="E2796" s="6">
        <v>1.0599384166345368E-3</v>
      </c>
    </row>
    <row r="2797" spans="2:5" x14ac:dyDescent="0.3">
      <c r="B2797" s="4">
        <v>43320</v>
      </c>
      <c r="C2797" s="5">
        <v>1342.96</v>
      </c>
      <c r="D2797" s="6">
        <f t="shared" si="46"/>
        <v>27.113041657944315</v>
      </c>
      <c r="E2797" s="6">
        <v>1.051023070329158E-3</v>
      </c>
    </row>
    <row r="2798" spans="2:5" x14ac:dyDescent="0.3">
      <c r="B2798" s="4">
        <v>38723</v>
      </c>
      <c r="C2798" s="7">
        <v>47.77</v>
      </c>
      <c r="D2798" s="6">
        <f t="shared" si="46"/>
        <v>-0.6890581266679684</v>
      </c>
      <c r="E2798" s="6">
        <v>1.0477787091367197E-3</v>
      </c>
    </row>
    <row r="2799" spans="2:5" x14ac:dyDescent="0.3">
      <c r="B2799" s="4">
        <v>40164</v>
      </c>
      <c r="C2799" s="7">
        <v>153.63</v>
      </c>
      <c r="D2799" s="6">
        <f t="shared" si="46"/>
        <v>-0.44943377293577985</v>
      </c>
      <c r="E2799" s="6">
        <v>1.042549032384157E-3</v>
      </c>
    </row>
    <row r="2800" spans="2:5" x14ac:dyDescent="0.3">
      <c r="B2800" s="4">
        <v>40816</v>
      </c>
      <c r="C2800" s="7">
        <v>279.04000000000002</v>
      </c>
      <c r="D2800" s="6">
        <f t="shared" si="46"/>
        <v>1.6181272283730535</v>
      </c>
      <c r="E2800" s="6">
        <v>1.0403587443946923E-3</v>
      </c>
    </row>
    <row r="2801" spans="2:5" x14ac:dyDescent="0.3">
      <c r="B2801" s="4">
        <v>39672</v>
      </c>
      <c r="C2801" s="7">
        <v>106.58</v>
      </c>
      <c r="D2801" s="6">
        <f t="shared" si="46"/>
        <v>-0.93970730493123877</v>
      </c>
      <c r="E2801" s="6">
        <v>1.0331548793087201E-3</v>
      </c>
    </row>
    <row r="2802" spans="2:5" x14ac:dyDescent="0.3">
      <c r="B2802" s="4">
        <v>43868</v>
      </c>
      <c r="C2802" s="5">
        <v>1767.71</v>
      </c>
      <c r="D2802" s="6">
        <f t="shared" si="46"/>
        <v>3.0211783439490447</v>
      </c>
      <c r="E2802" s="6">
        <v>1.0249731015345973E-3</v>
      </c>
    </row>
    <row r="2803" spans="2:5" x14ac:dyDescent="0.3">
      <c r="B2803" s="4">
        <v>41565</v>
      </c>
      <c r="C2803" s="7">
        <v>439.6</v>
      </c>
      <c r="D2803" s="6">
        <f t="shared" si="46"/>
        <v>2.1304277118230644E-2</v>
      </c>
      <c r="E2803" s="6">
        <v>1.0247068199932723E-3</v>
      </c>
    </row>
    <row r="2804" spans="2:5" x14ac:dyDescent="0.3">
      <c r="B2804" s="4">
        <v>41418</v>
      </c>
      <c r="C2804" s="7">
        <v>430.43</v>
      </c>
      <c r="D2804" s="6">
        <f t="shared" si="46"/>
        <v>-0.58966414673441558</v>
      </c>
      <c r="E2804" s="6">
        <v>1.0232796111537424E-3</v>
      </c>
    </row>
    <row r="2805" spans="2:5" x14ac:dyDescent="0.3">
      <c r="B2805" s="4">
        <v>43160</v>
      </c>
      <c r="C2805" s="5">
        <v>1048.97</v>
      </c>
      <c r="D2805" s="6">
        <f t="shared" si="46"/>
        <v>-0.57051142947219291</v>
      </c>
      <c r="E2805" s="6">
        <v>1.0210897986448479E-3</v>
      </c>
    </row>
    <row r="2806" spans="2:5" x14ac:dyDescent="0.3">
      <c r="B2806" s="4">
        <v>44323</v>
      </c>
      <c r="C2806" s="5">
        <v>2442.37</v>
      </c>
      <c r="D2806" s="6">
        <f t="shared" si="46"/>
        <v>8.755688548095511E-2</v>
      </c>
      <c r="E2806" s="6">
        <v>1.0205419938684613E-3</v>
      </c>
    </row>
    <row r="2807" spans="2:5" x14ac:dyDescent="0.3">
      <c r="B2807" s="4">
        <v>45723</v>
      </c>
      <c r="C2807" s="5">
        <v>2245.7399999999998</v>
      </c>
      <c r="D2807" s="6">
        <f t="shared" si="46"/>
        <v>4.5266149870801025</v>
      </c>
      <c r="E2807" s="6">
        <v>1.0118254311401453E-3</v>
      </c>
    </row>
    <row r="2808" spans="2:5" x14ac:dyDescent="0.3">
      <c r="B2808" s="4">
        <v>41374</v>
      </c>
      <c r="C2808" s="7">
        <v>406.35</v>
      </c>
      <c r="D2808" s="6">
        <f t="shared" si="46"/>
        <v>3.076953948028494</v>
      </c>
      <c r="E2808" s="6">
        <v>1.0100014780510052E-3</v>
      </c>
    </row>
    <row r="2809" spans="2:5" x14ac:dyDescent="0.3">
      <c r="B2809" s="4">
        <v>39542</v>
      </c>
      <c r="C2809" s="7">
        <v>99.67</v>
      </c>
      <c r="D2809" s="6">
        <f t="shared" si="46"/>
        <v>-0.96946646733736075</v>
      </c>
      <c r="E2809" s="6">
        <v>1.0043185698504421E-3</v>
      </c>
    </row>
    <row r="2810" spans="2:5" x14ac:dyDescent="0.3">
      <c r="B2810" s="4">
        <v>45145</v>
      </c>
      <c r="C2810" s="5">
        <v>3264.28</v>
      </c>
      <c r="D2810" s="6">
        <f t="shared" si="46"/>
        <v>9.4406844714537037</v>
      </c>
      <c r="E2810" s="6">
        <v>1.0027568146065121E-3</v>
      </c>
    </row>
    <row r="2811" spans="2:5" x14ac:dyDescent="0.3">
      <c r="B2811" s="4">
        <v>41029</v>
      </c>
      <c r="C2811" s="7">
        <v>312.64999999999998</v>
      </c>
      <c r="D2811" s="6">
        <f t="shared" si="46"/>
        <v>-0.73831345469763554</v>
      </c>
      <c r="E2811" s="6">
        <v>9.9250816418006756E-4</v>
      </c>
    </row>
    <row r="2812" spans="2:5" x14ac:dyDescent="0.3">
      <c r="B2812" s="4">
        <v>43279</v>
      </c>
      <c r="C2812" s="5">
        <v>1194.75</v>
      </c>
      <c r="D2812" s="6">
        <f t="shared" si="46"/>
        <v>-0.63362577851647195</v>
      </c>
      <c r="E2812" s="6">
        <v>9.8863074641626701E-4</v>
      </c>
    </row>
    <row r="2813" spans="2:5" x14ac:dyDescent="0.3">
      <c r="B2813" s="4">
        <v>45142</v>
      </c>
      <c r="C2813" s="5">
        <v>3261.01</v>
      </c>
      <c r="D2813" s="6">
        <f t="shared" si="46"/>
        <v>2.3134957730450338</v>
      </c>
      <c r="E2813" s="6">
        <v>9.8840011173226467E-4</v>
      </c>
    </row>
    <row r="2814" spans="2:5" x14ac:dyDescent="0.3">
      <c r="B2814" s="4">
        <v>42578</v>
      </c>
      <c r="C2814" s="7">
        <v>984.16</v>
      </c>
      <c r="D2814" s="6">
        <f t="shared" si="46"/>
        <v>-0.57921200590033572</v>
      </c>
      <c r="E2814" s="6">
        <v>9.8658448519605931E-4</v>
      </c>
    </row>
    <row r="2815" spans="2:5" x14ac:dyDescent="0.3">
      <c r="B2815" s="4">
        <v>45943</v>
      </c>
      <c r="C2815" s="5">
        <v>2338.85</v>
      </c>
      <c r="D2815" s="6">
        <f t="shared" si="46"/>
        <v>7.4990370289618076</v>
      </c>
      <c r="E2815" s="6">
        <v>9.8435727889397925E-4</v>
      </c>
    </row>
    <row r="2816" spans="2:5" x14ac:dyDescent="0.3">
      <c r="B2816" s="4">
        <v>40749</v>
      </c>
      <c r="C2816" s="7">
        <v>275.19</v>
      </c>
      <c r="D2816" s="6">
        <f t="shared" si="46"/>
        <v>-0.65394917193767832</v>
      </c>
      <c r="E2816" s="6">
        <v>9.8210388476641141E-4</v>
      </c>
    </row>
    <row r="2817" spans="2:5" x14ac:dyDescent="0.3">
      <c r="B2817" s="4">
        <v>42426</v>
      </c>
      <c r="C2817" s="7">
        <v>795.23</v>
      </c>
      <c r="D2817" s="6">
        <f t="shared" si="46"/>
        <v>-0.70262771156873671</v>
      </c>
      <c r="E2817" s="6">
        <v>9.8181131600474881E-4</v>
      </c>
    </row>
    <row r="2818" spans="2:5" x14ac:dyDescent="0.3">
      <c r="B2818" s="4">
        <v>44736</v>
      </c>
      <c r="C2818" s="5">
        <v>2674.19</v>
      </c>
      <c r="D2818" s="6">
        <f t="shared" si="46"/>
        <v>-6.5674176146686358E-2</v>
      </c>
      <c r="E2818" s="6">
        <v>9.7694996968091061E-4</v>
      </c>
    </row>
    <row r="2819" spans="2:5" x14ac:dyDescent="0.3">
      <c r="B2819" s="4">
        <v>44420</v>
      </c>
      <c r="C2819" s="5">
        <v>2862.16</v>
      </c>
      <c r="D2819" s="6">
        <f t="shared" si="46"/>
        <v>2.0248995983935738</v>
      </c>
      <c r="E2819" s="6">
        <v>9.7573941112901223E-4</v>
      </c>
    </row>
    <row r="2820" spans="2:5" x14ac:dyDescent="0.3">
      <c r="B2820" s="4">
        <v>42527</v>
      </c>
      <c r="C2820" s="7">
        <v>946.2</v>
      </c>
      <c r="D2820" s="6">
        <f t="shared" si="46"/>
        <v>29.61145260433517</v>
      </c>
      <c r="E2820" s="6">
        <v>9.732566012187635E-4</v>
      </c>
    </row>
    <row r="2821" spans="2:5" x14ac:dyDescent="0.3">
      <c r="B2821" s="4">
        <v>38512</v>
      </c>
      <c r="C2821" s="7">
        <v>30.91</v>
      </c>
      <c r="D2821" s="6">
        <f t="shared" si="46"/>
        <v>-0.99001376297952359</v>
      </c>
      <c r="E2821" s="6">
        <v>9.7150259067361197E-4</v>
      </c>
    </row>
    <row r="2822" spans="2:5" x14ac:dyDescent="0.3">
      <c r="B2822" s="4">
        <v>45203</v>
      </c>
      <c r="C2822" s="5">
        <v>3095.26</v>
      </c>
      <c r="D2822" s="6">
        <f t="shared" si="46"/>
        <v>6.2288757064785845</v>
      </c>
      <c r="E2822" s="6">
        <v>9.6369022210149725E-4</v>
      </c>
    </row>
    <row r="2823" spans="2:5" x14ac:dyDescent="0.3">
      <c r="B2823" s="4">
        <v>41687</v>
      </c>
      <c r="C2823" s="7">
        <v>428.18</v>
      </c>
      <c r="D2823" s="6">
        <f t="shared" si="46"/>
        <v>-0.86594952679412807</v>
      </c>
      <c r="E2823" s="6">
        <v>9.5845898496861636E-4</v>
      </c>
    </row>
    <row r="2824" spans="2:5" x14ac:dyDescent="0.3">
      <c r="B2824" s="4">
        <v>44462</v>
      </c>
      <c r="C2824" s="5">
        <v>3194.17</v>
      </c>
      <c r="D2824" s="6">
        <f t="shared" ref="D2824:D2887" si="47">((C2824-C2825)/C2825)</f>
        <v>8.1675850984444054</v>
      </c>
      <c r="E2824" s="6">
        <v>9.495039390312554E-4</v>
      </c>
    </row>
    <row r="2825" spans="2:5" x14ac:dyDescent="0.3">
      <c r="B2825" s="4">
        <v>41194</v>
      </c>
      <c r="C2825" s="7">
        <v>348.42</v>
      </c>
      <c r="D2825" s="6">
        <f t="shared" si="47"/>
        <v>-0.44909479010198439</v>
      </c>
      <c r="E2825" s="6">
        <v>9.4803068172036244E-4</v>
      </c>
    </row>
    <row r="2826" spans="2:5" x14ac:dyDescent="0.3">
      <c r="B2826" s="4">
        <v>41968</v>
      </c>
      <c r="C2826" s="7">
        <v>632.45000000000005</v>
      </c>
      <c r="D2826" s="6">
        <f t="shared" si="47"/>
        <v>1.2538398489006095</v>
      </c>
      <c r="E2826" s="6">
        <v>9.337511474061213E-4</v>
      </c>
    </row>
    <row r="2827" spans="2:5" x14ac:dyDescent="0.3">
      <c r="B2827" s="4">
        <v>40828</v>
      </c>
      <c r="C2827" s="7">
        <v>280.61</v>
      </c>
      <c r="D2827" s="6">
        <f t="shared" si="47"/>
        <v>-0.69237093962748164</v>
      </c>
      <c r="E2827" s="6">
        <v>9.2741216336718704E-4</v>
      </c>
    </row>
    <row r="2828" spans="2:5" x14ac:dyDescent="0.3">
      <c r="B2828" s="4">
        <v>42781</v>
      </c>
      <c r="C2828" s="7">
        <v>912.17</v>
      </c>
      <c r="D2828" s="6">
        <f t="shared" si="47"/>
        <v>-0.68318630175048622</v>
      </c>
      <c r="E2828" s="6">
        <v>9.1074681238607674E-4</v>
      </c>
    </row>
    <row r="2829" spans="2:5" x14ac:dyDescent="0.3">
      <c r="B2829" s="4">
        <v>45985</v>
      </c>
      <c r="C2829" s="5">
        <v>2879.2</v>
      </c>
      <c r="D2829" s="6">
        <f t="shared" si="47"/>
        <v>5.824365963498459</v>
      </c>
      <c r="E2829" s="6">
        <v>9.0384481679757673E-4</v>
      </c>
    </row>
    <row r="2830" spans="2:5" x14ac:dyDescent="0.3">
      <c r="B2830" s="4">
        <v>41463</v>
      </c>
      <c r="C2830" s="7">
        <v>421.9</v>
      </c>
      <c r="D2830" s="6">
        <f t="shared" si="47"/>
        <v>-0.68426094310111285</v>
      </c>
      <c r="E2830" s="6">
        <v>9.0149933573732081E-4</v>
      </c>
    </row>
    <row r="2831" spans="2:5" x14ac:dyDescent="0.3">
      <c r="B2831" s="4">
        <v>43322</v>
      </c>
      <c r="C2831" s="5">
        <v>1336.23</v>
      </c>
      <c r="D2831" s="6">
        <f t="shared" si="47"/>
        <v>57.709578207381369</v>
      </c>
      <c r="E2831" s="6">
        <v>8.8386202763946202E-4</v>
      </c>
    </row>
    <row r="2832" spans="2:5" x14ac:dyDescent="0.3">
      <c r="B2832" s="4">
        <v>37867</v>
      </c>
      <c r="C2832" s="7">
        <v>22.76</v>
      </c>
      <c r="D2832" s="6">
        <f t="shared" si="47"/>
        <v>-0.98958924160644035</v>
      </c>
      <c r="E2832" s="6">
        <v>8.7950747581368193E-4</v>
      </c>
    </row>
    <row r="2833" spans="2:5" x14ac:dyDescent="0.3">
      <c r="B2833" s="4">
        <v>46119</v>
      </c>
      <c r="C2833" s="5">
        <v>2186.1999999999998</v>
      </c>
      <c r="D2833" s="6">
        <f t="shared" si="47"/>
        <v>3.6334484878028102</v>
      </c>
      <c r="E2833" s="6">
        <v>8.6984388591294058E-4</v>
      </c>
    </row>
    <row r="2834" spans="2:5" x14ac:dyDescent="0.3">
      <c r="B2834" s="4">
        <v>41571</v>
      </c>
      <c r="C2834" s="7">
        <v>471.83</v>
      </c>
      <c r="D2834" s="6">
        <f t="shared" si="47"/>
        <v>19.425541125541123</v>
      </c>
      <c r="E2834" s="6">
        <v>8.6971278265658681E-4</v>
      </c>
    </row>
    <row r="2835" spans="2:5" x14ac:dyDescent="0.3">
      <c r="B2835" s="4">
        <v>37888</v>
      </c>
      <c r="C2835" s="7">
        <v>23.1</v>
      </c>
      <c r="D2835" s="6">
        <f t="shared" si="47"/>
        <v>-0.98641815616180628</v>
      </c>
      <c r="E2835" s="6">
        <v>8.6655112651659995E-4</v>
      </c>
    </row>
    <row r="2836" spans="2:5" x14ac:dyDescent="0.3">
      <c r="B2836" s="4">
        <v>43857</v>
      </c>
      <c r="C2836" s="5">
        <v>1700.8</v>
      </c>
      <c r="D2836" s="6">
        <f t="shared" si="47"/>
        <v>28.253525971792222</v>
      </c>
      <c r="E2836" s="6">
        <v>8.6504681256732198E-4</v>
      </c>
    </row>
    <row r="2837" spans="2:5" x14ac:dyDescent="0.3">
      <c r="B2837" s="4">
        <v>39062</v>
      </c>
      <c r="C2837" s="7">
        <v>58.14</v>
      </c>
      <c r="D2837" s="6">
        <f t="shared" si="47"/>
        <v>1.4963503649635037</v>
      </c>
      <c r="E2837" s="6">
        <v>8.6073334480972897E-4</v>
      </c>
    </row>
    <row r="2838" spans="2:5" x14ac:dyDescent="0.3">
      <c r="B2838" s="4">
        <v>38303</v>
      </c>
      <c r="C2838" s="7">
        <v>23.29</v>
      </c>
      <c r="D2838" s="6">
        <f t="shared" si="47"/>
        <v>-1.2864493996569955E-3</v>
      </c>
      <c r="E2838" s="6">
        <v>8.5947571981089704E-4</v>
      </c>
    </row>
    <row r="2839" spans="2:5" x14ac:dyDescent="0.3">
      <c r="B2839" s="4">
        <v>38083</v>
      </c>
      <c r="C2839" s="7">
        <v>23.32</v>
      </c>
      <c r="D2839" s="6">
        <f t="shared" si="47"/>
        <v>-0.77794705770329453</v>
      </c>
      <c r="E2839" s="6">
        <v>8.5836909871242798E-4</v>
      </c>
    </row>
    <row r="2840" spans="2:5" x14ac:dyDescent="0.3">
      <c r="B2840" s="4">
        <v>39666</v>
      </c>
      <c r="C2840" s="7">
        <v>105.02</v>
      </c>
      <c r="D2840" s="6">
        <f t="shared" si="47"/>
        <v>3.4918733960650128</v>
      </c>
      <c r="E2840" s="6">
        <v>8.5771466692070137E-4</v>
      </c>
    </row>
    <row r="2841" spans="2:5" x14ac:dyDescent="0.3">
      <c r="B2841" s="4">
        <v>38096</v>
      </c>
      <c r="C2841" s="7">
        <v>23.38</v>
      </c>
      <c r="D2841" s="6">
        <f t="shared" si="47"/>
        <v>-0.86820001127459268</v>
      </c>
      <c r="E2841" s="6">
        <v>8.5616438356162557E-4</v>
      </c>
    </row>
    <row r="2842" spans="2:5" x14ac:dyDescent="0.3">
      <c r="B2842" s="4">
        <v>40275</v>
      </c>
      <c r="C2842" s="7">
        <v>177.39</v>
      </c>
      <c r="D2842" s="6">
        <f t="shared" si="47"/>
        <v>-0.58548895899053632</v>
      </c>
      <c r="E2842" s="6">
        <v>8.4631008801612083E-4</v>
      </c>
    </row>
    <row r="2843" spans="2:5" x14ac:dyDescent="0.3">
      <c r="B2843" s="4">
        <v>41662</v>
      </c>
      <c r="C2843" s="7">
        <v>427.95</v>
      </c>
      <c r="D2843" s="6">
        <f t="shared" si="47"/>
        <v>6.1755533199195174</v>
      </c>
      <c r="E2843" s="6">
        <v>8.4192801515473622E-4</v>
      </c>
    </row>
    <row r="2844" spans="2:5" x14ac:dyDescent="0.3">
      <c r="B2844" s="4">
        <v>39092</v>
      </c>
      <c r="C2844" s="7">
        <v>59.64</v>
      </c>
      <c r="D2844" s="6">
        <f t="shared" si="47"/>
        <v>0.2445742904841402</v>
      </c>
      <c r="E2844" s="6">
        <v>8.3906695754316419E-4</v>
      </c>
    </row>
    <row r="2845" spans="2:5" x14ac:dyDescent="0.3">
      <c r="B2845" s="4">
        <v>38919</v>
      </c>
      <c r="C2845" s="7">
        <v>47.92</v>
      </c>
      <c r="D2845" s="6">
        <f t="shared" si="47"/>
        <v>-0.88891722107605642</v>
      </c>
      <c r="E2845" s="6">
        <v>8.3542188805344917E-4</v>
      </c>
    </row>
    <row r="2846" spans="2:5" x14ac:dyDescent="0.3">
      <c r="B2846" s="4">
        <v>41667</v>
      </c>
      <c r="C2846" s="7">
        <v>431.39</v>
      </c>
      <c r="D2846" s="6">
        <f t="shared" si="47"/>
        <v>-0.84676726128314972</v>
      </c>
      <c r="E2846" s="6">
        <v>8.3520868617036786E-4</v>
      </c>
    </row>
    <row r="2847" spans="2:5" x14ac:dyDescent="0.3">
      <c r="B2847" s="4">
        <v>45044</v>
      </c>
      <c r="C2847" s="5">
        <v>2815.26</v>
      </c>
      <c r="D2847" s="6">
        <f t="shared" si="47"/>
        <v>115.42928039702235</v>
      </c>
      <c r="E2847" s="6">
        <v>8.2831780385590195E-4</v>
      </c>
    </row>
    <row r="2848" spans="2:5" x14ac:dyDescent="0.3">
      <c r="B2848" s="4">
        <v>38194</v>
      </c>
      <c r="C2848" s="7">
        <v>24.18</v>
      </c>
      <c r="D2848" s="6">
        <f t="shared" si="47"/>
        <v>-8.2644628099171795E-4</v>
      </c>
      <c r="E2848" s="6">
        <v>8.2781456953640617E-4</v>
      </c>
    </row>
    <row r="2849" spans="2:5" x14ac:dyDescent="0.3">
      <c r="B2849" s="4">
        <v>38175</v>
      </c>
      <c r="C2849" s="7">
        <v>24.2</v>
      </c>
      <c r="D2849" s="6">
        <f t="shared" si="47"/>
        <v>-4.1305245766218762E-4</v>
      </c>
      <c r="E2849" s="6">
        <v>8.2712985938790623E-4</v>
      </c>
    </row>
    <row r="2850" spans="2:5" x14ac:dyDescent="0.3">
      <c r="B2850" s="4">
        <v>38224</v>
      </c>
      <c r="C2850" s="7">
        <v>24.21</v>
      </c>
      <c r="D2850" s="6">
        <f t="shared" si="47"/>
        <v>-0.99155887172692725</v>
      </c>
      <c r="E2850" s="6">
        <v>8.2678792889622041E-4</v>
      </c>
    </row>
    <row r="2851" spans="2:5" x14ac:dyDescent="0.3">
      <c r="B2851" s="4">
        <v>45418</v>
      </c>
      <c r="C2851" s="5">
        <v>2868.1</v>
      </c>
      <c r="D2851" s="6">
        <f t="shared" si="47"/>
        <v>115.87449062754686</v>
      </c>
      <c r="E2851" s="6">
        <v>8.1653732343241951E-4</v>
      </c>
    </row>
    <row r="2852" spans="2:5" x14ac:dyDescent="0.3">
      <c r="B2852" s="4">
        <v>38163</v>
      </c>
      <c r="C2852" s="7">
        <v>24.54</v>
      </c>
      <c r="D2852" s="6">
        <f t="shared" si="47"/>
        <v>-8.1433224755698595E-4</v>
      </c>
      <c r="E2852" s="6">
        <v>8.1566068515495811E-4</v>
      </c>
    </row>
    <row r="2853" spans="2:5" x14ac:dyDescent="0.3">
      <c r="B2853" s="4">
        <v>38177</v>
      </c>
      <c r="C2853" s="7">
        <v>24.56</v>
      </c>
      <c r="D2853" s="6">
        <f t="shared" si="47"/>
        <v>-0.89028367210185388</v>
      </c>
      <c r="E2853" s="6">
        <v>8.1499592502035751E-4</v>
      </c>
    </row>
    <row r="2854" spans="2:5" x14ac:dyDescent="0.3">
      <c r="B2854" s="4">
        <v>40640</v>
      </c>
      <c r="C2854" s="7">
        <v>223.85</v>
      </c>
      <c r="D2854" s="6">
        <f t="shared" si="47"/>
        <v>-0.79779594417596311</v>
      </c>
      <c r="E2854" s="6">
        <v>8.0475700809230939E-4</v>
      </c>
    </row>
    <row r="2855" spans="2:5" x14ac:dyDescent="0.3">
      <c r="B2855" s="4">
        <v>43039</v>
      </c>
      <c r="C2855" s="5">
        <v>1107.05</v>
      </c>
      <c r="D2855" s="6">
        <f t="shared" si="47"/>
        <v>1.7760224679655958</v>
      </c>
      <c r="E2855" s="6">
        <v>8.0458523179275385E-4</v>
      </c>
    </row>
    <row r="2856" spans="2:5" x14ac:dyDescent="0.3">
      <c r="B2856" s="4">
        <v>41534</v>
      </c>
      <c r="C2856" s="7">
        <v>398.79</v>
      </c>
      <c r="D2856" s="6">
        <f t="shared" si="47"/>
        <v>-0.63950534698932415</v>
      </c>
      <c r="E2856" s="6">
        <v>8.0307174944159703E-4</v>
      </c>
    </row>
    <row r="2857" spans="2:5" x14ac:dyDescent="0.3">
      <c r="B2857" s="4">
        <v>42641</v>
      </c>
      <c r="C2857" s="5">
        <v>1106.23</v>
      </c>
      <c r="D2857" s="6">
        <f t="shared" si="47"/>
        <v>-0.15626453920723654</v>
      </c>
      <c r="E2857" s="6">
        <v>7.9612792328231713E-4</v>
      </c>
    </row>
    <row r="2858" spans="2:5" x14ac:dyDescent="0.3">
      <c r="B2858" s="4">
        <v>43635</v>
      </c>
      <c r="C2858" s="5">
        <v>1311.11</v>
      </c>
      <c r="D2858" s="6">
        <f t="shared" si="47"/>
        <v>11.965882120253163</v>
      </c>
      <c r="E2858" s="6">
        <v>7.9385071026736253E-4</v>
      </c>
    </row>
    <row r="2859" spans="2:5" x14ac:dyDescent="0.3">
      <c r="B2859" s="4">
        <v>39554</v>
      </c>
      <c r="C2859" s="7">
        <v>101.12</v>
      </c>
      <c r="D2859" s="6">
        <f t="shared" si="47"/>
        <v>-0.80490816484025318</v>
      </c>
      <c r="E2859" s="6">
        <v>7.9176563737132113E-4</v>
      </c>
    </row>
    <row r="2860" spans="2:5" x14ac:dyDescent="0.3">
      <c r="B2860" s="4">
        <v>41810</v>
      </c>
      <c r="C2860" s="7">
        <v>518.32000000000005</v>
      </c>
      <c r="D2860" s="6">
        <f t="shared" si="47"/>
        <v>-0.69241177133836962</v>
      </c>
      <c r="E2860" s="6">
        <v>7.9164333571485758E-4</v>
      </c>
    </row>
    <row r="2861" spans="2:5" x14ac:dyDescent="0.3">
      <c r="B2861" s="4">
        <v>43783</v>
      </c>
      <c r="C2861" s="5">
        <v>1685.11</v>
      </c>
      <c r="D2861" s="6">
        <f t="shared" si="47"/>
        <v>-0.24702291850057864</v>
      </c>
      <c r="E2861" s="6">
        <v>7.8988941548178938E-4</v>
      </c>
    </row>
    <row r="2862" spans="2:5" x14ac:dyDescent="0.3">
      <c r="B2862" s="4">
        <v>45679</v>
      </c>
      <c r="C2862" s="5">
        <v>2237.9299999999998</v>
      </c>
      <c r="D2862" s="6">
        <f t="shared" si="47"/>
        <v>41.546197718631177</v>
      </c>
      <c r="E2862" s="6">
        <v>7.7363384312674108E-4</v>
      </c>
    </row>
    <row r="2863" spans="2:5" x14ac:dyDescent="0.3">
      <c r="B2863" s="4">
        <v>38845</v>
      </c>
      <c r="C2863" s="7">
        <v>52.6</v>
      </c>
      <c r="D2863" s="6">
        <f t="shared" si="47"/>
        <v>-0.98239854905149604</v>
      </c>
      <c r="E2863" s="6">
        <v>7.6103500761033377E-4</v>
      </c>
    </row>
    <row r="2864" spans="2:5" x14ac:dyDescent="0.3">
      <c r="B2864" s="4">
        <v>45518</v>
      </c>
      <c r="C2864" s="5">
        <v>2988.39</v>
      </c>
      <c r="D2864" s="6">
        <f t="shared" si="47"/>
        <v>0.34538832438175582</v>
      </c>
      <c r="E2864" s="6">
        <v>7.6018378363896361E-4</v>
      </c>
    </row>
    <row r="2865" spans="2:5" x14ac:dyDescent="0.3">
      <c r="B2865" s="4">
        <v>45814</v>
      </c>
      <c r="C2865" s="5">
        <v>2221.21</v>
      </c>
      <c r="D2865" s="6">
        <f t="shared" si="47"/>
        <v>4.7453506117275808</v>
      </c>
      <c r="E2865" s="6">
        <v>7.5691700495142487E-4</v>
      </c>
    </row>
    <row r="2866" spans="2:5" x14ac:dyDescent="0.3">
      <c r="B2866" s="4">
        <v>41253</v>
      </c>
      <c r="C2866" s="7">
        <v>386.61</v>
      </c>
      <c r="D2866" s="6">
        <f t="shared" si="47"/>
        <v>1.6351986912957535</v>
      </c>
      <c r="E2866" s="6">
        <v>7.5067301718787654E-4</v>
      </c>
    </row>
    <row r="2867" spans="2:5" x14ac:dyDescent="0.3">
      <c r="B2867" s="4">
        <v>40137</v>
      </c>
      <c r="C2867" s="7">
        <v>146.71</v>
      </c>
      <c r="D2867" s="6">
        <f t="shared" si="47"/>
        <v>-0.69684884802148983</v>
      </c>
      <c r="E2867" s="6">
        <v>7.5034106412014763E-4</v>
      </c>
    </row>
    <row r="2868" spans="2:5" x14ac:dyDescent="0.3">
      <c r="B2868" s="4">
        <v>41745</v>
      </c>
      <c r="C2868" s="7">
        <v>483.95</v>
      </c>
      <c r="D2868" s="6">
        <f t="shared" si="47"/>
        <v>-0.82306530807731826</v>
      </c>
      <c r="E2868" s="6">
        <v>7.4443226700306804E-4</v>
      </c>
    </row>
    <row r="2869" spans="2:5" x14ac:dyDescent="0.3">
      <c r="B2869" s="4">
        <v>44707</v>
      </c>
      <c r="C2869" s="5">
        <v>2735.19</v>
      </c>
      <c r="D2869" s="6">
        <f t="shared" si="47"/>
        <v>-5.3331625872189661E-2</v>
      </c>
      <c r="E2869" s="6">
        <v>7.3906855409651862E-4</v>
      </c>
    </row>
    <row r="2870" spans="2:5" x14ac:dyDescent="0.3">
      <c r="B2870" s="4">
        <v>45334</v>
      </c>
      <c r="C2870" s="5">
        <v>2889.28</v>
      </c>
      <c r="D2870" s="6">
        <f t="shared" si="47"/>
        <v>9.3897299435434576</v>
      </c>
      <c r="E2870" s="6">
        <v>7.2735333439562613E-4</v>
      </c>
    </row>
    <row r="2871" spans="2:5" x14ac:dyDescent="0.3">
      <c r="B2871" s="4">
        <v>40700</v>
      </c>
      <c r="C2871" s="7">
        <v>278.08999999999997</v>
      </c>
      <c r="D2871" s="6">
        <f t="shared" si="47"/>
        <v>-0.73684658768310696</v>
      </c>
      <c r="E2871" s="6">
        <v>7.1970923746802204E-4</v>
      </c>
    </row>
    <row r="2872" spans="2:5" x14ac:dyDescent="0.3">
      <c r="B2872" s="4">
        <v>43152</v>
      </c>
      <c r="C2872" s="5">
        <v>1056.76</v>
      </c>
      <c r="D2872" s="6">
        <f t="shared" si="47"/>
        <v>-0.2181009670521557</v>
      </c>
      <c r="E2872" s="6">
        <v>7.1022054715390954E-4</v>
      </c>
    </row>
    <row r="2873" spans="2:5" x14ac:dyDescent="0.3">
      <c r="B2873" s="4">
        <v>43308</v>
      </c>
      <c r="C2873" s="5">
        <v>1351.53</v>
      </c>
      <c r="D2873" s="6">
        <f t="shared" si="47"/>
        <v>0.83025025729917101</v>
      </c>
      <c r="E2873" s="6">
        <v>6.9599212196155358E-4</v>
      </c>
    </row>
    <row r="2874" spans="2:5" x14ac:dyDescent="0.3">
      <c r="B2874" s="4">
        <v>42324</v>
      </c>
      <c r="C2874" s="7">
        <v>738.44</v>
      </c>
      <c r="D2874" s="6">
        <f t="shared" si="47"/>
        <v>2.1717206425564819</v>
      </c>
      <c r="E2874" s="6">
        <v>6.9112246419051216E-4</v>
      </c>
    </row>
    <row r="2875" spans="2:5" x14ac:dyDescent="0.3">
      <c r="B2875" s="4">
        <v>40464</v>
      </c>
      <c r="C2875" s="7">
        <v>232.82</v>
      </c>
      <c r="D2875" s="6">
        <f t="shared" si="47"/>
        <v>0.44348688697377397</v>
      </c>
      <c r="E2875" s="6">
        <v>6.8769878793087163E-4</v>
      </c>
    </row>
    <row r="2876" spans="2:5" x14ac:dyDescent="0.3">
      <c r="B2876" s="4">
        <v>40228</v>
      </c>
      <c r="C2876" s="7">
        <v>161.29</v>
      </c>
      <c r="D2876" s="6">
        <f t="shared" si="47"/>
        <v>-0.80250284692715546</v>
      </c>
      <c r="E2876" s="6">
        <v>6.8246680729609885E-4</v>
      </c>
    </row>
    <row r="2877" spans="2:5" x14ac:dyDescent="0.3">
      <c r="B2877" s="4">
        <v>42480</v>
      </c>
      <c r="C2877" s="7">
        <v>816.67</v>
      </c>
      <c r="D2877" s="6">
        <f t="shared" si="47"/>
        <v>2.2256497353661429</v>
      </c>
      <c r="E2877" s="6">
        <v>6.7392050188692172E-4</v>
      </c>
    </row>
    <row r="2878" spans="2:5" x14ac:dyDescent="0.3">
      <c r="B2878" s="4">
        <v>40884</v>
      </c>
      <c r="C2878" s="7">
        <v>253.18</v>
      </c>
      <c r="D2878" s="6">
        <f t="shared" si="47"/>
        <v>-0.88570628890784908</v>
      </c>
      <c r="E2878" s="6">
        <v>6.7191020117788203E-4</v>
      </c>
    </row>
    <row r="2879" spans="2:5" x14ac:dyDescent="0.3">
      <c r="B2879" s="4">
        <v>45707</v>
      </c>
      <c r="C2879" s="5">
        <v>2215.17</v>
      </c>
      <c r="D2879" s="6">
        <f t="shared" si="47"/>
        <v>-8.8294851216199427E-2</v>
      </c>
      <c r="E2879" s="6">
        <v>6.685669628538857E-4</v>
      </c>
    </row>
    <row r="2880" spans="2:5" x14ac:dyDescent="0.3">
      <c r="B2880" s="4">
        <v>46076</v>
      </c>
      <c r="C2880" s="5">
        <v>2429.6999999999998</v>
      </c>
      <c r="D2880" s="6">
        <f t="shared" si="47"/>
        <v>77.554801163918526</v>
      </c>
      <c r="E2880" s="6">
        <v>6.5895144351546856E-4</v>
      </c>
    </row>
    <row r="2881" spans="2:5" x14ac:dyDescent="0.3">
      <c r="B2881" s="4">
        <v>38455</v>
      </c>
      <c r="C2881" s="7">
        <v>30.93</v>
      </c>
      <c r="D2881" s="6">
        <f t="shared" si="47"/>
        <v>-0.97656463100469759</v>
      </c>
      <c r="E2881" s="6">
        <v>6.4703979294725242E-4</v>
      </c>
    </row>
    <row r="2882" spans="2:5" x14ac:dyDescent="0.3">
      <c r="B2882" s="4">
        <v>43517</v>
      </c>
      <c r="C2882" s="5">
        <v>1319.8</v>
      </c>
      <c r="D2882" s="6">
        <f t="shared" si="47"/>
        <v>-0.56029091829833455</v>
      </c>
      <c r="E2882" s="6">
        <v>6.4445202623291938E-4</v>
      </c>
    </row>
    <row r="2883" spans="2:5" x14ac:dyDescent="0.3">
      <c r="B2883" s="4">
        <v>45579</v>
      </c>
      <c r="C2883" s="5">
        <v>3001.53</v>
      </c>
      <c r="D2883" s="6">
        <f t="shared" si="47"/>
        <v>4.3594921791300631</v>
      </c>
      <c r="E2883" s="6">
        <v>6.4341912254977035E-4</v>
      </c>
    </row>
    <row r="2884" spans="2:5" x14ac:dyDescent="0.3">
      <c r="B2884" s="4">
        <v>41863</v>
      </c>
      <c r="C2884" s="7">
        <v>560.04</v>
      </c>
      <c r="D2884" s="6">
        <f t="shared" si="47"/>
        <v>16.847036328871891</v>
      </c>
      <c r="E2884" s="6">
        <v>6.4322469982849785E-4</v>
      </c>
    </row>
    <row r="2885" spans="2:5" x14ac:dyDescent="0.3">
      <c r="B2885" s="4">
        <v>38499</v>
      </c>
      <c r="C2885" s="7">
        <v>31.38</v>
      </c>
      <c r="D2885" s="6">
        <f t="shared" si="47"/>
        <v>-0.98986663222139692</v>
      </c>
      <c r="E2885" s="6">
        <v>6.3775510204080272E-4</v>
      </c>
    </row>
    <row r="2886" spans="2:5" x14ac:dyDescent="0.3">
      <c r="B2886" s="4">
        <v>45310</v>
      </c>
      <c r="C2886" s="5">
        <v>3096.7</v>
      </c>
      <c r="D2886" s="6">
        <f t="shared" si="47"/>
        <v>2.0150817373694103</v>
      </c>
      <c r="E2886" s="6">
        <v>6.3333268707550122E-4</v>
      </c>
    </row>
    <row r="2887" spans="2:5" x14ac:dyDescent="0.3">
      <c r="B2887" s="4">
        <v>42852</v>
      </c>
      <c r="C2887" s="5">
        <v>1027.07</v>
      </c>
      <c r="D2887" s="6">
        <f t="shared" si="47"/>
        <v>-7.9150042587528557E-2</v>
      </c>
      <c r="E2887" s="6">
        <v>6.3326903216993392E-4</v>
      </c>
    </row>
    <row r="2888" spans="2:5" x14ac:dyDescent="0.3">
      <c r="B2888" s="4">
        <v>43112</v>
      </c>
      <c r="C2888" s="5">
        <v>1115.3499999999999</v>
      </c>
      <c r="D2888" s="6">
        <f t="shared" ref="D2888:D2951" si="48">((C2888-C2889)/C2889)</f>
        <v>-5.0933937523415665E-3</v>
      </c>
      <c r="E2888" s="6">
        <v>6.2799982057131659E-4</v>
      </c>
    </row>
    <row r="2889" spans="2:5" x14ac:dyDescent="0.3">
      <c r="B2889" s="4">
        <v>42649</v>
      </c>
      <c r="C2889" s="5">
        <v>1121.06</v>
      </c>
      <c r="D2889" s="6">
        <f t="shared" si="48"/>
        <v>-0.64403448330607904</v>
      </c>
      <c r="E2889" s="6">
        <v>6.2479917169485299E-4</v>
      </c>
    </row>
    <row r="2890" spans="2:5" x14ac:dyDescent="0.3">
      <c r="B2890" s="4">
        <v>45175</v>
      </c>
      <c r="C2890" s="5">
        <v>3149.35</v>
      </c>
      <c r="D2890" s="6">
        <f t="shared" si="48"/>
        <v>193.64462299134735</v>
      </c>
      <c r="E2890" s="6">
        <v>6.1955900108019886E-4</v>
      </c>
    </row>
    <row r="2891" spans="2:5" x14ac:dyDescent="0.3">
      <c r="B2891" s="4">
        <v>37663</v>
      </c>
      <c r="C2891" s="7">
        <v>16.18</v>
      </c>
      <c r="D2891" s="6">
        <f t="shared" si="48"/>
        <v>-0.80161844041196662</v>
      </c>
      <c r="E2891" s="6">
        <v>6.1842918985763817E-4</v>
      </c>
    </row>
    <row r="2892" spans="2:5" x14ac:dyDescent="0.3">
      <c r="B2892" s="4">
        <v>39756</v>
      </c>
      <c r="C2892" s="7">
        <v>81.56</v>
      </c>
      <c r="D2892" s="6">
        <f t="shared" si="48"/>
        <v>3.9671132764920825</v>
      </c>
      <c r="E2892" s="6">
        <v>6.1342166605321004E-4</v>
      </c>
    </row>
    <row r="2893" spans="2:5" x14ac:dyDescent="0.3">
      <c r="B2893" s="4">
        <v>37585</v>
      </c>
      <c r="C2893" s="7">
        <v>16.420000000000002</v>
      </c>
      <c r="D2893" s="6">
        <f t="shared" si="48"/>
        <v>-1.8237082066867834E-3</v>
      </c>
      <c r="E2893" s="6">
        <v>6.0938452163324575E-4</v>
      </c>
    </row>
    <row r="2894" spans="2:5" x14ac:dyDescent="0.3">
      <c r="B2894" s="4">
        <v>37630</v>
      </c>
      <c r="C2894" s="7">
        <v>16.45</v>
      </c>
      <c r="D2894" s="6">
        <f t="shared" si="48"/>
        <v>-0.97228960312647383</v>
      </c>
      <c r="E2894" s="6">
        <v>6.0827250608260397E-4</v>
      </c>
    </row>
    <row r="2895" spans="2:5" x14ac:dyDescent="0.3">
      <c r="B2895" s="4">
        <v>41954</v>
      </c>
      <c r="C2895" s="7">
        <v>593.64</v>
      </c>
      <c r="D2895" s="6">
        <f t="shared" si="48"/>
        <v>34.761445783132523</v>
      </c>
      <c r="E2895" s="6">
        <v>6.0679611650487741E-4</v>
      </c>
    </row>
    <row r="2896" spans="2:5" x14ac:dyDescent="0.3">
      <c r="B2896" s="4">
        <v>37496</v>
      </c>
      <c r="C2896" s="7">
        <v>16.600000000000001</v>
      </c>
      <c r="D2896" s="6">
        <f t="shared" si="48"/>
        <v>-1.8039687312085139E-3</v>
      </c>
      <c r="E2896" s="6">
        <v>6.0277275467158305E-4</v>
      </c>
    </row>
    <row r="2897" spans="2:5" x14ac:dyDescent="0.3">
      <c r="B2897" s="4">
        <v>37641</v>
      </c>
      <c r="C2897" s="7">
        <v>16.63</v>
      </c>
      <c r="D2897" s="6">
        <f t="shared" si="48"/>
        <v>-3.5949670461355465E-3</v>
      </c>
      <c r="E2897" s="6">
        <v>6.0168471720806313E-4</v>
      </c>
    </row>
    <row r="2898" spans="2:5" x14ac:dyDescent="0.3">
      <c r="B2898" s="4">
        <v>37498</v>
      </c>
      <c r="C2898" s="7">
        <v>16.690000000000001</v>
      </c>
      <c r="D2898" s="6">
        <f t="shared" si="48"/>
        <v>-1.1968880909634693E-3</v>
      </c>
      <c r="E2898" s="6">
        <v>5.9952038369313931E-4</v>
      </c>
    </row>
    <row r="2899" spans="2:5" x14ac:dyDescent="0.3">
      <c r="B2899" s="4">
        <v>37545</v>
      </c>
      <c r="C2899" s="7">
        <v>16.71</v>
      </c>
      <c r="D2899" s="6">
        <f t="shared" si="48"/>
        <v>-0.7549134643590496</v>
      </c>
      <c r="E2899" s="6">
        <v>5.9880239520967451E-4</v>
      </c>
    </row>
    <row r="2900" spans="2:5" x14ac:dyDescent="0.3">
      <c r="B2900" s="4">
        <v>39220</v>
      </c>
      <c r="C2900" s="7">
        <v>68.180000000000007</v>
      </c>
      <c r="D2900" s="6">
        <f t="shared" si="48"/>
        <v>-0.95556105954739801</v>
      </c>
      <c r="E2900" s="6">
        <v>5.8702670971538383E-4</v>
      </c>
    </row>
    <row r="2901" spans="2:5" x14ac:dyDescent="0.3">
      <c r="B2901" s="4">
        <v>43707</v>
      </c>
      <c r="C2901" s="5">
        <v>1534.24</v>
      </c>
      <c r="D2901" s="6">
        <f t="shared" si="48"/>
        <v>3.684702290076336</v>
      </c>
      <c r="E2901" s="6">
        <v>5.8695396976540814E-4</v>
      </c>
    </row>
    <row r="2902" spans="2:5" x14ac:dyDescent="0.3">
      <c r="B2902" s="4">
        <v>41108</v>
      </c>
      <c r="C2902" s="7">
        <v>327.5</v>
      </c>
      <c r="D2902" s="6">
        <f t="shared" si="48"/>
        <v>-0.21413831165714836</v>
      </c>
      <c r="E2902" s="6">
        <v>5.8048944425773033E-4</v>
      </c>
    </row>
    <row r="2903" spans="2:5" x14ac:dyDescent="0.3">
      <c r="B2903" s="4">
        <v>41389</v>
      </c>
      <c r="C2903" s="7">
        <v>416.74</v>
      </c>
      <c r="D2903" s="6">
        <f t="shared" si="48"/>
        <v>-0.48411774900349092</v>
      </c>
      <c r="E2903" s="6">
        <v>5.7623049219690059E-4</v>
      </c>
    </row>
    <row r="2904" spans="2:5" x14ac:dyDescent="0.3">
      <c r="B2904" s="4">
        <v>42438</v>
      </c>
      <c r="C2904" s="7">
        <v>807.82</v>
      </c>
      <c r="D2904" s="6">
        <f t="shared" si="48"/>
        <v>-0.67793995112207917</v>
      </c>
      <c r="E2904" s="6">
        <v>5.6975822433615281E-4</v>
      </c>
    </row>
    <row r="2905" spans="2:5" x14ac:dyDescent="0.3">
      <c r="B2905" s="4">
        <v>45964</v>
      </c>
      <c r="C2905" s="5">
        <v>2508.29</v>
      </c>
      <c r="D2905" s="6">
        <f t="shared" si="48"/>
        <v>0.83367936252650032</v>
      </c>
      <c r="E2905" s="6">
        <v>5.5846088180976864E-4</v>
      </c>
    </row>
    <row r="2906" spans="2:5" x14ac:dyDescent="0.3">
      <c r="B2906" s="4">
        <v>43581</v>
      </c>
      <c r="C2906" s="5">
        <v>1367.9</v>
      </c>
      <c r="D2906" s="6">
        <f t="shared" si="48"/>
        <v>3.3344412884510864E-2</v>
      </c>
      <c r="E2906" s="6">
        <v>5.4858647551475691E-4</v>
      </c>
    </row>
    <row r="2907" spans="2:5" x14ac:dyDescent="0.3">
      <c r="B2907" s="4">
        <v>43474</v>
      </c>
      <c r="C2907" s="5">
        <v>1323.76</v>
      </c>
      <c r="D2907" s="6">
        <f t="shared" si="48"/>
        <v>0.2348046714674826</v>
      </c>
      <c r="E2907" s="6">
        <v>5.3663882695290154E-4</v>
      </c>
    </row>
    <row r="2908" spans="2:5" x14ac:dyDescent="0.3">
      <c r="B2908" s="4">
        <v>43196</v>
      </c>
      <c r="C2908" s="5">
        <v>1072.04</v>
      </c>
      <c r="D2908" s="6">
        <f t="shared" si="48"/>
        <v>55.51238798102267</v>
      </c>
      <c r="E2908" s="6">
        <v>5.3197943012864225E-4</v>
      </c>
    </row>
    <row r="2909" spans="2:5" x14ac:dyDescent="0.3">
      <c r="B2909" s="4">
        <v>37792</v>
      </c>
      <c r="C2909" s="7">
        <v>18.97</v>
      </c>
      <c r="D2909" s="6">
        <f t="shared" si="48"/>
        <v>-0.99351202344837497</v>
      </c>
      <c r="E2909" s="6">
        <v>5.2742616033744775E-4</v>
      </c>
    </row>
    <row r="2910" spans="2:5" x14ac:dyDescent="0.3">
      <c r="B2910" s="4">
        <v>44434</v>
      </c>
      <c r="C2910" s="5">
        <v>2923.87</v>
      </c>
      <c r="D2910" s="6">
        <f t="shared" si="48"/>
        <v>49.455047454702331</v>
      </c>
      <c r="E2910" s="6">
        <v>5.2697676169356767E-4</v>
      </c>
    </row>
    <row r="2911" spans="2:5" x14ac:dyDescent="0.3">
      <c r="B2911" s="4">
        <v>39028</v>
      </c>
      <c r="C2911" s="7">
        <v>57.95</v>
      </c>
      <c r="D2911" s="6">
        <f t="shared" si="48"/>
        <v>-2.1280189157236919E-2</v>
      </c>
      <c r="E2911" s="6">
        <v>5.1795580110499198E-4</v>
      </c>
    </row>
    <row r="2912" spans="2:5" x14ac:dyDescent="0.3">
      <c r="B2912" s="4">
        <v>39055</v>
      </c>
      <c r="C2912" s="7">
        <v>59.21</v>
      </c>
      <c r="D2912" s="6">
        <f t="shared" si="48"/>
        <v>-0.50105334119828093</v>
      </c>
      <c r="E2912" s="6">
        <v>5.0692801622171573E-4</v>
      </c>
    </row>
    <row r="2913" spans="2:5" x14ac:dyDescent="0.3">
      <c r="B2913" s="4">
        <v>40072</v>
      </c>
      <c r="C2913" s="7">
        <v>118.67</v>
      </c>
      <c r="D2913" s="6">
        <f t="shared" si="48"/>
        <v>-0.71507803121248492</v>
      </c>
      <c r="E2913" s="6">
        <v>5.0585953966783808E-4</v>
      </c>
    </row>
    <row r="2914" spans="2:5" x14ac:dyDescent="0.3">
      <c r="B2914" s="4">
        <v>41387</v>
      </c>
      <c r="C2914" s="7">
        <v>416.5</v>
      </c>
      <c r="D2914" s="6">
        <f t="shared" si="48"/>
        <v>-0.60950684417776113</v>
      </c>
      <c r="E2914" s="6">
        <v>5.0445602824948838E-4</v>
      </c>
    </row>
    <row r="2915" spans="2:5" x14ac:dyDescent="0.3">
      <c r="B2915" s="4">
        <v>43088</v>
      </c>
      <c r="C2915" s="5">
        <v>1066.5999999999999</v>
      </c>
      <c r="D2915" s="6">
        <f t="shared" si="48"/>
        <v>-0.60866470497589475</v>
      </c>
      <c r="E2915" s="6">
        <v>4.8776827254988541E-4</v>
      </c>
    </row>
    <row r="2916" spans="2:5" x14ac:dyDescent="0.3">
      <c r="B2916" s="4">
        <v>45022</v>
      </c>
      <c r="C2916" s="5">
        <v>2725.54</v>
      </c>
      <c r="D2916" s="6">
        <f t="shared" si="48"/>
        <v>-0.10350861612443797</v>
      </c>
      <c r="E2916" s="6">
        <v>4.8086982376669568E-4</v>
      </c>
    </row>
    <row r="2917" spans="2:5" x14ac:dyDescent="0.3">
      <c r="B2917" s="4">
        <v>45216</v>
      </c>
      <c r="C2917" s="5">
        <v>3040.23</v>
      </c>
      <c r="D2917" s="6">
        <f t="shared" si="48"/>
        <v>35.305588727012186</v>
      </c>
      <c r="E2917" s="6">
        <v>4.8045755354963896E-4</v>
      </c>
    </row>
    <row r="2918" spans="2:5" x14ac:dyDescent="0.3">
      <c r="B2918" s="4">
        <v>39423</v>
      </c>
      <c r="C2918" s="7">
        <v>83.74</v>
      </c>
      <c r="D2918" s="6">
        <f t="shared" si="48"/>
        <v>-0.20828212158457032</v>
      </c>
      <c r="E2918" s="6">
        <v>4.7789725209070537E-4</v>
      </c>
    </row>
    <row r="2919" spans="2:5" x14ac:dyDescent="0.3">
      <c r="B2919" s="4">
        <v>39609</v>
      </c>
      <c r="C2919" s="7">
        <v>105.77</v>
      </c>
      <c r="D2919" s="6">
        <f t="shared" si="48"/>
        <v>-0.54603201854156835</v>
      </c>
      <c r="E2919" s="6">
        <v>4.7294740824817592E-4</v>
      </c>
    </row>
    <row r="2920" spans="2:5" x14ac:dyDescent="0.3">
      <c r="B2920" s="4">
        <v>40452</v>
      </c>
      <c r="C2920" s="7">
        <v>232.99</v>
      </c>
      <c r="D2920" s="6">
        <f t="shared" si="48"/>
        <v>-0.78455179301289046</v>
      </c>
      <c r="E2920" s="6">
        <v>4.7234627275856081E-4</v>
      </c>
    </row>
    <row r="2921" spans="2:5" x14ac:dyDescent="0.3">
      <c r="B2921" s="4">
        <v>42937</v>
      </c>
      <c r="C2921" s="5">
        <v>1081.42</v>
      </c>
      <c r="D2921" s="6">
        <f t="shared" si="48"/>
        <v>0.36556722901303179</v>
      </c>
      <c r="E2921" s="6">
        <v>4.7182466625342616E-4</v>
      </c>
    </row>
    <row r="2922" spans="2:5" x14ac:dyDescent="0.3">
      <c r="B2922" s="4">
        <v>42397</v>
      </c>
      <c r="C2922" s="7">
        <v>791.92</v>
      </c>
      <c r="D2922" s="6">
        <f t="shared" si="48"/>
        <v>-0.51493620644244487</v>
      </c>
      <c r="E2922" s="6">
        <v>4.6743730655044477E-4</v>
      </c>
    </row>
    <row r="2923" spans="2:5" x14ac:dyDescent="0.3">
      <c r="B2923" s="4">
        <v>43805</v>
      </c>
      <c r="C2923" s="5">
        <v>1632.61</v>
      </c>
      <c r="D2923" s="6">
        <f t="shared" si="48"/>
        <v>-0.20861952796668909</v>
      </c>
      <c r="E2923" s="6">
        <v>4.6572908049146122E-4</v>
      </c>
    </row>
    <row r="2924" spans="2:5" x14ac:dyDescent="0.3">
      <c r="B2924" s="4">
        <v>44161</v>
      </c>
      <c r="C2924" s="5">
        <v>2062.9899999999998</v>
      </c>
      <c r="D2924" s="6">
        <f t="shared" si="48"/>
        <v>4.9322233724407631</v>
      </c>
      <c r="E2924" s="6">
        <v>4.6556063684795155E-4</v>
      </c>
    </row>
    <row r="2925" spans="2:5" x14ac:dyDescent="0.3">
      <c r="B2925" s="4">
        <v>41191</v>
      </c>
      <c r="C2925" s="7">
        <v>347.76</v>
      </c>
      <c r="D2925" s="6">
        <f t="shared" si="48"/>
        <v>-0.8870736768273082</v>
      </c>
      <c r="E2925" s="6">
        <v>4.6029919447631808E-4</v>
      </c>
    </row>
    <row r="2926" spans="2:5" x14ac:dyDescent="0.3">
      <c r="B2926" s="4">
        <v>44594</v>
      </c>
      <c r="C2926" s="5">
        <v>3079.53</v>
      </c>
      <c r="D2926" s="6">
        <f t="shared" si="48"/>
        <v>33.129779452510249</v>
      </c>
      <c r="E2926" s="6">
        <v>4.5482159622890875E-4</v>
      </c>
    </row>
    <row r="2927" spans="2:5" x14ac:dyDescent="0.3">
      <c r="B2927" s="4">
        <v>39651</v>
      </c>
      <c r="C2927" s="7">
        <v>90.23</v>
      </c>
      <c r="D2927" s="6">
        <f t="shared" si="48"/>
        <v>-1.3556357275609434E-2</v>
      </c>
      <c r="E2927" s="6">
        <v>4.4350814946231569E-4</v>
      </c>
    </row>
    <row r="2928" spans="2:5" x14ac:dyDescent="0.3">
      <c r="B2928" s="4">
        <v>39464</v>
      </c>
      <c r="C2928" s="7">
        <v>91.47</v>
      </c>
      <c r="D2928" s="6">
        <f t="shared" si="48"/>
        <v>-0.94414625657183682</v>
      </c>
      <c r="E2928" s="6">
        <v>4.3749316416922277E-4</v>
      </c>
    </row>
    <row r="2929" spans="2:5" x14ac:dyDescent="0.3">
      <c r="B2929" s="4">
        <v>43745</v>
      </c>
      <c r="C2929" s="5">
        <v>1637.67</v>
      </c>
      <c r="D2929" s="6">
        <f t="shared" si="48"/>
        <v>34.485807150595882</v>
      </c>
      <c r="E2929" s="6">
        <v>4.3373081810186952E-4</v>
      </c>
    </row>
    <row r="2930" spans="2:5" x14ac:dyDescent="0.3">
      <c r="B2930" s="4">
        <v>38868</v>
      </c>
      <c r="C2930" s="7">
        <v>46.15</v>
      </c>
      <c r="D2930" s="6">
        <f t="shared" si="48"/>
        <v>0.99956672443674188</v>
      </c>
      <c r="E2930" s="6">
        <v>4.3355733795785863E-4</v>
      </c>
    </row>
    <row r="2931" spans="2:5" x14ac:dyDescent="0.3">
      <c r="B2931" s="4">
        <v>38044</v>
      </c>
      <c r="C2931" s="7">
        <v>23.08</v>
      </c>
      <c r="D2931" s="6">
        <f t="shared" si="48"/>
        <v>-0.90073545223861351</v>
      </c>
      <c r="E2931" s="6">
        <v>4.3346337234495059E-4</v>
      </c>
    </row>
    <row r="2932" spans="2:5" x14ac:dyDescent="0.3">
      <c r="B2932" s="4">
        <v>40469</v>
      </c>
      <c r="C2932" s="7">
        <v>232.51</v>
      </c>
      <c r="D2932" s="6">
        <f t="shared" si="48"/>
        <v>8.9661380197171034</v>
      </c>
      <c r="E2932" s="6">
        <v>4.3027408459186056E-4</v>
      </c>
    </row>
    <row r="2933" spans="2:5" x14ac:dyDescent="0.3">
      <c r="B2933" s="4">
        <v>37936</v>
      </c>
      <c r="C2933" s="7">
        <v>23.33</v>
      </c>
      <c r="D2933" s="6">
        <f t="shared" si="48"/>
        <v>-2.1385799828913905E-3</v>
      </c>
      <c r="E2933" s="6">
        <v>4.2881646655223028E-4</v>
      </c>
    </row>
    <row r="2934" spans="2:5" x14ac:dyDescent="0.3">
      <c r="B2934" s="4">
        <v>38106</v>
      </c>
      <c r="C2934" s="7">
        <v>23.38</v>
      </c>
      <c r="D2934" s="6">
        <f t="shared" si="48"/>
        <v>-2.1340162185232913E-3</v>
      </c>
      <c r="E2934" s="6">
        <v>4.2789901583217843E-4</v>
      </c>
    </row>
    <row r="2935" spans="2:5" x14ac:dyDescent="0.3">
      <c r="B2935" s="4">
        <v>38111</v>
      </c>
      <c r="C2935" s="7">
        <v>23.43</v>
      </c>
      <c r="D2935" s="6">
        <f t="shared" si="48"/>
        <v>-0.50223072020395154</v>
      </c>
      <c r="E2935" s="6">
        <v>4.2698548249351021E-4</v>
      </c>
    </row>
    <row r="2936" spans="2:5" x14ac:dyDescent="0.3">
      <c r="B2936" s="4">
        <v>38894</v>
      </c>
      <c r="C2936" s="7">
        <v>47.07</v>
      </c>
      <c r="D2936" s="6">
        <f t="shared" si="48"/>
        <v>-0.98415722281871509</v>
      </c>
      <c r="E2936" s="6">
        <v>4.2507970244427476E-4</v>
      </c>
    </row>
    <row r="2937" spans="2:5" x14ac:dyDescent="0.3">
      <c r="B2937" s="4">
        <v>44764</v>
      </c>
      <c r="C2937" s="5">
        <v>2971.07</v>
      </c>
      <c r="D2937" s="6">
        <f t="shared" si="48"/>
        <v>39.991583885209714</v>
      </c>
      <c r="E2937" s="6">
        <v>4.2426956606658956E-4</v>
      </c>
    </row>
    <row r="2938" spans="2:5" x14ac:dyDescent="0.3">
      <c r="B2938" s="4">
        <v>39290</v>
      </c>
      <c r="C2938" s="7">
        <v>72.48</v>
      </c>
      <c r="D2938" s="6">
        <f t="shared" si="48"/>
        <v>-0.97521449651026404</v>
      </c>
      <c r="E2938" s="6">
        <v>4.1407867494825583E-4</v>
      </c>
    </row>
    <row r="2939" spans="2:5" x14ac:dyDescent="0.3">
      <c r="B2939" s="4">
        <v>44761</v>
      </c>
      <c r="C2939" s="5">
        <v>2924.29</v>
      </c>
      <c r="D2939" s="6">
        <f t="shared" si="48"/>
        <v>23.193679159427482</v>
      </c>
      <c r="E2939" s="6">
        <v>4.1394693268745174E-4</v>
      </c>
    </row>
    <row r="2940" spans="2:5" x14ac:dyDescent="0.3">
      <c r="B2940" s="4">
        <v>40056</v>
      </c>
      <c r="C2940" s="7">
        <v>120.87</v>
      </c>
      <c r="D2940" s="6">
        <f t="shared" si="48"/>
        <v>3.998759305210918</v>
      </c>
      <c r="E2940" s="6">
        <v>4.138387684159193E-4</v>
      </c>
    </row>
    <row r="2941" spans="2:5" x14ac:dyDescent="0.3">
      <c r="B2941" s="4">
        <v>38173</v>
      </c>
      <c r="C2941" s="7">
        <v>24.18</v>
      </c>
      <c r="D2941" s="6">
        <f t="shared" si="48"/>
        <v>-0.99248223157711468</v>
      </c>
      <c r="E2941" s="6">
        <v>4.1373603640868889E-4</v>
      </c>
    </row>
    <row r="2942" spans="2:5" x14ac:dyDescent="0.3">
      <c r="B2942" s="4">
        <v>45302</v>
      </c>
      <c r="C2942" s="5">
        <v>3216.38</v>
      </c>
      <c r="D2942" s="6">
        <f t="shared" si="48"/>
        <v>130.12026090501425</v>
      </c>
      <c r="E2942" s="6">
        <v>4.1056776545388385E-4</v>
      </c>
    </row>
    <row r="2943" spans="2:5" x14ac:dyDescent="0.3">
      <c r="B2943" s="4">
        <v>38035</v>
      </c>
      <c r="C2943" s="7">
        <v>24.53</v>
      </c>
      <c r="D2943" s="6">
        <f t="shared" si="48"/>
        <v>-4.0749796251010639E-4</v>
      </c>
      <c r="E2943" s="6">
        <v>4.0783034257755154E-4</v>
      </c>
    </row>
    <row r="2944" spans="2:5" x14ac:dyDescent="0.3">
      <c r="B2944" s="4">
        <v>38022</v>
      </c>
      <c r="C2944" s="7">
        <v>24.54</v>
      </c>
      <c r="D2944" s="6">
        <f t="shared" si="48"/>
        <v>-4.0733197556014512E-4</v>
      </c>
      <c r="E2944" s="6">
        <v>4.0766408479404854E-4</v>
      </c>
    </row>
    <row r="2945" spans="2:5" x14ac:dyDescent="0.3">
      <c r="B2945" s="4">
        <v>38027</v>
      </c>
      <c r="C2945" s="7">
        <v>24.55</v>
      </c>
      <c r="D2945" s="6">
        <f t="shared" si="48"/>
        <v>-0.66976055959106817</v>
      </c>
      <c r="E2945" s="6">
        <v>4.0749796251025118E-4</v>
      </c>
    </row>
    <row r="2946" spans="2:5" x14ac:dyDescent="0.3">
      <c r="B2946" s="4">
        <v>39793</v>
      </c>
      <c r="C2946" s="7">
        <v>74.34</v>
      </c>
      <c r="D2946" s="6">
        <f t="shared" si="48"/>
        <v>-0.97001004506158139</v>
      </c>
      <c r="E2946" s="6">
        <v>4.0371417036739516E-4</v>
      </c>
    </row>
    <row r="2947" spans="2:5" x14ac:dyDescent="0.3">
      <c r="B2947" s="4">
        <v>45922</v>
      </c>
      <c r="C2947" s="5">
        <v>2478.83</v>
      </c>
      <c r="D2947" s="6">
        <f t="shared" si="48"/>
        <v>98.073940847322149</v>
      </c>
      <c r="E2947" s="6">
        <v>4.0357893802238251E-4</v>
      </c>
    </row>
    <row r="2948" spans="2:5" x14ac:dyDescent="0.3">
      <c r="B2948" s="4">
        <v>38211</v>
      </c>
      <c r="C2948" s="7">
        <v>25.02</v>
      </c>
      <c r="D2948" s="6">
        <f t="shared" si="48"/>
        <v>-0.75237529691211402</v>
      </c>
      <c r="E2948" s="6">
        <v>3.9984006397433066E-4</v>
      </c>
    </row>
    <row r="2949" spans="2:5" x14ac:dyDescent="0.3">
      <c r="B2949" s="4">
        <v>39553</v>
      </c>
      <c r="C2949" s="7">
        <v>101.04</v>
      </c>
      <c r="D2949" s="6">
        <f t="shared" si="48"/>
        <v>-0.43060016906170745</v>
      </c>
      <c r="E2949" s="6">
        <v>3.9603960396045797E-4</v>
      </c>
    </row>
    <row r="2950" spans="2:5" x14ac:dyDescent="0.3">
      <c r="B2950" s="4">
        <v>40280</v>
      </c>
      <c r="C2950" s="7">
        <v>177.45</v>
      </c>
      <c r="D2950" s="6">
        <f t="shared" si="48"/>
        <v>-0.94064542456332834</v>
      </c>
      <c r="E2950" s="6">
        <v>3.9463299131803576E-4</v>
      </c>
    </row>
    <row r="2951" spans="2:5" x14ac:dyDescent="0.3">
      <c r="B2951" s="4">
        <v>44915</v>
      </c>
      <c r="C2951" s="5">
        <v>2989.66</v>
      </c>
      <c r="D2951" s="6">
        <f t="shared" si="48"/>
        <v>-1.2694428849773804E-2</v>
      </c>
      <c r="E2951" s="6">
        <v>3.8815459260493711E-4</v>
      </c>
    </row>
    <row r="2952" spans="2:5" x14ac:dyDescent="0.3">
      <c r="B2952" s="4">
        <v>44529</v>
      </c>
      <c r="C2952" s="5">
        <v>3028.1</v>
      </c>
      <c r="D2952" s="6">
        <f t="shared" ref="D2952:D3015" si="49">((C2952-C2953)/C2953)</f>
        <v>55.305317962067676</v>
      </c>
      <c r="E2952" s="6">
        <v>3.7992038190260525E-4</v>
      </c>
    </row>
    <row r="2953" spans="2:5" x14ac:dyDescent="0.3">
      <c r="B2953" s="4">
        <v>38775</v>
      </c>
      <c r="C2953" s="7">
        <v>53.78</v>
      </c>
      <c r="D2953" s="6">
        <f t="shared" si="49"/>
        <v>-0.34502496650834247</v>
      </c>
      <c r="E2953" s="6">
        <v>3.7202380952386767E-4</v>
      </c>
    </row>
    <row r="2954" spans="2:5" x14ac:dyDescent="0.3">
      <c r="B2954" s="4">
        <v>39351</v>
      </c>
      <c r="C2954" s="7">
        <v>82.11</v>
      </c>
      <c r="D2954" s="6">
        <f t="shared" si="49"/>
        <v>-0.88890542551752127</v>
      </c>
      <c r="E2954" s="6">
        <v>3.6549707602340567E-4</v>
      </c>
    </row>
    <row r="2955" spans="2:5" x14ac:dyDescent="0.3">
      <c r="B2955" s="4">
        <v>42076</v>
      </c>
      <c r="C2955" s="7">
        <v>739.1</v>
      </c>
      <c r="D2955" s="6">
        <f t="shared" si="49"/>
        <v>2.3687329079307204</v>
      </c>
      <c r="E2955" s="6">
        <v>3.6544265933974231E-4</v>
      </c>
    </row>
    <row r="2956" spans="2:5" x14ac:dyDescent="0.3">
      <c r="B2956" s="4">
        <v>40611</v>
      </c>
      <c r="C2956" s="7">
        <v>219.4</v>
      </c>
      <c r="D2956" s="6">
        <f t="shared" si="49"/>
        <v>-0.78749576250665898</v>
      </c>
      <c r="E2956" s="6">
        <v>3.6476381542956642E-4</v>
      </c>
    </row>
    <row r="2957" spans="2:5" x14ac:dyDescent="0.3">
      <c r="B2957" s="4">
        <v>42604</v>
      </c>
      <c r="C2957" s="5">
        <v>1032.45</v>
      </c>
      <c r="D2957" s="6">
        <f t="shared" si="49"/>
        <v>35.768162393162399</v>
      </c>
      <c r="E2957" s="6">
        <v>3.5849934113646063E-4</v>
      </c>
    </row>
    <row r="2958" spans="2:5" x14ac:dyDescent="0.3">
      <c r="B2958" s="4">
        <v>38393</v>
      </c>
      <c r="C2958" s="7">
        <v>28.08</v>
      </c>
      <c r="D2958" s="6">
        <f t="shared" si="49"/>
        <v>-0.99031577204817289</v>
      </c>
      <c r="E2958" s="6">
        <v>3.5625222657634524E-4</v>
      </c>
    </row>
    <row r="2959" spans="2:5" x14ac:dyDescent="0.3">
      <c r="B2959" s="4">
        <v>45478</v>
      </c>
      <c r="C2959" s="5">
        <v>2899.56</v>
      </c>
      <c r="D2959" s="6">
        <f t="shared" si="49"/>
        <v>-0.15511278042128387</v>
      </c>
      <c r="E2959" s="6">
        <v>3.4154772870752877E-4</v>
      </c>
    </row>
    <row r="2960" spans="2:5" x14ac:dyDescent="0.3">
      <c r="B2960" s="4">
        <v>45126</v>
      </c>
      <c r="C2960" s="5">
        <v>3431.89</v>
      </c>
      <c r="D2960" s="6">
        <f t="shared" si="49"/>
        <v>5.4442587550464756</v>
      </c>
      <c r="E2960" s="6">
        <v>3.4103628392875921E-4</v>
      </c>
    </row>
    <row r="2961" spans="2:5" x14ac:dyDescent="0.3">
      <c r="B2961" s="4">
        <v>41822</v>
      </c>
      <c r="C2961" s="7">
        <v>532.54999999999995</v>
      </c>
      <c r="D2961" s="6">
        <f t="shared" si="49"/>
        <v>7.7923064223212801</v>
      </c>
      <c r="E2961" s="6">
        <v>3.3811071247431292E-4</v>
      </c>
    </row>
    <row r="2962" spans="2:5" x14ac:dyDescent="0.3">
      <c r="B2962" s="4">
        <v>39140</v>
      </c>
      <c r="C2962" s="7">
        <v>60.57</v>
      </c>
      <c r="D2962" s="6">
        <f t="shared" si="49"/>
        <v>-0.96242136218684471</v>
      </c>
      <c r="E2962" s="6">
        <v>3.3030553261772301E-4</v>
      </c>
    </row>
    <row r="2963" spans="2:5" x14ac:dyDescent="0.3">
      <c r="B2963" s="4">
        <v>44013</v>
      </c>
      <c r="C2963" s="5">
        <v>1611.82</v>
      </c>
      <c r="D2963" s="6">
        <f t="shared" si="49"/>
        <v>51.280895231916965</v>
      </c>
      <c r="E2963" s="6">
        <v>3.2892899478056259E-4</v>
      </c>
    </row>
    <row r="2964" spans="2:5" x14ac:dyDescent="0.3">
      <c r="B2964" s="4">
        <v>38492</v>
      </c>
      <c r="C2964" s="7">
        <v>30.83</v>
      </c>
      <c r="D2964" s="6">
        <f t="shared" si="49"/>
        <v>-2.5881591717891246E-3</v>
      </c>
      <c r="E2964" s="6">
        <v>3.2446463335489978E-4</v>
      </c>
    </row>
    <row r="2965" spans="2:5" x14ac:dyDescent="0.3">
      <c r="B2965" s="4">
        <v>38435</v>
      </c>
      <c r="C2965" s="7">
        <v>30.91</v>
      </c>
      <c r="D2965" s="6">
        <f t="shared" si="49"/>
        <v>-3.2341526520056801E-4</v>
      </c>
      <c r="E2965" s="6">
        <v>3.2362459546930625E-4</v>
      </c>
    </row>
    <row r="2966" spans="2:5" x14ac:dyDescent="0.3">
      <c r="B2966" s="4">
        <v>38439</v>
      </c>
      <c r="C2966" s="7">
        <v>30.92</v>
      </c>
      <c r="D2966" s="6">
        <f t="shared" si="49"/>
        <v>-0.85739322940688123</v>
      </c>
      <c r="E2966" s="6">
        <v>3.2351989647368368E-4</v>
      </c>
    </row>
    <row r="2967" spans="2:5" x14ac:dyDescent="0.3">
      <c r="B2967" s="4">
        <v>40380</v>
      </c>
      <c r="C2967" s="7">
        <v>216.82</v>
      </c>
      <c r="D2967" s="6">
        <f t="shared" si="49"/>
        <v>5.9382399999999995</v>
      </c>
      <c r="E2967" s="6">
        <v>3.2295271049593161E-4</v>
      </c>
    </row>
    <row r="2968" spans="2:5" x14ac:dyDescent="0.3">
      <c r="B2968" s="4">
        <v>38518</v>
      </c>
      <c r="C2968" s="7">
        <v>31.25</v>
      </c>
      <c r="D2968" s="6">
        <f t="shared" si="49"/>
        <v>-0.97632970262532004</v>
      </c>
      <c r="E2968" s="6">
        <v>3.2010243277853919E-4</v>
      </c>
    </row>
    <row r="2969" spans="2:5" x14ac:dyDescent="0.3">
      <c r="B2969" s="4">
        <v>43521</v>
      </c>
      <c r="C2969" s="5">
        <v>1320.22</v>
      </c>
      <c r="D2969" s="6">
        <f t="shared" si="49"/>
        <v>-0.56548984501762434</v>
      </c>
      <c r="E2969" s="6">
        <v>3.1823003485382086E-4</v>
      </c>
    </row>
    <row r="2970" spans="2:5" x14ac:dyDescent="0.3">
      <c r="B2970" s="4">
        <v>44658</v>
      </c>
      <c r="C2970" s="5">
        <v>3038.41</v>
      </c>
      <c r="D2970" s="6">
        <f t="shared" si="49"/>
        <v>-3.9201487487272327E-2</v>
      </c>
      <c r="E2970" s="6">
        <v>3.1605458526067474E-4</v>
      </c>
    </row>
    <row r="2971" spans="2:5" x14ac:dyDescent="0.3">
      <c r="B2971" s="4">
        <v>45271</v>
      </c>
      <c r="C2971" s="5">
        <v>3162.38</v>
      </c>
      <c r="D2971" s="6">
        <f t="shared" si="49"/>
        <v>0.82035769587216434</v>
      </c>
      <c r="E2971" s="6">
        <v>3.0998924527108815E-4</v>
      </c>
    </row>
    <row r="2972" spans="2:5" x14ac:dyDescent="0.3">
      <c r="B2972" s="4">
        <v>43887</v>
      </c>
      <c r="C2972" s="5">
        <v>1737.23</v>
      </c>
      <c r="D2972" s="6">
        <f t="shared" si="49"/>
        <v>-0.36763613861386135</v>
      </c>
      <c r="E2972" s="6">
        <v>3.0517648413656514E-4</v>
      </c>
    </row>
    <row r="2973" spans="2:5" x14ac:dyDescent="0.3">
      <c r="B2973" s="4">
        <v>45401</v>
      </c>
      <c r="C2973" s="5">
        <v>2747.2</v>
      </c>
      <c r="D2973" s="6">
        <f t="shared" si="49"/>
        <v>80.567695961995256</v>
      </c>
      <c r="E2973" s="6">
        <v>3.0221710840124504E-4</v>
      </c>
    </row>
    <row r="2974" spans="2:5" x14ac:dyDescent="0.3">
      <c r="B2974" s="4">
        <v>38546</v>
      </c>
      <c r="C2974" s="7">
        <v>33.68</v>
      </c>
      <c r="D2974" s="6">
        <f t="shared" si="49"/>
        <v>-0.92892565471542832</v>
      </c>
      <c r="E2974" s="6">
        <v>2.9700029700023789E-4</v>
      </c>
    </row>
    <row r="2975" spans="2:5" x14ac:dyDescent="0.3">
      <c r="B2975" s="4">
        <v>41786</v>
      </c>
      <c r="C2975" s="7">
        <v>473.87</v>
      </c>
      <c r="D2975" s="6">
        <f t="shared" si="49"/>
        <v>3.632613158666536</v>
      </c>
      <c r="E2975" s="6">
        <v>2.9552698794669191E-4</v>
      </c>
    </row>
    <row r="2976" spans="2:5" x14ac:dyDescent="0.3">
      <c r="B2976" s="4">
        <v>39996</v>
      </c>
      <c r="C2976" s="7">
        <v>102.29</v>
      </c>
      <c r="D2976" s="6">
        <f t="shared" si="49"/>
        <v>0.49328467153284683</v>
      </c>
      <c r="E2976" s="6">
        <v>2.9336984158029664E-4</v>
      </c>
    </row>
    <row r="2977" spans="2:5" x14ac:dyDescent="0.3">
      <c r="B2977" s="4">
        <v>39224</v>
      </c>
      <c r="C2977" s="7">
        <v>68.5</v>
      </c>
      <c r="D2977" s="6">
        <f t="shared" si="49"/>
        <v>-0.33636892075179226</v>
      </c>
      <c r="E2977" s="6">
        <v>2.9205607476629701E-4</v>
      </c>
    </row>
    <row r="2978" spans="2:5" x14ac:dyDescent="0.3">
      <c r="B2978" s="4">
        <v>39591</v>
      </c>
      <c r="C2978" s="7">
        <v>103.22</v>
      </c>
      <c r="D2978" s="6">
        <f t="shared" si="49"/>
        <v>0.48667722886360348</v>
      </c>
      <c r="E2978" s="6">
        <v>2.9072584552767845E-4</v>
      </c>
    </row>
    <row r="2979" spans="2:5" x14ac:dyDescent="0.3">
      <c r="B2979" s="4">
        <v>39266</v>
      </c>
      <c r="C2979" s="7">
        <v>69.430000000000007</v>
      </c>
      <c r="D2979" s="6">
        <f t="shared" si="49"/>
        <v>-0.9771462992343698</v>
      </c>
      <c r="E2979" s="6">
        <v>2.8814291888791576E-4</v>
      </c>
    </row>
    <row r="2980" spans="2:5" x14ac:dyDescent="0.3">
      <c r="B2980" s="4">
        <v>45061</v>
      </c>
      <c r="C2980" s="5">
        <v>3038.02</v>
      </c>
      <c r="D2980" s="6">
        <f t="shared" si="49"/>
        <v>0.10287770045341837</v>
      </c>
      <c r="E2980" s="6">
        <v>2.8645275998876937E-4</v>
      </c>
    </row>
    <row r="2981" spans="2:5" x14ac:dyDescent="0.3">
      <c r="B2981" s="4">
        <v>45007</v>
      </c>
      <c r="C2981" s="5">
        <v>2754.63</v>
      </c>
      <c r="D2981" s="6">
        <f t="shared" si="49"/>
        <v>1.4772354698603407E-2</v>
      </c>
      <c r="E2981" s="6">
        <v>2.6144645249854013E-4</v>
      </c>
    </row>
    <row r="2982" spans="2:5" x14ac:dyDescent="0.3">
      <c r="B2982" s="4">
        <v>45009</v>
      </c>
      <c r="C2982" s="5">
        <v>2714.53</v>
      </c>
      <c r="D2982" s="6">
        <f t="shared" si="49"/>
        <v>1.7057902973395933</v>
      </c>
      <c r="E2982" s="6">
        <v>2.5056653831283639E-4</v>
      </c>
    </row>
    <row r="2983" spans="2:5" x14ac:dyDescent="0.3">
      <c r="B2983" s="4">
        <v>42814</v>
      </c>
      <c r="C2983" s="5">
        <v>1003.23</v>
      </c>
      <c r="D2983" s="6">
        <f t="shared" si="49"/>
        <v>-0.59101249103124387</v>
      </c>
      <c r="E2983" s="6">
        <v>2.2931206380859241E-4</v>
      </c>
    </row>
    <row r="2984" spans="2:5" x14ac:dyDescent="0.3">
      <c r="B2984" s="4">
        <v>45614</v>
      </c>
      <c r="C2984" s="5">
        <v>2452.96</v>
      </c>
      <c r="D2984" s="6">
        <f t="shared" si="49"/>
        <v>1.1716450944632328</v>
      </c>
      <c r="E2984" s="6">
        <v>2.2426918826794131E-4</v>
      </c>
    </row>
    <row r="2985" spans="2:5" x14ac:dyDescent="0.3">
      <c r="B2985" s="4">
        <v>43403</v>
      </c>
      <c r="C2985" s="5">
        <v>1129.54</v>
      </c>
      <c r="D2985" s="6">
        <f t="shared" si="49"/>
        <v>2.4219152352388744</v>
      </c>
      <c r="E2985" s="6">
        <v>2.1252103072700709E-4</v>
      </c>
    </row>
    <row r="2986" spans="2:5" x14ac:dyDescent="0.3">
      <c r="B2986" s="4">
        <v>41101</v>
      </c>
      <c r="C2986" s="7">
        <v>330.09</v>
      </c>
      <c r="D2986" s="6">
        <f t="shared" si="49"/>
        <v>-0.27733870438076058</v>
      </c>
      <c r="E2986" s="6">
        <v>2.1210835706924786E-4</v>
      </c>
    </row>
    <row r="2987" spans="2:5" x14ac:dyDescent="0.3">
      <c r="B2987" s="4">
        <v>41606</v>
      </c>
      <c r="C2987" s="7">
        <v>456.77</v>
      </c>
      <c r="D2987" s="6">
        <f t="shared" si="49"/>
        <v>3.4333689216732992</v>
      </c>
      <c r="E2987" s="6">
        <v>1.9707453796963956E-4</v>
      </c>
    </row>
    <row r="2988" spans="2:5" x14ac:dyDescent="0.3">
      <c r="B2988" s="4">
        <v>40000</v>
      </c>
      <c r="C2988" s="7">
        <v>103.03</v>
      </c>
      <c r="D2988" s="6">
        <f t="shared" si="49"/>
        <v>-0.95525745528133987</v>
      </c>
      <c r="E2988" s="6">
        <v>1.9415590719343772E-4</v>
      </c>
    </row>
    <row r="2989" spans="2:5" x14ac:dyDescent="0.3">
      <c r="B2989" s="4">
        <v>45804</v>
      </c>
      <c r="C2989" s="5">
        <v>2302.73</v>
      </c>
      <c r="D2989" s="6">
        <f t="shared" si="49"/>
        <v>36.564926590538334</v>
      </c>
      <c r="E2989" s="6">
        <v>1.7373704030268944E-4</v>
      </c>
    </row>
    <row r="2990" spans="2:5" x14ac:dyDescent="0.3">
      <c r="B2990" s="4">
        <v>39085</v>
      </c>
      <c r="C2990" s="7">
        <v>61.3</v>
      </c>
      <c r="D2990" s="6">
        <f t="shared" si="49"/>
        <v>-0.81196895800742308</v>
      </c>
      <c r="E2990" s="6">
        <v>1.6315875346709105E-4</v>
      </c>
    </row>
    <row r="2991" spans="2:5" x14ac:dyDescent="0.3">
      <c r="B2991" s="4">
        <v>41052</v>
      </c>
      <c r="C2991" s="7">
        <v>326.01</v>
      </c>
      <c r="D2991" s="6">
        <f t="shared" si="49"/>
        <v>-0.89105145488632598</v>
      </c>
      <c r="E2991" s="6">
        <v>1.5339305436253334E-4</v>
      </c>
    </row>
    <row r="2992" spans="2:5" x14ac:dyDescent="0.3">
      <c r="B2992" s="4">
        <v>45068</v>
      </c>
      <c r="C2992" s="5">
        <v>2992.33</v>
      </c>
      <c r="D2992" s="6">
        <f t="shared" si="49"/>
        <v>1.2188582148762783</v>
      </c>
      <c r="E2992" s="6">
        <v>1.4706423030260289E-4</v>
      </c>
    </row>
    <row r="2993" spans="2:5" x14ac:dyDescent="0.3">
      <c r="B2993" s="4">
        <v>43537</v>
      </c>
      <c r="C2993" s="5">
        <v>1348.59</v>
      </c>
      <c r="D2993" s="6">
        <f t="shared" si="49"/>
        <v>2.4170931941417924</v>
      </c>
      <c r="E2993" s="6">
        <v>1.3349055554307389E-4</v>
      </c>
    </row>
    <row r="2994" spans="2:5" x14ac:dyDescent="0.3">
      <c r="B2994" s="4">
        <v>41299</v>
      </c>
      <c r="C2994" s="7">
        <v>394.66</v>
      </c>
      <c r="D2994" s="6">
        <f t="shared" si="49"/>
        <v>3.967400881057269</v>
      </c>
      <c r="E2994" s="6">
        <v>1.2670738197210249E-4</v>
      </c>
    </row>
    <row r="2995" spans="2:5" x14ac:dyDescent="0.3">
      <c r="B2995" s="4">
        <v>39339</v>
      </c>
      <c r="C2995" s="7">
        <v>79.45</v>
      </c>
      <c r="D2995" s="6">
        <f t="shared" si="49"/>
        <v>-0.97113617042919742</v>
      </c>
      <c r="E2995" s="6">
        <v>1.2588116817730509E-4</v>
      </c>
    </row>
    <row r="2996" spans="2:5" x14ac:dyDescent="0.3">
      <c r="B2996" s="4">
        <v>45428</v>
      </c>
      <c r="C2996" s="5">
        <v>2752.58</v>
      </c>
      <c r="D2996" s="6">
        <f t="shared" si="49"/>
        <v>-0.13520832940614655</v>
      </c>
      <c r="E2996" s="6">
        <v>1.2353573816242244E-4</v>
      </c>
    </row>
    <row r="2997" spans="2:5" x14ac:dyDescent="0.3">
      <c r="B2997" s="4">
        <v>45166</v>
      </c>
      <c r="C2997" s="5">
        <v>3182.94</v>
      </c>
      <c r="D2997" s="6">
        <f t="shared" si="49"/>
        <v>37.005253731343281</v>
      </c>
      <c r="E2997" s="6">
        <v>1.2254324362535472E-4</v>
      </c>
    </row>
    <row r="2998" spans="2:5" x14ac:dyDescent="0.3">
      <c r="B2998" s="4">
        <v>39426</v>
      </c>
      <c r="C2998" s="7">
        <v>83.75</v>
      </c>
      <c r="D2998" s="6">
        <f t="shared" si="49"/>
        <v>-0.97390567407485873</v>
      </c>
      <c r="E2998" s="6">
        <v>1.1941724385007304E-4</v>
      </c>
    </row>
    <row r="2999" spans="2:5" x14ac:dyDescent="0.3">
      <c r="B2999" s="4">
        <v>44447</v>
      </c>
      <c r="C2999" s="5">
        <v>3209.51</v>
      </c>
      <c r="D2999" s="6">
        <f t="shared" si="49"/>
        <v>29.009443665264143</v>
      </c>
      <c r="E2999" s="6">
        <v>1.0594639735512469E-4</v>
      </c>
    </row>
    <row r="3000" spans="2:5" x14ac:dyDescent="0.3">
      <c r="B3000" s="4">
        <v>39619</v>
      </c>
      <c r="C3000" s="7">
        <v>106.95</v>
      </c>
      <c r="D3000" s="6">
        <f t="shared" si="49"/>
        <v>-0.53110614231224518</v>
      </c>
      <c r="E3000" s="6">
        <v>9.3510379652189234E-5</v>
      </c>
    </row>
    <row r="3001" spans="2:5" x14ac:dyDescent="0.3">
      <c r="B3001" s="4">
        <v>40570</v>
      </c>
      <c r="C3001" s="7">
        <v>228.09</v>
      </c>
      <c r="D3001" s="6">
        <f t="shared" si="49"/>
        <v>-0.50049274029301627</v>
      </c>
      <c r="E3001" s="6">
        <v>8.7692375148025749E-5</v>
      </c>
    </row>
    <row r="3002" spans="2:5" x14ac:dyDescent="0.3">
      <c r="B3002" s="4">
        <v>41618</v>
      </c>
      <c r="C3002" s="7">
        <v>456.63</v>
      </c>
      <c r="D3002" s="6">
        <f t="shared" si="49"/>
        <v>-0.57199497600479909</v>
      </c>
      <c r="E3002" s="6">
        <v>8.7605948443944163E-5</v>
      </c>
    </row>
    <row r="3003" spans="2:5" x14ac:dyDescent="0.3">
      <c r="B3003" s="4">
        <v>43091</v>
      </c>
      <c r="C3003" s="5">
        <v>1066.8800000000001</v>
      </c>
      <c r="D3003" s="6">
        <f t="shared" si="49"/>
        <v>-0.66627774945181439</v>
      </c>
      <c r="E3003" s="6">
        <v>8.436524526865224E-5</v>
      </c>
    </row>
    <row r="3004" spans="2:5" x14ac:dyDescent="0.3">
      <c r="B3004" s="4">
        <v>44482</v>
      </c>
      <c r="C3004" s="5">
        <v>3196.91</v>
      </c>
      <c r="D3004" s="6">
        <f t="shared" si="49"/>
        <v>3.6341431594816336</v>
      </c>
      <c r="E3004" s="6">
        <v>7.5078128177066049E-5</v>
      </c>
    </row>
    <row r="3005" spans="2:5" x14ac:dyDescent="0.3">
      <c r="B3005" s="4">
        <v>42181</v>
      </c>
      <c r="C3005" s="7">
        <v>689.86</v>
      </c>
      <c r="D3005" s="6">
        <f t="shared" si="49"/>
        <v>-0.75430586224090035</v>
      </c>
      <c r="E3005" s="6">
        <v>7.2483727403296875E-5</v>
      </c>
    </row>
    <row r="3006" spans="2:5" x14ac:dyDescent="0.3">
      <c r="B3006" s="4">
        <v>46014</v>
      </c>
      <c r="C3006" s="5">
        <v>2807.8</v>
      </c>
      <c r="D3006" s="6">
        <f t="shared" si="49"/>
        <v>11.978644725894425</v>
      </c>
      <c r="E3006" s="6">
        <v>7.1235218692218568E-5</v>
      </c>
    </row>
    <row r="3007" spans="2:5" x14ac:dyDescent="0.3">
      <c r="B3007" s="4">
        <v>40378</v>
      </c>
      <c r="C3007" s="7">
        <v>216.34</v>
      </c>
      <c r="D3007" s="6">
        <f t="shared" si="49"/>
        <v>-0.91294865604377906</v>
      </c>
      <c r="E3007" s="6">
        <v>4.6225673739152703E-5</v>
      </c>
    </row>
    <row r="3008" spans="2:5" x14ac:dyDescent="0.3">
      <c r="B3008" s="4">
        <v>46139</v>
      </c>
      <c r="C3008" s="5">
        <v>2485.1999999999998</v>
      </c>
      <c r="D3008" s="6">
        <f t="shared" si="49"/>
        <v>0.97975002190693927</v>
      </c>
      <c r="E3008" s="6">
        <v>4.0239829383086818E-5</v>
      </c>
    </row>
    <row r="3009" spans="2:5" x14ac:dyDescent="0.3">
      <c r="B3009" s="4">
        <v>43439</v>
      </c>
      <c r="C3009" s="5">
        <v>1255.31</v>
      </c>
      <c r="D3009" s="6">
        <f t="shared" si="49"/>
        <v>-0.55388961938945946</v>
      </c>
      <c r="E3009" s="6">
        <v>3.983238532252643E-5</v>
      </c>
    </row>
    <row r="3010" spans="2:5" x14ac:dyDescent="0.3">
      <c r="B3010" s="4">
        <v>46037</v>
      </c>
      <c r="C3010" s="5">
        <v>2813.9</v>
      </c>
      <c r="D3010" s="6">
        <f t="shared" si="49"/>
        <v>0.28147443108073039</v>
      </c>
      <c r="E3010" s="6">
        <v>0</v>
      </c>
    </row>
    <row r="3011" spans="2:5" x14ac:dyDescent="0.3">
      <c r="B3011" s="4">
        <v>45734</v>
      </c>
      <c r="C3011" s="5">
        <v>2195.83</v>
      </c>
      <c r="D3011" s="6">
        <f t="shared" si="49"/>
        <v>-0.2072529694212788</v>
      </c>
      <c r="E3011" s="6">
        <v>0</v>
      </c>
    </row>
    <row r="3012" spans="2:5" x14ac:dyDescent="0.3">
      <c r="B3012" s="4">
        <v>45355</v>
      </c>
      <c r="C3012" s="5">
        <v>2769.9</v>
      </c>
      <c r="D3012" s="6">
        <f t="shared" si="49"/>
        <v>-0.10055916715915801</v>
      </c>
      <c r="E3012" s="6">
        <v>0</v>
      </c>
    </row>
    <row r="3013" spans="2:5" x14ac:dyDescent="0.3">
      <c r="B3013" s="4">
        <v>45259</v>
      </c>
      <c r="C3013" s="5">
        <v>3079.58</v>
      </c>
      <c r="D3013" s="6">
        <f t="shared" si="49"/>
        <v>0.787626544069843</v>
      </c>
      <c r="E3013" s="6">
        <v>0</v>
      </c>
    </row>
    <row r="3014" spans="2:5" x14ac:dyDescent="0.3">
      <c r="B3014" s="4">
        <v>44057</v>
      </c>
      <c r="C3014" s="5">
        <v>1722.72</v>
      </c>
      <c r="D3014" s="6">
        <f t="shared" si="49"/>
        <v>0.305288680103046</v>
      </c>
      <c r="E3014" s="6">
        <v>0</v>
      </c>
    </row>
    <row r="3015" spans="2:5" x14ac:dyDescent="0.3">
      <c r="B3015" s="4">
        <v>43518</v>
      </c>
      <c r="C3015" s="5">
        <v>1319.8</v>
      </c>
      <c r="D3015" s="6">
        <f t="shared" si="49"/>
        <v>0.21402224205016862</v>
      </c>
      <c r="E3015" s="6">
        <v>0</v>
      </c>
    </row>
    <row r="3016" spans="2:5" x14ac:dyDescent="0.3">
      <c r="B3016" s="4">
        <v>43063</v>
      </c>
      <c r="C3016" s="5">
        <v>1087.1300000000001</v>
      </c>
      <c r="D3016" s="6">
        <f t="shared" ref="D3016:D3079" si="50">((C3016-C3017)/C3017)</f>
        <v>0.84034737269772486</v>
      </c>
      <c r="E3016" s="6">
        <v>0</v>
      </c>
    </row>
    <row r="3017" spans="2:5" x14ac:dyDescent="0.3">
      <c r="B3017" s="4">
        <v>41927</v>
      </c>
      <c r="C3017" s="7">
        <v>590.72</v>
      </c>
      <c r="D3017" s="6">
        <f t="shared" si="50"/>
        <v>0.2328241088571667</v>
      </c>
      <c r="E3017" s="6">
        <v>0</v>
      </c>
    </row>
    <row r="3018" spans="2:5" x14ac:dyDescent="0.3">
      <c r="B3018" s="4">
        <v>41753</v>
      </c>
      <c r="C3018" s="7">
        <v>479.16</v>
      </c>
      <c r="D3018" s="6">
        <f t="shared" si="50"/>
        <v>3.1059125964010286</v>
      </c>
      <c r="E3018" s="6">
        <v>0</v>
      </c>
    </row>
    <row r="3019" spans="2:5" x14ac:dyDescent="0.3">
      <c r="B3019" s="4">
        <v>40059</v>
      </c>
      <c r="C3019" s="7">
        <v>116.7</v>
      </c>
      <c r="D3019" s="6">
        <f t="shared" si="50"/>
        <v>0.5290880503144656</v>
      </c>
      <c r="E3019" s="6">
        <v>0</v>
      </c>
    </row>
    <row r="3020" spans="2:5" x14ac:dyDescent="0.3">
      <c r="B3020" s="4">
        <v>39779</v>
      </c>
      <c r="C3020" s="7">
        <v>76.319999999999993</v>
      </c>
      <c r="D3020" s="6">
        <f t="shared" si="50"/>
        <v>-0.14496975128837117</v>
      </c>
      <c r="E3020" s="6">
        <v>0</v>
      </c>
    </row>
    <row r="3021" spans="2:5" x14ac:dyDescent="0.3">
      <c r="B3021" s="4">
        <v>39643</v>
      </c>
      <c r="C3021" s="7">
        <v>89.26</v>
      </c>
      <c r="D3021" s="6">
        <f t="shared" si="50"/>
        <v>-8.0741503604531306E-2</v>
      </c>
      <c r="E3021" s="6">
        <v>0</v>
      </c>
    </row>
    <row r="3022" spans="2:5" x14ac:dyDescent="0.3">
      <c r="B3022" s="4">
        <v>39493</v>
      </c>
      <c r="C3022" s="7">
        <v>97.1</v>
      </c>
      <c r="D3022" s="6">
        <f t="shared" si="50"/>
        <v>0.147889821491902</v>
      </c>
      <c r="E3022" s="6">
        <v>0</v>
      </c>
    </row>
    <row r="3023" spans="2:5" x14ac:dyDescent="0.3">
      <c r="B3023" s="4">
        <v>39406</v>
      </c>
      <c r="C3023" s="7">
        <v>84.59</v>
      </c>
      <c r="D3023" s="6">
        <f t="shared" si="50"/>
        <v>0.58556701030927838</v>
      </c>
      <c r="E3023" s="6">
        <v>0</v>
      </c>
    </row>
    <row r="3024" spans="2:5" x14ac:dyDescent="0.3">
      <c r="B3024" s="4">
        <v>38946</v>
      </c>
      <c r="C3024" s="7">
        <v>53.35</v>
      </c>
      <c r="D3024" s="6">
        <f t="shared" si="50"/>
        <v>5.2475833497731383E-2</v>
      </c>
      <c r="E3024" s="6">
        <v>0</v>
      </c>
    </row>
    <row r="3025" spans="2:5" x14ac:dyDescent="0.3">
      <c r="B3025" s="4">
        <v>38933</v>
      </c>
      <c r="C3025" s="7">
        <v>50.69</v>
      </c>
      <c r="D3025" s="6">
        <f t="shared" si="50"/>
        <v>8.0579833724152658E-2</v>
      </c>
      <c r="E3025" s="6">
        <v>0</v>
      </c>
    </row>
    <row r="3026" spans="2:5" x14ac:dyDescent="0.3">
      <c r="B3026" s="4">
        <v>38875</v>
      </c>
      <c r="C3026" s="7">
        <v>46.91</v>
      </c>
      <c r="D3026" s="6">
        <f t="shared" si="50"/>
        <v>0</v>
      </c>
      <c r="E3026" s="6">
        <v>0</v>
      </c>
    </row>
    <row r="3027" spans="2:5" x14ac:dyDescent="0.3">
      <c r="B3027" s="4">
        <v>38874</v>
      </c>
      <c r="C3027" s="7">
        <v>46.91</v>
      </c>
      <c r="D3027" s="6">
        <f t="shared" si="50"/>
        <v>1.6468039003250227E-2</v>
      </c>
      <c r="E3027" s="6">
        <v>0</v>
      </c>
    </row>
    <row r="3028" spans="2:5" x14ac:dyDescent="0.3">
      <c r="B3028" s="4">
        <v>38869</v>
      </c>
      <c r="C3028" s="7">
        <v>46.15</v>
      </c>
      <c r="D3028" s="6">
        <f t="shared" si="50"/>
        <v>0.1480099502487561</v>
      </c>
      <c r="E3028" s="6">
        <v>0</v>
      </c>
    </row>
    <row r="3029" spans="2:5" x14ac:dyDescent="0.3">
      <c r="B3029" s="4">
        <v>38660</v>
      </c>
      <c r="C3029" s="7">
        <v>40.200000000000003</v>
      </c>
      <c r="D3029" s="6">
        <f t="shared" si="50"/>
        <v>4.7488127968009211E-3</v>
      </c>
      <c r="E3029" s="6">
        <v>0</v>
      </c>
    </row>
    <row r="3030" spans="2:5" x14ac:dyDescent="0.3">
      <c r="B3030" s="4">
        <v>38609</v>
      </c>
      <c r="C3030" s="7">
        <v>40.01</v>
      </c>
      <c r="D3030" s="6">
        <f t="shared" si="50"/>
        <v>8.8707482993197223E-2</v>
      </c>
      <c r="E3030" s="6">
        <v>0</v>
      </c>
    </row>
    <row r="3031" spans="2:5" x14ac:dyDescent="0.3">
      <c r="B3031" s="4">
        <v>38561</v>
      </c>
      <c r="C3031" s="7">
        <v>36.75</v>
      </c>
      <c r="D3031" s="6">
        <f t="shared" si="50"/>
        <v>0.18932038834951462</v>
      </c>
      <c r="E3031" s="6">
        <v>0</v>
      </c>
    </row>
    <row r="3032" spans="2:5" x14ac:dyDescent="0.3">
      <c r="B3032" s="4">
        <v>38463</v>
      </c>
      <c r="C3032" s="7">
        <v>30.9</v>
      </c>
      <c r="D3032" s="6">
        <f t="shared" si="50"/>
        <v>-3.2351989647368368E-4</v>
      </c>
      <c r="E3032" s="6">
        <v>0</v>
      </c>
    </row>
    <row r="3033" spans="2:5" x14ac:dyDescent="0.3">
      <c r="B3033" s="4">
        <v>38454</v>
      </c>
      <c r="C3033" s="7">
        <v>30.91</v>
      </c>
      <c r="D3033" s="6">
        <f t="shared" si="50"/>
        <v>3.2362459546930625E-4</v>
      </c>
      <c r="E3033" s="6">
        <v>0</v>
      </c>
    </row>
    <row r="3034" spans="2:5" x14ac:dyDescent="0.3">
      <c r="B3034" s="4">
        <v>38449</v>
      </c>
      <c r="C3034" s="7">
        <v>30.9</v>
      </c>
      <c r="D3034" s="6">
        <f t="shared" si="50"/>
        <v>0</v>
      </c>
      <c r="E3034" s="6">
        <v>0</v>
      </c>
    </row>
    <row r="3035" spans="2:5" x14ac:dyDescent="0.3">
      <c r="B3035" s="4">
        <v>38448</v>
      </c>
      <c r="C3035" s="7">
        <v>30.9</v>
      </c>
      <c r="D3035" s="6">
        <f t="shared" si="50"/>
        <v>0</v>
      </c>
      <c r="E3035" s="6">
        <v>0</v>
      </c>
    </row>
    <row r="3036" spans="2:5" x14ac:dyDescent="0.3">
      <c r="B3036" s="4">
        <v>38447</v>
      </c>
      <c r="C3036" s="7">
        <v>30.9</v>
      </c>
      <c r="D3036" s="6">
        <f t="shared" si="50"/>
        <v>0.10003559985760052</v>
      </c>
      <c r="E3036" s="6">
        <v>0</v>
      </c>
    </row>
    <row r="3037" spans="2:5" x14ac:dyDescent="0.3">
      <c r="B3037" s="4">
        <v>38411</v>
      </c>
      <c r="C3037" s="7">
        <v>28.09</v>
      </c>
      <c r="D3037" s="6">
        <f t="shared" si="50"/>
        <v>-1.2653778558875201E-2</v>
      </c>
      <c r="E3037" s="6">
        <v>0</v>
      </c>
    </row>
    <row r="3038" spans="2:5" x14ac:dyDescent="0.3">
      <c r="B3038" s="4">
        <v>38400</v>
      </c>
      <c r="C3038" s="7">
        <v>28.45</v>
      </c>
      <c r="D3038" s="6">
        <f t="shared" si="50"/>
        <v>0.11089418196017181</v>
      </c>
      <c r="E3038" s="6">
        <v>0</v>
      </c>
    </row>
    <row r="3039" spans="2:5" x14ac:dyDescent="0.3">
      <c r="B3039" s="4">
        <v>38351</v>
      </c>
      <c r="C3039" s="7">
        <v>25.61</v>
      </c>
      <c r="D3039" s="6">
        <f t="shared" si="50"/>
        <v>0</v>
      </c>
      <c r="E3039" s="6">
        <v>0</v>
      </c>
    </row>
    <row r="3040" spans="2:5" x14ac:dyDescent="0.3">
      <c r="B3040" s="4">
        <v>38341</v>
      </c>
      <c r="C3040" s="7">
        <v>25.61</v>
      </c>
      <c r="D3040" s="6">
        <f t="shared" si="50"/>
        <v>-1.5594541910331052E-3</v>
      </c>
      <c r="E3040" s="6">
        <v>0</v>
      </c>
    </row>
    <row r="3041" spans="2:5" x14ac:dyDescent="0.3">
      <c r="B3041" s="4">
        <v>38337</v>
      </c>
      <c r="C3041" s="7">
        <v>25.65</v>
      </c>
      <c r="D3041" s="6">
        <f t="shared" si="50"/>
        <v>0.11764705882352938</v>
      </c>
      <c r="E3041" s="6">
        <v>0</v>
      </c>
    </row>
    <row r="3042" spans="2:5" x14ac:dyDescent="0.3">
      <c r="B3042" s="4">
        <v>38317</v>
      </c>
      <c r="C3042" s="7">
        <v>22.95</v>
      </c>
      <c r="D3042" s="6">
        <f t="shared" si="50"/>
        <v>-1.4598540145985396E-2</v>
      </c>
      <c r="E3042" s="6">
        <v>0</v>
      </c>
    </row>
    <row r="3043" spans="2:5" x14ac:dyDescent="0.3">
      <c r="B3043" s="4">
        <v>38307</v>
      </c>
      <c r="C3043" s="7">
        <v>23.29</v>
      </c>
      <c r="D3043" s="6">
        <f t="shared" si="50"/>
        <v>0</v>
      </c>
      <c r="E3043" s="6">
        <v>0</v>
      </c>
    </row>
    <row r="3044" spans="2:5" x14ac:dyDescent="0.3">
      <c r="B3044" s="4">
        <v>38306</v>
      </c>
      <c r="C3044" s="7">
        <v>23.29</v>
      </c>
      <c r="D3044" s="6">
        <f t="shared" si="50"/>
        <v>8.2251082251081267E-3</v>
      </c>
      <c r="E3044" s="6">
        <v>0</v>
      </c>
    </row>
    <row r="3045" spans="2:5" x14ac:dyDescent="0.3">
      <c r="B3045" s="4">
        <v>38282</v>
      </c>
      <c r="C3045" s="7">
        <v>23.1</v>
      </c>
      <c r="D3045" s="6">
        <f t="shared" si="50"/>
        <v>-4.387417218543041E-2</v>
      </c>
      <c r="E3045" s="6">
        <v>0</v>
      </c>
    </row>
    <row r="3046" spans="2:5" x14ac:dyDescent="0.3">
      <c r="B3046" s="4">
        <v>38191</v>
      </c>
      <c r="C3046" s="7">
        <v>24.16</v>
      </c>
      <c r="D3046" s="6">
        <f t="shared" si="50"/>
        <v>0</v>
      </c>
      <c r="E3046" s="6">
        <v>0</v>
      </c>
    </row>
    <row r="3047" spans="2:5" x14ac:dyDescent="0.3">
      <c r="B3047" s="4">
        <v>38190</v>
      </c>
      <c r="C3047" s="7">
        <v>24.16</v>
      </c>
      <c r="D3047" s="6">
        <f t="shared" si="50"/>
        <v>-4.1373603640883585E-4</v>
      </c>
      <c r="E3047" s="6">
        <v>0</v>
      </c>
    </row>
    <row r="3048" spans="2:5" x14ac:dyDescent="0.3">
      <c r="B3048" s="4">
        <v>38187</v>
      </c>
      <c r="C3048" s="7">
        <v>24.17</v>
      </c>
      <c r="D3048" s="6">
        <f t="shared" si="50"/>
        <v>-4.1356492969387966E-4</v>
      </c>
      <c r="E3048" s="6">
        <v>0</v>
      </c>
    </row>
    <row r="3049" spans="2:5" x14ac:dyDescent="0.3">
      <c r="B3049" s="4">
        <v>38174</v>
      </c>
      <c r="C3049" s="7">
        <v>24.18</v>
      </c>
      <c r="D3049" s="6">
        <f t="shared" si="50"/>
        <v>3.6878216123499119E-2</v>
      </c>
      <c r="E3049" s="6">
        <v>0</v>
      </c>
    </row>
    <row r="3050" spans="2:5" x14ac:dyDescent="0.3">
      <c r="B3050" s="4">
        <v>38091</v>
      </c>
      <c r="C3050" s="7">
        <v>23.32</v>
      </c>
      <c r="D3050" s="6">
        <f t="shared" si="50"/>
        <v>8.5836909871242798E-4</v>
      </c>
      <c r="E3050" s="6">
        <v>0</v>
      </c>
    </row>
    <row r="3051" spans="2:5" x14ac:dyDescent="0.3">
      <c r="B3051" s="4">
        <v>38086</v>
      </c>
      <c r="C3051" s="7">
        <v>23.3</v>
      </c>
      <c r="D3051" s="6">
        <f t="shared" si="50"/>
        <v>-6.3965884861406641E-3</v>
      </c>
      <c r="E3051" s="6">
        <v>0</v>
      </c>
    </row>
    <row r="3052" spans="2:5" x14ac:dyDescent="0.3">
      <c r="B3052" s="4">
        <v>38048</v>
      </c>
      <c r="C3052" s="7">
        <v>23.45</v>
      </c>
      <c r="D3052" s="6">
        <f t="shared" si="50"/>
        <v>-4.4027721157766077E-2</v>
      </c>
      <c r="E3052" s="6">
        <v>0</v>
      </c>
    </row>
    <row r="3053" spans="2:5" x14ac:dyDescent="0.3">
      <c r="B3053" s="4">
        <v>38036</v>
      </c>
      <c r="C3053" s="7">
        <v>24.53</v>
      </c>
      <c r="D3053" s="6">
        <f t="shared" si="50"/>
        <v>-4.0749796251010639E-4</v>
      </c>
      <c r="E3053" s="6">
        <v>0</v>
      </c>
    </row>
    <row r="3054" spans="2:5" x14ac:dyDescent="0.3">
      <c r="B3054" s="4">
        <v>38026</v>
      </c>
      <c r="C3054" s="7">
        <v>24.54</v>
      </c>
      <c r="D3054" s="6">
        <f t="shared" si="50"/>
        <v>0</v>
      </c>
      <c r="E3054" s="6">
        <v>0</v>
      </c>
    </row>
    <row r="3055" spans="2:5" x14ac:dyDescent="0.3">
      <c r="B3055" s="4">
        <v>38023</v>
      </c>
      <c r="C3055" s="7">
        <v>24.54</v>
      </c>
      <c r="D3055" s="6">
        <f t="shared" si="50"/>
        <v>4.0766408479404854E-4</v>
      </c>
      <c r="E3055" s="6">
        <v>0</v>
      </c>
    </row>
    <row r="3056" spans="2:5" x14ac:dyDescent="0.3">
      <c r="B3056" s="4">
        <v>38021</v>
      </c>
      <c r="C3056" s="7">
        <v>24.53</v>
      </c>
      <c r="D3056" s="6">
        <f t="shared" si="50"/>
        <v>-7.6860841423947307E-3</v>
      </c>
      <c r="E3056" s="6">
        <v>0</v>
      </c>
    </row>
    <row r="3057" spans="2:5" x14ac:dyDescent="0.3">
      <c r="B3057" s="4">
        <v>38019</v>
      </c>
      <c r="C3057" s="7">
        <v>24.72</v>
      </c>
      <c r="D3057" s="6">
        <f t="shared" si="50"/>
        <v>-5.7208237986270026E-2</v>
      </c>
      <c r="E3057" s="6">
        <v>0</v>
      </c>
    </row>
    <row r="3058" spans="2:5" x14ac:dyDescent="0.3">
      <c r="B3058" s="4">
        <v>38012</v>
      </c>
      <c r="C3058" s="7">
        <v>26.22</v>
      </c>
      <c r="D3058" s="6">
        <f t="shared" si="50"/>
        <v>5.7258064516128956E-2</v>
      </c>
      <c r="E3058" s="6">
        <v>0</v>
      </c>
    </row>
    <row r="3059" spans="2:5" x14ac:dyDescent="0.3">
      <c r="B3059" s="4">
        <v>37980</v>
      </c>
      <c r="C3059" s="7">
        <v>24.8</v>
      </c>
      <c r="D3059" s="6">
        <f t="shared" si="50"/>
        <v>5.397365065873351E-2</v>
      </c>
      <c r="E3059" s="6">
        <v>0</v>
      </c>
    </row>
    <row r="3060" spans="2:5" x14ac:dyDescent="0.3">
      <c r="B3060" s="4">
        <v>37951</v>
      </c>
      <c r="C3060" s="7">
        <v>23.53</v>
      </c>
      <c r="D3060" s="6">
        <f t="shared" si="50"/>
        <v>0</v>
      </c>
      <c r="E3060" s="6">
        <v>0</v>
      </c>
    </row>
    <row r="3061" spans="2:5" x14ac:dyDescent="0.3">
      <c r="B3061" s="4">
        <v>37950</v>
      </c>
      <c r="C3061" s="7">
        <v>23.53</v>
      </c>
      <c r="D3061" s="6">
        <f t="shared" si="50"/>
        <v>1.7028522775650362E-3</v>
      </c>
      <c r="E3061" s="6">
        <v>0</v>
      </c>
    </row>
    <row r="3062" spans="2:5" x14ac:dyDescent="0.3">
      <c r="B3062" s="4">
        <v>37942</v>
      </c>
      <c r="C3062" s="7">
        <v>23.49</v>
      </c>
      <c r="D3062" s="6">
        <f t="shared" si="50"/>
        <v>0</v>
      </c>
      <c r="E3062" s="6">
        <v>0</v>
      </c>
    </row>
    <row r="3063" spans="2:5" x14ac:dyDescent="0.3">
      <c r="B3063" s="4">
        <v>37939</v>
      </c>
      <c r="C3063" s="7">
        <v>23.49</v>
      </c>
      <c r="D3063" s="6">
        <f t="shared" si="50"/>
        <v>2.0860495436766487E-2</v>
      </c>
      <c r="E3063" s="6">
        <v>0</v>
      </c>
    </row>
    <row r="3064" spans="2:5" x14ac:dyDescent="0.3">
      <c r="B3064" s="4">
        <v>37896</v>
      </c>
      <c r="C3064" s="7">
        <v>23.01</v>
      </c>
      <c r="D3064" s="6">
        <f t="shared" si="50"/>
        <v>0</v>
      </c>
      <c r="E3064" s="6">
        <v>0</v>
      </c>
    </row>
    <row r="3065" spans="2:5" x14ac:dyDescent="0.3">
      <c r="B3065" s="4">
        <v>37895</v>
      </c>
      <c r="C3065" s="7">
        <v>23.01</v>
      </c>
      <c r="D3065" s="6">
        <f t="shared" si="50"/>
        <v>4.0235081374321906E-2</v>
      </c>
      <c r="E3065" s="6">
        <v>0</v>
      </c>
    </row>
    <row r="3066" spans="2:5" x14ac:dyDescent="0.3">
      <c r="B3066" s="4">
        <v>37848</v>
      </c>
      <c r="C3066" s="7">
        <v>22.12</v>
      </c>
      <c r="D3066" s="6">
        <f t="shared" si="50"/>
        <v>0.16543730242360383</v>
      </c>
      <c r="E3066" s="6">
        <v>0</v>
      </c>
    </row>
    <row r="3067" spans="2:5" x14ac:dyDescent="0.3">
      <c r="B3067" s="4">
        <v>37777</v>
      </c>
      <c r="C3067" s="7">
        <v>18.98</v>
      </c>
      <c r="D3067" s="6">
        <f t="shared" si="50"/>
        <v>1.1188066062866322E-2</v>
      </c>
      <c r="E3067" s="6">
        <v>0</v>
      </c>
    </row>
    <row r="3068" spans="2:5" x14ac:dyDescent="0.3">
      <c r="B3068" s="4">
        <v>37774</v>
      </c>
      <c r="C3068" s="7">
        <v>18.77</v>
      </c>
      <c r="D3068" s="6">
        <f t="shared" si="50"/>
        <v>0.14034021871202906</v>
      </c>
      <c r="E3068" s="6">
        <v>0</v>
      </c>
    </row>
    <row r="3069" spans="2:5" x14ac:dyDescent="0.3">
      <c r="B3069" s="4">
        <v>37742</v>
      </c>
      <c r="C3069" s="7">
        <v>16.46</v>
      </c>
      <c r="D3069" s="6">
        <f t="shared" si="50"/>
        <v>9.8159509202454063E-3</v>
      </c>
      <c r="E3069" s="6">
        <v>0</v>
      </c>
    </row>
    <row r="3070" spans="2:5" x14ac:dyDescent="0.3">
      <c r="B3070" s="4">
        <v>37729</v>
      </c>
      <c r="C3070" s="7">
        <v>16.3</v>
      </c>
      <c r="D3070" s="6">
        <f t="shared" si="50"/>
        <v>-7.9123554473523438E-3</v>
      </c>
      <c r="E3070" s="6">
        <v>0</v>
      </c>
    </row>
    <row r="3071" spans="2:5" x14ac:dyDescent="0.3">
      <c r="B3071" s="4">
        <v>37698</v>
      </c>
      <c r="C3071" s="7">
        <v>16.43</v>
      </c>
      <c r="D3071" s="6">
        <f t="shared" si="50"/>
        <v>-4.8455481526348786E-3</v>
      </c>
      <c r="E3071" s="6">
        <v>0</v>
      </c>
    </row>
    <row r="3072" spans="2:5" x14ac:dyDescent="0.3">
      <c r="B3072" s="4">
        <v>37694</v>
      </c>
      <c r="C3072" s="7">
        <v>16.510000000000002</v>
      </c>
      <c r="D3072" s="6">
        <f t="shared" si="50"/>
        <v>1.7252002464571849E-2</v>
      </c>
      <c r="E3072" s="6">
        <v>0</v>
      </c>
    </row>
    <row r="3073" spans="2:5" x14ac:dyDescent="0.3">
      <c r="B3073" s="4">
        <v>37665</v>
      </c>
      <c r="C3073" s="7">
        <v>16.23</v>
      </c>
      <c r="D3073" s="6">
        <f t="shared" si="50"/>
        <v>-1.0365853658536473E-2</v>
      </c>
      <c r="E3073" s="6">
        <v>0</v>
      </c>
    </row>
    <row r="3074" spans="2:5" x14ac:dyDescent="0.3">
      <c r="B3074" s="4">
        <v>37658</v>
      </c>
      <c r="C3074" s="7">
        <v>16.399999999999999</v>
      </c>
      <c r="D3074" s="6">
        <f t="shared" si="50"/>
        <v>-1.3830426939266413E-2</v>
      </c>
      <c r="E3074" s="6">
        <v>0</v>
      </c>
    </row>
    <row r="3075" spans="2:5" x14ac:dyDescent="0.3">
      <c r="B3075" s="4">
        <v>37642</v>
      </c>
      <c r="C3075" s="7">
        <v>16.63</v>
      </c>
      <c r="D3075" s="6">
        <f t="shared" si="50"/>
        <v>2.9084158415841513E-2</v>
      </c>
      <c r="E3075" s="6">
        <v>0</v>
      </c>
    </row>
    <row r="3076" spans="2:5" x14ac:dyDescent="0.3">
      <c r="B3076" s="4">
        <v>37622</v>
      </c>
      <c r="C3076" s="7">
        <v>16.16</v>
      </c>
      <c r="D3076" s="6">
        <f t="shared" si="50"/>
        <v>8.1097941359949462E-3</v>
      </c>
      <c r="E3076" s="6">
        <v>0</v>
      </c>
    </row>
    <row r="3077" spans="2:5" x14ac:dyDescent="0.3">
      <c r="B3077" s="4">
        <v>37615</v>
      </c>
      <c r="C3077" s="7">
        <v>16.03</v>
      </c>
      <c r="D3077" s="6">
        <f t="shared" si="50"/>
        <v>-2.8484848484848415E-2</v>
      </c>
      <c r="E3077" s="6">
        <v>0</v>
      </c>
    </row>
    <row r="3078" spans="2:5" x14ac:dyDescent="0.3">
      <c r="B3078" s="4">
        <v>37609</v>
      </c>
      <c r="C3078" s="7">
        <v>16.5</v>
      </c>
      <c r="D3078" s="6">
        <f t="shared" si="50"/>
        <v>6.097560975609843E-3</v>
      </c>
      <c r="E3078" s="6">
        <v>0</v>
      </c>
    </row>
    <row r="3079" spans="2:5" x14ac:dyDescent="0.3">
      <c r="B3079" s="4">
        <v>37601</v>
      </c>
      <c r="C3079" s="7">
        <v>16.399999999999999</v>
      </c>
      <c r="D3079" s="6">
        <f t="shared" si="50"/>
        <v>-1.2180267965897153E-3</v>
      </c>
      <c r="E3079" s="6">
        <v>0</v>
      </c>
    </row>
    <row r="3080" spans="2:5" x14ac:dyDescent="0.3">
      <c r="B3080" s="4">
        <v>37596</v>
      </c>
      <c r="C3080" s="7">
        <v>16.420000000000002</v>
      </c>
      <c r="D3080" s="6">
        <f t="shared" ref="D3080:D3143" si="51">((C3080-C3081)/C3081)</f>
        <v>-6.0864272671929461E-4</v>
      </c>
      <c r="E3080" s="6">
        <v>0</v>
      </c>
    </row>
    <row r="3081" spans="2:5" x14ac:dyDescent="0.3">
      <c r="B3081" s="4">
        <v>37588</v>
      </c>
      <c r="C3081" s="7">
        <v>16.43</v>
      </c>
      <c r="D3081" s="6">
        <f t="shared" si="51"/>
        <v>2.1131137352392783E-2</v>
      </c>
      <c r="E3081" s="6">
        <v>0</v>
      </c>
    </row>
    <row r="3082" spans="2:5" x14ac:dyDescent="0.3">
      <c r="B3082" s="4">
        <v>37579</v>
      </c>
      <c r="C3082" s="7">
        <v>16.09</v>
      </c>
      <c r="D3082" s="6">
        <f t="shared" si="51"/>
        <v>-3.7679425837320514E-2</v>
      </c>
      <c r="E3082" s="6">
        <v>0</v>
      </c>
    </row>
    <row r="3083" spans="2:5" x14ac:dyDescent="0.3">
      <c r="B3083" s="4">
        <v>37566</v>
      </c>
      <c r="C3083" s="7">
        <v>16.72</v>
      </c>
      <c r="D3083" s="6">
        <f t="shared" si="51"/>
        <v>-1.1820330969267306E-2</v>
      </c>
      <c r="E3083" s="6">
        <v>0</v>
      </c>
    </row>
    <row r="3084" spans="2:5" x14ac:dyDescent="0.3">
      <c r="B3084" s="4">
        <v>37552</v>
      </c>
      <c r="C3084" s="7">
        <v>16.920000000000002</v>
      </c>
      <c r="D3084" s="6">
        <f t="shared" si="51"/>
        <v>0</v>
      </c>
      <c r="E3084" s="6">
        <v>0</v>
      </c>
    </row>
    <row r="3085" spans="2:5" x14ac:dyDescent="0.3">
      <c r="B3085" s="4">
        <v>37551</v>
      </c>
      <c r="C3085" s="7">
        <v>16.920000000000002</v>
      </c>
      <c r="D3085" s="6">
        <f t="shared" si="51"/>
        <v>1.3173652694610924E-2</v>
      </c>
      <c r="E3085" s="6">
        <v>0</v>
      </c>
    </row>
    <row r="3086" spans="2:5" x14ac:dyDescent="0.3">
      <c r="B3086" s="4">
        <v>37544</v>
      </c>
      <c r="C3086" s="7">
        <v>16.7</v>
      </c>
      <c r="D3086" s="6">
        <f t="shared" si="51"/>
        <v>1.1990407673860657E-3</v>
      </c>
      <c r="E3086" s="6">
        <v>0</v>
      </c>
    </row>
    <row r="3087" spans="2:5" x14ac:dyDescent="0.3">
      <c r="B3087" s="4">
        <v>37531</v>
      </c>
      <c r="C3087" s="7">
        <v>16.68</v>
      </c>
      <c r="D3087" s="6">
        <f t="shared" si="51"/>
        <v>-8.3234244946492602E-3</v>
      </c>
      <c r="E3087" s="6">
        <v>0</v>
      </c>
    </row>
    <row r="3088" spans="2:5" x14ac:dyDescent="0.3">
      <c r="B3088" s="4">
        <v>37516</v>
      </c>
      <c r="C3088" s="7">
        <v>16.82</v>
      </c>
      <c r="D3088" s="6">
        <f t="shared" si="51"/>
        <v>-1.7804154302671297E-3</v>
      </c>
      <c r="E3088" s="6">
        <v>0</v>
      </c>
    </row>
    <row r="3089" spans="2:5" x14ac:dyDescent="0.3">
      <c r="B3089" s="4">
        <v>37509</v>
      </c>
      <c r="C3089" s="7">
        <v>16.850000000000001</v>
      </c>
      <c r="D3089" s="6">
        <f t="shared" si="51"/>
        <v>9.586578789694435E-3</v>
      </c>
      <c r="E3089" s="6">
        <v>0</v>
      </c>
    </row>
    <row r="3090" spans="2:5" x14ac:dyDescent="0.3">
      <c r="B3090" s="4">
        <v>37501</v>
      </c>
      <c r="C3090" s="7">
        <v>16.690000000000001</v>
      </c>
      <c r="D3090" s="6">
        <f t="shared" si="51"/>
        <v>1.7062766605728284E-2</v>
      </c>
      <c r="E3090" s="6">
        <v>0</v>
      </c>
    </row>
    <row r="3091" spans="2:5" x14ac:dyDescent="0.3">
      <c r="B3091" s="4">
        <v>37483</v>
      </c>
      <c r="C3091" s="7">
        <v>16.41</v>
      </c>
      <c r="D3091" s="6">
        <f t="shared" si="51"/>
        <v>-4.8514251061248211E-3</v>
      </c>
      <c r="E3091" s="6">
        <v>0</v>
      </c>
    </row>
    <row r="3092" spans="2:5" x14ac:dyDescent="0.3">
      <c r="B3092" s="4">
        <v>37477</v>
      </c>
      <c r="C3092" s="7">
        <v>16.489999999999998</v>
      </c>
      <c r="D3092" s="6">
        <f t="shared" si="51"/>
        <v>-0.99429281427592464</v>
      </c>
      <c r="E3092" s="6">
        <v>0</v>
      </c>
    </row>
    <row r="3093" spans="2:5" x14ac:dyDescent="0.3">
      <c r="B3093" s="4">
        <v>45476</v>
      </c>
      <c r="C3093" s="5">
        <v>2889.34</v>
      </c>
      <c r="D3093" s="6">
        <f t="shared" si="51"/>
        <v>0.18090341354956857</v>
      </c>
      <c r="E3093" s="6">
        <v>-1.384380040007324E-5</v>
      </c>
    </row>
    <row r="3094" spans="2:5" x14ac:dyDescent="0.3">
      <c r="B3094" s="4">
        <v>44328</v>
      </c>
      <c r="C3094" s="5">
        <v>2446.7199999999998</v>
      </c>
      <c r="D3094" s="6">
        <f t="shared" si="51"/>
        <v>4.9231141667473608</v>
      </c>
      <c r="E3094" s="6">
        <v>-2.0435104239541068E-5</v>
      </c>
    </row>
    <row r="3095" spans="2:5" x14ac:dyDescent="0.3">
      <c r="B3095" s="4">
        <v>41443</v>
      </c>
      <c r="C3095" s="7">
        <v>413.08</v>
      </c>
      <c r="D3095" s="6">
        <f t="shared" si="51"/>
        <v>-0.84721677700928355</v>
      </c>
      <c r="E3095" s="6">
        <v>-2.4207799753058426E-5</v>
      </c>
    </row>
    <row r="3096" spans="2:5" x14ac:dyDescent="0.3">
      <c r="B3096" s="4">
        <v>46045</v>
      </c>
      <c r="C3096" s="5">
        <v>2703.7</v>
      </c>
      <c r="D3096" s="6">
        <f t="shared" si="51"/>
        <v>1.0088416672858307</v>
      </c>
      <c r="E3096" s="6">
        <v>-3.6984984096591384E-5</v>
      </c>
    </row>
    <row r="3097" spans="2:5" x14ac:dyDescent="0.3">
      <c r="B3097" s="4">
        <v>43628</v>
      </c>
      <c r="C3097" s="5">
        <v>1345.9</v>
      </c>
      <c r="D3097" s="6">
        <f t="shared" si="51"/>
        <v>4.701033547949848</v>
      </c>
      <c r="E3097" s="6">
        <v>-3.7148482484456722E-5</v>
      </c>
    </row>
    <row r="3098" spans="2:5" x14ac:dyDescent="0.3">
      <c r="B3098" s="4">
        <v>40903</v>
      </c>
      <c r="C3098" s="7">
        <v>236.08</v>
      </c>
      <c r="D3098" s="6">
        <f t="shared" si="51"/>
        <v>-0.73999713653234067</v>
      </c>
      <c r="E3098" s="6">
        <v>-4.2356728366262464E-5</v>
      </c>
    </row>
    <row r="3099" spans="2:5" x14ac:dyDescent="0.3">
      <c r="B3099" s="4">
        <v>42521</v>
      </c>
      <c r="C3099" s="7">
        <v>907.99</v>
      </c>
      <c r="D3099" s="6">
        <f t="shared" si="51"/>
        <v>0.28144008354855549</v>
      </c>
      <c r="E3099" s="6">
        <v>-5.5063653583492501E-5</v>
      </c>
    </row>
    <row r="3100" spans="2:5" x14ac:dyDescent="0.3">
      <c r="B3100" s="4">
        <v>42009</v>
      </c>
      <c r="C3100" s="7">
        <v>708.57</v>
      </c>
      <c r="D3100" s="6">
        <f t="shared" si="51"/>
        <v>-0.76400037303242041</v>
      </c>
      <c r="E3100" s="6">
        <v>-5.6448540099580334E-5</v>
      </c>
    </row>
    <row r="3101" spans="2:5" x14ac:dyDescent="0.3">
      <c r="B3101" s="4">
        <v>44886</v>
      </c>
      <c r="C3101" s="5">
        <v>3002.42</v>
      </c>
      <c r="D3101" s="6">
        <f t="shared" si="51"/>
        <v>6.6277120065037352</v>
      </c>
      <c r="E3101" s="6">
        <v>-6.3278281228682567E-5</v>
      </c>
    </row>
    <row r="3102" spans="2:5" x14ac:dyDescent="0.3">
      <c r="B3102" s="4">
        <v>41282</v>
      </c>
      <c r="C3102" s="7">
        <v>393.62</v>
      </c>
      <c r="D3102" s="6">
        <f t="shared" si="51"/>
        <v>-0.87155783682539478</v>
      </c>
      <c r="E3102" s="6">
        <v>-7.620983106813849E-5</v>
      </c>
    </row>
    <row r="3103" spans="2:5" x14ac:dyDescent="0.3">
      <c r="B3103" s="4">
        <v>45252</v>
      </c>
      <c r="C3103" s="5">
        <v>3064.57</v>
      </c>
      <c r="D3103" s="6">
        <f t="shared" si="51"/>
        <v>25.001781774987272</v>
      </c>
      <c r="E3103" s="6">
        <v>-7.8308280121698159E-5</v>
      </c>
    </row>
    <row r="3104" spans="2:5" x14ac:dyDescent="0.3">
      <c r="B3104" s="4">
        <v>40080</v>
      </c>
      <c r="C3104" s="7">
        <v>117.86</v>
      </c>
      <c r="D3104" s="6">
        <f t="shared" si="51"/>
        <v>-0.94960986767566635</v>
      </c>
      <c r="E3104" s="6">
        <v>-8.4839229659838095E-5</v>
      </c>
    </row>
    <row r="3105" spans="2:5" x14ac:dyDescent="0.3">
      <c r="B3105" s="4">
        <v>45929</v>
      </c>
      <c r="C3105" s="5">
        <v>2338.9499999999998</v>
      </c>
      <c r="D3105" s="6">
        <f t="shared" si="51"/>
        <v>1.1896590462281635</v>
      </c>
      <c r="E3105" s="6">
        <v>-8.5501143577911991E-5</v>
      </c>
    </row>
    <row r="3106" spans="2:5" x14ac:dyDescent="0.3">
      <c r="B3106" s="4">
        <v>42900</v>
      </c>
      <c r="C3106" s="5">
        <v>1068.18</v>
      </c>
      <c r="D3106" s="6">
        <f t="shared" si="51"/>
        <v>-0.65127029832912187</v>
      </c>
      <c r="E3106" s="6">
        <v>-9.360841726879569E-5</v>
      </c>
    </row>
    <row r="3107" spans="2:5" x14ac:dyDescent="0.3">
      <c r="B3107" s="4">
        <v>45511</v>
      </c>
      <c r="C3107" s="5">
        <v>3063.06</v>
      </c>
      <c r="D3107" s="6">
        <f t="shared" si="51"/>
        <v>30.600742804085421</v>
      </c>
      <c r="E3107" s="6">
        <v>-9.4667602461345792E-5</v>
      </c>
    </row>
    <row r="3108" spans="2:5" x14ac:dyDescent="0.3">
      <c r="B3108" s="4">
        <v>39490</v>
      </c>
      <c r="C3108" s="7">
        <v>96.93</v>
      </c>
      <c r="D3108" s="6">
        <f t="shared" si="51"/>
        <v>-0.87941180129632612</v>
      </c>
      <c r="E3108" s="6">
        <v>-1.0315659170611621E-4</v>
      </c>
    </row>
    <row r="3109" spans="2:5" x14ac:dyDescent="0.3">
      <c r="B3109" s="4">
        <v>42431</v>
      </c>
      <c r="C3109" s="7">
        <v>803.81</v>
      </c>
      <c r="D3109" s="6">
        <f t="shared" si="51"/>
        <v>-0.38736328646011969</v>
      </c>
      <c r="E3109" s="6">
        <v>-1.1195422316212443E-4</v>
      </c>
    </row>
    <row r="3110" spans="2:5" x14ac:dyDescent="0.3">
      <c r="B3110" s="4">
        <v>43482</v>
      </c>
      <c r="C3110" s="5">
        <v>1312.05</v>
      </c>
      <c r="D3110" s="6">
        <f t="shared" si="51"/>
        <v>6.5827891117147317</v>
      </c>
      <c r="E3110" s="6">
        <v>-1.1431184270697374E-4</v>
      </c>
    </row>
    <row r="3111" spans="2:5" x14ac:dyDescent="0.3">
      <c r="B3111" s="4">
        <v>40256</v>
      </c>
      <c r="C3111" s="7">
        <v>173.03</v>
      </c>
      <c r="D3111" s="6">
        <f t="shared" si="51"/>
        <v>-0.85671698644429906</v>
      </c>
      <c r="E3111" s="6">
        <v>-1.1557353366085079E-4</v>
      </c>
    </row>
    <row r="3112" spans="2:5" x14ac:dyDescent="0.3">
      <c r="B3112" s="4">
        <v>43269</v>
      </c>
      <c r="C3112" s="5">
        <v>1207.6099999999999</v>
      </c>
      <c r="D3112" s="6">
        <f t="shared" si="51"/>
        <v>1.8126470245720272</v>
      </c>
      <c r="E3112" s="6">
        <v>-1.1591802939358315E-4</v>
      </c>
    </row>
    <row r="3113" spans="2:5" x14ac:dyDescent="0.3">
      <c r="B3113" s="4">
        <v>41704</v>
      </c>
      <c r="C3113" s="7">
        <v>429.35</v>
      </c>
      <c r="D3113" s="6">
        <f t="shared" si="51"/>
        <v>3.3886422061230326E-3</v>
      </c>
      <c r="E3113" s="6">
        <v>-1.1644154634362955E-4</v>
      </c>
    </row>
    <row r="3114" spans="2:5" x14ac:dyDescent="0.3">
      <c r="B3114" s="4">
        <v>41701</v>
      </c>
      <c r="C3114" s="7">
        <v>427.9</v>
      </c>
      <c r="D3114" s="6">
        <f t="shared" si="51"/>
        <v>4.0831551437396048</v>
      </c>
      <c r="E3114" s="6">
        <v>-1.1683607898121595E-4</v>
      </c>
    </row>
    <row r="3115" spans="2:5" x14ac:dyDescent="0.3">
      <c r="B3115" s="4">
        <v>39402</v>
      </c>
      <c r="C3115" s="7">
        <v>84.18</v>
      </c>
      <c r="D3115" s="6">
        <f t="shared" si="51"/>
        <v>-0.62644774794763702</v>
      </c>
      <c r="E3115" s="6">
        <v>-1.1877895236953208E-4</v>
      </c>
    </row>
    <row r="3116" spans="2:5" x14ac:dyDescent="0.3">
      <c r="B3116" s="4">
        <v>40653</v>
      </c>
      <c r="C3116" s="7">
        <v>225.35</v>
      </c>
      <c r="D3116" s="6">
        <f t="shared" si="51"/>
        <v>2.2461826562950158</v>
      </c>
      <c r="E3116" s="6">
        <v>-1.3310852781968737E-4</v>
      </c>
    </row>
    <row r="3117" spans="2:5" x14ac:dyDescent="0.3">
      <c r="B3117" s="4">
        <v>39267</v>
      </c>
      <c r="C3117" s="7">
        <v>69.42</v>
      </c>
      <c r="D3117" s="6">
        <f t="shared" si="51"/>
        <v>-0.97873441917884585</v>
      </c>
      <c r="E3117" s="6">
        <v>-1.4402995823138579E-4</v>
      </c>
    </row>
    <row r="3118" spans="2:5" x14ac:dyDescent="0.3">
      <c r="B3118" s="4">
        <v>45117</v>
      </c>
      <c r="C3118" s="5">
        <v>3264.43</v>
      </c>
      <c r="D3118" s="6">
        <f t="shared" si="51"/>
        <v>12.476571853197374</v>
      </c>
      <c r="E3118" s="6">
        <v>-1.6232970694899786E-4</v>
      </c>
    </row>
    <row r="3119" spans="2:5" x14ac:dyDescent="0.3">
      <c r="B3119" s="4">
        <v>40928</v>
      </c>
      <c r="C3119" s="7">
        <v>242.23</v>
      </c>
      <c r="D3119" s="6">
        <f t="shared" si="51"/>
        <v>3.0479612299465235</v>
      </c>
      <c r="E3119" s="6">
        <v>-1.6510504808692973E-4</v>
      </c>
    </row>
    <row r="3120" spans="2:5" x14ac:dyDescent="0.3">
      <c r="B3120" s="4">
        <v>39164</v>
      </c>
      <c r="C3120" s="7">
        <v>59.84</v>
      </c>
      <c r="D3120" s="6">
        <f t="shared" si="51"/>
        <v>-0.88775931275087216</v>
      </c>
      <c r="E3120" s="6">
        <v>-1.6708437761066015E-4</v>
      </c>
    </row>
    <row r="3121" spans="2:5" x14ac:dyDescent="0.3">
      <c r="B3121" s="4">
        <v>41817</v>
      </c>
      <c r="C3121" s="7">
        <v>533.14</v>
      </c>
      <c r="D3121" s="6">
        <f t="shared" si="51"/>
        <v>0.53161538682524645</v>
      </c>
      <c r="E3121" s="6">
        <v>-1.6878270164850408E-4</v>
      </c>
    </row>
    <row r="3122" spans="2:5" x14ac:dyDescent="0.3">
      <c r="B3122" s="4">
        <v>41193</v>
      </c>
      <c r="C3122" s="7">
        <v>348.09</v>
      </c>
      <c r="D3122" s="6">
        <f t="shared" si="51"/>
        <v>-0.56718682001865095</v>
      </c>
      <c r="E3122" s="6">
        <v>-1.7233950883240636E-4</v>
      </c>
    </row>
    <row r="3123" spans="2:5" x14ac:dyDescent="0.3">
      <c r="B3123" s="4">
        <v>42725</v>
      </c>
      <c r="C3123" s="7">
        <v>804.25</v>
      </c>
      <c r="D3123" s="6">
        <f t="shared" si="51"/>
        <v>14.07497656982193</v>
      </c>
      <c r="E3123" s="6">
        <v>-1.7404492845508567E-4</v>
      </c>
    </row>
    <row r="3124" spans="2:5" x14ac:dyDescent="0.3">
      <c r="B3124" s="4">
        <v>38945</v>
      </c>
      <c r="C3124" s="7">
        <v>53.35</v>
      </c>
      <c r="D3124" s="6">
        <f t="shared" si="51"/>
        <v>-0.87190876350540214</v>
      </c>
      <c r="E3124" s="6">
        <v>-1.8740629685153694E-4</v>
      </c>
    </row>
    <row r="3125" spans="2:5" x14ac:dyDescent="0.3">
      <c r="B3125" s="4">
        <v>41382</v>
      </c>
      <c r="C3125" s="7">
        <v>416.5</v>
      </c>
      <c r="D3125" s="6">
        <f t="shared" si="51"/>
        <v>-9.5587596629896604E-2</v>
      </c>
      <c r="E3125" s="6">
        <v>-1.9203994430837796E-4</v>
      </c>
    </row>
    <row r="3126" spans="2:5" x14ac:dyDescent="0.3">
      <c r="B3126" s="4">
        <v>41794</v>
      </c>
      <c r="C3126" s="7">
        <v>460.52</v>
      </c>
      <c r="D3126" s="6">
        <f t="shared" si="51"/>
        <v>2.0065939805444932</v>
      </c>
      <c r="E3126" s="6">
        <v>-1.953930657172702E-4</v>
      </c>
    </row>
    <row r="3127" spans="2:5" x14ac:dyDescent="0.3">
      <c r="B3127" s="4">
        <v>40177</v>
      </c>
      <c r="C3127" s="7">
        <v>153.16999999999999</v>
      </c>
      <c r="D3127" s="6">
        <f t="shared" si="51"/>
        <v>-0.66460103354646571</v>
      </c>
      <c r="E3127" s="6">
        <v>-1.9582245430810143E-4</v>
      </c>
    </row>
    <row r="3128" spans="2:5" x14ac:dyDescent="0.3">
      <c r="B3128" s="4">
        <v>41614</v>
      </c>
      <c r="C3128" s="7">
        <v>456.68</v>
      </c>
      <c r="D3128" s="6">
        <f t="shared" si="51"/>
        <v>1.9711338399884326E-4</v>
      </c>
      <c r="E3128" s="6">
        <v>-1.9703570724867E-4</v>
      </c>
    </row>
    <row r="3129" spans="2:5" x14ac:dyDescent="0.3">
      <c r="B3129" s="4">
        <v>41617</v>
      </c>
      <c r="C3129" s="7">
        <v>456.59</v>
      </c>
      <c r="D3129" s="6">
        <f t="shared" si="51"/>
        <v>2.0959452129102254</v>
      </c>
      <c r="E3129" s="6">
        <v>-1.9707453796976402E-4</v>
      </c>
    </row>
    <row r="3130" spans="2:5" x14ac:dyDescent="0.3">
      <c r="B3130" s="4">
        <v>40141</v>
      </c>
      <c r="C3130" s="7">
        <v>147.47999999999999</v>
      </c>
      <c r="D3130" s="6">
        <f t="shared" si="51"/>
        <v>-0.9512862182409132</v>
      </c>
      <c r="E3130" s="6">
        <v>-2.0337604230222451E-4</v>
      </c>
    </row>
    <row r="3131" spans="2:5" x14ac:dyDescent="0.3">
      <c r="B3131" s="4">
        <v>44530</v>
      </c>
      <c r="C3131" s="5">
        <v>3027.48</v>
      </c>
      <c r="D3131" s="6">
        <f t="shared" si="51"/>
        <v>11.463894606834087</v>
      </c>
      <c r="E3131" s="6">
        <v>-2.0474885241567018E-4</v>
      </c>
    </row>
    <row r="3132" spans="2:5" x14ac:dyDescent="0.3">
      <c r="B3132" s="4">
        <v>40449</v>
      </c>
      <c r="C3132" s="7">
        <v>242.9</v>
      </c>
      <c r="D3132" s="6">
        <f t="shared" si="51"/>
        <v>0.66907166907166915</v>
      </c>
      <c r="E3132" s="6">
        <v>-2.0580366330513665E-4</v>
      </c>
    </row>
    <row r="3133" spans="2:5" x14ac:dyDescent="0.3">
      <c r="B3133" s="4">
        <v>40135</v>
      </c>
      <c r="C3133" s="7">
        <v>145.53</v>
      </c>
      <c r="D3133" s="6">
        <f t="shared" si="51"/>
        <v>-0.49163377231285149</v>
      </c>
      <c r="E3133" s="6">
        <v>-2.0610057708162364E-4</v>
      </c>
    </row>
    <row r="3134" spans="2:5" x14ac:dyDescent="0.3">
      <c r="B3134" s="4">
        <v>40730</v>
      </c>
      <c r="C3134" s="7">
        <v>286.27</v>
      </c>
      <c r="D3134" s="6">
        <f t="shared" si="51"/>
        <v>-0.78210700177346804</v>
      </c>
      <c r="E3134" s="6">
        <v>-2.0954842314812377E-4</v>
      </c>
    </row>
    <row r="3135" spans="2:5" x14ac:dyDescent="0.3">
      <c r="B3135" s="4">
        <v>43328</v>
      </c>
      <c r="C3135" s="5">
        <v>1313.81</v>
      </c>
      <c r="D3135" s="6">
        <f t="shared" si="51"/>
        <v>3.6863206705903333</v>
      </c>
      <c r="E3135" s="6">
        <v>-2.130752079385527E-4</v>
      </c>
    </row>
    <row r="3136" spans="2:5" x14ac:dyDescent="0.3">
      <c r="B3136" s="4">
        <v>40827</v>
      </c>
      <c r="C3136" s="7">
        <v>280.35000000000002</v>
      </c>
      <c r="D3136" s="6">
        <f t="shared" si="51"/>
        <v>0.20497721997764989</v>
      </c>
      <c r="E3136" s="6">
        <v>-2.1397239756072275E-4</v>
      </c>
    </row>
    <row r="3137" spans="2:5" x14ac:dyDescent="0.3">
      <c r="B3137" s="4">
        <v>40463</v>
      </c>
      <c r="C3137" s="7">
        <v>232.66</v>
      </c>
      <c r="D3137" s="6">
        <f t="shared" si="51"/>
        <v>-0.90513585804220897</v>
      </c>
      <c r="E3137" s="6">
        <v>-2.1485969661815723E-4</v>
      </c>
    </row>
    <row r="3138" spans="2:5" x14ac:dyDescent="0.3">
      <c r="B3138" s="4">
        <v>45628</v>
      </c>
      <c r="C3138" s="5">
        <v>2452.56</v>
      </c>
      <c r="D3138" s="6">
        <f t="shared" si="51"/>
        <v>-0.24373961227378277</v>
      </c>
      <c r="E3138" s="6">
        <v>-2.2012963189432295E-4</v>
      </c>
    </row>
    <row r="3139" spans="2:5" x14ac:dyDescent="0.3">
      <c r="B3139" s="4">
        <v>44559</v>
      </c>
      <c r="C3139" s="5">
        <v>3243.01</v>
      </c>
      <c r="D3139" s="6">
        <f t="shared" si="51"/>
        <v>1.9567588980026925E-2</v>
      </c>
      <c r="E3139" s="6">
        <v>-2.2196668649973947E-4</v>
      </c>
    </row>
    <row r="3140" spans="2:5" x14ac:dyDescent="0.3">
      <c r="B3140" s="4">
        <v>45267</v>
      </c>
      <c r="C3140" s="5">
        <v>3180.77</v>
      </c>
      <c r="D3140" s="6">
        <f t="shared" si="51"/>
        <v>0.95550760188617778</v>
      </c>
      <c r="E3140" s="6">
        <v>-2.2945151658023517E-4</v>
      </c>
    </row>
    <row r="3141" spans="2:5" x14ac:dyDescent="0.3">
      <c r="B3141" s="4">
        <v>43795</v>
      </c>
      <c r="C3141" s="5">
        <v>1626.57</v>
      </c>
      <c r="D3141" s="6">
        <f t="shared" si="51"/>
        <v>8.5260322108345523</v>
      </c>
      <c r="E3141" s="6">
        <v>-2.3356587479646525E-4</v>
      </c>
    </row>
    <row r="3142" spans="2:5" x14ac:dyDescent="0.3">
      <c r="B3142" s="4">
        <v>40260</v>
      </c>
      <c r="C3142" s="7">
        <v>170.75</v>
      </c>
      <c r="D3142" s="6">
        <f t="shared" si="51"/>
        <v>-0.93930680012654044</v>
      </c>
      <c r="E3142" s="6">
        <v>-2.342057497511098E-4</v>
      </c>
    </row>
    <row r="3143" spans="2:5" x14ac:dyDescent="0.3">
      <c r="B3143" s="4">
        <v>45363</v>
      </c>
      <c r="C3143" s="5">
        <v>2813.33</v>
      </c>
      <c r="D3143" s="6">
        <f t="shared" si="51"/>
        <v>1.4937773680571558</v>
      </c>
      <c r="E3143" s="6">
        <v>-2.4164803963038192E-4</v>
      </c>
    </row>
    <row r="3144" spans="2:5" x14ac:dyDescent="0.3">
      <c r="B3144" s="4">
        <v>42984</v>
      </c>
      <c r="C3144" s="5">
        <v>1128.1400000000001</v>
      </c>
      <c r="D3144" s="6">
        <f t="shared" ref="D3144:D3207" si="52">((C3144-C3145)/C3145)</f>
        <v>-0.64525238041331767</v>
      </c>
      <c r="E3144" s="6">
        <v>-2.4813455982699054E-4</v>
      </c>
    </row>
    <row r="3145" spans="2:5" x14ac:dyDescent="0.3">
      <c r="B3145" s="4">
        <v>44480</v>
      </c>
      <c r="C3145" s="5">
        <v>3180.12</v>
      </c>
      <c r="D3145" s="6">
        <f t="shared" si="52"/>
        <v>1.9420765836193576</v>
      </c>
      <c r="E3145" s="6">
        <v>-2.5778543449425759E-4</v>
      </c>
    </row>
    <row r="3146" spans="2:5" x14ac:dyDescent="0.3">
      <c r="B3146" s="4">
        <v>42936</v>
      </c>
      <c r="C3146" s="5">
        <v>1080.9100000000001</v>
      </c>
      <c r="D3146" s="6">
        <f t="shared" si="52"/>
        <v>2.113399389365747</v>
      </c>
      <c r="E3146" s="6">
        <v>-2.589739083787056E-4</v>
      </c>
    </row>
    <row r="3147" spans="2:5" x14ac:dyDescent="0.3">
      <c r="B3147" s="4">
        <v>41080</v>
      </c>
      <c r="C3147" s="7">
        <v>347.18</v>
      </c>
      <c r="D3147" s="6">
        <f t="shared" si="52"/>
        <v>-0.85810681020283897</v>
      </c>
      <c r="E3147" s="6">
        <v>-2.5916433898688336E-4</v>
      </c>
    </row>
    <row r="3148" spans="2:5" x14ac:dyDescent="0.3">
      <c r="B3148" s="4">
        <v>44327</v>
      </c>
      <c r="C3148" s="5">
        <v>2446.77</v>
      </c>
      <c r="D3148" s="6">
        <f t="shared" si="52"/>
        <v>22.644858909934285</v>
      </c>
      <c r="E3148" s="6">
        <v>-2.7375543424969467E-4</v>
      </c>
    </row>
    <row r="3149" spans="2:5" x14ac:dyDescent="0.3">
      <c r="B3149" s="4">
        <v>39695</v>
      </c>
      <c r="C3149" s="7">
        <v>103.48</v>
      </c>
      <c r="D3149" s="6">
        <f t="shared" si="52"/>
        <v>-0.86789731020131999</v>
      </c>
      <c r="E3149" s="6">
        <v>-2.8982706984833479E-4</v>
      </c>
    </row>
    <row r="3150" spans="2:5" x14ac:dyDescent="0.3">
      <c r="B3150" s="4">
        <v>42242</v>
      </c>
      <c r="C3150" s="7">
        <v>783.33</v>
      </c>
      <c r="D3150" s="6">
        <f t="shared" si="52"/>
        <v>10.660166716284609</v>
      </c>
      <c r="E3150" s="6">
        <v>-2.935320843329222E-4</v>
      </c>
    </row>
    <row r="3151" spans="2:5" x14ac:dyDescent="0.3">
      <c r="B3151" s="4">
        <v>39904</v>
      </c>
      <c r="C3151" s="7">
        <v>67.180000000000007</v>
      </c>
      <c r="D3151" s="6">
        <f t="shared" si="52"/>
        <v>-0.97725410529879808</v>
      </c>
      <c r="E3151" s="6">
        <v>-2.9761904761898839E-4</v>
      </c>
    </row>
    <row r="3152" spans="2:5" x14ac:dyDescent="0.3">
      <c r="B3152" s="4">
        <v>45994</v>
      </c>
      <c r="C3152" s="5">
        <v>2953.5</v>
      </c>
      <c r="D3152" s="6">
        <f t="shared" si="52"/>
        <v>1.7319649612890695</v>
      </c>
      <c r="E3152" s="6">
        <v>-3.0463038180344261E-4</v>
      </c>
    </row>
    <row r="3153" spans="2:5" x14ac:dyDescent="0.3">
      <c r="B3153" s="4">
        <v>42940</v>
      </c>
      <c r="C3153" s="5">
        <v>1081.0899999999999</v>
      </c>
      <c r="D3153" s="6">
        <f t="shared" si="52"/>
        <v>0.24670187739286861</v>
      </c>
      <c r="E3153" s="6">
        <v>-3.051543341163975E-4</v>
      </c>
    </row>
    <row r="3154" spans="2:5" x14ac:dyDescent="0.3">
      <c r="B3154" s="4">
        <v>42748</v>
      </c>
      <c r="C3154" s="7">
        <v>867.16</v>
      </c>
      <c r="D3154" s="6">
        <f t="shared" si="52"/>
        <v>-0.65281659126396285</v>
      </c>
      <c r="E3154" s="6">
        <v>-3.1126430951198576E-4</v>
      </c>
    </row>
    <row r="3155" spans="2:5" x14ac:dyDescent="0.3">
      <c r="B3155" s="4">
        <v>45954</v>
      </c>
      <c r="C3155" s="5">
        <v>2497.6999999999998</v>
      </c>
      <c r="D3155" s="6">
        <f t="shared" si="52"/>
        <v>25.987574284170716</v>
      </c>
      <c r="E3155" s="6">
        <v>-3.2019211526923428E-4</v>
      </c>
    </row>
    <row r="3156" spans="2:5" x14ac:dyDescent="0.3">
      <c r="B3156" s="4">
        <v>39447</v>
      </c>
      <c r="C3156" s="7">
        <v>92.55</v>
      </c>
      <c r="D3156" s="6">
        <f t="shared" si="52"/>
        <v>-0.78378188954303329</v>
      </c>
      <c r="E3156" s="6">
        <v>-3.2404406999353143E-4</v>
      </c>
    </row>
    <row r="3157" spans="2:5" x14ac:dyDescent="0.3">
      <c r="B3157" s="4">
        <v>41688</v>
      </c>
      <c r="C3157" s="7">
        <v>428.04</v>
      </c>
      <c r="D3157" s="6">
        <f t="shared" si="52"/>
        <v>9.5263683119674564E-2</v>
      </c>
      <c r="E3157" s="6">
        <v>-3.2696529496937355E-4</v>
      </c>
    </row>
    <row r="3158" spans="2:5" x14ac:dyDescent="0.3">
      <c r="B3158" s="4">
        <v>41284</v>
      </c>
      <c r="C3158" s="7">
        <v>390.81</v>
      </c>
      <c r="D3158" s="6">
        <f t="shared" si="52"/>
        <v>-0.2605857645589737</v>
      </c>
      <c r="E3158" s="6">
        <v>-3.3253184631911663E-4</v>
      </c>
    </row>
    <row r="3159" spans="2:5" x14ac:dyDescent="0.3">
      <c r="B3159" s="4">
        <v>41837</v>
      </c>
      <c r="C3159" s="7">
        <v>528.54</v>
      </c>
      <c r="D3159" s="6">
        <f t="shared" si="52"/>
        <v>-0.35043260249729624</v>
      </c>
      <c r="E3159" s="6">
        <v>-3.4044484793475498E-4</v>
      </c>
    </row>
    <row r="3160" spans="2:5" x14ac:dyDescent="0.3">
      <c r="B3160" s="4">
        <v>42732</v>
      </c>
      <c r="C3160" s="7">
        <v>813.68</v>
      </c>
      <c r="D3160" s="6">
        <f t="shared" si="52"/>
        <v>13.038647342995167</v>
      </c>
      <c r="E3160" s="6">
        <v>-3.4399724802212196E-4</v>
      </c>
    </row>
    <row r="3161" spans="2:5" x14ac:dyDescent="0.3">
      <c r="B3161" s="4">
        <v>39034</v>
      </c>
      <c r="C3161" s="7">
        <v>57.96</v>
      </c>
      <c r="D3161" s="6">
        <f t="shared" si="52"/>
        <v>-0.98174971031286207</v>
      </c>
      <c r="E3161" s="6">
        <v>-3.4494653328727187E-4</v>
      </c>
    </row>
    <row r="3162" spans="2:5" x14ac:dyDescent="0.3">
      <c r="B3162" s="4">
        <v>44441</v>
      </c>
      <c r="C3162" s="5">
        <v>3175.84</v>
      </c>
      <c r="D3162" s="6">
        <f t="shared" si="52"/>
        <v>1.3936447640151346</v>
      </c>
      <c r="E3162" s="6">
        <v>-3.4939171217667029E-4</v>
      </c>
    </row>
    <row r="3163" spans="2:5" x14ac:dyDescent="0.3">
      <c r="B3163" s="4">
        <v>43524</v>
      </c>
      <c r="C3163" s="5">
        <v>1326.78</v>
      </c>
      <c r="D3163" s="6">
        <f t="shared" si="52"/>
        <v>5.0495166879445561</v>
      </c>
      <c r="E3163" s="6">
        <v>-3.6164730346730721E-4</v>
      </c>
    </row>
    <row r="3164" spans="2:5" x14ac:dyDescent="0.3">
      <c r="B3164" s="4">
        <v>40612</v>
      </c>
      <c r="C3164" s="7">
        <v>219.32</v>
      </c>
      <c r="D3164" s="6">
        <f t="shared" si="52"/>
        <v>3.0065765436609424</v>
      </c>
      <c r="E3164" s="6">
        <v>-3.6463081130361214E-4</v>
      </c>
    </row>
    <row r="3165" spans="2:5" x14ac:dyDescent="0.3">
      <c r="B3165" s="4">
        <v>38988</v>
      </c>
      <c r="C3165" s="7">
        <v>54.74</v>
      </c>
      <c r="D3165" s="6">
        <f t="shared" si="52"/>
        <v>-0.98191578982143746</v>
      </c>
      <c r="E3165" s="6">
        <v>-3.6523009495975206E-4</v>
      </c>
    </row>
    <row r="3166" spans="2:5" x14ac:dyDescent="0.3">
      <c r="B3166" s="4">
        <v>44526</v>
      </c>
      <c r="C3166" s="5">
        <v>3026.95</v>
      </c>
      <c r="D3166" s="6">
        <f t="shared" si="52"/>
        <v>1.7384538833853531</v>
      </c>
      <c r="E3166" s="6">
        <v>-3.6657133610302551E-4</v>
      </c>
    </row>
    <row r="3167" spans="2:5" x14ac:dyDescent="0.3">
      <c r="B3167" s="4">
        <v>42647</v>
      </c>
      <c r="C3167" s="5">
        <v>1105.3499999999999</v>
      </c>
      <c r="D3167" s="6">
        <f t="shared" si="52"/>
        <v>0.87729279891304346</v>
      </c>
      <c r="E3167" s="6">
        <v>-3.7078570395029833E-4</v>
      </c>
    </row>
    <row r="3168" spans="2:5" x14ac:dyDescent="0.3">
      <c r="B3168" s="4">
        <v>41934</v>
      </c>
      <c r="C3168" s="7">
        <v>588.79999999999995</v>
      </c>
      <c r="D3168" s="6">
        <f t="shared" si="52"/>
        <v>-0.73783221796258947</v>
      </c>
      <c r="E3168" s="6">
        <v>-3.7350174866732419E-4</v>
      </c>
    </row>
    <row r="3169" spans="2:5" x14ac:dyDescent="0.3">
      <c r="B3169" s="4">
        <v>45698</v>
      </c>
      <c r="C3169" s="5">
        <v>2245.89</v>
      </c>
      <c r="D3169" s="6">
        <f t="shared" si="52"/>
        <v>41.359298377970575</v>
      </c>
      <c r="E3169" s="6">
        <v>-3.7387670080523495E-4</v>
      </c>
    </row>
    <row r="3170" spans="2:5" x14ac:dyDescent="0.3">
      <c r="B3170" s="4">
        <v>38790</v>
      </c>
      <c r="C3170" s="7">
        <v>53.02</v>
      </c>
      <c r="D3170" s="6">
        <f t="shared" si="52"/>
        <v>5.5544495321521128E-2</v>
      </c>
      <c r="E3170" s="6">
        <v>-3.7707390648559618E-4</v>
      </c>
    </row>
    <row r="3171" spans="2:5" x14ac:dyDescent="0.3">
      <c r="B3171" s="4">
        <v>38834</v>
      </c>
      <c r="C3171" s="7">
        <v>50.23</v>
      </c>
      <c r="D3171" s="6">
        <f t="shared" si="52"/>
        <v>-0.90869762791965825</v>
      </c>
      <c r="E3171" s="6">
        <v>-3.9800995024881844E-4</v>
      </c>
    </row>
    <row r="3172" spans="2:5" x14ac:dyDescent="0.3">
      <c r="B3172" s="4">
        <v>41843</v>
      </c>
      <c r="C3172" s="7">
        <v>550.15</v>
      </c>
      <c r="D3172" s="6">
        <f t="shared" si="52"/>
        <v>21.014805922368947</v>
      </c>
      <c r="E3172" s="6">
        <v>-3.9973108999405362E-4</v>
      </c>
    </row>
    <row r="3173" spans="2:5" x14ac:dyDescent="0.3">
      <c r="B3173" s="4">
        <v>38215</v>
      </c>
      <c r="C3173" s="7">
        <v>24.99</v>
      </c>
      <c r="D3173" s="6">
        <f t="shared" si="52"/>
        <v>1.6032064128256173E-3</v>
      </c>
      <c r="E3173" s="6">
        <v>-4.0000000000006252E-4</v>
      </c>
    </row>
    <row r="3174" spans="2:5" x14ac:dyDescent="0.3">
      <c r="B3174" s="4">
        <v>38209</v>
      </c>
      <c r="C3174" s="7">
        <v>24.95</v>
      </c>
      <c r="D3174" s="6">
        <f t="shared" si="52"/>
        <v>0</v>
      </c>
      <c r="E3174" s="6">
        <v>-4.0064102564108824E-4</v>
      </c>
    </row>
    <row r="3175" spans="2:5" x14ac:dyDescent="0.3">
      <c r="B3175" s="4">
        <v>38202</v>
      </c>
      <c r="C3175" s="7">
        <v>24.95</v>
      </c>
      <c r="D3175" s="6">
        <f t="shared" si="52"/>
        <v>4.0096230954282316E-4</v>
      </c>
      <c r="E3175" s="6">
        <v>-4.0064102564108824E-4</v>
      </c>
    </row>
    <row r="3176" spans="2:5" x14ac:dyDescent="0.3">
      <c r="B3176" s="4">
        <v>38203</v>
      </c>
      <c r="C3176" s="7">
        <v>24.94</v>
      </c>
      <c r="D3176" s="6">
        <f t="shared" si="52"/>
        <v>9.3079724807770305E-3</v>
      </c>
      <c r="E3176" s="6">
        <v>-4.0080160320633308E-4</v>
      </c>
    </row>
    <row r="3177" spans="2:5" x14ac:dyDescent="0.3">
      <c r="B3177" s="4">
        <v>38264</v>
      </c>
      <c r="C3177" s="7">
        <v>24.71</v>
      </c>
      <c r="D3177" s="6">
        <f t="shared" si="52"/>
        <v>1.1461318051575978E-2</v>
      </c>
      <c r="E3177" s="6">
        <v>-4.045307443364891E-4</v>
      </c>
    </row>
    <row r="3178" spans="2:5" x14ac:dyDescent="0.3">
      <c r="B3178" s="4">
        <v>38246</v>
      </c>
      <c r="C3178" s="7">
        <v>24.43</v>
      </c>
      <c r="D3178" s="6">
        <f t="shared" si="52"/>
        <v>-0.99206119670229331</v>
      </c>
      <c r="E3178" s="6">
        <v>-4.0916530278238799E-4</v>
      </c>
    </row>
    <row r="3179" spans="2:5" x14ac:dyDescent="0.3">
      <c r="B3179" s="4">
        <v>45209</v>
      </c>
      <c r="C3179" s="5">
        <v>3077.29</v>
      </c>
      <c r="D3179" s="6">
        <f t="shared" si="52"/>
        <v>126.31857674803474</v>
      </c>
      <c r="E3179" s="6">
        <v>-4.1253053375603588E-4</v>
      </c>
    </row>
    <row r="3180" spans="2:5" x14ac:dyDescent="0.3">
      <c r="B3180" s="4">
        <v>38061</v>
      </c>
      <c r="C3180" s="7">
        <v>24.17</v>
      </c>
      <c r="D3180" s="6">
        <f t="shared" si="52"/>
        <v>-0.99033787457226008</v>
      </c>
      <c r="E3180" s="6">
        <v>-4.1356492969387966E-4</v>
      </c>
    </row>
    <row r="3181" spans="2:5" x14ac:dyDescent="0.3">
      <c r="B3181" s="4">
        <v>44315</v>
      </c>
      <c r="C3181" s="5">
        <v>2501.52</v>
      </c>
      <c r="D3181" s="6">
        <f t="shared" si="52"/>
        <v>105.53833049403748</v>
      </c>
      <c r="E3181" s="6">
        <v>-4.1956868339354417E-4</v>
      </c>
    </row>
    <row r="3182" spans="2:5" x14ac:dyDescent="0.3">
      <c r="B3182" s="4">
        <v>37943</v>
      </c>
      <c r="C3182" s="7">
        <v>23.48</v>
      </c>
      <c r="D3182" s="6">
        <f t="shared" si="52"/>
        <v>7.2930072930073664E-3</v>
      </c>
      <c r="E3182" s="6">
        <v>-4.2571306939114564E-4</v>
      </c>
    </row>
    <row r="3183" spans="2:5" x14ac:dyDescent="0.3">
      <c r="B3183" s="4">
        <v>38092</v>
      </c>
      <c r="C3183" s="7">
        <v>23.31</v>
      </c>
      <c r="D3183" s="6">
        <f t="shared" si="52"/>
        <v>0</v>
      </c>
      <c r="E3183" s="6">
        <v>-4.2881646655238266E-4</v>
      </c>
    </row>
    <row r="3184" spans="2:5" x14ac:dyDescent="0.3">
      <c r="B3184" s="4">
        <v>38084</v>
      </c>
      <c r="C3184" s="7">
        <v>23.31</v>
      </c>
      <c r="D3184" s="6">
        <f t="shared" si="52"/>
        <v>4.2918454935613777E-4</v>
      </c>
      <c r="E3184" s="6">
        <v>-4.2881646655238266E-4</v>
      </c>
    </row>
    <row r="3185" spans="2:5" x14ac:dyDescent="0.3">
      <c r="B3185" s="4">
        <v>38085</v>
      </c>
      <c r="C3185" s="7">
        <v>23.3</v>
      </c>
      <c r="D3185" s="6">
        <f t="shared" si="52"/>
        <v>1.0407632263660104E-2</v>
      </c>
      <c r="E3185" s="6">
        <v>-4.2900042900034368E-4</v>
      </c>
    </row>
    <row r="3186" spans="2:5" x14ac:dyDescent="0.3">
      <c r="B3186" s="4">
        <v>37860</v>
      </c>
      <c r="C3186" s="7">
        <v>23.06</v>
      </c>
      <c r="D3186" s="6">
        <f t="shared" si="52"/>
        <v>2.6086956521738573E-3</v>
      </c>
      <c r="E3186" s="6">
        <v>-4.334633723451046E-4</v>
      </c>
    </row>
    <row r="3187" spans="2:5" x14ac:dyDescent="0.3">
      <c r="B3187" s="4">
        <v>38287</v>
      </c>
      <c r="C3187" s="7">
        <v>23</v>
      </c>
      <c r="D3187" s="6">
        <f t="shared" si="52"/>
        <v>-0.98025835801038586</v>
      </c>
      <c r="E3187" s="6">
        <v>-4.3459365493270588E-4</v>
      </c>
    </row>
    <row r="3188" spans="2:5" x14ac:dyDescent="0.3">
      <c r="B3188" s="4">
        <v>42993</v>
      </c>
      <c r="C3188" s="5">
        <v>1165.05</v>
      </c>
      <c r="D3188" s="6">
        <f t="shared" si="52"/>
        <v>24.560552874067575</v>
      </c>
      <c r="E3188" s="6">
        <v>-4.3755791207659062E-4</v>
      </c>
    </row>
    <row r="3189" spans="2:5" x14ac:dyDescent="0.3">
      <c r="B3189" s="4">
        <v>38714</v>
      </c>
      <c r="C3189" s="7">
        <v>45.58</v>
      </c>
      <c r="D3189" s="6">
        <f t="shared" si="52"/>
        <v>-0.97204812775195326</v>
      </c>
      <c r="E3189" s="6">
        <v>-4.3859649122813871E-4</v>
      </c>
    </row>
    <row r="3190" spans="2:5" x14ac:dyDescent="0.3">
      <c r="B3190" s="4">
        <v>43797</v>
      </c>
      <c r="C3190" s="5">
        <v>1630.66</v>
      </c>
      <c r="D3190" s="6">
        <f t="shared" si="52"/>
        <v>11.203712019158807</v>
      </c>
      <c r="E3190" s="6">
        <v>-4.4134413809169366E-4</v>
      </c>
    </row>
    <row r="3191" spans="2:5" x14ac:dyDescent="0.3">
      <c r="B3191" s="4">
        <v>40099</v>
      </c>
      <c r="C3191" s="7">
        <v>133.62</v>
      </c>
      <c r="D3191" s="6">
        <f t="shared" si="52"/>
        <v>-0.94489692400955094</v>
      </c>
      <c r="E3191" s="6">
        <v>-4.4883303411132758E-4</v>
      </c>
    </row>
    <row r="3192" spans="2:5" x14ac:dyDescent="0.3">
      <c r="B3192" s="4">
        <v>45776</v>
      </c>
      <c r="C3192" s="5">
        <v>2424.91</v>
      </c>
      <c r="D3192" s="6">
        <f t="shared" si="52"/>
        <v>3.1031320326909082</v>
      </c>
      <c r="E3192" s="6">
        <v>-4.4929925803798248E-4</v>
      </c>
    </row>
    <row r="3193" spans="2:5" x14ac:dyDescent="0.3">
      <c r="B3193" s="4">
        <v>41941</v>
      </c>
      <c r="C3193" s="7">
        <v>590.99</v>
      </c>
      <c r="D3193" s="6">
        <f t="shared" si="52"/>
        <v>-0.75298223615464999</v>
      </c>
      <c r="E3193" s="6">
        <v>-4.566518959509891E-4</v>
      </c>
    </row>
    <row r="3194" spans="2:5" x14ac:dyDescent="0.3">
      <c r="B3194" s="4">
        <v>46064</v>
      </c>
      <c r="C3194" s="5">
        <v>2392.5</v>
      </c>
      <c r="D3194" s="6">
        <f t="shared" si="52"/>
        <v>110.48648648648648</v>
      </c>
      <c r="E3194" s="6">
        <v>-4.5955882352937381E-4</v>
      </c>
    </row>
    <row r="3195" spans="2:5" x14ac:dyDescent="0.3">
      <c r="B3195" s="4">
        <v>37924</v>
      </c>
      <c r="C3195" s="7">
        <v>21.46</v>
      </c>
      <c r="D3195" s="6">
        <f t="shared" si="52"/>
        <v>-0.79199379664631198</v>
      </c>
      <c r="E3195" s="6">
        <v>-4.6576618537484915E-4</v>
      </c>
    </row>
    <row r="3196" spans="2:5" x14ac:dyDescent="0.3">
      <c r="B3196" s="4">
        <v>39594</v>
      </c>
      <c r="C3196" s="7">
        <v>103.17</v>
      </c>
      <c r="D3196" s="6">
        <f t="shared" si="52"/>
        <v>-0.64224287398571323</v>
      </c>
      <c r="E3196" s="6">
        <v>-4.8440224762640147E-4</v>
      </c>
    </row>
    <row r="3197" spans="2:5" x14ac:dyDescent="0.3">
      <c r="B3197" s="4">
        <v>40781</v>
      </c>
      <c r="C3197" s="7">
        <v>288.38</v>
      </c>
      <c r="D3197" s="6">
        <f t="shared" si="52"/>
        <v>13.23395853899309</v>
      </c>
      <c r="E3197" s="6">
        <v>-4.8523499237483142E-4</v>
      </c>
    </row>
    <row r="3198" spans="2:5" x14ac:dyDescent="0.3">
      <c r="B3198" s="4">
        <v>37817</v>
      </c>
      <c r="C3198" s="7">
        <v>20.260000000000002</v>
      </c>
      <c r="D3198" s="6">
        <f t="shared" si="52"/>
        <v>-0.92222648752399239</v>
      </c>
      <c r="E3198" s="6">
        <v>-4.933399111987178E-4</v>
      </c>
    </row>
    <row r="3199" spans="2:5" x14ac:dyDescent="0.3">
      <c r="B3199" s="4">
        <v>40876</v>
      </c>
      <c r="C3199" s="7">
        <v>260.5</v>
      </c>
      <c r="D3199" s="6">
        <f t="shared" si="52"/>
        <v>0.18188829907898918</v>
      </c>
      <c r="E3199" s="6">
        <v>-4.987913900932182E-4</v>
      </c>
    </row>
    <row r="3200" spans="2:5" x14ac:dyDescent="0.3">
      <c r="B3200" s="4">
        <v>40382</v>
      </c>
      <c r="C3200" s="7">
        <v>220.41</v>
      </c>
      <c r="D3200" s="6">
        <f t="shared" si="52"/>
        <v>-0.47053736577866395</v>
      </c>
      <c r="E3200" s="6">
        <v>-4.9882096861968823E-4</v>
      </c>
    </row>
    <row r="3201" spans="2:5" x14ac:dyDescent="0.3">
      <c r="B3201" s="4">
        <v>41386</v>
      </c>
      <c r="C3201" s="7">
        <v>416.29</v>
      </c>
      <c r="D3201" s="6">
        <f t="shared" si="52"/>
        <v>0.51422231922013673</v>
      </c>
      <c r="E3201" s="6">
        <v>-5.0420168067221978E-4</v>
      </c>
    </row>
    <row r="3202" spans="2:5" x14ac:dyDescent="0.3">
      <c r="B3202" s="4">
        <v>40746</v>
      </c>
      <c r="C3202" s="7">
        <v>274.92</v>
      </c>
      <c r="D3202" s="6">
        <f t="shared" si="52"/>
        <v>-0.78711805609329266</v>
      </c>
      <c r="E3202" s="6">
        <v>-5.0897985893981804E-4</v>
      </c>
    </row>
    <row r="3203" spans="2:5" x14ac:dyDescent="0.3">
      <c r="B3203" s="4">
        <v>43608</v>
      </c>
      <c r="C3203" s="5">
        <v>1291.42</v>
      </c>
      <c r="D3203" s="6">
        <f t="shared" si="52"/>
        <v>12.258932238193017</v>
      </c>
      <c r="E3203" s="6">
        <v>-5.1080428456431071E-4</v>
      </c>
    </row>
    <row r="3204" spans="2:5" x14ac:dyDescent="0.3">
      <c r="B3204" s="4">
        <v>39533</v>
      </c>
      <c r="C3204" s="7">
        <v>97.4</v>
      </c>
      <c r="D3204" s="6">
        <f t="shared" si="52"/>
        <v>-0.9671625990769116</v>
      </c>
      <c r="E3204" s="6">
        <v>-5.1308363263208984E-4</v>
      </c>
    </row>
    <row r="3205" spans="2:5" x14ac:dyDescent="0.3">
      <c r="B3205" s="4">
        <v>44651</v>
      </c>
      <c r="C3205" s="5">
        <v>2966.13</v>
      </c>
      <c r="D3205" s="6">
        <f t="shared" si="52"/>
        <v>1.7501089425617731</v>
      </c>
      <c r="E3205" s="6">
        <v>-5.1892562178408098E-4</v>
      </c>
    </row>
    <row r="3206" spans="2:5" x14ac:dyDescent="0.3">
      <c r="B3206" s="4">
        <v>43125</v>
      </c>
      <c r="C3206" s="5">
        <v>1078.55</v>
      </c>
      <c r="D3206" s="6">
        <f t="shared" si="52"/>
        <v>-0.66724976244246181</v>
      </c>
      <c r="E3206" s="6">
        <v>-5.1894616860185291E-4</v>
      </c>
    </row>
    <row r="3207" spans="2:5" x14ac:dyDescent="0.3">
      <c r="B3207" s="4">
        <v>44560</v>
      </c>
      <c r="C3207" s="5">
        <v>3241.32</v>
      </c>
      <c r="D3207" s="6">
        <f t="shared" si="52"/>
        <v>3.2641653401391868</v>
      </c>
      <c r="E3207" s="6">
        <v>-5.2112081060497943E-4</v>
      </c>
    </row>
    <row r="3208" spans="2:5" x14ac:dyDescent="0.3">
      <c r="B3208" s="4">
        <v>42080</v>
      </c>
      <c r="C3208" s="7">
        <v>760.13</v>
      </c>
      <c r="D3208" s="6">
        <f t="shared" ref="D3208:D3271" si="53">((C3208-C3209)/C3209)</f>
        <v>40.333877107123435</v>
      </c>
      <c r="E3208" s="6">
        <v>-5.390906461198204E-4</v>
      </c>
    </row>
    <row r="3209" spans="2:5" x14ac:dyDescent="0.3">
      <c r="B3209" s="4">
        <v>37760</v>
      </c>
      <c r="C3209" s="7">
        <v>18.39</v>
      </c>
      <c r="D3209" s="6">
        <f t="shared" si="53"/>
        <v>-0.94426090382808481</v>
      </c>
      <c r="E3209" s="6">
        <v>-5.4347826086945713E-4</v>
      </c>
    </row>
    <row r="3210" spans="2:5" x14ac:dyDescent="0.3">
      <c r="B3210" s="4">
        <v>41143</v>
      </c>
      <c r="C3210" s="7">
        <v>329.93</v>
      </c>
      <c r="D3210" s="6">
        <f t="shared" si="53"/>
        <v>0.17371042333689071</v>
      </c>
      <c r="E3210" s="6">
        <v>-5.4527278785861328E-4</v>
      </c>
    </row>
    <row r="3211" spans="2:5" x14ac:dyDescent="0.3">
      <c r="B3211" s="4">
        <v>40702</v>
      </c>
      <c r="C3211" s="7">
        <v>281.10000000000002</v>
      </c>
      <c r="D3211" s="6">
        <f t="shared" si="53"/>
        <v>-0.76890255432146459</v>
      </c>
      <c r="E3211" s="6">
        <v>-5.6886866244744427E-4</v>
      </c>
    </row>
    <row r="3212" spans="2:5" x14ac:dyDescent="0.3">
      <c r="B3212" s="4">
        <v>43362</v>
      </c>
      <c r="C3212" s="5">
        <v>1216.3699999999999</v>
      </c>
      <c r="D3212" s="6">
        <f t="shared" si="53"/>
        <v>16.524420112375736</v>
      </c>
      <c r="E3212" s="6">
        <v>-5.7515179899270011E-4</v>
      </c>
    </row>
    <row r="3213" spans="2:5" x14ac:dyDescent="0.3">
      <c r="B3213" s="4">
        <v>39261</v>
      </c>
      <c r="C3213" s="7">
        <v>69.41</v>
      </c>
      <c r="D3213" s="6">
        <f t="shared" si="53"/>
        <v>-0.68703219406619176</v>
      </c>
      <c r="E3213" s="6">
        <v>-5.7595392368619516E-4</v>
      </c>
    </row>
    <row r="3214" spans="2:5" x14ac:dyDescent="0.3">
      <c r="B3214" s="4">
        <v>40616</v>
      </c>
      <c r="C3214" s="7">
        <v>221.78</v>
      </c>
      <c r="D3214" s="6">
        <f t="shared" si="53"/>
        <v>12.224806201550388</v>
      </c>
      <c r="E3214" s="6">
        <v>-5.8582308142938783E-4</v>
      </c>
    </row>
    <row r="3215" spans="2:5" x14ac:dyDescent="0.3">
      <c r="B3215" s="4">
        <v>37539</v>
      </c>
      <c r="C3215" s="7">
        <v>16.77</v>
      </c>
      <c r="D3215" s="6">
        <f t="shared" si="53"/>
        <v>-0.98453608247422686</v>
      </c>
      <c r="E3215" s="6">
        <v>-5.9594755661511098E-4</v>
      </c>
    </row>
    <row r="3216" spans="2:5" x14ac:dyDescent="0.3">
      <c r="B3216" s="4">
        <v>43200</v>
      </c>
      <c r="C3216" s="5">
        <v>1084.46</v>
      </c>
      <c r="D3216" s="6">
        <f t="shared" si="53"/>
        <v>9.8870595321754848</v>
      </c>
      <c r="E3216" s="6">
        <v>-5.9901761111764117E-4</v>
      </c>
    </row>
    <row r="3217" spans="2:5" x14ac:dyDescent="0.3">
      <c r="B3217" s="4">
        <v>39545</v>
      </c>
      <c r="C3217" s="7">
        <v>99.61</v>
      </c>
      <c r="D3217" s="6">
        <f t="shared" si="53"/>
        <v>-0.96639735523807913</v>
      </c>
      <c r="E3217" s="6">
        <v>-6.0198655563361366E-4</v>
      </c>
    </row>
    <row r="3218" spans="2:5" x14ac:dyDescent="0.3">
      <c r="B3218" s="4">
        <v>44921</v>
      </c>
      <c r="C3218" s="5">
        <v>2964.35</v>
      </c>
      <c r="D3218" s="6">
        <f t="shared" si="53"/>
        <v>6.8165541609534852</v>
      </c>
      <c r="E3218" s="6">
        <v>-6.0347792079941062E-4</v>
      </c>
    </row>
    <row r="3219" spans="2:5" x14ac:dyDescent="0.3">
      <c r="B3219" s="4">
        <v>41509</v>
      </c>
      <c r="C3219" s="7">
        <v>379.24</v>
      </c>
      <c r="D3219" s="6">
        <f t="shared" si="53"/>
        <v>22.068126520681265</v>
      </c>
      <c r="E3219" s="6">
        <v>-6.0610851977763245E-4</v>
      </c>
    </row>
    <row r="3220" spans="2:5" x14ac:dyDescent="0.3">
      <c r="B3220" s="4">
        <v>37629</v>
      </c>
      <c r="C3220" s="7">
        <v>16.440000000000001</v>
      </c>
      <c r="D3220" s="6">
        <f t="shared" si="53"/>
        <v>3.6630036630038022E-3</v>
      </c>
      <c r="E3220" s="6">
        <v>-6.0790273556218907E-4</v>
      </c>
    </row>
    <row r="3221" spans="2:5" x14ac:dyDescent="0.3">
      <c r="B3221" s="4">
        <v>37714</v>
      </c>
      <c r="C3221" s="7">
        <v>16.38</v>
      </c>
      <c r="D3221" s="6">
        <f t="shared" si="53"/>
        <v>7.9999999999999395E-3</v>
      </c>
      <c r="E3221" s="6">
        <v>-6.1012812690674578E-4</v>
      </c>
    </row>
    <row r="3222" spans="2:5" x14ac:dyDescent="0.3">
      <c r="B3222" s="4">
        <v>37720</v>
      </c>
      <c r="C3222" s="7">
        <v>16.25</v>
      </c>
      <c r="D3222" s="6">
        <f t="shared" si="53"/>
        <v>3.7059913526867644E-3</v>
      </c>
      <c r="E3222" s="6">
        <v>-6.1500615006159669E-4</v>
      </c>
    </row>
    <row r="3223" spans="2:5" x14ac:dyDescent="0.3">
      <c r="B3223" s="4">
        <v>37474</v>
      </c>
      <c r="C3223" s="7">
        <v>16.190000000000001</v>
      </c>
      <c r="D3223" s="6">
        <f t="shared" si="53"/>
        <v>1.236858379715496E-3</v>
      </c>
      <c r="E3223" s="6">
        <v>-6.1728395061716121E-4</v>
      </c>
    </row>
    <row r="3224" spans="2:5" x14ac:dyDescent="0.3">
      <c r="B3224" s="4">
        <v>37620</v>
      </c>
      <c r="C3224" s="7">
        <v>16.170000000000002</v>
      </c>
      <c r="D3224" s="6">
        <f t="shared" si="53"/>
        <v>6.1881188118821553E-4</v>
      </c>
      <c r="E3224" s="6">
        <v>-6.1804697156971631E-4</v>
      </c>
    </row>
    <row r="3225" spans="2:5" x14ac:dyDescent="0.3">
      <c r="B3225" s="4">
        <v>37621</v>
      </c>
      <c r="C3225" s="7">
        <v>16.16</v>
      </c>
      <c r="D3225" s="6">
        <f t="shared" si="53"/>
        <v>-0.92853036132855693</v>
      </c>
      <c r="E3225" s="6">
        <v>-6.1842918985785793E-4</v>
      </c>
    </row>
    <row r="3226" spans="2:5" x14ac:dyDescent="0.3">
      <c r="B3226" s="4">
        <v>40574</v>
      </c>
      <c r="C3226" s="7">
        <v>226.11</v>
      </c>
      <c r="D3226" s="6">
        <f t="shared" si="53"/>
        <v>-0.92132567849686842</v>
      </c>
      <c r="E3226" s="6">
        <v>-6.1878453038668004E-4</v>
      </c>
    </row>
    <row r="3227" spans="2:5" x14ac:dyDescent="0.3">
      <c r="B3227" s="4">
        <v>45987</v>
      </c>
      <c r="C3227" s="5">
        <v>2874</v>
      </c>
      <c r="D3227" s="6">
        <f t="shared" si="53"/>
        <v>179.1880877742947</v>
      </c>
      <c r="E3227" s="6">
        <v>-6.259127894847283E-4</v>
      </c>
    </row>
    <row r="3228" spans="2:5" x14ac:dyDescent="0.3">
      <c r="B3228" s="4">
        <v>37470</v>
      </c>
      <c r="C3228" s="7">
        <v>15.95</v>
      </c>
      <c r="D3228" s="6">
        <f t="shared" si="53"/>
        <v>-0.74261739551395833</v>
      </c>
      <c r="E3228" s="6">
        <v>-6.2656641604019812E-4</v>
      </c>
    </row>
    <row r="3229" spans="2:5" x14ac:dyDescent="0.3">
      <c r="B3229" s="4">
        <v>39087</v>
      </c>
      <c r="C3229" s="7">
        <v>61.97</v>
      </c>
      <c r="D3229" s="6">
        <f t="shared" si="53"/>
        <v>1.008101101749838</v>
      </c>
      <c r="E3229" s="6">
        <v>-6.4505724883081998E-4</v>
      </c>
    </row>
    <row r="3230" spans="2:5" x14ac:dyDescent="0.3">
      <c r="B3230" s="4">
        <v>38509</v>
      </c>
      <c r="C3230" s="7">
        <v>30.86</v>
      </c>
      <c r="D3230" s="6">
        <f t="shared" si="53"/>
        <v>-0.8883017228898219</v>
      </c>
      <c r="E3230" s="6">
        <v>-6.4766839378236967E-4</v>
      </c>
    </row>
    <row r="3231" spans="2:5" x14ac:dyDescent="0.3">
      <c r="B3231" s="4">
        <v>40801</v>
      </c>
      <c r="C3231" s="7">
        <v>276.27999999999997</v>
      </c>
      <c r="D3231" s="6">
        <f t="shared" si="53"/>
        <v>-0.63900067945434591</v>
      </c>
      <c r="E3231" s="6">
        <v>-6.5108876510166689E-4</v>
      </c>
    </row>
    <row r="3232" spans="2:5" x14ac:dyDescent="0.3">
      <c r="B3232" s="4">
        <v>42310</v>
      </c>
      <c r="C3232" s="7">
        <v>765.32</v>
      </c>
      <c r="D3232" s="6">
        <f t="shared" si="53"/>
        <v>4.0214552850862813</v>
      </c>
      <c r="E3232" s="6">
        <v>-6.5289493614687519E-4</v>
      </c>
    </row>
    <row r="3233" spans="2:5" x14ac:dyDescent="0.3">
      <c r="B3233" s="4">
        <v>40171</v>
      </c>
      <c r="C3233" s="7">
        <v>152.41</v>
      </c>
      <c r="D3233" s="6">
        <f t="shared" si="53"/>
        <v>4.0922151687270292</v>
      </c>
      <c r="E3233" s="6">
        <v>-6.5569470854366478E-4</v>
      </c>
    </row>
    <row r="3234" spans="2:5" x14ac:dyDescent="0.3">
      <c r="B3234" s="4">
        <v>38481</v>
      </c>
      <c r="C3234" s="7">
        <v>29.93</v>
      </c>
      <c r="D3234" s="6">
        <f t="shared" si="53"/>
        <v>-0.97289194819309843</v>
      </c>
      <c r="E3234" s="6">
        <v>-6.677796327211878E-4</v>
      </c>
    </row>
    <row r="3235" spans="2:5" x14ac:dyDescent="0.3">
      <c r="B3235" s="4">
        <v>42636</v>
      </c>
      <c r="C3235" s="5">
        <v>1104.0999999999999</v>
      </c>
      <c r="D3235" s="6">
        <f t="shared" si="53"/>
        <v>0.23429325224701508</v>
      </c>
      <c r="E3235" s="6">
        <v>-6.6978023967272104E-4</v>
      </c>
    </row>
    <row r="3236" spans="2:5" x14ac:dyDescent="0.3">
      <c r="B3236" s="4">
        <v>42754</v>
      </c>
      <c r="C3236" s="7">
        <v>894.52</v>
      </c>
      <c r="D3236" s="6">
        <f t="shared" si="53"/>
        <v>14.079568442346593</v>
      </c>
      <c r="E3236" s="6">
        <v>-6.7030118866746662E-4</v>
      </c>
    </row>
    <row r="3237" spans="2:5" x14ac:dyDescent="0.3">
      <c r="B3237" s="4">
        <v>39077</v>
      </c>
      <c r="C3237" s="7">
        <v>59.32</v>
      </c>
      <c r="D3237" s="6">
        <f t="shared" si="53"/>
        <v>-0.4983085250338295</v>
      </c>
      <c r="E3237" s="6">
        <v>-6.7385444743933872E-4</v>
      </c>
    </row>
    <row r="3238" spans="2:5" x14ac:dyDescent="0.3">
      <c r="B3238" s="4">
        <v>40052</v>
      </c>
      <c r="C3238" s="7">
        <v>118.24</v>
      </c>
      <c r="D3238" s="6">
        <f t="shared" si="53"/>
        <v>-0.89039165701042877</v>
      </c>
      <c r="E3238" s="6">
        <v>-6.7613252197429264E-4</v>
      </c>
    </row>
    <row r="3239" spans="2:5" x14ac:dyDescent="0.3">
      <c r="B3239" s="4">
        <v>43013</v>
      </c>
      <c r="C3239" s="5">
        <v>1078.75</v>
      </c>
      <c r="D3239" s="6">
        <f t="shared" si="53"/>
        <v>-0.62107241336916241</v>
      </c>
      <c r="E3239" s="6">
        <v>-6.9476609541454376E-4</v>
      </c>
    </row>
    <row r="3240" spans="2:5" x14ac:dyDescent="0.3">
      <c r="B3240" s="4">
        <v>44756</v>
      </c>
      <c r="C3240" s="5">
        <v>2846.85</v>
      </c>
      <c r="D3240" s="6">
        <f t="shared" si="53"/>
        <v>13.300030138637732</v>
      </c>
      <c r="E3240" s="6">
        <v>-6.95022166994878E-4</v>
      </c>
    </row>
    <row r="3241" spans="2:5" x14ac:dyDescent="0.3">
      <c r="B3241" s="4">
        <v>40344</v>
      </c>
      <c r="C3241" s="7">
        <v>199.08</v>
      </c>
      <c r="D3241" s="6">
        <f t="shared" si="53"/>
        <v>-0.93720963239816435</v>
      </c>
      <c r="E3241" s="6">
        <v>-7.0274068868580639E-4</v>
      </c>
    </row>
    <row r="3242" spans="2:5" x14ac:dyDescent="0.3">
      <c r="B3242" s="4">
        <v>45274</v>
      </c>
      <c r="C3242" s="5">
        <v>3170.55</v>
      </c>
      <c r="D3242" s="6">
        <f t="shared" si="53"/>
        <v>11.645780153158904</v>
      </c>
      <c r="E3242" s="6">
        <v>-7.0915279878971255E-4</v>
      </c>
    </row>
    <row r="3243" spans="2:5" x14ac:dyDescent="0.3">
      <c r="B3243" s="4">
        <v>40889</v>
      </c>
      <c r="C3243" s="7">
        <v>250.72</v>
      </c>
      <c r="D3243" s="6">
        <f t="shared" si="53"/>
        <v>0.1307955980515966</v>
      </c>
      <c r="E3243" s="6">
        <v>-7.1741729772820573E-4</v>
      </c>
    </row>
    <row r="3244" spans="2:5" x14ac:dyDescent="0.3">
      <c r="B3244" s="4">
        <v>40630</v>
      </c>
      <c r="C3244" s="7">
        <v>221.72</v>
      </c>
      <c r="D3244" s="6">
        <f t="shared" si="53"/>
        <v>-0.92513455655427179</v>
      </c>
      <c r="E3244" s="6">
        <v>-7.2111051018567058E-4</v>
      </c>
    </row>
    <row r="3245" spans="2:5" x14ac:dyDescent="0.3">
      <c r="B3245" s="4">
        <v>44879</v>
      </c>
      <c r="C3245" s="5">
        <v>2961.58</v>
      </c>
      <c r="D3245" s="6">
        <f t="shared" si="53"/>
        <v>53.311021456079217</v>
      </c>
      <c r="E3245" s="6">
        <v>-7.2206551226157423E-4</v>
      </c>
    </row>
    <row r="3246" spans="2:5" x14ac:dyDescent="0.3">
      <c r="B3246" s="4">
        <v>39003</v>
      </c>
      <c r="C3246" s="7">
        <v>54.53</v>
      </c>
      <c r="D3246" s="6">
        <f t="shared" si="53"/>
        <v>0</v>
      </c>
      <c r="E3246" s="6">
        <v>-7.3300348176652281E-4</v>
      </c>
    </row>
    <row r="3247" spans="2:5" x14ac:dyDescent="0.3">
      <c r="B3247" s="4">
        <v>38764</v>
      </c>
      <c r="C3247" s="7">
        <v>54.53</v>
      </c>
      <c r="D3247" s="6">
        <f t="shared" si="53"/>
        <v>-0.957722127461622</v>
      </c>
      <c r="E3247" s="6">
        <v>-7.3300348176652281E-4</v>
      </c>
    </row>
    <row r="3248" spans="2:5" x14ac:dyDescent="0.3">
      <c r="B3248" s="4">
        <v>43651</v>
      </c>
      <c r="C3248" s="5">
        <v>1289.8</v>
      </c>
      <c r="D3248" s="6">
        <f t="shared" si="53"/>
        <v>0.20481252452033552</v>
      </c>
      <c r="E3248" s="6">
        <v>-7.3600619794696534E-4</v>
      </c>
    </row>
    <row r="3249" spans="2:5" x14ac:dyDescent="0.3">
      <c r="B3249" s="4">
        <v>43103</v>
      </c>
      <c r="C3249" s="5">
        <v>1070.54</v>
      </c>
      <c r="D3249" s="6">
        <f t="shared" si="53"/>
        <v>14.848112509252406</v>
      </c>
      <c r="E3249" s="6">
        <v>-7.3740117424132964E-4</v>
      </c>
    </row>
    <row r="3250" spans="2:5" x14ac:dyDescent="0.3">
      <c r="B3250" s="4">
        <v>39869</v>
      </c>
      <c r="C3250" s="7">
        <v>67.55</v>
      </c>
      <c r="D3250" s="6">
        <f t="shared" si="53"/>
        <v>-0.97662128207435495</v>
      </c>
      <c r="E3250" s="6">
        <v>-7.3964497041415921E-4</v>
      </c>
    </row>
    <row r="3251" spans="2:5" x14ac:dyDescent="0.3">
      <c r="B3251" s="4">
        <v>45475</v>
      </c>
      <c r="C3251" s="5">
        <v>2889.38</v>
      </c>
      <c r="D3251" s="6">
        <f t="shared" si="53"/>
        <v>6.0804254067829842</v>
      </c>
      <c r="E3251" s="6">
        <v>-7.5391830015626043E-4</v>
      </c>
    </row>
    <row r="3252" spans="2:5" x14ac:dyDescent="0.3">
      <c r="B3252" s="4">
        <v>41325</v>
      </c>
      <c r="C3252" s="7">
        <v>408.08</v>
      </c>
      <c r="D3252" s="6">
        <f t="shared" si="53"/>
        <v>-0.61015313774754731</v>
      </c>
      <c r="E3252" s="6">
        <v>-7.5907833198658704E-4</v>
      </c>
    </row>
    <row r="3253" spans="2:5" x14ac:dyDescent="0.3">
      <c r="B3253" s="4">
        <v>43082</v>
      </c>
      <c r="C3253" s="5">
        <v>1046.77</v>
      </c>
      <c r="D3253" s="6">
        <f t="shared" si="53"/>
        <v>25.964708912931478</v>
      </c>
      <c r="E3253" s="6">
        <v>-7.6367211737636109E-4</v>
      </c>
    </row>
    <row r="3254" spans="2:5" x14ac:dyDescent="0.3">
      <c r="B3254" s="4">
        <v>38595</v>
      </c>
      <c r="C3254" s="7">
        <v>38.82</v>
      </c>
      <c r="D3254" s="6">
        <f t="shared" si="53"/>
        <v>0.51581413510347529</v>
      </c>
      <c r="E3254" s="6">
        <v>-7.7220077220080147E-4</v>
      </c>
    </row>
    <row r="3255" spans="2:5" x14ac:dyDescent="0.3">
      <c r="B3255" s="4">
        <v>38331</v>
      </c>
      <c r="C3255" s="7">
        <v>25.61</v>
      </c>
      <c r="D3255" s="6">
        <f t="shared" si="53"/>
        <v>-0.99194694606560674</v>
      </c>
      <c r="E3255" s="6">
        <v>-7.8033554428402557E-4</v>
      </c>
    </row>
    <row r="3256" spans="2:5" x14ac:dyDescent="0.3">
      <c r="B3256" s="4">
        <v>45181</v>
      </c>
      <c r="C3256" s="5">
        <v>3180.16</v>
      </c>
      <c r="D3256" s="6">
        <f t="shared" si="53"/>
        <v>12.849061533771719</v>
      </c>
      <c r="E3256" s="6">
        <v>-7.8236689551167626E-4</v>
      </c>
    </row>
    <row r="3257" spans="2:5" x14ac:dyDescent="0.3">
      <c r="B3257" s="4">
        <v>40910</v>
      </c>
      <c r="C3257" s="7">
        <v>229.63</v>
      </c>
      <c r="D3257" s="6">
        <f t="shared" si="53"/>
        <v>-0.78808796522734192</v>
      </c>
      <c r="E3257" s="6">
        <v>-7.8325573299685316E-4</v>
      </c>
    </row>
    <row r="3258" spans="2:5" x14ac:dyDescent="0.3">
      <c r="B3258" s="4">
        <v>43201</v>
      </c>
      <c r="C3258" s="5">
        <v>1083.6099999999999</v>
      </c>
      <c r="D3258" s="6">
        <f t="shared" si="53"/>
        <v>-0.66534692604408274</v>
      </c>
      <c r="E3258" s="6">
        <v>-7.8380023237384171E-4</v>
      </c>
    </row>
    <row r="3259" spans="2:5" x14ac:dyDescent="0.3">
      <c r="B3259" s="4">
        <v>45098</v>
      </c>
      <c r="C3259" s="5">
        <v>3238.01</v>
      </c>
      <c r="D3259" s="6">
        <f t="shared" si="53"/>
        <v>2.0224207293737693</v>
      </c>
      <c r="E3259" s="6">
        <v>-7.8381756183362804E-4</v>
      </c>
    </row>
    <row r="3260" spans="2:5" x14ac:dyDescent="0.3">
      <c r="B3260" s="4">
        <v>43102</v>
      </c>
      <c r="C3260" s="5">
        <v>1071.33</v>
      </c>
      <c r="D3260" s="6">
        <f t="shared" si="53"/>
        <v>6.1109119872560731</v>
      </c>
      <c r="E3260" s="6">
        <v>-7.9277733216450254E-4</v>
      </c>
    </row>
    <row r="3261" spans="2:5" x14ac:dyDescent="0.3">
      <c r="B3261" s="4">
        <v>40169</v>
      </c>
      <c r="C3261" s="7">
        <v>150.66</v>
      </c>
      <c r="D3261" s="6">
        <f t="shared" si="53"/>
        <v>5.0215827338129495</v>
      </c>
      <c r="E3261" s="6">
        <v>-7.9586152009553351E-4</v>
      </c>
    </row>
    <row r="3262" spans="2:5" x14ac:dyDescent="0.3">
      <c r="B3262" s="4">
        <v>38365</v>
      </c>
      <c r="C3262" s="7">
        <v>25.02</v>
      </c>
      <c r="D3262" s="6">
        <f t="shared" si="53"/>
        <v>7.9999999999998291E-4</v>
      </c>
      <c r="E3262" s="6">
        <v>-7.9872204472841756E-4</v>
      </c>
    </row>
    <row r="3263" spans="2:5" x14ac:dyDescent="0.3">
      <c r="B3263" s="4">
        <v>38212</v>
      </c>
      <c r="C3263" s="7">
        <v>25</v>
      </c>
      <c r="D3263" s="6">
        <f t="shared" si="53"/>
        <v>1.2014417300761368E-3</v>
      </c>
      <c r="E3263" s="6">
        <v>-7.9936051159071038E-4</v>
      </c>
    </row>
    <row r="3264" spans="2:5" x14ac:dyDescent="0.3">
      <c r="B3264" s="4">
        <v>38216</v>
      </c>
      <c r="C3264" s="7">
        <v>24.97</v>
      </c>
      <c r="D3264" s="6">
        <f t="shared" si="53"/>
        <v>4.0209087253718478E-3</v>
      </c>
      <c r="E3264" s="6">
        <v>-8.0032012805120352E-4</v>
      </c>
    </row>
    <row r="3265" spans="2:5" x14ac:dyDescent="0.3">
      <c r="B3265" s="4">
        <v>38238</v>
      </c>
      <c r="C3265" s="7">
        <v>24.87</v>
      </c>
      <c r="D3265" s="6">
        <f t="shared" si="53"/>
        <v>-0.97323475284925576</v>
      </c>
      <c r="E3265" s="6">
        <v>-8.0353555644835568E-4</v>
      </c>
    </row>
    <row r="3266" spans="2:5" x14ac:dyDescent="0.3">
      <c r="B3266" s="4">
        <v>42552</v>
      </c>
      <c r="C3266" s="7">
        <v>929.19</v>
      </c>
      <c r="D3266" s="6">
        <f t="shared" si="53"/>
        <v>1.0955076451220063</v>
      </c>
      <c r="E3266" s="6">
        <v>-8.0650364539647712E-4</v>
      </c>
    </row>
    <row r="3267" spans="2:5" x14ac:dyDescent="0.3">
      <c r="B3267" s="4">
        <v>41648</v>
      </c>
      <c r="C3267" s="7">
        <v>443.42</v>
      </c>
      <c r="D3267" s="6">
        <f t="shared" si="53"/>
        <v>17.076640847941295</v>
      </c>
      <c r="E3267" s="6">
        <v>-8.112127630807085E-4</v>
      </c>
    </row>
    <row r="3268" spans="2:5" x14ac:dyDescent="0.3">
      <c r="B3268" s="4">
        <v>38030</v>
      </c>
      <c r="C3268" s="7">
        <v>24.53</v>
      </c>
      <c r="D3268" s="6">
        <f t="shared" si="53"/>
        <v>4.0783034257755154E-4</v>
      </c>
      <c r="E3268" s="6">
        <v>-8.1466395112014551E-4</v>
      </c>
    </row>
    <row r="3269" spans="2:5" x14ac:dyDescent="0.3">
      <c r="B3269" s="4">
        <v>38166</v>
      </c>
      <c r="C3269" s="7">
        <v>24.52</v>
      </c>
      <c r="D3269" s="6">
        <f t="shared" si="53"/>
        <v>-0.99210262719698017</v>
      </c>
      <c r="E3269" s="6">
        <v>-8.1499592502035751E-4</v>
      </c>
    </row>
    <row r="3270" spans="2:5" x14ac:dyDescent="0.3">
      <c r="B3270" s="4">
        <v>45160</v>
      </c>
      <c r="C3270" s="5">
        <v>3104.83</v>
      </c>
      <c r="D3270" s="6">
        <f t="shared" si="53"/>
        <v>1.8953513311885113</v>
      </c>
      <c r="E3270" s="6">
        <v>-8.1741150876785313E-4</v>
      </c>
    </row>
    <row r="3271" spans="2:5" x14ac:dyDescent="0.3">
      <c r="B3271" s="4">
        <v>42614</v>
      </c>
      <c r="C3271" s="5">
        <v>1072.3499999999999</v>
      </c>
      <c r="D3271" s="6">
        <f t="shared" si="53"/>
        <v>1.4485671880351636</v>
      </c>
      <c r="E3271" s="6">
        <v>-8.1995471613736958E-4</v>
      </c>
    </row>
    <row r="3272" spans="2:5" x14ac:dyDescent="0.3">
      <c r="B3272" s="4">
        <v>41676</v>
      </c>
      <c r="C3272" s="7">
        <v>437.95</v>
      </c>
      <c r="D3272" s="6">
        <f t="shared" ref="D3272:D3335" si="54">((C3272-C3273)/C3273)</f>
        <v>17.000411015207565</v>
      </c>
      <c r="E3272" s="6">
        <v>-8.2133649699987136E-4</v>
      </c>
    </row>
    <row r="3273" spans="2:5" x14ac:dyDescent="0.3">
      <c r="B3273" s="4">
        <v>38253</v>
      </c>
      <c r="C3273" s="7">
        <v>24.33</v>
      </c>
      <c r="D3273" s="6">
        <f t="shared" si="54"/>
        <v>-0.97458450417323894</v>
      </c>
      <c r="E3273" s="6">
        <v>-8.2135523613975875E-4</v>
      </c>
    </row>
    <row r="3274" spans="2:5" x14ac:dyDescent="0.3">
      <c r="B3274" s="4">
        <v>42804</v>
      </c>
      <c r="C3274" s="7">
        <v>957.29</v>
      </c>
      <c r="D3274" s="6">
        <f t="shared" si="54"/>
        <v>38.721576763485473</v>
      </c>
      <c r="E3274" s="6">
        <v>-8.2456579826327371E-4</v>
      </c>
    </row>
    <row r="3275" spans="2:5" x14ac:dyDescent="0.3">
      <c r="B3275" s="4">
        <v>38065</v>
      </c>
      <c r="C3275" s="7">
        <v>24.1</v>
      </c>
      <c r="D3275" s="6">
        <f t="shared" si="54"/>
        <v>-0.49497066219614411</v>
      </c>
      <c r="E3275" s="6">
        <v>-8.291873963515577E-4</v>
      </c>
    </row>
    <row r="3276" spans="2:5" x14ac:dyDescent="0.3">
      <c r="B3276" s="4">
        <v>38722</v>
      </c>
      <c r="C3276" s="7">
        <v>47.72</v>
      </c>
      <c r="D3276" s="6">
        <f t="shared" si="54"/>
        <v>-0.94585824663315898</v>
      </c>
      <c r="E3276" s="6">
        <v>-8.3752093802343282E-4</v>
      </c>
    </row>
    <row r="3277" spans="2:5" x14ac:dyDescent="0.3">
      <c r="B3277" s="4">
        <v>42510</v>
      </c>
      <c r="C3277" s="7">
        <v>881.39</v>
      </c>
      <c r="D3277" s="6">
        <f t="shared" si="54"/>
        <v>11.431452750352609</v>
      </c>
      <c r="E3277" s="6">
        <v>-8.3887862333217227E-4</v>
      </c>
    </row>
    <row r="3278" spans="2:5" x14ac:dyDescent="0.3">
      <c r="B3278" s="4">
        <v>39253</v>
      </c>
      <c r="C3278" s="7">
        <v>70.900000000000006</v>
      </c>
      <c r="D3278" s="6">
        <f t="shared" si="54"/>
        <v>-0.94219700304912835</v>
      </c>
      <c r="E3278" s="6">
        <v>-8.455467869220415E-4</v>
      </c>
    </row>
    <row r="3279" spans="2:5" x14ac:dyDescent="0.3">
      <c r="B3279" s="4">
        <v>43238</v>
      </c>
      <c r="C3279" s="5">
        <v>1226.58</v>
      </c>
      <c r="D3279" s="6">
        <f t="shared" si="54"/>
        <v>0.51002720703197135</v>
      </c>
      <c r="E3279" s="6">
        <v>-8.4716769032759621E-4</v>
      </c>
    </row>
    <row r="3280" spans="2:5" x14ac:dyDescent="0.3">
      <c r="B3280" s="4">
        <v>42366</v>
      </c>
      <c r="C3280" s="7">
        <v>812.29</v>
      </c>
      <c r="D3280" s="6">
        <f t="shared" si="54"/>
        <v>-0.6542166674470975</v>
      </c>
      <c r="E3280" s="6">
        <v>-8.4872936603613196E-4</v>
      </c>
    </row>
    <row r="3281" spans="2:5" x14ac:dyDescent="0.3">
      <c r="B3281" s="4">
        <v>45937</v>
      </c>
      <c r="C3281" s="5">
        <v>2349.13</v>
      </c>
      <c r="D3281" s="6">
        <f t="shared" si="54"/>
        <v>-0.16387975341334582</v>
      </c>
      <c r="E3281" s="6">
        <v>-8.5065479152577695E-4</v>
      </c>
    </row>
    <row r="3282" spans="2:5" x14ac:dyDescent="0.3">
      <c r="B3282" s="4">
        <v>45439</v>
      </c>
      <c r="C3282" s="5">
        <v>2809.56</v>
      </c>
      <c r="D3282" s="6">
        <f t="shared" si="54"/>
        <v>2.487320796872091</v>
      </c>
      <c r="E3282" s="6">
        <v>-8.534972047966866E-4</v>
      </c>
    </row>
    <row r="3283" spans="2:5" x14ac:dyDescent="0.3">
      <c r="B3283" s="4">
        <v>42380</v>
      </c>
      <c r="C3283" s="7">
        <v>805.65</v>
      </c>
      <c r="D3283" s="6">
        <f t="shared" si="54"/>
        <v>33.606958762886599</v>
      </c>
      <c r="E3283" s="6">
        <v>-8.5571843143097764E-4</v>
      </c>
    </row>
    <row r="3284" spans="2:5" x14ac:dyDescent="0.3">
      <c r="B3284" s="4">
        <v>38089</v>
      </c>
      <c r="C3284" s="7">
        <v>23.28</v>
      </c>
      <c r="D3284" s="6">
        <f t="shared" si="54"/>
        <v>4.7475183426844807E-3</v>
      </c>
      <c r="E3284" s="6">
        <v>-8.5836909871242798E-4</v>
      </c>
    </row>
    <row r="3285" spans="2:5" x14ac:dyDescent="0.3">
      <c r="B3285" s="4">
        <v>38280</v>
      </c>
      <c r="C3285" s="7">
        <v>23.17</v>
      </c>
      <c r="D3285" s="6">
        <f t="shared" si="54"/>
        <v>4.3177892918832308E-4</v>
      </c>
      <c r="E3285" s="6">
        <v>-8.6244070720136151E-4</v>
      </c>
    </row>
    <row r="3286" spans="2:5" x14ac:dyDescent="0.3">
      <c r="B3286" s="4">
        <v>37874</v>
      </c>
      <c r="C3286" s="7">
        <v>23.16</v>
      </c>
      <c r="D3286" s="6">
        <f t="shared" si="54"/>
        <v>-0.99178219262171474</v>
      </c>
      <c r="E3286" s="6">
        <v>-8.6281276962897212E-4</v>
      </c>
    </row>
    <row r="3287" spans="2:5" x14ac:dyDescent="0.3">
      <c r="B3287" s="4">
        <v>45443</v>
      </c>
      <c r="C3287" s="5">
        <v>2818.27</v>
      </c>
      <c r="D3287" s="6">
        <f t="shared" si="54"/>
        <v>1.6381379413636874</v>
      </c>
      <c r="E3287" s="6">
        <v>-8.6503043559956697E-4</v>
      </c>
    </row>
    <row r="3288" spans="2:5" x14ac:dyDescent="0.3">
      <c r="B3288" s="4">
        <v>42899</v>
      </c>
      <c r="C3288" s="5">
        <v>1068.28</v>
      </c>
      <c r="D3288" s="6">
        <f t="shared" si="54"/>
        <v>3.2577919489836589</v>
      </c>
      <c r="E3288" s="6">
        <v>-8.6980106807836035E-4</v>
      </c>
    </row>
    <row r="3289" spans="2:5" x14ac:dyDescent="0.3">
      <c r="B3289" s="4">
        <v>40886</v>
      </c>
      <c r="C3289" s="7">
        <v>250.9</v>
      </c>
      <c r="D3289" s="6">
        <f t="shared" si="54"/>
        <v>-0.8995797478487092</v>
      </c>
      <c r="E3289" s="6">
        <v>-8.7607518317935193E-4</v>
      </c>
    </row>
    <row r="3290" spans="2:5" x14ac:dyDescent="0.3">
      <c r="B3290" s="4">
        <v>45953</v>
      </c>
      <c r="C3290" s="5">
        <v>2498.5</v>
      </c>
      <c r="D3290" s="6">
        <f t="shared" si="54"/>
        <v>5.012513536277222</v>
      </c>
      <c r="E3290" s="6">
        <v>-8.7975366897261498E-4</v>
      </c>
    </row>
    <row r="3291" spans="2:5" x14ac:dyDescent="0.3">
      <c r="B3291" s="4">
        <v>41310</v>
      </c>
      <c r="C3291" s="7">
        <v>415.55</v>
      </c>
      <c r="D3291" s="6">
        <f t="shared" si="54"/>
        <v>-0.68341218506921431</v>
      </c>
      <c r="E3291" s="6">
        <v>-8.8959415272168811E-4</v>
      </c>
    </row>
    <row r="3292" spans="2:5" x14ac:dyDescent="0.3">
      <c r="B3292" s="4">
        <v>43336</v>
      </c>
      <c r="C3292" s="5">
        <v>1312.59</v>
      </c>
      <c r="D3292" s="6">
        <f t="shared" si="54"/>
        <v>2.0388951913504498</v>
      </c>
      <c r="E3292" s="6">
        <v>-8.9057362075270431E-4</v>
      </c>
    </row>
    <row r="3293" spans="2:5" x14ac:dyDescent="0.3">
      <c r="B3293" s="4">
        <v>41422</v>
      </c>
      <c r="C3293" s="7">
        <v>431.93</v>
      </c>
      <c r="D3293" s="6">
        <f t="shared" si="54"/>
        <v>2.5841838851547592</v>
      </c>
      <c r="E3293" s="6">
        <v>-9.0210954848257393E-4</v>
      </c>
    </row>
    <row r="3294" spans="2:5" x14ac:dyDescent="0.3">
      <c r="B3294" s="4">
        <v>40024</v>
      </c>
      <c r="C3294" s="7">
        <v>120.51</v>
      </c>
      <c r="D3294" s="6">
        <f t="shared" si="54"/>
        <v>-0.71692661843465189</v>
      </c>
      <c r="E3294" s="6">
        <v>-9.1195489968495629E-4</v>
      </c>
    </row>
    <row r="3295" spans="2:5" x14ac:dyDescent="0.3">
      <c r="B3295" s="4">
        <v>41345</v>
      </c>
      <c r="C3295" s="7">
        <v>425.72</v>
      </c>
      <c r="D3295" s="6">
        <f t="shared" si="54"/>
        <v>-0.73563182701682261</v>
      </c>
      <c r="E3295" s="6">
        <v>-9.1525662387643178E-4</v>
      </c>
    </row>
    <row r="3296" spans="2:5" x14ac:dyDescent="0.3">
      <c r="B3296" s="4">
        <v>44014</v>
      </c>
      <c r="C3296" s="5">
        <v>1610.33</v>
      </c>
      <c r="D3296" s="6">
        <f t="shared" si="54"/>
        <v>0.32337036915288786</v>
      </c>
      <c r="E3296" s="6">
        <v>-9.2442084103684598E-4</v>
      </c>
    </row>
    <row r="3297" spans="2:5" x14ac:dyDescent="0.3">
      <c r="B3297" s="4">
        <v>43284</v>
      </c>
      <c r="C3297" s="5">
        <v>1216.8399999999999</v>
      </c>
      <c r="D3297" s="6">
        <f t="shared" si="54"/>
        <v>3.3634668483522785</v>
      </c>
      <c r="E3297" s="6">
        <v>-9.2777326206729973E-4</v>
      </c>
    </row>
    <row r="3298" spans="2:5" x14ac:dyDescent="0.3">
      <c r="B3298" s="4">
        <v>40735</v>
      </c>
      <c r="C3298" s="7">
        <v>278.87</v>
      </c>
      <c r="D3298" s="6">
        <f t="shared" si="54"/>
        <v>-0.64762891547996615</v>
      </c>
      <c r="E3298" s="6">
        <v>-9.3146562533583241E-4</v>
      </c>
    </row>
    <row r="3299" spans="2:5" x14ac:dyDescent="0.3">
      <c r="B3299" s="4">
        <v>42349</v>
      </c>
      <c r="C3299" s="7">
        <v>791.41</v>
      </c>
      <c r="D3299" s="6">
        <f t="shared" si="54"/>
        <v>13.831521739130434</v>
      </c>
      <c r="E3299" s="6">
        <v>-9.3416650886828144E-4</v>
      </c>
    </row>
    <row r="3300" spans="2:5" x14ac:dyDescent="0.3">
      <c r="B3300" s="4">
        <v>38943</v>
      </c>
      <c r="C3300" s="7">
        <v>53.36</v>
      </c>
      <c r="D3300" s="6">
        <f t="shared" si="54"/>
        <v>-0.98173309643870688</v>
      </c>
      <c r="E3300" s="6">
        <v>-9.3615427822499829E-4</v>
      </c>
    </row>
    <row r="3301" spans="2:5" x14ac:dyDescent="0.3">
      <c r="B3301" s="4">
        <v>44435</v>
      </c>
      <c r="C3301" s="5">
        <v>2921.13</v>
      </c>
      <c r="D3301" s="6">
        <f t="shared" si="54"/>
        <v>5.374533551554828</v>
      </c>
      <c r="E3301" s="6">
        <v>-9.3711416718246087E-4</v>
      </c>
    </row>
    <row r="3302" spans="2:5" x14ac:dyDescent="0.3">
      <c r="B3302" s="4">
        <v>41481</v>
      </c>
      <c r="C3302" s="7">
        <v>458.25</v>
      </c>
      <c r="D3302" s="6">
        <f t="shared" si="54"/>
        <v>-0.41859727473419772</v>
      </c>
      <c r="E3302" s="6">
        <v>-9.3747274788525076E-4</v>
      </c>
    </row>
    <row r="3303" spans="2:5" x14ac:dyDescent="0.3">
      <c r="B3303" s="4">
        <v>42412</v>
      </c>
      <c r="C3303" s="7">
        <v>788.18</v>
      </c>
      <c r="D3303" s="6">
        <f t="shared" si="54"/>
        <v>4.3490329148286389</v>
      </c>
      <c r="E3303" s="6">
        <v>-9.3799117781271756E-4</v>
      </c>
    </row>
    <row r="3304" spans="2:5" x14ac:dyDescent="0.3">
      <c r="B3304" s="4">
        <v>40157</v>
      </c>
      <c r="C3304" s="7">
        <v>147.35</v>
      </c>
      <c r="D3304" s="6">
        <f t="shared" si="54"/>
        <v>-0.43463914361355177</v>
      </c>
      <c r="E3304" s="6">
        <v>-9.4921689606084999E-4</v>
      </c>
    </row>
    <row r="3305" spans="2:5" x14ac:dyDescent="0.3">
      <c r="B3305" s="4">
        <v>40875</v>
      </c>
      <c r="C3305" s="7">
        <v>260.63</v>
      </c>
      <c r="D3305" s="6">
        <f t="shared" si="54"/>
        <v>-0.41840537344074263</v>
      </c>
      <c r="E3305" s="6">
        <v>-9.5829500153327206E-4</v>
      </c>
    </row>
    <row r="3306" spans="2:5" x14ac:dyDescent="0.3">
      <c r="B3306" s="4">
        <v>41351</v>
      </c>
      <c r="C3306" s="7">
        <v>448.13</v>
      </c>
      <c r="D3306" s="6">
        <f t="shared" si="54"/>
        <v>1.0552650889745001</v>
      </c>
      <c r="E3306" s="6">
        <v>-9.5862314963440082E-4</v>
      </c>
    </row>
    <row r="3307" spans="2:5" x14ac:dyDescent="0.3">
      <c r="B3307" s="4">
        <v>40576</v>
      </c>
      <c r="C3307" s="7">
        <v>218.04</v>
      </c>
      <c r="D3307" s="6">
        <f t="shared" si="54"/>
        <v>-0.91647769061044371</v>
      </c>
      <c r="E3307" s="6">
        <v>-9.6219931271481309E-4</v>
      </c>
    </row>
    <row r="3308" spans="2:5" x14ac:dyDescent="0.3">
      <c r="B3308" s="4">
        <v>44742</v>
      </c>
      <c r="C3308" s="5">
        <v>2610.56</v>
      </c>
      <c r="D3308" s="6">
        <f t="shared" si="54"/>
        <v>-7.181408975516794E-2</v>
      </c>
      <c r="E3308" s="6">
        <v>-9.6437920002448527E-4</v>
      </c>
    </row>
    <row r="3309" spans="2:5" x14ac:dyDescent="0.3">
      <c r="B3309" s="4">
        <v>45048</v>
      </c>
      <c r="C3309" s="5">
        <v>2812.54</v>
      </c>
      <c r="D3309" s="6">
        <f t="shared" si="54"/>
        <v>1.3213819970616882</v>
      </c>
      <c r="E3309" s="6">
        <v>-9.6616298317038366E-4</v>
      </c>
    </row>
    <row r="3310" spans="2:5" x14ac:dyDescent="0.3">
      <c r="B3310" s="4">
        <v>43245</v>
      </c>
      <c r="C3310" s="5">
        <v>1211.58</v>
      </c>
      <c r="D3310" s="6">
        <f t="shared" si="54"/>
        <v>13.815113719735876</v>
      </c>
      <c r="E3310" s="6">
        <v>-9.7298723572682448E-4</v>
      </c>
    </row>
    <row r="3311" spans="2:5" x14ac:dyDescent="0.3">
      <c r="B3311" s="4">
        <v>39763</v>
      </c>
      <c r="C3311" s="7">
        <v>81.78</v>
      </c>
      <c r="D3311" s="6">
        <f t="shared" si="54"/>
        <v>-0.92581438174115771</v>
      </c>
      <c r="E3311" s="6">
        <v>-9.7727827999020641E-4</v>
      </c>
    </row>
    <row r="3312" spans="2:5" x14ac:dyDescent="0.3">
      <c r="B3312" s="4">
        <v>43027</v>
      </c>
      <c r="C3312" s="5">
        <v>1102.3699999999999</v>
      </c>
      <c r="D3312" s="6">
        <f t="shared" si="54"/>
        <v>-0.6334901504446846</v>
      </c>
      <c r="E3312" s="6">
        <v>-9.7874847070565456E-4</v>
      </c>
    </row>
    <row r="3313" spans="2:5" x14ac:dyDescent="0.3">
      <c r="B3313" s="4">
        <v>44888</v>
      </c>
      <c r="C3313" s="5">
        <v>3007.75</v>
      </c>
      <c r="D3313" s="6">
        <f t="shared" si="54"/>
        <v>-8.2894002640557907E-2</v>
      </c>
      <c r="E3313" s="6">
        <v>-9.8315679690173948E-4</v>
      </c>
    </row>
    <row r="3314" spans="2:5" x14ac:dyDescent="0.3">
      <c r="B3314" s="4">
        <v>45110</v>
      </c>
      <c r="C3314" s="5">
        <v>3279.61</v>
      </c>
      <c r="D3314" s="6">
        <f t="shared" si="54"/>
        <v>1.7193887281199993</v>
      </c>
      <c r="E3314" s="6">
        <v>-9.9607661565454171E-4</v>
      </c>
    </row>
    <row r="3315" spans="2:5" x14ac:dyDescent="0.3">
      <c r="B3315" s="4">
        <v>43264</v>
      </c>
      <c r="C3315" s="5">
        <v>1206.01</v>
      </c>
      <c r="D3315" s="6">
        <f t="shared" si="54"/>
        <v>-0.61818815000079153</v>
      </c>
      <c r="E3315" s="6">
        <v>-1.0023028114179986E-3</v>
      </c>
    </row>
    <row r="3316" spans="2:5" x14ac:dyDescent="0.3">
      <c r="B3316" s="4">
        <v>44543</v>
      </c>
      <c r="C3316" s="5">
        <v>3158.65</v>
      </c>
      <c r="D3316" s="6">
        <f t="shared" si="54"/>
        <v>157.80593262946203</v>
      </c>
      <c r="E3316" s="6">
        <v>-1.0025871175462463E-3</v>
      </c>
    </row>
    <row r="3317" spans="2:5" x14ac:dyDescent="0.3">
      <c r="B3317" s="4">
        <v>37827</v>
      </c>
      <c r="C3317" s="7">
        <v>19.89</v>
      </c>
      <c r="D3317" s="6">
        <f t="shared" si="54"/>
        <v>-0.74914869466515321</v>
      </c>
      <c r="E3317" s="6">
        <v>-1.0045203415368948E-3</v>
      </c>
    </row>
    <row r="3318" spans="2:5" x14ac:dyDescent="0.3">
      <c r="B3318" s="4">
        <v>39834</v>
      </c>
      <c r="C3318" s="7">
        <v>79.290000000000006</v>
      </c>
      <c r="D3318" s="6">
        <f t="shared" si="54"/>
        <v>-0.97504013599017847</v>
      </c>
      <c r="E3318" s="6">
        <v>-1.0079375078744903E-3</v>
      </c>
    </row>
    <row r="3319" spans="2:5" x14ac:dyDescent="0.3">
      <c r="B3319" s="4">
        <v>44546</v>
      </c>
      <c r="C3319" s="5">
        <v>3176.7</v>
      </c>
      <c r="D3319" s="6">
        <f t="shared" si="54"/>
        <v>28.402998889300257</v>
      </c>
      <c r="E3319" s="6">
        <v>-1.0157456296207837E-3</v>
      </c>
    </row>
    <row r="3320" spans="2:5" x14ac:dyDescent="0.3">
      <c r="B3320" s="4">
        <v>39574</v>
      </c>
      <c r="C3320" s="7">
        <v>108.04</v>
      </c>
      <c r="D3320" s="6">
        <f t="shared" si="54"/>
        <v>0.5733216834134266</v>
      </c>
      <c r="E3320" s="6">
        <v>-1.0171058714747983E-3</v>
      </c>
    </row>
    <row r="3321" spans="2:5" x14ac:dyDescent="0.3">
      <c r="B3321" s="4">
        <v>39856</v>
      </c>
      <c r="C3321" s="7">
        <v>68.67</v>
      </c>
      <c r="D3321" s="6">
        <f t="shared" si="54"/>
        <v>-0.97228086463358021</v>
      </c>
      <c r="E3321" s="6">
        <v>-1.0183299389001045E-3</v>
      </c>
    </row>
    <row r="3322" spans="2:5" x14ac:dyDescent="0.3">
      <c r="B3322" s="4">
        <v>44214</v>
      </c>
      <c r="C3322" s="5">
        <v>2477.35</v>
      </c>
      <c r="D3322" s="6">
        <f t="shared" si="54"/>
        <v>0.50011505110691268</v>
      </c>
      <c r="E3322" s="6">
        <v>-1.040351945417785E-3</v>
      </c>
    </row>
    <row r="3323" spans="2:5" x14ac:dyDescent="0.3">
      <c r="B3323" s="4">
        <v>43802</v>
      </c>
      <c r="C3323" s="5">
        <v>1651.44</v>
      </c>
      <c r="D3323" s="6">
        <f t="shared" si="54"/>
        <v>33.686830497794581</v>
      </c>
      <c r="E3323" s="6">
        <v>-1.0404316581577265E-3</v>
      </c>
    </row>
    <row r="3324" spans="2:5" x14ac:dyDescent="0.3">
      <c r="B3324" s="4">
        <v>38896</v>
      </c>
      <c r="C3324" s="7">
        <v>47.61</v>
      </c>
      <c r="D3324" s="6">
        <f t="shared" si="54"/>
        <v>-0.98271241830065359</v>
      </c>
      <c r="E3324" s="6">
        <v>-1.0490977759126554E-3</v>
      </c>
    </row>
    <row r="3325" spans="2:5" x14ac:dyDescent="0.3">
      <c r="B3325" s="4">
        <v>46041</v>
      </c>
      <c r="C3325" s="5">
        <v>2754</v>
      </c>
      <c r="D3325" s="6">
        <f t="shared" si="54"/>
        <v>-0.11378555798687087</v>
      </c>
      <c r="E3325" s="6">
        <v>-1.0519061264464039E-3</v>
      </c>
    </row>
    <row r="3326" spans="2:5" x14ac:dyDescent="0.3">
      <c r="B3326" s="4">
        <v>44518</v>
      </c>
      <c r="C3326" s="5">
        <v>3107.6</v>
      </c>
      <c r="D3326" s="6">
        <f t="shared" si="54"/>
        <v>46.027845036319611</v>
      </c>
      <c r="E3326" s="6">
        <v>-1.0543640384714937E-3</v>
      </c>
    </row>
    <row r="3327" spans="2:5" x14ac:dyDescent="0.3">
      <c r="B3327" s="4">
        <v>39104</v>
      </c>
      <c r="C3327" s="7">
        <v>66.08</v>
      </c>
      <c r="D3327" s="6">
        <f t="shared" si="54"/>
        <v>-0.97707442139628153</v>
      </c>
      <c r="E3327" s="6">
        <v>-1.0582010582011697E-3</v>
      </c>
    </row>
    <row r="3328" spans="2:5" x14ac:dyDescent="0.3">
      <c r="B3328" s="4">
        <v>45461</v>
      </c>
      <c r="C3328" s="5">
        <v>2882.37</v>
      </c>
      <c r="D3328" s="6">
        <f t="shared" si="54"/>
        <v>42.811673506611939</v>
      </c>
      <c r="E3328" s="6">
        <v>-1.0605005146546427E-3</v>
      </c>
    </row>
    <row r="3329" spans="2:5" x14ac:dyDescent="0.3">
      <c r="B3329" s="4">
        <v>39114</v>
      </c>
      <c r="C3329" s="7">
        <v>65.790000000000006</v>
      </c>
      <c r="D3329" s="6">
        <f t="shared" si="54"/>
        <v>-0.90516756756756767</v>
      </c>
      <c r="E3329" s="6">
        <v>-1.0628606134223076E-3</v>
      </c>
    </row>
    <row r="3330" spans="2:5" x14ac:dyDescent="0.3">
      <c r="B3330" s="4">
        <v>42160</v>
      </c>
      <c r="C3330" s="7">
        <v>693.75</v>
      </c>
      <c r="D3330" s="6">
        <f t="shared" si="54"/>
        <v>-0.77906824920146112</v>
      </c>
      <c r="E3330" s="6">
        <v>-1.0655301012253728E-3</v>
      </c>
    </row>
    <row r="3331" spans="2:5" x14ac:dyDescent="0.3">
      <c r="B3331" s="4">
        <v>45079</v>
      </c>
      <c r="C3331" s="5">
        <v>3140.11</v>
      </c>
      <c r="D3331" s="6">
        <f t="shared" si="54"/>
        <v>-4.5576676413196057E-2</v>
      </c>
      <c r="E3331" s="6">
        <v>-1.0657046693770269E-3</v>
      </c>
    </row>
    <row r="3332" spans="2:5" x14ac:dyDescent="0.3">
      <c r="B3332" s="4">
        <v>45134</v>
      </c>
      <c r="C3332" s="5">
        <v>3290.06</v>
      </c>
      <c r="D3332" s="6">
        <f t="shared" si="54"/>
        <v>174.84500267236771</v>
      </c>
      <c r="E3332" s="6">
        <v>-1.0657128890535857E-3</v>
      </c>
    </row>
    <row r="3333" spans="2:5" x14ac:dyDescent="0.3">
      <c r="B3333" s="4">
        <v>37785</v>
      </c>
      <c r="C3333" s="7">
        <v>18.71</v>
      </c>
      <c r="D3333" s="6">
        <f t="shared" si="54"/>
        <v>-0.95724503553392293</v>
      </c>
      <c r="E3333" s="6">
        <v>-1.0678056593699718E-3</v>
      </c>
    </row>
    <row r="3334" spans="2:5" x14ac:dyDescent="0.3">
      <c r="B3334" s="4">
        <v>41367</v>
      </c>
      <c r="C3334" s="7">
        <v>437.61</v>
      </c>
      <c r="D3334" s="6">
        <f t="shared" si="54"/>
        <v>4.488909051837351E-2</v>
      </c>
      <c r="E3334" s="6">
        <v>-1.0728634039444175E-3</v>
      </c>
    </row>
    <row r="3335" spans="2:5" x14ac:dyDescent="0.3">
      <c r="B3335" s="4">
        <v>41430</v>
      </c>
      <c r="C3335" s="7">
        <v>418.81</v>
      </c>
      <c r="D3335" s="6">
        <f t="shared" si="54"/>
        <v>14.011111111111113</v>
      </c>
      <c r="E3335" s="6">
        <v>-1.073319658445806E-3</v>
      </c>
    </row>
    <row r="3336" spans="2:5" x14ac:dyDescent="0.3">
      <c r="B3336" s="4">
        <v>38418</v>
      </c>
      <c r="C3336" s="7">
        <v>27.9</v>
      </c>
      <c r="D3336" s="6">
        <f t="shared" ref="D3336:D3399" si="55">((C3336-C3337)/C3337)</f>
        <v>-0.9892792093512961</v>
      </c>
      <c r="E3336" s="6">
        <v>-1.074113856068784E-3</v>
      </c>
    </row>
    <row r="3337" spans="2:5" x14ac:dyDescent="0.3">
      <c r="B3337" s="4">
        <v>44721</v>
      </c>
      <c r="C3337" s="5">
        <v>2602.42</v>
      </c>
      <c r="D3337" s="6">
        <f t="shared" si="55"/>
        <v>2.23370362086533</v>
      </c>
      <c r="E3337" s="6">
        <v>-1.078599586216935E-3</v>
      </c>
    </row>
    <row r="3338" spans="2:5" x14ac:dyDescent="0.3">
      <c r="B3338" s="4">
        <v>42381</v>
      </c>
      <c r="C3338" s="7">
        <v>804.78</v>
      </c>
      <c r="D3338" s="6">
        <f t="shared" si="55"/>
        <v>-8.1709616593337465E-3</v>
      </c>
      <c r="E3338" s="6">
        <v>-1.0798733941537945E-3</v>
      </c>
    </row>
    <row r="3339" spans="2:5" x14ac:dyDescent="0.3">
      <c r="B3339" s="4">
        <v>42367</v>
      </c>
      <c r="C3339" s="7">
        <v>811.41</v>
      </c>
      <c r="D3339" s="6">
        <f t="shared" si="55"/>
        <v>21.115290269828293</v>
      </c>
      <c r="E3339" s="6">
        <v>-1.0833569291755353E-3</v>
      </c>
    </row>
    <row r="3340" spans="2:5" x14ac:dyDescent="0.3">
      <c r="B3340" s="4">
        <v>38554</v>
      </c>
      <c r="C3340" s="7">
        <v>36.69</v>
      </c>
      <c r="D3340" s="6">
        <f t="shared" si="55"/>
        <v>-0.9716681724465448</v>
      </c>
      <c r="E3340" s="6">
        <v>-1.0890280424720705E-3</v>
      </c>
    </row>
    <row r="3341" spans="2:5" x14ac:dyDescent="0.3">
      <c r="B3341" s="4">
        <v>43466</v>
      </c>
      <c r="C3341" s="5">
        <v>1295.01</v>
      </c>
      <c r="D3341" s="6">
        <f t="shared" si="55"/>
        <v>14.887743835112255</v>
      </c>
      <c r="E3341" s="6">
        <v>-1.0953155974484335E-3</v>
      </c>
    </row>
    <row r="3342" spans="2:5" x14ac:dyDescent="0.3">
      <c r="B3342" s="4">
        <v>39755</v>
      </c>
      <c r="C3342" s="7">
        <v>81.510000000000005</v>
      </c>
      <c r="D3342" s="6">
        <f t="shared" si="55"/>
        <v>-0.18080402010050245</v>
      </c>
      <c r="E3342" s="6">
        <v>-1.1029411764704559E-3</v>
      </c>
    </row>
    <row r="3343" spans="2:5" x14ac:dyDescent="0.3">
      <c r="B3343" s="4">
        <v>39546</v>
      </c>
      <c r="C3343" s="7">
        <v>99.5</v>
      </c>
      <c r="D3343" s="6">
        <f t="shared" si="55"/>
        <v>-0.6450231894398859</v>
      </c>
      <c r="E3343" s="6">
        <v>-1.1043067965063691E-3</v>
      </c>
    </row>
    <row r="3344" spans="2:5" x14ac:dyDescent="0.3">
      <c r="B3344" s="4">
        <v>40829</v>
      </c>
      <c r="C3344" s="7">
        <v>280.3</v>
      </c>
      <c r="D3344" s="6">
        <f t="shared" si="55"/>
        <v>-0.62061637995208641</v>
      </c>
      <c r="E3344" s="6">
        <v>-1.1047361106161658E-3</v>
      </c>
    </row>
    <row r="3345" spans="2:5" x14ac:dyDescent="0.3">
      <c r="B3345" s="4">
        <v>42075</v>
      </c>
      <c r="C3345" s="7">
        <v>738.83</v>
      </c>
      <c r="D3345" s="6">
        <f t="shared" si="55"/>
        <v>15.469683459652252</v>
      </c>
      <c r="E3345" s="6">
        <v>-1.108632461299177E-3</v>
      </c>
    </row>
    <row r="3346" spans="2:5" x14ac:dyDescent="0.3">
      <c r="B3346" s="4">
        <v>38712</v>
      </c>
      <c r="C3346" s="7">
        <v>44.86</v>
      </c>
      <c r="D3346" s="6">
        <f t="shared" si="55"/>
        <v>-0.96178485024022908</v>
      </c>
      <c r="E3346" s="6">
        <v>-1.1133377866844169E-3</v>
      </c>
    </row>
    <row r="3347" spans="2:5" x14ac:dyDescent="0.3">
      <c r="B3347" s="4">
        <v>42991</v>
      </c>
      <c r="C3347" s="5">
        <v>1173.8800000000001</v>
      </c>
      <c r="D3347" s="6">
        <f t="shared" si="55"/>
        <v>1.6277757879656161</v>
      </c>
      <c r="E3347" s="6">
        <v>-1.1147133654982985E-3</v>
      </c>
    </row>
    <row r="3348" spans="2:5" x14ac:dyDescent="0.3">
      <c r="B3348" s="4">
        <v>41711</v>
      </c>
      <c r="C3348" s="7">
        <v>446.72</v>
      </c>
      <c r="D3348" s="6">
        <f t="shared" si="55"/>
        <v>7.381238273921201</v>
      </c>
      <c r="E3348" s="6">
        <v>-1.1180179777290817E-3</v>
      </c>
    </row>
    <row r="3349" spans="2:5" x14ac:dyDescent="0.3">
      <c r="B3349" s="4">
        <v>38796</v>
      </c>
      <c r="C3349" s="7">
        <v>53.3</v>
      </c>
      <c r="D3349" s="6">
        <f t="shared" si="55"/>
        <v>-0.9833675551866391</v>
      </c>
      <c r="E3349" s="6">
        <v>-1.1244377811094879E-3</v>
      </c>
    </row>
    <row r="3350" spans="2:5" x14ac:dyDescent="0.3">
      <c r="B3350" s="4">
        <v>45560</v>
      </c>
      <c r="C3350" s="5">
        <v>3204.58</v>
      </c>
      <c r="D3350" s="6">
        <f t="shared" si="55"/>
        <v>12.98402862628731</v>
      </c>
      <c r="E3350" s="6">
        <v>-1.1252450758839493E-3</v>
      </c>
    </row>
    <row r="3351" spans="2:5" x14ac:dyDescent="0.3">
      <c r="B3351" s="4">
        <v>40476</v>
      </c>
      <c r="C3351" s="7">
        <v>229.16</v>
      </c>
      <c r="D3351" s="6">
        <f t="shared" si="55"/>
        <v>-0.90625485784413995</v>
      </c>
      <c r="E3351" s="6">
        <v>-1.1332926510330002E-3</v>
      </c>
    </row>
    <row r="3352" spans="2:5" x14ac:dyDescent="0.3">
      <c r="B3352" s="4">
        <v>46142</v>
      </c>
      <c r="C3352" s="5">
        <v>2444.5</v>
      </c>
      <c r="D3352" s="6">
        <f t="shared" si="55"/>
        <v>55.015123739688363</v>
      </c>
      <c r="E3352" s="6">
        <v>-1.1441180076002867E-3</v>
      </c>
    </row>
    <row r="3353" spans="2:5" x14ac:dyDescent="0.3">
      <c r="B3353" s="4">
        <v>38698</v>
      </c>
      <c r="C3353" s="7">
        <v>43.64</v>
      </c>
      <c r="D3353" s="6">
        <f t="shared" si="55"/>
        <v>-0.2792733278282411</v>
      </c>
      <c r="E3353" s="6">
        <v>-1.1444266422521666E-3</v>
      </c>
    </row>
    <row r="3354" spans="2:5" x14ac:dyDescent="0.3">
      <c r="B3354" s="4">
        <v>39139</v>
      </c>
      <c r="C3354" s="7">
        <v>60.55</v>
      </c>
      <c r="D3354" s="6">
        <f t="shared" si="55"/>
        <v>-0.58533077660594446</v>
      </c>
      <c r="E3354" s="6">
        <v>-1.1547344110854551E-3</v>
      </c>
    </row>
    <row r="3355" spans="2:5" x14ac:dyDescent="0.3">
      <c r="B3355" s="4">
        <v>40122</v>
      </c>
      <c r="C3355" s="7">
        <v>146.02000000000001</v>
      </c>
      <c r="D3355" s="6">
        <f t="shared" si="55"/>
        <v>-0.56353310416978031</v>
      </c>
      <c r="E3355" s="6">
        <v>-1.1628702373622513E-3</v>
      </c>
    </row>
    <row r="3356" spans="2:5" x14ac:dyDescent="0.3">
      <c r="B3356" s="4">
        <v>41128</v>
      </c>
      <c r="C3356" s="7">
        <v>334.55</v>
      </c>
      <c r="D3356" s="6">
        <f t="shared" si="55"/>
        <v>12.063256540413901</v>
      </c>
      <c r="E3356" s="6">
        <v>-1.1643876515196345E-3</v>
      </c>
    </row>
    <row r="3357" spans="2:5" x14ac:dyDescent="0.3">
      <c r="B3357" s="4">
        <v>38350</v>
      </c>
      <c r="C3357" s="7">
        <v>25.61</v>
      </c>
      <c r="D3357" s="6">
        <f t="shared" si="55"/>
        <v>0.51002358490566024</v>
      </c>
      <c r="E3357" s="6">
        <v>-1.1700468018721192E-3</v>
      </c>
    </row>
    <row r="3358" spans="2:5" x14ac:dyDescent="0.3">
      <c r="B3358" s="4">
        <v>37536</v>
      </c>
      <c r="C3358" s="7">
        <v>16.96</v>
      </c>
      <c r="D3358" s="6">
        <f t="shared" si="55"/>
        <v>-0.9941025106057445</v>
      </c>
      <c r="E3358" s="6">
        <v>-1.177856301531188E-3</v>
      </c>
    </row>
    <row r="3359" spans="2:5" x14ac:dyDescent="0.3">
      <c r="B3359" s="4">
        <v>45986</v>
      </c>
      <c r="C3359" s="5">
        <v>2875.8</v>
      </c>
      <c r="D3359" s="6">
        <f t="shared" si="55"/>
        <v>1.3349924083110729</v>
      </c>
      <c r="E3359" s="6">
        <v>-1.1808835787717549E-3</v>
      </c>
    </row>
    <row r="3360" spans="2:5" x14ac:dyDescent="0.3">
      <c r="B3360" s="4">
        <v>43601</v>
      </c>
      <c r="C3360" s="5">
        <v>1231.6099999999999</v>
      </c>
      <c r="D3360" s="6">
        <f t="shared" si="55"/>
        <v>72.049228944246735</v>
      </c>
      <c r="E3360" s="6">
        <v>-1.1840365915966138E-3</v>
      </c>
    </row>
    <row r="3361" spans="2:5" x14ac:dyDescent="0.3">
      <c r="B3361" s="4">
        <v>37554</v>
      </c>
      <c r="C3361" s="7">
        <v>16.86</v>
      </c>
      <c r="D3361" s="6">
        <f t="shared" si="55"/>
        <v>-0.98056327311713909</v>
      </c>
      <c r="E3361" s="6">
        <v>-1.1848341232227235E-3</v>
      </c>
    </row>
    <row r="3362" spans="2:5" x14ac:dyDescent="0.3">
      <c r="B3362" s="4">
        <v>42747</v>
      </c>
      <c r="C3362" s="7">
        <v>867.43</v>
      </c>
      <c r="D3362" s="6">
        <f t="shared" si="55"/>
        <v>50.571343638525555</v>
      </c>
      <c r="E3362" s="6">
        <v>-1.1860074154251047E-3</v>
      </c>
    </row>
    <row r="3363" spans="2:5" x14ac:dyDescent="0.3">
      <c r="B3363" s="4">
        <v>37707</v>
      </c>
      <c r="C3363" s="7">
        <v>16.82</v>
      </c>
      <c r="D3363" s="6">
        <f t="shared" si="55"/>
        <v>-0.99474767283185361</v>
      </c>
      <c r="E3363" s="6">
        <v>-1.1876484560569818E-3</v>
      </c>
    </row>
    <row r="3364" spans="2:5" x14ac:dyDescent="0.3">
      <c r="B3364" s="4">
        <v>45306</v>
      </c>
      <c r="C3364" s="5">
        <v>3202.39</v>
      </c>
      <c r="D3364" s="6">
        <f t="shared" si="55"/>
        <v>46.647522690075881</v>
      </c>
      <c r="E3364" s="6">
        <v>-1.1883226249142116E-3</v>
      </c>
    </row>
    <row r="3365" spans="2:5" x14ac:dyDescent="0.3">
      <c r="B3365" s="4">
        <v>39871</v>
      </c>
      <c r="C3365" s="7">
        <v>67.209999999999994</v>
      </c>
      <c r="D3365" s="6">
        <f t="shared" si="55"/>
        <v>1.005669949268875</v>
      </c>
      <c r="E3365" s="6">
        <v>-1.1888839352060113E-3</v>
      </c>
    </row>
    <row r="3366" spans="2:5" x14ac:dyDescent="0.3">
      <c r="B3366" s="4">
        <v>38548</v>
      </c>
      <c r="C3366" s="7">
        <v>33.51</v>
      </c>
      <c r="D3366" s="6">
        <f t="shared" si="55"/>
        <v>0.34362469927826772</v>
      </c>
      <c r="E3366" s="6">
        <v>-1.1922503725782161E-3</v>
      </c>
    </row>
    <row r="3367" spans="2:5" x14ac:dyDescent="0.3">
      <c r="B3367" s="4">
        <v>38217</v>
      </c>
      <c r="C3367" s="7">
        <v>24.94</v>
      </c>
      <c r="D3367" s="6">
        <f t="shared" si="55"/>
        <v>-0.9907660409493132</v>
      </c>
      <c r="E3367" s="6">
        <v>-1.2014417300759946E-3</v>
      </c>
    </row>
    <row r="3368" spans="2:5" x14ac:dyDescent="0.3">
      <c r="B3368" s="4">
        <v>44949</v>
      </c>
      <c r="C3368" s="5">
        <v>2700.9</v>
      </c>
      <c r="D3368" s="6">
        <f t="shared" si="55"/>
        <v>108.03916027452564</v>
      </c>
      <c r="E3368" s="6">
        <v>-1.2018564058946435E-3</v>
      </c>
    </row>
    <row r="3369" spans="2:5" x14ac:dyDescent="0.3">
      <c r="B3369" s="4">
        <v>38236</v>
      </c>
      <c r="C3369" s="7">
        <v>24.77</v>
      </c>
      <c r="D3369" s="6">
        <f t="shared" si="55"/>
        <v>-0.57033824804856892</v>
      </c>
      <c r="E3369" s="6">
        <v>-1.2096774193548845E-3</v>
      </c>
    </row>
    <row r="3370" spans="2:5" x14ac:dyDescent="0.3">
      <c r="B3370" s="4">
        <v>39154</v>
      </c>
      <c r="C3370" s="7">
        <v>57.65</v>
      </c>
      <c r="D3370" s="6">
        <f t="shared" si="55"/>
        <v>-0.98084240259200794</v>
      </c>
      <c r="E3370" s="6">
        <v>-1.2127512127512177E-3</v>
      </c>
    </row>
    <row r="3371" spans="2:5" x14ac:dyDescent="0.3">
      <c r="B3371" s="4">
        <v>45240</v>
      </c>
      <c r="C3371" s="5">
        <v>3009.25</v>
      </c>
      <c r="D3371" s="6">
        <f t="shared" si="55"/>
        <v>11.705835162979225</v>
      </c>
      <c r="E3371" s="6">
        <v>-1.2180874367723248E-3</v>
      </c>
    </row>
    <row r="3372" spans="2:5" x14ac:dyDescent="0.3">
      <c r="B3372" s="4">
        <v>40913</v>
      </c>
      <c r="C3372" s="7">
        <v>236.84</v>
      </c>
      <c r="D3372" s="6">
        <f t="shared" si="55"/>
        <v>2.9218716917213537E-3</v>
      </c>
      <c r="E3372" s="6">
        <v>-1.2229578712098514E-3</v>
      </c>
    </row>
    <row r="3373" spans="2:5" x14ac:dyDescent="0.3">
      <c r="B3373" s="4">
        <v>40458</v>
      </c>
      <c r="C3373" s="7">
        <v>236.15</v>
      </c>
      <c r="D3373" s="6">
        <f t="shared" si="55"/>
        <v>7.4532465759657801E-2</v>
      </c>
      <c r="E3373" s="6">
        <v>-1.2265268144137711E-3</v>
      </c>
    </row>
    <row r="3374" spans="2:5" x14ac:dyDescent="0.3">
      <c r="B3374" s="4">
        <v>40609</v>
      </c>
      <c r="C3374" s="7">
        <v>219.77</v>
      </c>
      <c r="D3374" s="6">
        <f t="shared" si="55"/>
        <v>-0.3687128371585327</v>
      </c>
      <c r="E3374" s="6">
        <v>-1.227049627340401E-3</v>
      </c>
    </row>
    <row r="3375" spans="2:5" x14ac:dyDescent="0.3">
      <c r="B3375" s="4">
        <v>41172</v>
      </c>
      <c r="C3375" s="7">
        <v>348.13</v>
      </c>
      <c r="D3375" s="6">
        <f t="shared" si="55"/>
        <v>-0.85269763092533113</v>
      </c>
      <c r="E3375" s="6">
        <v>-1.2336470048198496E-3</v>
      </c>
    </row>
    <row r="3376" spans="2:5" x14ac:dyDescent="0.3">
      <c r="B3376" s="4">
        <v>45636</v>
      </c>
      <c r="C3376" s="5">
        <v>2363.37</v>
      </c>
      <c r="D3376" s="6">
        <f t="shared" si="55"/>
        <v>57.878176382660691</v>
      </c>
      <c r="E3376" s="6">
        <v>-1.2339992139594356E-3</v>
      </c>
    </row>
    <row r="3377" spans="2:5" x14ac:dyDescent="0.3">
      <c r="B3377" s="4">
        <v>38638</v>
      </c>
      <c r="C3377" s="7">
        <v>40.14</v>
      </c>
      <c r="D3377" s="6">
        <f t="shared" si="55"/>
        <v>0.66694352159468451</v>
      </c>
      <c r="E3377" s="6">
        <v>-1.2440905697934104E-3</v>
      </c>
    </row>
    <row r="3378" spans="2:5" x14ac:dyDescent="0.3">
      <c r="B3378" s="4">
        <v>38063</v>
      </c>
      <c r="C3378" s="7">
        <v>24.08</v>
      </c>
      <c r="D3378" s="6">
        <f t="shared" si="55"/>
        <v>-0.49198312236286923</v>
      </c>
      <c r="E3378" s="6">
        <v>-1.2442969722107481E-3</v>
      </c>
    </row>
    <row r="3379" spans="2:5" x14ac:dyDescent="0.3">
      <c r="B3379" s="4">
        <v>38733</v>
      </c>
      <c r="C3379" s="7">
        <v>47.4</v>
      </c>
      <c r="D3379" s="6">
        <f t="shared" si="55"/>
        <v>1.000844238075137</v>
      </c>
      <c r="E3379" s="6">
        <v>-1.2642225031606041E-3</v>
      </c>
    </row>
    <row r="3380" spans="2:5" x14ac:dyDescent="0.3">
      <c r="B3380" s="4">
        <v>37956</v>
      </c>
      <c r="C3380" s="7">
        <v>23.69</v>
      </c>
      <c r="D3380" s="6">
        <f t="shared" si="55"/>
        <v>-0.98992399399437714</v>
      </c>
      <c r="E3380" s="6">
        <v>-1.2647554806069809E-3</v>
      </c>
    </row>
    <row r="3381" spans="2:5" x14ac:dyDescent="0.3">
      <c r="B3381" s="4">
        <v>45936</v>
      </c>
      <c r="C3381" s="5">
        <v>2351.13</v>
      </c>
      <c r="D3381" s="6">
        <f t="shared" si="55"/>
        <v>4.1514680105170907</v>
      </c>
      <c r="E3381" s="6">
        <v>-1.274356131564527E-3</v>
      </c>
    </row>
    <row r="3382" spans="2:5" x14ac:dyDescent="0.3">
      <c r="B3382" s="4">
        <v>41611</v>
      </c>
      <c r="C3382" s="7">
        <v>456.4</v>
      </c>
      <c r="D3382" s="6">
        <f t="shared" si="55"/>
        <v>13.770226537216828</v>
      </c>
      <c r="E3382" s="6">
        <v>-1.2910566970831569E-3</v>
      </c>
    </row>
    <row r="3383" spans="2:5" x14ac:dyDescent="0.3">
      <c r="B3383" s="4">
        <v>38434</v>
      </c>
      <c r="C3383" s="7">
        <v>30.9</v>
      </c>
      <c r="D3383" s="6">
        <f t="shared" si="55"/>
        <v>-0.98641776152402383</v>
      </c>
      <c r="E3383" s="6">
        <v>-1.2928248222366741E-3</v>
      </c>
    </row>
    <row r="3384" spans="2:5" x14ac:dyDescent="0.3">
      <c r="B3384" s="4">
        <v>45786</v>
      </c>
      <c r="C3384" s="5">
        <v>2275.0300000000002</v>
      </c>
      <c r="D3384" s="6">
        <f t="shared" si="55"/>
        <v>58.369258872651358</v>
      </c>
      <c r="E3384" s="6">
        <v>-1.2993911298994209E-3</v>
      </c>
    </row>
    <row r="3385" spans="2:5" x14ac:dyDescent="0.3">
      <c r="B3385" s="4">
        <v>38597</v>
      </c>
      <c r="C3385" s="7">
        <v>38.32</v>
      </c>
      <c r="D3385" s="6">
        <f t="shared" si="55"/>
        <v>-0.98771692512837606</v>
      </c>
      <c r="E3385" s="6">
        <v>-1.3031013812873902E-3</v>
      </c>
    </row>
    <row r="3386" spans="2:5" x14ac:dyDescent="0.3">
      <c r="B3386" s="4">
        <v>44550</v>
      </c>
      <c r="C3386" s="5">
        <v>3119.74</v>
      </c>
      <c r="D3386" s="6">
        <f t="shared" si="55"/>
        <v>136.3125</v>
      </c>
      <c r="E3386" s="6">
        <v>-1.3092901982502715E-3</v>
      </c>
    </row>
    <row r="3387" spans="2:5" x14ac:dyDescent="0.3">
      <c r="B3387" s="4">
        <v>38147</v>
      </c>
      <c r="C3387" s="7">
        <v>22.72</v>
      </c>
      <c r="D3387" s="6">
        <f t="shared" si="55"/>
        <v>-0.94732937685459939</v>
      </c>
      <c r="E3387" s="6">
        <v>-1.3186813186813686E-3</v>
      </c>
    </row>
    <row r="3388" spans="2:5" x14ac:dyDescent="0.3">
      <c r="B3388" s="4">
        <v>41423</v>
      </c>
      <c r="C3388" s="7">
        <v>431.36</v>
      </c>
      <c r="D3388" s="6">
        <f t="shared" si="55"/>
        <v>-0.26762763374590398</v>
      </c>
      <c r="E3388" s="6">
        <v>-1.319658277961691E-3</v>
      </c>
    </row>
    <row r="3389" spans="2:5" x14ac:dyDescent="0.3">
      <c r="B3389" s="4">
        <v>41899</v>
      </c>
      <c r="C3389" s="7">
        <v>588.99</v>
      </c>
      <c r="D3389" s="6">
        <f t="shared" si="55"/>
        <v>-0.78656147967226298</v>
      </c>
      <c r="E3389" s="6">
        <v>-1.3225494684368021E-3</v>
      </c>
    </row>
    <row r="3390" spans="2:5" x14ac:dyDescent="0.3">
      <c r="B3390" s="4">
        <v>45372</v>
      </c>
      <c r="C3390" s="5">
        <v>2759.53</v>
      </c>
      <c r="D3390" s="6">
        <f t="shared" si="55"/>
        <v>5.6951257976077834</v>
      </c>
      <c r="E3390" s="6">
        <v>-1.328170237405768E-3</v>
      </c>
    </row>
    <row r="3391" spans="2:5" x14ac:dyDescent="0.3">
      <c r="B3391" s="4">
        <v>41459</v>
      </c>
      <c r="C3391" s="7">
        <v>412.17</v>
      </c>
      <c r="D3391" s="6">
        <f t="shared" si="55"/>
        <v>-0.74409233711241629</v>
      </c>
      <c r="E3391" s="6">
        <v>-1.3326226012793452E-3</v>
      </c>
    </row>
    <row r="3392" spans="2:5" x14ac:dyDescent="0.3">
      <c r="B3392" s="4">
        <v>44008</v>
      </c>
      <c r="C3392" s="5">
        <v>1610.62</v>
      </c>
      <c r="D3392" s="6">
        <f t="shared" si="55"/>
        <v>29.83116385911179</v>
      </c>
      <c r="E3392" s="6">
        <v>-1.3331101148955468E-3</v>
      </c>
    </row>
    <row r="3393" spans="2:5" x14ac:dyDescent="0.3">
      <c r="B3393" s="4">
        <v>38817</v>
      </c>
      <c r="C3393" s="7">
        <v>52.24</v>
      </c>
      <c r="D3393" s="6">
        <f t="shared" si="55"/>
        <v>4.8086170417387959E-3</v>
      </c>
      <c r="E3393" s="6">
        <v>-1.3381762569298467E-3</v>
      </c>
    </row>
    <row r="3394" spans="2:5" x14ac:dyDescent="0.3">
      <c r="B3394" s="4">
        <v>38959</v>
      </c>
      <c r="C3394" s="7">
        <v>51.99</v>
      </c>
      <c r="D3394" s="6">
        <f t="shared" si="55"/>
        <v>-0.9839260207394217</v>
      </c>
      <c r="E3394" s="6">
        <v>-1.3446023818670819E-3</v>
      </c>
    </row>
    <row r="3395" spans="2:5" x14ac:dyDescent="0.3">
      <c r="B3395" s="4">
        <v>44453</v>
      </c>
      <c r="C3395" s="5">
        <v>3234.42</v>
      </c>
      <c r="D3395" s="6">
        <f t="shared" si="55"/>
        <v>30.478540145985402</v>
      </c>
      <c r="E3395" s="6">
        <v>-1.3523527232308598E-3</v>
      </c>
    </row>
    <row r="3396" spans="2:5" x14ac:dyDescent="0.3">
      <c r="B3396" s="4">
        <v>39703</v>
      </c>
      <c r="C3396" s="7">
        <v>102.75</v>
      </c>
      <c r="D3396" s="6">
        <f t="shared" si="55"/>
        <v>8.7668030391587198E-4</v>
      </c>
      <c r="E3396" s="6">
        <v>-1.3606764505782931E-3</v>
      </c>
    </row>
    <row r="3397" spans="2:5" x14ac:dyDescent="0.3">
      <c r="B3397" s="4">
        <v>40011</v>
      </c>
      <c r="C3397" s="7">
        <v>102.66</v>
      </c>
      <c r="D3397" s="6">
        <f t="shared" si="55"/>
        <v>1.8018558951965065</v>
      </c>
      <c r="E3397" s="6">
        <v>-1.3618677042801612E-3</v>
      </c>
    </row>
    <row r="3398" spans="2:5" x14ac:dyDescent="0.3">
      <c r="B3398" s="4">
        <v>38555</v>
      </c>
      <c r="C3398" s="7">
        <v>36.64</v>
      </c>
      <c r="D3398" s="6">
        <f t="shared" si="55"/>
        <v>-0.98570202138453134</v>
      </c>
      <c r="E3398" s="6">
        <v>-1.3627691469064367E-3</v>
      </c>
    </row>
    <row r="3399" spans="2:5" x14ac:dyDescent="0.3">
      <c r="B3399" s="4">
        <v>45890</v>
      </c>
      <c r="C3399" s="5">
        <v>2562.6</v>
      </c>
      <c r="D3399" s="6">
        <f t="shared" si="55"/>
        <v>0.7157548692059964</v>
      </c>
      <c r="E3399" s="6">
        <v>-1.363937492693192E-3</v>
      </c>
    </row>
    <row r="3400" spans="2:5" x14ac:dyDescent="0.3">
      <c r="B3400" s="4">
        <v>43690</v>
      </c>
      <c r="C3400" s="5">
        <v>1493.57</v>
      </c>
      <c r="D3400" s="6">
        <f t="shared" ref="D3400:D3463" si="56">((C3400-C3401)/C3401)</f>
        <v>0.57196383652763305</v>
      </c>
      <c r="E3400" s="6">
        <v>-1.3639919497729781E-3</v>
      </c>
    </row>
    <row r="3401" spans="2:5" x14ac:dyDescent="0.3">
      <c r="B3401" s="4">
        <v>42802</v>
      </c>
      <c r="C3401" s="7">
        <v>950.13</v>
      </c>
      <c r="D3401" s="6">
        <f t="shared" si="56"/>
        <v>4.1649308220229359E-2</v>
      </c>
      <c r="E3401" s="6">
        <v>-1.3663643147682485E-3</v>
      </c>
    </row>
    <row r="3402" spans="2:5" x14ac:dyDescent="0.3">
      <c r="B3402" s="4">
        <v>42544</v>
      </c>
      <c r="C3402" s="7">
        <v>912.14</v>
      </c>
      <c r="D3402" s="6">
        <f t="shared" si="56"/>
        <v>-0.5954746234766104</v>
      </c>
      <c r="E3402" s="6">
        <v>-1.3685282300003284E-3</v>
      </c>
    </row>
    <row r="3403" spans="2:5" x14ac:dyDescent="0.3">
      <c r="B3403" s="4">
        <v>45649</v>
      </c>
      <c r="C3403" s="5">
        <v>2254.84</v>
      </c>
      <c r="D3403" s="6">
        <f t="shared" si="56"/>
        <v>27.535054416603394</v>
      </c>
      <c r="E3403" s="6">
        <v>-1.3817782423071669E-3</v>
      </c>
    </row>
    <row r="3404" spans="2:5" x14ac:dyDescent="0.3">
      <c r="B3404" s="4">
        <v>39363</v>
      </c>
      <c r="C3404" s="7">
        <v>79.02</v>
      </c>
      <c r="D3404" s="6">
        <f t="shared" si="56"/>
        <v>-0.35181691411697152</v>
      </c>
      <c r="E3404" s="6">
        <v>-1.3901175281182793E-3</v>
      </c>
    </row>
    <row r="3405" spans="2:5" x14ac:dyDescent="0.3">
      <c r="B3405" s="4">
        <v>40029</v>
      </c>
      <c r="C3405" s="7">
        <v>121.91</v>
      </c>
      <c r="D3405" s="6">
        <f t="shared" si="56"/>
        <v>-0.95263773363532889</v>
      </c>
      <c r="E3405" s="6">
        <v>-1.3925294888597782E-3</v>
      </c>
    </row>
    <row r="3406" spans="2:5" x14ac:dyDescent="0.3">
      <c r="B3406" s="4">
        <v>44728</v>
      </c>
      <c r="C3406" s="5">
        <v>2573.9899999999998</v>
      </c>
      <c r="D3406" s="6">
        <f t="shared" si="56"/>
        <v>1.0124232829052813</v>
      </c>
      <c r="E3406" s="6">
        <v>-1.3927792735822537E-3</v>
      </c>
    </row>
    <row r="3407" spans="2:5" x14ac:dyDescent="0.3">
      <c r="B3407" s="4">
        <v>43293</v>
      </c>
      <c r="C3407" s="5">
        <v>1279.05</v>
      </c>
      <c r="D3407" s="6">
        <f t="shared" si="56"/>
        <v>-0.61442692334359283</v>
      </c>
      <c r="E3407" s="6">
        <v>-1.3975203772523999E-3</v>
      </c>
    </row>
    <row r="3408" spans="2:5" x14ac:dyDescent="0.3">
      <c r="B3408" s="4">
        <v>45293</v>
      </c>
      <c r="C3408" s="5">
        <v>3317.27</v>
      </c>
      <c r="D3408" s="6">
        <f t="shared" si="56"/>
        <v>11.24853228962818</v>
      </c>
      <c r="E3408" s="6">
        <v>-1.3997928908583261E-3</v>
      </c>
    </row>
    <row r="3409" spans="2:5" x14ac:dyDescent="0.3">
      <c r="B3409" s="4">
        <v>40709</v>
      </c>
      <c r="C3409" s="7">
        <v>270.83</v>
      </c>
      <c r="D3409" s="6">
        <f t="shared" si="56"/>
        <v>-0.22114859229862258</v>
      </c>
      <c r="E3409" s="6">
        <v>-1.4011282769809206E-3</v>
      </c>
    </row>
    <row r="3410" spans="2:5" x14ac:dyDescent="0.3">
      <c r="B3410" s="4">
        <v>41082</v>
      </c>
      <c r="C3410" s="7">
        <v>347.73</v>
      </c>
      <c r="D3410" s="6">
        <f t="shared" si="56"/>
        <v>11.330851063829789</v>
      </c>
      <c r="E3410" s="6">
        <v>-1.4071563953822557E-3</v>
      </c>
    </row>
    <row r="3411" spans="2:5" x14ac:dyDescent="0.3">
      <c r="B3411" s="4">
        <v>38407</v>
      </c>
      <c r="C3411" s="7">
        <v>28.2</v>
      </c>
      <c r="D3411" s="6">
        <f t="shared" si="56"/>
        <v>-0.93638475941257415</v>
      </c>
      <c r="E3411" s="6">
        <v>-1.4164305949008198E-3</v>
      </c>
    </row>
    <row r="3412" spans="2:5" x14ac:dyDescent="0.3">
      <c r="B3412" s="4">
        <v>41646</v>
      </c>
      <c r="C3412" s="7">
        <v>443.29</v>
      </c>
      <c r="D3412" s="6">
        <f t="shared" si="56"/>
        <v>-0.73969899999412803</v>
      </c>
      <c r="E3412" s="6">
        <v>-1.419174626058739E-3</v>
      </c>
    </row>
    <row r="3413" spans="2:5" x14ac:dyDescent="0.3">
      <c r="B3413" s="4">
        <v>43832</v>
      </c>
      <c r="C3413" s="5">
        <v>1702.99</v>
      </c>
      <c r="D3413" s="6">
        <f t="shared" si="56"/>
        <v>5.7533410001189678</v>
      </c>
      <c r="E3413" s="6">
        <v>-1.4248689472388407E-3</v>
      </c>
    </row>
    <row r="3414" spans="2:5" x14ac:dyDescent="0.3">
      <c r="B3414" s="4">
        <v>40546</v>
      </c>
      <c r="C3414" s="7">
        <v>252.17</v>
      </c>
      <c r="D3414" s="6">
        <f t="shared" si="56"/>
        <v>-7.0752109665770044E-2</v>
      </c>
      <c r="E3414" s="6">
        <v>-1.4255731992239087E-3</v>
      </c>
    </row>
    <row r="3415" spans="2:5" x14ac:dyDescent="0.3">
      <c r="B3415" s="4">
        <v>40844</v>
      </c>
      <c r="C3415" s="7">
        <v>271.37</v>
      </c>
      <c r="D3415" s="6">
        <f t="shared" si="56"/>
        <v>-0.7455842646066152</v>
      </c>
      <c r="E3415" s="6">
        <v>-1.4350897851044537E-3</v>
      </c>
    </row>
    <row r="3416" spans="2:5" x14ac:dyDescent="0.3">
      <c r="B3416" s="4">
        <v>42901</v>
      </c>
      <c r="C3416" s="5">
        <v>1066.6400000000001</v>
      </c>
      <c r="D3416" s="6">
        <f t="shared" si="56"/>
        <v>-0.2198076290092528</v>
      </c>
      <c r="E3416" s="6">
        <v>-1.4417045816247857E-3</v>
      </c>
    </row>
    <row r="3417" spans="2:5" x14ac:dyDescent="0.3">
      <c r="B3417" s="4">
        <v>43580</v>
      </c>
      <c r="C3417" s="5">
        <v>1367.15</v>
      </c>
      <c r="D3417" s="6">
        <f t="shared" si="56"/>
        <v>0.32514296791703018</v>
      </c>
      <c r="E3417" s="6">
        <v>-1.4461738476258777E-3</v>
      </c>
    </row>
    <row r="3418" spans="2:5" x14ac:dyDescent="0.3">
      <c r="B3418" s="4">
        <v>42916</v>
      </c>
      <c r="C3418" s="5">
        <v>1031.7</v>
      </c>
      <c r="D3418" s="6">
        <f t="shared" si="56"/>
        <v>-0.68245907240007009</v>
      </c>
      <c r="E3418" s="6">
        <v>-1.4518002322880372E-3</v>
      </c>
    </row>
    <row r="3419" spans="2:5" x14ac:dyDescent="0.3">
      <c r="B3419" s="4">
        <v>44579</v>
      </c>
      <c r="C3419" s="5">
        <v>3249.03</v>
      </c>
      <c r="D3419" s="6">
        <f t="shared" si="56"/>
        <v>58.560586617781858</v>
      </c>
      <c r="E3419" s="6">
        <v>-1.4629094071835502E-3</v>
      </c>
    </row>
    <row r="3420" spans="2:5" x14ac:dyDescent="0.3">
      <c r="B3420" s="4">
        <v>38982</v>
      </c>
      <c r="C3420" s="7">
        <v>54.55</v>
      </c>
      <c r="D3420" s="6">
        <f t="shared" si="56"/>
        <v>-0.46629488308384698</v>
      </c>
      <c r="E3420" s="6">
        <v>-1.4643968515468679E-3</v>
      </c>
    </row>
    <row r="3421" spans="2:5" x14ac:dyDescent="0.3">
      <c r="B3421" s="4">
        <v>39685</v>
      </c>
      <c r="C3421" s="7">
        <v>102.21</v>
      </c>
      <c r="D3421" s="6">
        <f t="shared" si="56"/>
        <v>-0.74063641900121802</v>
      </c>
      <c r="E3421" s="6">
        <v>-1.4654161781946628E-3</v>
      </c>
    </row>
    <row r="3422" spans="2:5" x14ac:dyDescent="0.3">
      <c r="B3422" s="4">
        <v>41302</v>
      </c>
      <c r="C3422" s="7">
        <v>394.08</v>
      </c>
      <c r="D3422" s="6">
        <f t="shared" si="56"/>
        <v>-0.63417622813857644</v>
      </c>
      <c r="E3422" s="6">
        <v>-1.4696194192470504E-3</v>
      </c>
    </row>
    <row r="3423" spans="2:5" x14ac:dyDescent="0.3">
      <c r="B3423" s="4">
        <v>43096</v>
      </c>
      <c r="C3423" s="5">
        <v>1077.24</v>
      </c>
      <c r="D3423" s="6">
        <f t="shared" si="56"/>
        <v>1.3387247345910858</v>
      </c>
      <c r="E3423" s="6">
        <v>-1.473818859319743E-3</v>
      </c>
    </row>
    <row r="3424" spans="2:5" x14ac:dyDescent="0.3">
      <c r="B3424" s="4">
        <v>41793</v>
      </c>
      <c r="C3424" s="7">
        <v>460.61</v>
      </c>
      <c r="D3424" s="6">
        <f t="shared" si="56"/>
        <v>-0.83241526348725858</v>
      </c>
      <c r="E3424" s="6">
        <v>-1.4741269049838644E-3</v>
      </c>
    </row>
    <row r="3425" spans="2:5" x14ac:dyDescent="0.3">
      <c r="B3425" s="4">
        <v>45429</v>
      </c>
      <c r="C3425" s="5">
        <v>2748.52</v>
      </c>
      <c r="D3425" s="6">
        <f t="shared" si="56"/>
        <v>26.253544868616761</v>
      </c>
      <c r="E3425" s="6">
        <v>-1.4749798370982661E-3</v>
      </c>
    </row>
    <row r="3426" spans="2:5" x14ac:dyDescent="0.3">
      <c r="B3426" s="4">
        <v>39539</v>
      </c>
      <c r="C3426" s="7">
        <v>100.85</v>
      </c>
      <c r="D3426" s="6">
        <f t="shared" si="56"/>
        <v>0.87942601565411849</v>
      </c>
      <c r="E3426" s="6">
        <v>-1.4851485148515413E-3</v>
      </c>
    </row>
    <row r="3427" spans="2:5" x14ac:dyDescent="0.3">
      <c r="B3427" s="4">
        <v>38971</v>
      </c>
      <c r="C3427" s="7">
        <v>53.66</v>
      </c>
      <c r="D3427" s="6">
        <f t="shared" si="56"/>
        <v>-0.81143479635941951</v>
      </c>
      <c r="E3427" s="6">
        <v>-1.4886490509863305E-3</v>
      </c>
    </row>
    <row r="3428" spans="2:5" x14ac:dyDescent="0.3">
      <c r="B3428" s="4">
        <v>40984</v>
      </c>
      <c r="C3428" s="7">
        <v>284.57</v>
      </c>
      <c r="D3428" s="6">
        <f t="shared" si="56"/>
        <v>-0.78250036304715032</v>
      </c>
      <c r="E3428" s="6">
        <v>-1.5087719298245853E-3</v>
      </c>
    </row>
    <row r="3429" spans="2:5" x14ac:dyDescent="0.3">
      <c r="B3429" s="4">
        <v>43593</v>
      </c>
      <c r="C3429" s="5">
        <v>1308.3699999999999</v>
      </c>
      <c r="D3429" s="6">
        <f t="shared" si="56"/>
        <v>1.9131857855361594</v>
      </c>
      <c r="E3429" s="6">
        <v>-1.5110466669210655E-3</v>
      </c>
    </row>
    <row r="3430" spans="2:5" x14ac:dyDescent="0.3">
      <c r="B3430" s="4">
        <v>41488</v>
      </c>
      <c r="C3430" s="7">
        <v>449.12</v>
      </c>
      <c r="D3430" s="6">
        <f t="shared" si="56"/>
        <v>-0.28920963504573799</v>
      </c>
      <c r="E3430" s="6">
        <v>-1.5117830146732032E-3</v>
      </c>
    </row>
    <row r="3431" spans="2:5" x14ac:dyDescent="0.3">
      <c r="B3431" s="4">
        <v>41967</v>
      </c>
      <c r="C3431" s="7">
        <v>631.86</v>
      </c>
      <c r="D3431" s="6">
        <f t="shared" si="56"/>
        <v>-0.79516388898794377</v>
      </c>
      <c r="E3431" s="6">
        <v>-1.5170190575519678E-3</v>
      </c>
    </row>
    <row r="3432" spans="2:5" x14ac:dyDescent="0.3">
      <c r="B3432" s="4">
        <v>45211</v>
      </c>
      <c r="C3432" s="5">
        <v>3084.71</v>
      </c>
      <c r="D3432" s="6">
        <f t="shared" si="56"/>
        <v>155.50481988838152</v>
      </c>
      <c r="E3432" s="6">
        <v>-1.5180941283097218E-3</v>
      </c>
    </row>
    <row r="3433" spans="2:5" x14ac:dyDescent="0.3">
      <c r="B3433" s="4">
        <v>37806</v>
      </c>
      <c r="C3433" s="7">
        <v>19.71</v>
      </c>
      <c r="D3433" s="6">
        <f t="shared" si="56"/>
        <v>-0.98542817220041246</v>
      </c>
      <c r="E3433" s="6">
        <v>-1.5197568389056528E-3</v>
      </c>
    </row>
    <row r="3434" spans="2:5" x14ac:dyDescent="0.3">
      <c r="B3434" s="4">
        <v>43539</v>
      </c>
      <c r="C3434" s="5">
        <v>1352.61</v>
      </c>
      <c r="D3434" s="6">
        <f t="shared" si="56"/>
        <v>-0.52695523839167369</v>
      </c>
      <c r="E3434" s="6">
        <v>-1.528036141376682E-3</v>
      </c>
    </row>
    <row r="3435" spans="2:5" x14ac:dyDescent="0.3">
      <c r="B3435" s="4">
        <v>44419</v>
      </c>
      <c r="C3435" s="5">
        <v>2859.37</v>
      </c>
      <c r="D3435" s="6">
        <f t="shared" si="56"/>
        <v>10.301411011422472</v>
      </c>
      <c r="E3435" s="6">
        <v>-1.5294631165430324E-3</v>
      </c>
    </row>
    <row r="3436" spans="2:5" x14ac:dyDescent="0.3">
      <c r="B3436" s="4">
        <v>40882</v>
      </c>
      <c r="C3436" s="7">
        <v>253.01</v>
      </c>
      <c r="D3436" s="6">
        <f t="shared" si="56"/>
        <v>2.5455437219730941</v>
      </c>
      <c r="E3436" s="6">
        <v>-1.5390686661405477E-3</v>
      </c>
    </row>
    <row r="3437" spans="2:5" x14ac:dyDescent="0.3">
      <c r="B3437" s="4">
        <v>39275</v>
      </c>
      <c r="C3437" s="7">
        <v>71.36</v>
      </c>
      <c r="D3437" s="6">
        <f t="shared" si="56"/>
        <v>-0.93416670510632405</v>
      </c>
      <c r="E3437" s="6">
        <v>-1.5391073177556938E-3</v>
      </c>
    </row>
    <row r="3438" spans="2:5" x14ac:dyDescent="0.3">
      <c r="B3438" s="4">
        <v>43020</v>
      </c>
      <c r="C3438" s="5">
        <v>1083.95</v>
      </c>
      <c r="D3438" s="6">
        <f t="shared" si="56"/>
        <v>41.325263568918395</v>
      </c>
      <c r="E3438" s="6">
        <v>-1.5474885550326202E-3</v>
      </c>
    </row>
    <row r="3439" spans="2:5" x14ac:dyDescent="0.3">
      <c r="B3439" s="4">
        <v>38338</v>
      </c>
      <c r="C3439" s="7">
        <v>25.61</v>
      </c>
      <c r="D3439" s="6">
        <f t="shared" si="56"/>
        <v>7.8155529503710723E-4</v>
      </c>
      <c r="E3439" s="6">
        <v>-1.5594541910331052E-3</v>
      </c>
    </row>
    <row r="3440" spans="2:5" x14ac:dyDescent="0.3">
      <c r="B3440" s="4">
        <v>38345</v>
      </c>
      <c r="C3440" s="7">
        <v>25.59</v>
      </c>
      <c r="D3440" s="6">
        <f t="shared" si="56"/>
        <v>-0.99181062346789206</v>
      </c>
      <c r="E3440" s="6">
        <v>-1.5606710885680511E-3</v>
      </c>
    </row>
    <row r="3441" spans="2:5" x14ac:dyDescent="0.3">
      <c r="B3441" s="4">
        <v>44903</v>
      </c>
      <c r="C3441" s="5">
        <v>3124.78</v>
      </c>
      <c r="D3441" s="6">
        <f t="shared" si="56"/>
        <v>163.37559179379272</v>
      </c>
      <c r="E3441" s="6">
        <v>-1.5656552746605521E-3</v>
      </c>
    </row>
    <row r="3442" spans="2:5" x14ac:dyDescent="0.3">
      <c r="B3442" s="4">
        <v>37781</v>
      </c>
      <c r="C3442" s="7">
        <v>19.010000000000002</v>
      </c>
      <c r="D3442" s="6">
        <f t="shared" si="56"/>
        <v>-0.99368467911791469</v>
      </c>
      <c r="E3442" s="6">
        <v>-1.5756302521007135E-3</v>
      </c>
    </row>
    <row r="3443" spans="2:5" x14ac:dyDescent="0.3">
      <c r="B3443" s="4">
        <v>44677</v>
      </c>
      <c r="C3443" s="5">
        <v>3010.14</v>
      </c>
      <c r="D3443" s="6">
        <f t="shared" si="56"/>
        <v>7.6870220195665357</v>
      </c>
      <c r="E3443" s="6">
        <v>-1.5821367802023882E-3</v>
      </c>
    </row>
    <row r="3444" spans="2:5" x14ac:dyDescent="0.3">
      <c r="B3444" s="4">
        <v>41073</v>
      </c>
      <c r="C3444" s="7">
        <v>346.51</v>
      </c>
      <c r="D3444" s="6">
        <f t="shared" si="56"/>
        <v>-0.71478545735898136</v>
      </c>
      <c r="E3444" s="6">
        <v>-1.5847403907105727E-3</v>
      </c>
    </row>
    <row r="3445" spans="2:5" x14ac:dyDescent="0.3">
      <c r="B3445" s="4">
        <v>43285</v>
      </c>
      <c r="C3445" s="5">
        <v>1214.9100000000001</v>
      </c>
      <c r="D3445" s="6">
        <f t="shared" si="56"/>
        <v>7.3983824139361261</v>
      </c>
      <c r="E3445" s="6">
        <v>-1.5860754084348282E-3</v>
      </c>
    </row>
    <row r="3446" spans="2:5" x14ac:dyDescent="0.3">
      <c r="B3446" s="4">
        <v>40112</v>
      </c>
      <c r="C3446" s="7">
        <v>144.66</v>
      </c>
      <c r="D3446" s="6">
        <f t="shared" si="56"/>
        <v>4.7633466135458162</v>
      </c>
      <c r="E3446" s="6">
        <v>-1.5874111394850563E-3</v>
      </c>
    </row>
    <row r="3447" spans="2:5" x14ac:dyDescent="0.3">
      <c r="B3447" s="4">
        <v>37967</v>
      </c>
      <c r="C3447" s="7">
        <v>25.1</v>
      </c>
      <c r="D3447" s="6">
        <f t="shared" si="56"/>
        <v>-0.98070655515926708</v>
      </c>
      <c r="E3447" s="6">
        <v>-1.5910898965791228E-3</v>
      </c>
    </row>
    <row r="3448" spans="2:5" x14ac:dyDescent="0.3">
      <c r="B3448" s="4">
        <v>43515</v>
      </c>
      <c r="C3448" s="5">
        <v>1300.96</v>
      </c>
      <c r="D3448" s="6">
        <f t="shared" si="56"/>
        <v>33.70152040544145</v>
      </c>
      <c r="E3448" s="6">
        <v>-1.5962671905696889E-3</v>
      </c>
    </row>
    <row r="3449" spans="2:5" x14ac:dyDescent="0.3">
      <c r="B3449" s="4">
        <v>38590</v>
      </c>
      <c r="C3449" s="7">
        <v>37.49</v>
      </c>
      <c r="D3449" s="6">
        <f t="shared" si="56"/>
        <v>-0.88650056007992484</v>
      </c>
      <c r="E3449" s="6">
        <v>-1.59786950732344E-3</v>
      </c>
    </row>
    <row r="3450" spans="2:5" x14ac:dyDescent="0.3">
      <c r="B3450" s="4">
        <v>41151</v>
      </c>
      <c r="C3450" s="7">
        <v>330.31</v>
      </c>
      <c r="D3450" s="6">
        <f t="shared" si="56"/>
        <v>12.270791482523101</v>
      </c>
      <c r="E3450" s="6">
        <v>-1.6019828315801377E-3</v>
      </c>
    </row>
    <row r="3451" spans="2:5" x14ac:dyDescent="0.3">
      <c r="B3451" s="4">
        <v>38198</v>
      </c>
      <c r="C3451" s="7">
        <v>24.89</v>
      </c>
      <c r="D3451" s="6">
        <f t="shared" si="56"/>
        <v>-0.97315110459095622</v>
      </c>
      <c r="E3451" s="6">
        <v>-1.604492579221787E-3</v>
      </c>
    </row>
    <row r="3452" spans="2:5" x14ac:dyDescent="0.3">
      <c r="B3452" s="4">
        <v>42774</v>
      </c>
      <c r="C3452" s="7">
        <v>927.04</v>
      </c>
      <c r="D3452" s="6">
        <f t="shared" si="56"/>
        <v>-0.12763134369089191</v>
      </c>
      <c r="E3452" s="6">
        <v>-1.6046869783421206E-3</v>
      </c>
    </row>
    <row r="3453" spans="2:5" x14ac:dyDescent="0.3">
      <c r="B3453" s="4">
        <v>42591</v>
      </c>
      <c r="C3453" s="5">
        <v>1062.67</v>
      </c>
      <c r="D3453" s="6">
        <f t="shared" si="56"/>
        <v>16.142603645749315</v>
      </c>
      <c r="E3453" s="6">
        <v>-1.6065690824705802E-3</v>
      </c>
    </row>
    <row r="3454" spans="2:5" x14ac:dyDescent="0.3">
      <c r="B3454" s="4">
        <v>39888</v>
      </c>
      <c r="C3454" s="7">
        <v>61.99</v>
      </c>
      <c r="D3454" s="6">
        <f t="shared" si="56"/>
        <v>-0.98017595082842723</v>
      </c>
      <c r="E3454" s="6">
        <v>-1.6105653084232793E-3</v>
      </c>
    </row>
    <row r="3455" spans="2:5" x14ac:dyDescent="0.3">
      <c r="B3455" s="4">
        <v>45531</v>
      </c>
      <c r="C3455" s="5">
        <v>3127.01</v>
      </c>
      <c r="D3455" s="6">
        <f t="shared" si="56"/>
        <v>126.37311608961303</v>
      </c>
      <c r="E3455" s="6">
        <v>-1.6219201874786251E-3</v>
      </c>
    </row>
    <row r="3456" spans="2:5" x14ac:dyDescent="0.3">
      <c r="B3456" s="4">
        <v>38266</v>
      </c>
      <c r="C3456" s="7">
        <v>24.55</v>
      </c>
      <c r="D3456" s="6">
        <f t="shared" si="56"/>
        <v>-0.99145908711383235</v>
      </c>
      <c r="E3456" s="6">
        <v>-1.6266775111833732E-3</v>
      </c>
    </row>
    <row r="3457" spans="2:5" x14ac:dyDescent="0.3">
      <c r="B3457" s="4">
        <v>45989</v>
      </c>
      <c r="C3457" s="5">
        <v>2874.4</v>
      </c>
      <c r="D3457" s="6">
        <f t="shared" si="56"/>
        <v>117.92428630533719</v>
      </c>
      <c r="E3457" s="6">
        <v>-1.6324545865026635E-3</v>
      </c>
    </row>
    <row r="3458" spans="2:5" x14ac:dyDescent="0.3">
      <c r="B3458" s="4">
        <v>38170</v>
      </c>
      <c r="C3458" s="7">
        <v>24.17</v>
      </c>
      <c r="D3458" s="6">
        <f t="shared" si="56"/>
        <v>1.2427506213753578E-3</v>
      </c>
      <c r="E3458" s="6">
        <v>-1.6522098306484571E-3</v>
      </c>
    </row>
    <row r="3459" spans="2:5" x14ac:dyDescent="0.3">
      <c r="B3459" s="4">
        <v>38195</v>
      </c>
      <c r="C3459" s="7">
        <v>24.14</v>
      </c>
      <c r="D3459" s="6">
        <f t="shared" si="56"/>
        <v>-0.94490471299783185</v>
      </c>
      <c r="E3459" s="6">
        <v>-1.6542597187758125E-3</v>
      </c>
    </row>
    <row r="3460" spans="2:5" x14ac:dyDescent="0.3">
      <c r="B3460" s="4">
        <v>41541</v>
      </c>
      <c r="C3460" s="7">
        <v>438.15</v>
      </c>
      <c r="D3460" s="6">
        <f t="shared" si="56"/>
        <v>3.3023369992144533</v>
      </c>
      <c r="E3460" s="6">
        <v>-1.6633248268319773E-3</v>
      </c>
    </row>
    <row r="3461" spans="2:5" x14ac:dyDescent="0.3">
      <c r="B3461" s="4">
        <v>39681</v>
      </c>
      <c r="C3461" s="7">
        <v>101.84</v>
      </c>
      <c r="D3461" s="6">
        <f t="shared" si="56"/>
        <v>-0.87227050958849128</v>
      </c>
      <c r="E3461" s="6">
        <v>-1.6665032839917821E-3</v>
      </c>
    </row>
    <row r="3462" spans="2:5" x14ac:dyDescent="0.3">
      <c r="B3462" s="4">
        <v>42492</v>
      </c>
      <c r="C3462" s="7">
        <v>797.31</v>
      </c>
      <c r="D3462" s="6">
        <f t="shared" si="56"/>
        <v>13.942091454272862</v>
      </c>
      <c r="E3462" s="6">
        <v>-1.6778313403869429E-3</v>
      </c>
    </row>
    <row r="3463" spans="2:5" x14ac:dyDescent="0.3">
      <c r="B3463" s="4">
        <v>38793</v>
      </c>
      <c r="C3463" s="7">
        <v>53.36</v>
      </c>
      <c r="D3463" s="6">
        <f t="shared" si="56"/>
        <v>-0.98098821383271329</v>
      </c>
      <c r="E3463" s="6">
        <v>-1.6838166510758355E-3</v>
      </c>
    </row>
    <row r="3464" spans="2:5" x14ac:dyDescent="0.3">
      <c r="B3464" s="4">
        <v>45385</v>
      </c>
      <c r="C3464" s="5">
        <v>2806.68</v>
      </c>
      <c r="D3464" s="6">
        <f t="shared" ref="D3464:D3527" si="57">((C3464-C3465)/C3465)</f>
        <v>1.5373182903015836</v>
      </c>
      <c r="E3464" s="6">
        <v>-1.6859807499413949E-3</v>
      </c>
    </row>
    <row r="3465" spans="2:5" x14ac:dyDescent="0.3">
      <c r="B3465" s="4">
        <v>43038</v>
      </c>
      <c r="C3465" s="5">
        <v>1106.1600000000001</v>
      </c>
      <c r="D3465" s="6">
        <f t="shared" si="57"/>
        <v>61.494915254237291</v>
      </c>
      <c r="E3465" s="6">
        <v>-1.6876799364637157E-3</v>
      </c>
    </row>
    <row r="3466" spans="2:5" x14ac:dyDescent="0.3">
      <c r="B3466" s="4">
        <v>37448</v>
      </c>
      <c r="C3466" s="7">
        <v>17.7</v>
      </c>
      <c r="D3466" s="6">
        <f t="shared" si="57"/>
        <v>-0.98399392311657308</v>
      </c>
      <c r="E3466" s="6">
        <v>-1.6920473773266293E-3</v>
      </c>
    </row>
    <row r="3467" spans="2:5" x14ac:dyDescent="0.3">
      <c r="B3467" s="4">
        <v>43055</v>
      </c>
      <c r="C3467" s="5">
        <v>1105.83</v>
      </c>
      <c r="D3467" s="6">
        <f t="shared" si="57"/>
        <v>-0.11159046540213548</v>
      </c>
      <c r="E3467" s="6">
        <v>-1.6971951142448014E-3</v>
      </c>
    </row>
    <row r="3468" spans="2:5" x14ac:dyDescent="0.3">
      <c r="B3468" s="4">
        <v>43419</v>
      </c>
      <c r="C3468" s="5">
        <v>1244.73</v>
      </c>
      <c r="D3468" s="6">
        <f t="shared" si="57"/>
        <v>29.523050514958314</v>
      </c>
      <c r="E3468" s="6">
        <v>-1.7082912275635451E-3</v>
      </c>
    </row>
    <row r="3469" spans="2:5" x14ac:dyDescent="0.3">
      <c r="B3469" s="4">
        <v>38623</v>
      </c>
      <c r="C3469" s="7">
        <v>40.78</v>
      </c>
      <c r="D3469" s="6">
        <f t="shared" si="57"/>
        <v>-0.91825689544579869</v>
      </c>
      <c r="E3469" s="6">
        <v>-1.7135862913096765E-3</v>
      </c>
    </row>
    <row r="3470" spans="2:5" x14ac:dyDescent="0.3">
      <c r="B3470" s="4">
        <v>41585</v>
      </c>
      <c r="C3470" s="7">
        <v>498.88</v>
      </c>
      <c r="D3470" s="6">
        <f t="shared" si="57"/>
        <v>0.26731868411025028</v>
      </c>
      <c r="E3470" s="6">
        <v>-1.7208948653299988E-3</v>
      </c>
    </row>
    <row r="3471" spans="2:5" x14ac:dyDescent="0.3">
      <c r="B3471" s="4">
        <v>41281</v>
      </c>
      <c r="C3471" s="7">
        <v>393.65</v>
      </c>
      <c r="D3471" s="6">
        <f t="shared" si="57"/>
        <v>1.525178010135352</v>
      </c>
      <c r="E3471" s="6">
        <v>-1.7244439936094308E-3</v>
      </c>
    </row>
    <row r="3472" spans="2:5" x14ac:dyDescent="0.3">
      <c r="B3472" s="4">
        <v>40189</v>
      </c>
      <c r="C3472" s="7">
        <v>155.88999999999999</v>
      </c>
      <c r="D3472" s="6">
        <f t="shared" si="57"/>
        <v>2.8788255785021146</v>
      </c>
      <c r="E3472" s="6">
        <v>-1.7289959016394097E-3</v>
      </c>
    </row>
    <row r="3473" spans="2:5" x14ac:dyDescent="0.3">
      <c r="B3473" s="4">
        <v>38636</v>
      </c>
      <c r="C3473" s="7">
        <v>40.19</v>
      </c>
      <c r="D3473" s="6">
        <f t="shared" si="57"/>
        <v>-0.98607202761335755</v>
      </c>
      <c r="E3473" s="6">
        <v>-1.7386984600099426E-3</v>
      </c>
    </row>
    <row r="3474" spans="2:5" x14ac:dyDescent="0.3">
      <c r="B3474" s="4">
        <v>45226</v>
      </c>
      <c r="C3474" s="5">
        <v>2885.56</v>
      </c>
      <c r="D3474" s="6">
        <f t="shared" si="57"/>
        <v>70.95910224438903</v>
      </c>
      <c r="E3474" s="6">
        <v>-1.7401291777803839E-3</v>
      </c>
    </row>
    <row r="3475" spans="2:5" x14ac:dyDescent="0.3">
      <c r="B3475" s="4">
        <v>38644</v>
      </c>
      <c r="C3475" s="7">
        <v>40.1</v>
      </c>
      <c r="D3475" s="6">
        <f t="shared" si="57"/>
        <v>-0.985542985283408</v>
      </c>
      <c r="E3475" s="6">
        <v>-1.7425939756036913E-3</v>
      </c>
    </row>
    <row r="3476" spans="2:5" x14ac:dyDescent="0.3">
      <c r="B3476" s="4">
        <v>44993</v>
      </c>
      <c r="C3476" s="5">
        <v>2773.74</v>
      </c>
      <c r="D3476" s="6">
        <f t="shared" si="57"/>
        <v>11.773970710140924</v>
      </c>
      <c r="E3476" s="6">
        <v>-1.7454896188355833E-3</v>
      </c>
    </row>
    <row r="3477" spans="2:5" x14ac:dyDescent="0.3">
      <c r="B3477" s="4">
        <v>40583</v>
      </c>
      <c r="C3477" s="7">
        <v>217.14</v>
      </c>
      <c r="D3477" s="6">
        <f t="shared" si="57"/>
        <v>-7.2011624428394469E-2</v>
      </c>
      <c r="E3477" s="6">
        <v>-1.7469657962487304E-3</v>
      </c>
    </row>
    <row r="3478" spans="2:5" x14ac:dyDescent="0.3">
      <c r="B3478" s="4">
        <v>40402</v>
      </c>
      <c r="C3478" s="7">
        <v>233.99</v>
      </c>
      <c r="D3478" s="6">
        <f t="shared" si="57"/>
        <v>-0.92257575657306967</v>
      </c>
      <c r="E3478" s="6">
        <v>-1.7491467576791662E-3</v>
      </c>
    </row>
    <row r="3479" spans="2:5" x14ac:dyDescent="0.3">
      <c r="B3479" s="4">
        <v>44531</v>
      </c>
      <c r="C3479" s="5">
        <v>3022.18</v>
      </c>
      <c r="D3479" s="6">
        <f t="shared" si="57"/>
        <v>105.22776801405976</v>
      </c>
      <c r="E3479" s="6">
        <v>-1.750630887735074E-3</v>
      </c>
    </row>
    <row r="3480" spans="2:5" x14ac:dyDescent="0.3">
      <c r="B3480" s="4">
        <v>38399</v>
      </c>
      <c r="C3480" s="7">
        <v>28.45</v>
      </c>
      <c r="D3480" s="6">
        <f t="shared" si="57"/>
        <v>-0.98833978163218472</v>
      </c>
      <c r="E3480" s="6">
        <v>-1.7543859649123057E-3</v>
      </c>
    </row>
    <row r="3481" spans="2:5" x14ac:dyDescent="0.3">
      <c r="B3481" s="4">
        <v>45609</v>
      </c>
      <c r="C3481" s="5">
        <v>2439.92</v>
      </c>
      <c r="D3481" s="6">
        <f t="shared" si="57"/>
        <v>8.7714056868241901</v>
      </c>
      <c r="E3481" s="6">
        <v>-1.7551683365995409E-3</v>
      </c>
    </row>
    <row r="3482" spans="2:5" x14ac:dyDescent="0.3">
      <c r="B3482" s="4">
        <v>40436</v>
      </c>
      <c r="C3482" s="7">
        <v>249.7</v>
      </c>
      <c r="D3482" s="6">
        <f t="shared" si="57"/>
        <v>-0.76938777395014635</v>
      </c>
      <c r="E3482" s="6">
        <v>-1.7590149516270798E-3</v>
      </c>
    </row>
    <row r="3483" spans="2:5" x14ac:dyDescent="0.3">
      <c r="B3483" s="4">
        <v>42864</v>
      </c>
      <c r="C3483" s="5">
        <v>1082.77</v>
      </c>
      <c r="D3483" s="6">
        <f t="shared" si="57"/>
        <v>-0.17251683212203195</v>
      </c>
      <c r="E3483" s="6">
        <v>-1.7608880038353079E-3</v>
      </c>
    </row>
    <row r="3484" spans="2:5" x14ac:dyDescent="0.3">
      <c r="B3484" s="4">
        <v>43469</v>
      </c>
      <c r="C3484" s="5">
        <v>1308.51</v>
      </c>
      <c r="D3484" s="6">
        <f t="shared" si="57"/>
        <v>-0.22534410798330526</v>
      </c>
      <c r="E3484" s="6">
        <v>-1.7698709977647265E-3</v>
      </c>
    </row>
    <row r="3485" spans="2:5" x14ac:dyDescent="0.3">
      <c r="B3485" s="4">
        <v>43853</v>
      </c>
      <c r="C3485" s="5">
        <v>1689.15</v>
      </c>
      <c r="D3485" s="6">
        <f t="shared" si="57"/>
        <v>-0.38441382376629474</v>
      </c>
      <c r="E3485" s="6">
        <v>-1.7728924740714476E-3</v>
      </c>
    </row>
    <row r="3486" spans="2:5" x14ac:dyDescent="0.3">
      <c r="B3486" s="4">
        <v>44988</v>
      </c>
      <c r="C3486" s="5">
        <v>2743.97</v>
      </c>
      <c r="D3486" s="6">
        <f t="shared" si="57"/>
        <v>53.368337626312659</v>
      </c>
      <c r="E3486" s="6">
        <v>-1.7789192610756194E-3</v>
      </c>
    </row>
    <row r="3487" spans="2:5" x14ac:dyDescent="0.3">
      <c r="B3487" s="4">
        <v>38831</v>
      </c>
      <c r="C3487" s="7">
        <v>50.47</v>
      </c>
      <c r="D3487" s="6">
        <f t="shared" si="57"/>
        <v>-0.9389957936469564</v>
      </c>
      <c r="E3487" s="6">
        <v>-1.7800632911393079E-3</v>
      </c>
    </row>
    <row r="3488" spans="2:5" x14ac:dyDescent="0.3">
      <c r="B3488" s="4">
        <v>42235</v>
      </c>
      <c r="C3488" s="7">
        <v>827.32</v>
      </c>
      <c r="D3488" s="6">
        <f t="shared" si="57"/>
        <v>8.1365103846706838E-2</v>
      </c>
      <c r="E3488" s="6">
        <v>-1.7857142857141705E-3</v>
      </c>
    </row>
    <row r="3489" spans="2:5" x14ac:dyDescent="0.3">
      <c r="B3489" s="4">
        <v>42067</v>
      </c>
      <c r="C3489" s="7">
        <v>765.07</v>
      </c>
      <c r="D3489" s="6">
        <f t="shared" si="57"/>
        <v>1.2119521221232799</v>
      </c>
      <c r="E3489" s="6">
        <v>-1.7874849955639117E-3</v>
      </c>
    </row>
    <row r="3490" spans="2:5" x14ac:dyDescent="0.3">
      <c r="B3490" s="4">
        <v>41074</v>
      </c>
      <c r="C3490" s="7">
        <v>345.88</v>
      </c>
      <c r="D3490" s="6">
        <f t="shared" si="57"/>
        <v>-0.89573291129700805</v>
      </c>
      <c r="E3490" s="6">
        <v>-1.8181293469163818E-3</v>
      </c>
    </row>
    <row r="3491" spans="2:5" x14ac:dyDescent="0.3">
      <c r="B3491" s="4">
        <v>44809</v>
      </c>
      <c r="C3491" s="5">
        <v>3317.25</v>
      </c>
      <c r="D3491" s="6">
        <f t="shared" si="57"/>
        <v>1.5750848076012451</v>
      </c>
      <c r="E3491" s="6">
        <v>-1.8204796437276747E-3</v>
      </c>
    </row>
    <row r="3492" spans="2:5" x14ac:dyDescent="0.3">
      <c r="B3492" s="4">
        <v>43613</v>
      </c>
      <c r="C3492" s="5">
        <v>1288.21</v>
      </c>
      <c r="D3492" s="6">
        <f t="shared" si="57"/>
        <v>77.693341478313997</v>
      </c>
      <c r="E3492" s="6">
        <v>-1.8286493564858165E-3</v>
      </c>
    </row>
    <row r="3493" spans="2:5" x14ac:dyDescent="0.3">
      <c r="B3493" s="4">
        <v>37607</v>
      </c>
      <c r="C3493" s="7">
        <v>16.37</v>
      </c>
      <c r="D3493" s="6">
        <f t="shared" si="57"/>
        <v>-0.98999468257412315</v>
      </c>
      <c r="E3493" s="6">
        <v>-1.8292682926827797E-3</v>
      </c>
    </row>
    <row r="3494" spans="2:5" x14ac:dyDescent="0.3">
      <c r="B3494" s="4">
        <v>43790</v>
      </c>
      <c r="C3494" s="5">
        <v>1636.13</v>
      </c>
      <c r="D3494" s="6">
        <f t="shared" si="57"/>
        <v>-0.28260364369806851</v>
      </c>
      <c r="E3494" s="6">
        <v>-1.830239212265043E-3</v>
      </c>
    </row>
    <row r="3495" spans="2:5" x14ac:dyDescent="0.3">
      <c r="B3495" s="4">
        <v>44263</v>
      </c>
      <c r="C3495" s="5">
        <v>2280.65</v>
      </c>
      <c r="D3495" s="6">
        <f t="shared" si="57"/>
        <v>27.107591816613265</v>
      </c>
      <c r="E3495" s="6">
        <v>-1.8425636581672559E-3</v>
      </c>
    </row>
    <row r="3496" spans="2:5" x14ac:dyDescent="0.3">
      <c r="B3496" s="4">
        <v>39371</v>
      </c>
      <c r="C3496" s="7">
        <v>81.14</v>
      </c>
      <c r="D3496" s="6">
        <f t="shared" si="57"/>
        <v>-0.65821398483572024</v>
      </c>
      <c r="E3496" s="6">
        <v>-1.845245417640616E-3</v>
      </c>
    </row>
    <row r="3497" spans="2:5" x14ac:dyDescent="0.3">
      <c r="B3497" s="4">
        <v>40528</v>
      </c>
      <c r="C3497" s="7">
        <v>237.4</v>
      </c>
      <c r="D3497" s="6">
        <f t="shared" si="57"/>
        <v>-0.91756400595872645</v>
      </c>
      <c r="E3497" s="6">
        <v>-1.8499831819710634E-3</v>
      </c>
    </row>
    <row r="3498" spans="2:5" x14ac:dyDescent="0.3">
      <c r="B3498" s="4">
        <v>44390</v>
      </c>
      <c r="C3498" s="5">
        <v>2879.81</v>
      </c>
      <c r="D3498" s="6">
        <f t="shared" si="57"/>
        <v>-0.13308869569405649</v>
      </c>
      <c r="E3498" s="6">
        <v>-1.8508569745074417E-3</v>
      </c>
    </row>
    <row r="3499" spans="2:5" x14ac:dyDescent="0.3">
      <c r="B3499" s="4">
        <v>45292</v>
      </c>
      <c r="C3499" s="5">
        <v>3321.92</v>
      </c>
      <c r="D3499" s="6">
        <f t="shared" si="57"/>
        <v>204.94668319900808</v>
      </c>
      <c r="E3499" s="6">
        <v>-1.8509170452632913E-3</v>
      </c>
    </row>
    <row r="3500" spans="2:5" x14ac:dyDescent="0.3">
      <c r="B3500" s="4">
        <v>37727</v>
      </c>
      <c r="C3500" s="7">
        <v>16.13</v>
      </c>
      <c r="D3500" s="6">
        <f t="shared" si="57"/>
        <v>-0.66597639262787323</v>
      </c>
      <c r="E3500" s="6">
        <v>-1.8564356435644268E-3</v>
      </c>
    </row>
    <row r="3501" spans="2:5" x14ac:dyDescent="0.3">
      <c r="B3501" s="4">
        <v>38742</v>
      </c>
      <c r="C3501" s="7">
        <v>48.29</v>
      </c>
      <c r="D3501" s="6">
        <f t="shared" si="57"/>
        <v>1.2533831077928137</v>
      </c>
      <c r="E3501" s="6">
        <v>-1.8602728400166062E-3</v>
      </c>
    </row>
    <row r="3502" spans="2:5" x14ac:dyDescent="0.3">
      <c r="B3502" s="4">
        <v>37922</v>
      </c>
      <c r="C3502" s="7">
        <v>21.43</v>
      </c>
      <c r="D3502" s="6">
        <f t="shared" si="57"/>
        <v>-0.99230714003661558</v>
      </c>
      <c r="E3502" s="6">
        <v>-1.8630647414997275E-3</v>
      </c>
    </row>
    <row r="3503" spans="2:5" x14ac:dyDescent="0.3">
      <c r="B3503" s="4">
        <v>46008</v>
      </c>
      <c r="C3503" s="5">
        <v>2785.7</v>
      </c>
      <c r="D3503" s="6">
        <f t="shared" si="57"/>
        <v>2.0369291854847156E-2</v>
      </c>
      <c r="E3503" s="6">
        <v>-1.8631982514602003E-3</v>
      </c>
    </row>
    <row r="3504" spans="2:5" x14ac:dyDescent="0.3">
      <c r="B3504" s="4">
        <v>44708</v>
      </c>
      <c r="C3504" s="5">
        <v>2730.09</v>
      </c>
      <c r="D3504" s="6">
        <f t="shared" si="57"/>
        <v>-0.17226355714831457</v>
      </c>
      <c r="E3504" s="6">
        <v>-1.8645871036381053E-3</v>
      </c>
    </row>
    <row r="3505" spans="2:5" x14ac:dyDescent="0.3">
      <c r="B3505" s="4">
        <v>44784</v>
      </c>
      <c r="C3505" s="5">
        <v>3298.26</v>
      </c>
      <c r="D3505" s="6">
        <f t="shared" si="57"/>
        <v>47.241333918385259</v>
      </c>
      <c r="E3505" s="6">
        <v>-1.8913545427309947E-3</v>
      </c>
    </row>
    <row r="3506" spans="2:5" x14ac:dyDescent="0.3">
      <c r="B3506" s="4">
        <v>39225</v>
      </c>
      <c r="C3506" s="7">
        <v>68.37</v>
      </c>
      <c r="D3506" s="6">
        <f t="shared" si="57"/>
        <v>-0.97871485943775105</v>
      </c>
      <c r="E3506" s="6">
        <v>-1.8978102189780358E-3</v>
      </c>
    </row>
    <row r="3507" spans="2:5" x14ac:dyDescent="0.3">
      <c r="B3507" s="4">
        <v>44823</v>
      </c>
      <c r="C3507" s="5">
        <v>3212.1</v>
      </c>
      <c r="D3507" s="6">
        <f t="shared" si="57"/>
        <v>2.2294096356470683</v>
      </c>
      <c r="E3507" s="6">
        <v>-1.8985709447177552E-3</v>
      </c>
    </row>
    <row r="3508" spans="2:5" x14ac:dyDescent="0.3">
      <c r="B3508" s="4">
        <v>42837</v>
      </c>
      <c r="C3508" s="7">
        <v>994.64</v>
      </c>
      <c r="D3508" s="6">
        <f t="shared" si="57"/>
        <v>37.006878104700036</v>
      </c>
      <c r="E3508" s="6">
        <v>-1.9065968250145276E-3</v>
      </c>
    </row>
    <row r="3509" spans="2:5" x14ac:dyDescent="0.3">
      <c r="B3509" s="4">
        <v>38013</v>
      </c>
      <c r="C3509" s="7">
        <v>26.17</v>
      </c>
      <c r="D3509" s="6">
        <f t="shared" si="57"/>
        <v>-0.96063063198591914</v>
      </c>
      <c r="E3509" s="6">
        <v>-1.9069412662088925E-3</v>
      </c>
    </row>
    <row r="3510" spans="2:5" x14ac:dyDescent="0.3">
      <c r="B3510" s="4">
        <v>41999</v>
      </c>
      <c r="C3510" s="7">
        <v>664.73</v>
      </c>
      <c r="D3510" s="6">
        <f t="shared" si="57"/>
        <v>8.8580750407830333</v>
      </c>
      <c r="E3510" s="6">
        <v>-1.9218930646686576E-3</v>
      </c>
    </row>
    <row r="3511" spans="2:5" x14ac:dyDescent="0.3">
      <c r="B3511" s="4">
        <v>39206</v>
      </c>
      <c r="C3511" s="7">
        <v>67.430000000000007</v>
      </c>
      <c r="D3511" s="6">
        <f t="shared" si="57"/>
        <v>-0.71086145534068002</v>
      </c>
      <c r="E3511" s="6">
        <v>-1.9242155121372919E-3</v>
      </c>
    </row>
    <row r="3512" spans="2:5" x14ac:dyDescent="0.3">
      <c r="B3512" s="4">
        <v>40498</v>
      </c>
      <c r="C3512" s="7">
        <v>233.21</v>
      </c>
      <c r="D3512" s="6">
        <f t="shared" si="57"/>
        <v>-0.7809288518984725</v>
      </c>
      <c r="E3512" s="6">
        <v>-1.9258752032867783E-3</v>
      </c>
    </row>
    <row r="3513" spans="2:5" x14ac:dyDescent="0.3">
      <c r="B3513" s="4">
        <v>43089</v>
      </c>
      <c r="C3513" s="5">
        <v>1064.54</v>
      </c>
      <c r="D3513" s="6">
        <f t="shared" si="57"/>
        <v>33.406593406593402</v>
      </c>
      <c r="E3513" s="6">
        <v>-1.9313707106693658E-3</v>
      </c>
    </row>
    <row r="3514" spans="2:5" x14ac:dyDescent="0.3">
      <c r="B3514" s="4">
        <v>38433</v>
      </c>
      <c r="C3514" s="7">
        <v>30.94</v>
      </c>
      <c r="D3514" s="6">
        <f t="shared" si="57"/>
        <v>-0.888809027528211</v>
      </c>
      <c r="E3514" s="6">
        <v>-1.9354838709677007E-3</v>
      </c>
    </row>
    <row r="3515" spans="2:5" x14ac:dyDescent="0.3">
      <c r="B3515" s="4">
        <v>40766</v>
      </c>
      <c r="C3515" s="7">
        <v>278.26</v>
      </c>
      <c r="D3515" s="6">
        <f t="shared" si="57"/>
        <v>-0.90711942027243997</v>
      </c>
      <c r="E3515" s="6">
        <v>-1.9368723098996429E-3</v>
      </c>
    </row>
    <row r="3516" spans="2:5" x14ac:dyDescent="0.3">
      <c r="B3516" s="4">
        <v>44589</v>
      </c>
      <c r="C3516" s="5">
        <v>2995.89</v>
      </c>
      <c r="D3516" s="6">
        <f t="shared" si="57"/>
        <v>24.729045001717623</v>
      </c>
      <c r="E3516" s="6">
        <v>-1.9555194286020017E-3</v>
      </c>
    </row>
    <row r="3517" spans="2:5" x14ac:dyDescent="0.3">
      <c r="B3517" s="4">
        <v>40043</v>
      </c>
      <c r="C3517" s="7">
        <v>116.44</v>
      </c>
      <c r="D3517" s="6">
        <f t="shared" si="57"/>
        <v>-0.93084607252728979</v>
      </c>
      <c r="E3517" s="6">
        <v>-1.9713722465072767E-3</v>
      </c>
    </row>
    <row r="3518" spans="2:5" x14ac:dyDescent="0.3">
      <c r="B3518" s="4">
        <v>43782</v>
      </c>
      <c r="C3518" s="5">
        <v>1683.78</v>
      </c>
      <c r="D3518" s="6">
        <f t="shared" si="57"/>
        <v>65.843191742755053</v>
      </c>
      <c r="E3518" s="6">
        <v>-1.9737894980172764E-3</v>
      </c>
    </row>
    <row r="3519" spans="2:5" x14ac:dyDescent="0.3">
      <c r="B3519" s="4">
        <v>38369</v>
      </c>
      <c r="C3519" s="7">
        <v>25.19</v>
      </c>
      <c r="D3519" s="6">
        <f t="shared" si="57"/>
        <v>-0.9679100104461259</v>
      </c>
      <c r="E3519" s="6">
        <v>-1.9809825673532946E-3</v>
      </c>
    </row>
    <row r="3520" spans="2:5" x14ac:dyDescent="0.3">
      <c r="B3520" s="4">
        <v>42283</v>
      </c>
      <c r="C3520" s="7">
        <v>784.98</v>
      </c>
      <c r="D3520" s="6">
        <f t="shared" si="57"/>
        <v>30.224343675417661</v>
      </c>
      <c r="E3520" s="6">
        <v>-1.9833702036767941E-3</v>
      </c>
    </row>
    <row r="3521" spans="2:5" x14ac:dyDescent="0.3">
      <c r="B3521" s="4">
        <v>38370</v>
      </c>
      <c r="C3521" s="7">
        <v>25.14</v>
      </c>
      <c r="D3521" s="6">
        <f t="shared" si="57"/>
        <v>-0.98755852048340631</v>
      </c>
      <c r="E3521" s="6">
        <v>-1.9849146486701354E-3</v>
      </c>
    </row>
    <row r="3522" spans="2:5" x14ac:dyDescent="0.3">
      <c r="B3522" s="4">
        <v>44125</v>
      </c>
      <c r="C3522" s="5">
        <v>2020.66</v>
      </c>
      <c r="D3522" s="6">
        <f t="shared" si="57"/>
        <v>0.88276620327233435</v>
      </c>
      <c r="E3522" s="6">
        <v>-1.9854989430428422E-3</v>
      </c>
    </row>
    <row r="3523" spans="2:5" x14ac:dyDescent="0.3">
      <c r="B3523" s="4">
        <v>42955</v>
      </c>
      <c r="C3523" s="5">
        <v>1073.24</v>
      </c>
      <c r="D3523" s="6">
        <f t="shared" si="57"/>
        <v>18.645615961925682</v>
      </c>
      <c r="E3523" s="6">
        <v>-1.9992746817434517E-3</v>
      </c>
    </row>
    <row r="3524" spans="2:5" x14ac:dyDescent="0.3">
      <c r="B3524" s="4">
        <v>38981</v>
      </c>
      <c r="C3524" s="7">
        <v>54.63</v>
      </c>
      <c r="D3524" s="6">
        <f t="shared" si="57"/>
        <v>-0.88411607483772436</v>
      </c>
      <c r="E3524" s="6">
        <v>-2.0094994519546843E-3</v>
      </c>
    </row>
    <row r="3525" spans="2:5" x14ac:dyDescent="0.3">
      <c r="B3525" s="4">
        <v>41570</v>
      </c>
      <c r="C3525" s="7">
        <v>471.42</v>
      </c>
      <c r="D3525" s="6">
        <f t="shared" si="57"/>
        <v>-0.80463161733623978</v>
      </c>
      <c r="E3525" s="6">
        <v>-2.0111353388233559E-3</v>
      </c>
    </row>
    <row r="3526" spans="2:5" x14ac:dyDescent="0.3">
      <c r="B3526" s="4">
        <v>44176</v>
      </c>
      <c r="C3526" s="5">
        <v>2412.98</v>
      </c>
      <c r="D3526" s="6">
        <f t="shared" si="57"/>
        <v>1.625772612518499</v>
      </c>
      <c r="E3526" s="6">
        <v>-2.0183137154343549E-3</v>
      </c>
    </row>
    <row r="3527" spans="2:5" x14ac:dyDescent="0.3">
      <c r="B3527" s="4">
        <v>42768</v>
      </c>
      <c r="C3527" s="7">
        <v>918.96</v>
      </c>
      <c r="D3527" s="6">
        <f t="shared" si="57"/>
        <v>14.512491559756921</v>
      </c>
      <c r="E3527" s="6">
        <v>-2.0199387502443621E-3</v>
      </c>
    </row>
    <row r="3528" spans="2:5" x14ac:dyDescent="0.3">
      <c r="B3528" s="4">
        <v>39072</v>
      </c>
      <c r="C3528" s="7">
        <v>59.24</v>
      </c>
      <c r="D3528" s="6">
        <f t="shared" ref="D3528:D3591" si="58">((C3528-C3529)/C3529)</f>
        <v>6.7567567567566129E-4</v>
      </c>
      <c r="E3528" s="6">
        <v>-2.021563342318016E-3</v>
      </c>
    </row>
    <row r="3529" spans="2:5" x14ac:dyDescent="0.3">
      <c r="B3529" s="4">
        <v>39078</v>
      </c>
      <c r="C3529" s="7">
        <v>59.2</v>
      </c>
      <c r="D3529" s="6">
        <f t="shared" si="58"/>
        <v>-0.97531471651537205</v>
      </c>
      <c r="E3529" s="6">
        <v>-2.0229265003371111E-3</v>
      </c>
    </row>
    <row r="3530" spans="2:5" x14ac:dyDescent="0.3">
      <c r="B3530" s="4">
        <v>44238</v>
      </c>
      <c r="C3530" s="5">
        <v>2398.19</v>
      </c>
      <c r="D3530" s="6">
        <f t="shared" si="58"/>
        <v>10.359907157406091</v>
      </c>
      <c r="E3530" s="6">
        <v>-2.0307356839376752E-3</v>
      </c>
    </row>
    <row r="3531" spans="2:5" x14ac:dyDescent="0.3">
      <c r="B3531" s="4">
        <v>40599</v>
      </c>
      <c r="C3531" s="7">
        <v>211.11</v>
      </c>
      <c r="D3531" s="6">
        <f t="shared" si="58"/>
        <v>7.6097063621533447</v>
      </c>
      <c r="E3531" s="6">
        <v>-2.0327124893636116E-3</v>
      </c>
    </row>
    <row r="3532" spans="2:5" x14ac:dyDescent="0.3">
      <c r="B3532" s="4">
        <v>38034</v>
      </c>
      <c r="C3532" s="7">
        <v>24.52</v>
      </c>
      <c r="D3532" s="6">
        <f t="shared" si="58"/>
        <v>-0.54279321275405557</v>
      </c>
      <c r="E3532" s="6">
        <v>-2.0350020350020639E-3</v>
      </c>
    </row>
    <row r="3533" spans="2:5" x14ac:dyDescent="0.3">
      <c r="B3533" s="4">
        <v>38800</v>
      </c>
      <c r="C3533" s="7">
        <v>53.63</v>
      </c>
      <c r="D3533" s="6">
        <f t="shared" si="58"/>
        <v>-0.7554714572314426</v>
      </c>
      <c r="E3533" s="6">
        <v>-2.0468924451060556E-3</v>
      </c>
    </row>
    <row r="3534" spans="2:5" x14ac:dyDescent="0.3">
      <c r="B3534" s="4">
        <v>40610</v>
      </c>
      <c r="C3534" s="7">
        <v>219.32</v>
      </c>
      <c r="D3534" s="6">
        <f t="shared" si="58"/>
        <v>-0.87111711817594173</v>
      </c>
      <c r="E3534" s="6">
        <v>-2.0475952131774901E-3</v>
      </c>
    </row>
    <row r="3535" spans="2:5" x14ac:dyDescent="0.3">
      <c r="B3535" s="4">
        <v>43765</v>
      </c>
      <c r="C3535" s="5">
        <v>1701.7</v>
      </c>
      <c r="D3535" s="6">
        <f t="shared" si="58"/>
        <v>0.56747694886839883</v>
      </c>
      <c r="E3535" s="6">
        <v>-2.0583974994282175E-3</v>
      </c>
    </row>
    <row r="3536" spans="2:5" x14ac:dyDescent="0.3">
      <c r="B3536" s="4">
        <v>43019</v>
      </c>
      <c r="C3536" s="5">
        <v>1085.6300000000001</v>
      </c>
      <c r="D3536" s="6">
        <f t="shared" si="58"/>
        <v>-0.4342789548832216</v>
      </c>
      <c r="E3536" s="6">
        <v>-2.0590695579433037E-3</v>
      </c>
    </row>
    <row r="3537" spans="2:5" x14ac:dyDescent="0.3">
      <c r="B3537" s="4">
        <v>44091</v>
      </c>
      <c r="C3537" s="5">
        <v>1919.02</v>
      </c>
      <c r="D3537" s="6">
        <f t="shared" si="58"/>
        <v>78.429635761589395</v>
      </c>
      <c r="E3537" s="6">
        <v>-2.0644933150978568E-3</v>
      </c>
    </row>
    <row r="3538" spans="2:5" x14ac:dyDescent="0.3">
      <c r="B3538" s="4">
        <v>38225</v>
      </c>
      <c r="C3538" s="7">
        <v>24.16</v>
      </c>
      <c r="D3538" s="6">
        <f t="shared" si="58"/>
        <v>-0.96696203916420531</v>
      </c>
      <c r="E3538" s="6">
        <v>-2.0652622883106449E-3</v>
      </c>
    </row>
    <row r="3539" spans="2:5" x14ac:dyDescent="0.3">
      <c r="B3539" s="4">
        <v>42195</v>
      </c>
      <c r="C3539" s="7">
        <v>731.28</v>
      </c>
      <c r="D3539" s="6">
        <f t="shared" si="58"/>
        <v>-0.44296585187498572</v>
      </c>
      <c r="E3539" s="6">
        <v>-2.0742358078602373E-3</v>
      </c>
    </row>
    <row r="3540" spans="2:5" x14ac:dyDescent="0.3">
      <c r="B3540" s="4">
        <v>43495</v>
      </c>
      <c r="C3540" s="5">
        <v>1312.81</v>
      </c>
      <c r="D3540" s="6">
        <f t="shared" si="58"/>
        <v>0.37706379675666596</v>
      </c>
      <c r="E3540" s="6">
        <v>-2.0827790657899805E-3</v>
      </c>
    </row>
    <row r="3541" spans="2:5" x14ac:dyDescent="0.3">
      <c r="B3541" s="4">
        <v>42571</v>
      </c>
      <c r="C3541" s="7">
        <v>953.34</v>
      </c>
      <c r="D3541" s="6">
        <f t="shared" si="58"/>
        <v>0.10062573599020999</v>
      </c>
      <c r="E3541" s="6">
        <v>-2.083049836182271E-3</v>
      </c>
    </row>
    <row r="3542" spans="2:5" x14ac:dyDescent="0.3">
      <c r="B3542" s="4">
        <v>42711</v>
      </c>
      <c r="C3542" s="7">
        <v>866.18</v>
      </c>
      <c r="D3542" s="6">
        <f t="shared" si="58"/>
        <v>-0.7233968494231181</v>
      </c>
      <c r="E3542" s="6">
        <v>-2.0852774801553694E-3</v>
      </c>
    </row>
    <row r="3543" spans="2:5" x14ac:dyDescent="0.3">
      <c r="B3543" s="4">
        <v>44613</v>
      </c>
      <c r="C3543" s="5">
        <v>3131.49</v>
      </c>
      <c r="D3543" s="6">
        <f t="shared" si="58"/>
        <v>2.3771798328390399</v>
      </c>
      <c r="E3543" s="6">
        <v>-2.0872901556386095E-3</v>
      </c>
    </row>
    <row r="3544" spans="2:5" x14ac:dyDescent="0.3">
      <c r="B3544" s="4">
        <v>42555</v>
      </c>
      <c r="C3544" s="7">
        <v>927.25</v>
      </c>
      <c r="D3544" s="6">
        <f t="shared" si="58"/>
        <v>7.8208713850837137</v>
      </c>
      <c r="E3544" s="6">
        <v>-2.0878399466202333E-3</v>
      </c>
    </row>
    <row r="3545" spans="2:5" x14ac:dyDescent="0.3">
      <c r="B3545" s="4">
        <v>39668</v>
      </c>
      <c r="C3545" s="7">
        <v>105.12</v>
      </c>
      <c r="D3545" s="6">
        <f t="shared" si="58"/>
        <v>1.2000837170364169</v>
      </c>
      <c r="E3545" s="6">
        <v>-2.0884754129485367E-3</v>
      </c>
    </row>
    <row r="3546" spans="2:5" x14ac:dyDescent="0.3">
      <c r="B3546" s="4">
        <v>38737</v>
      </c>
      <c r="C3546" s="7">
        <v>47.78</v>
      </c>
      <c r="D3546" s="6">
        <f t="shared" si="58"/>
        <v>-0.88872845831392644</v>
      </c>
      <c r="E3546" s="6">
        <v>-2.0885547201336969E-3</v>
      </c>
    </row>
    <row r="3547" spans="2:5" x14ac:dyDescent="0.3">
      <c r="B3547" s="4">
        <v>41703</v>
      </c>
      <c r="C3547" s="7">
        <v>429.4</v>
      </c>
      <c r="D3547" s="6">
        <f t="shared" si="58"/>
        <v>4.6263102725366876</v>
      </c>
      <c r="E3547" s="6">
        <v>-2.0915640250988477E-3</v>
      </c>
    </row>
    <row r="3548" spans="2:5" x14ac:dyDescent="0.3">
      <c r="B3548" s="4">
        <v>39778</v>
      </c>
      <c r="C3548" s="7">
        <v>76.319999999999993</v>
      </c>
      <c r="D3548" s="6">
        <f t="shared" si="58"/>
        <v>-0.97242694875574431</v>
      </c>
      <c r="E3548" s="6">
        <v>-2.0920502092051621E-3</v>
      </c>
    </row>
    <row r="3549" spans="2:5" x14ac:dyDescent="0.3">
      <c r="B3549" s="4">
        <v>44994</v>
      </c>
      <c r="C3549" s="5">
        <v>2767.92</v>
      </c>
      <c r="D3549" s="6">
        <f t="shared" si="58"/>
        <v>5.002472187886279</v>
      </c>
      <c r="E3549" s="6">
        <v>-2.0982500162234777E-3</v>
      </c>
    </row>
    <row r="3550" spans="2:5" x14ac:dyDescent="0.3">
      <c r="B3550" s="4">
        <v>41485</v>
      </c>
      <c r="C3550" s="7">
        <v>461.13</v>
      </c>
      <c r="D3550" s="6">
        <f t="shared" si="58"/>
        <v>23.321202531645568</v>
      </c>
      <c r="E3550" s="6">
        <v>-2.0991127461588992E-3</v>
      </c>
    </row>
    <row r="3551" spans="2:5" x14ac:dyDescent="0.3">
      <c r="B3551" s="4">
        <v>37791</v>
      </c>
      <c r="C3551" s="7">
        <v>18.96</v>
      </c>
      <c r="D3551" s="6">
        <f t="shared" si="58"/>
        <v>-0.63636363636363635</v>
      </c>
      <c r="E3551" s="6">
        <v>-2.1052631578946921E-3</v>
      </c>
    </row>
    <row r="3552" spans="2:5" x14ac:dyDescent="0.3">
      <c r="B3552" s="4">
        <v>38810</v>
      </c>
      <c r="C3552" s="7">
        <v>52.14</v>
      </c>
      <c r="D3552" s="6">
        <f t="shared" si="58"/>
        <v>-0.9806548557647714</v>
      </c>
      <c r="E3552" s="6">
        <v>-2.105263157894726E-3</v>
      </c>
    </row>
    <row r="3553" spans="2:5" x14ac:dyDescent="0.3">
      <c r="B3553" s="4">
        <v>44335</v>
      </c>
      <c r="C3553" s="5">
        <v>2695.25</v>
      </c>
      <c r="D3553" s="6">
        <f t="shared" si="58"/>
        <v>1.299034409812853</v>
      </c>
      <c r="E3553" s="6">
        <v>-2.1103685740201847E-3</v>
      </c>
    </row>
    <row r="3554" spans="2:5" x14ac:dyDescent="0.3">
      <c r="B3554" s="4">
        <v>42997</v>
      </c>
      <c r="C3554" s="5">
        <v>1172.3399999999999</v>
      </c>
      <c r="D3554" s="6">
        <f t="shared" si="58"/>
        <v>61.028571428571425</v>
      </c>
      <c r="E3554" s="6">
        <v>-2.1109616792359836E-3</v>
      </c>
    </row>
    <row r="3555" spans="2:5" x14ac:dyDescent="0.3">
      <c r="B3555" s="4">
        <v>37797</v>
      </c>
      <c r="C3555" s="7">
        <v>18.899999999999999</v>
      </c>
      <c r="D3555" s="6">
        <f t="shared" si="58"/>
        <v>-0.99431243680485337</v>
      </c>
      <c r="E3555" s="6">
        <v>-2.1119324181627613E-3</v>
      </c>
    </row>
    <row r="3556" spans="2:5" x14ac:dyDescent="0.3">
      <c r="B3556" s="4">
        <v>45288</v>
      </c>
      <c r="C3556" s="5">
        <v>3323.04</v>
      </c>
      <c r="D3556" s="6">
        <f t="shared" si="58"/>
        <v>14.028899642711771</v>
      </c>
      <c r="E3556" s="6">
        <v>-2.1170598992820561E-3</v>
      </c>
    </row>
    <row r="3557" spans="2:5" x14ac:dyDescent="0.3">
      <c r="B3557" s="4">
        <v>40634</v>
      </c>
      <c r="C3557" s="7">
        <v>221.11</v>
      </c>
      <c r="D3557" s="6">
        <f t="shared" si="58"/>
        <v>-0.87078431716311055</v>
      </c>
      <c r="E3557" s="6">
        <v>-2.1211300658904183E-3</v>
      </c>
    </row>
    <row r="3558" spans="2:5" x14ac:dyDescent="0.3">
      <c r="B3558" s="4">
        <v>43819</v>
      </c>
      <c r="C3558" s="5">
        <v>1711.17</v>
      </c>
      <c r="D3558" s="6">
        <f t="shared" si="58"/>
        <v>72.283511777301925</v>
      </c>
      <c r="E3558" s="6">
        <v>-2.1343223526529478E-3</v>
      </c>
    </row>
    <row r="3559" spans="2:5" x14ac:dyDescent="0.3">
      <c r="B3559" s="4">
        <v>37945</v>
      </c>
      <c r="C3559" s="7">
        <v>23.35</v>
      </c>
      <c r="D3559" s="6">
        <f t="shared" si="58"/>
        <v>-0.94106809348341824</v>
      </c>
      <c r="E3559" s="6">
        <v>-2.1367521367520155E-3</v>
      </c>
    </row>
    <row r="3560" spans="2:5" x14ac:dyDescent="0.3">
      <c r="B3560" s="4">
        <v>41275</v>
      </c>
      <c r="C3560" s="7">
        <v>396.22</v>
      </c>
      <c r="D3560" s="6">
        <f t="shared" si="58"/>
        <v>-0.86036496401812834</v>
      </c>
      <c r="E3560" s="6">
        <v>-2.1406804845492378E-3</v>
      </c>
    </row>
    <row r="3561" spans="2:5" x14ac:dyDescent="0.3">
      <c r="B3561" s="4">
        <v>44361</v>
      </c>
      <c r="C3561" s="5">
        <v>2837.54</v>
      </c>
      <c r="D3561" s="6">
        <f t="shared" si="58"/>
        <v>-0.12198306804960772</v>
      </c>
      <c r="E3561" s="6">
        <v>-2.1486469853885417E-3</v>
      </c>
    </row>
    <row r="3562" spans="2:5" x14ac:dyDescent="0.3">
      <c r="B3562" s="4">
        <v>45096</v>
      </c>
      <c r="C3562" s="5">
        <v>3231.76</v>
      </c>
      <c r="D3562" s="6">
        <f t="shared" si="58"/>
        <v>139.38922675933972</v>
      </c>
      <c r="E3562" s="6">
        <v>-2.1582400617521516E-3</v>
      </c>
    </row>
    <row r="3563" spans="2:5" x14ac:dyDescent="0.3">
      <c r="B3563" s="4">
        <v>38289</v>
      </c>
      <c r="C3563" s="7">
        <v>23.02</v>
      </c>
      <c r="D3563" s="6">
        <f t="shared" si="58"/>
        <v>-0.99053492866247272</v>
      </c>
      <c r="E3563" s="6">
        <v>-2.1673168617252149E-3</v>
      </c>
    </row>
    <row r="3564" spans="2:5" x14ac:dyDescent="0.3">
      <c r="B3564" s="4">
        <v>46071</v>
      </c>
      <c r="C3564" s="5">
        <v>2432.1</v>
      </c>
      <c r="D3564" s="6">
        <f t="shared" si="58"/>
        <v>34.355429568251196</v>
      </c>
      <c r="E3564" s="6">
        <v>-2.1744481824896127E-3</v>
      </c>
    </row>
    <row r="3565" spans="2:5" x14ac:dyDescent="0.3">
      <c r="B3565" s="4">
        <v>39230</v>
      </c>
      <c r="C3565" s="7">
        <v>68.790000000000006</v>
      </c>
      <c r="D3565" s="6">
        <f t="shared" si="58"/>
        <v>-0.88138019037108561</v>
      </c>
      <c r="E3565" s="6">
        <v>-2.1758050478675873E-3</v>
      </c>
    </row>
    <row r="3566" spans="2:5" x14ac:dyDescent="0.3">
      <c r="B3566" s="4">
        <v>41848</v>
      </c>
      <c r="C3566" s="7">
        <v>579.91999999999996</v>
      </c>
      <c r="D3566" s="6">
        <f t="shared" si="58"/>
        <v>-0.79280801729219885</v>
      </c>
      <c r="E3566" s="6">
        <v>-2.1851718026808711E-3</v>
      </c>
    </row>
    <row r="3567" spans="2:5" x14ac:dyDescent="0.3">
      <c r="B3567" s="4">
        <v>45407</v>
      </c>
      <c r="C3567" s="5">
        <v>2798.95</v>
      </c>
      <c r="D3567" s="6">
        <f t="shared" si="58"/>
        <v>2.4571156839010895</v>
      </c>
      <c r="E3567" s="6">
        <v>-2.1959923140270109E-3</v>
      </c>
    </row>
    <row r="3568" spans="2:5" x14ac:dyDescent="0.3">
      <c r="B3568" s="4">
        <v>42368</v>
      </c>
      <c r="C3568" s="7">
        <v>809.62</v>
      </c>
      <c r="D3568" s="6">
        <f t="shared" si="58"/>
        <v>-0.71920174245997615</v>
      </c>
      <c r="E3568" s="6">
        <v>-2.206036405762763E-3</v>
      </c>
    </row>
    <row r="3569" spans="2:5" x14ac:dyDescent="0.3">
      <c r="B3569" s="4">
        <v>44406</v>
      </c>
      <c r="C3569" s="5">
        <v>2883.28</v>
      </c>
      <c r="D3569" s="6">
        <f t="shared" si="58"/>
        <v>48.70315462851233</v>
      </c>
      <c r="E3569" s="6">
        <v>-2.2113251686178255E-3</v>
      </c>
    </row>
    <row r="3570" spans="2:5" x14ac:dyDescent="0.3">
      <c r="B3570" s="4">
        <v>39049</v>
      </c>
      <c r="C3570" s="7">
        <v>58.01</v>
      </c>
      <c r="D3570" s="6">
        <f t="shared" si="58"/>
        <v>-0.97559097526698024</v>
      </c>
      <c r="E3570" s="6">
        <v>-2.2359821121431468E-3</v>
      </c>
    </row>
    <row r="3571" spans="2:5" x14ac:dyDescent="0.3">
      <c r="B3571" s="4">
        <v>45642</v>
      </c>
      <c r="C3571" s="5">
        <v>2376.58</v>
      </c>
      <c r="D3571" s="6">
        <f t="shared" si="58"/>
        <v>-0.11041155883288736</v>
      </c>
      <c r="E3571" s="6">
        <v>-2.2418888963525833E-3</v>
      </c>
    </row>
    <row r="3572" spans="2:5" x14ac:dyDescent="0.3">
      <c r="B3572" s="4">
        <v>44963</v>
      </c>
      <c r="C3572" s="5">
        <v>2671.55</v>
      </c>
      <c r="D3572" s="6">
        <f t="shared" si="58"/>
        <v>4.8113810880772663</v>
      </c>
      <c r="E3572" s="6">
        <v>-2.2483072337978025E-3</v>
      </c>
    </row>
    <row r="3573" spans="2:5" x14ac:dyDescent="0.3">
      <c r="B3573" s="4">
        <v>41600</v>
      </c>
      <c r="C3573" s="7">
        <v>459.71</v>
      </c>
      <c r="D3573" s="6">
        <f t="shared" si="58"/>
        <v>-0.85000375227175584</v>
      </c>
      <c r="E3573" s="6">
        <v>-2.2571893651655356E-3</v>
      </c>
    </row>
    <row r="3574" spans="2:5" x14ac:dyDescent="0.3">
      <c r="B3574" s="4">
        <v>45251</v>
      </c>
      <c r="C3574" s="5">
        <v>3064.81</v>
      </c>
      <c r="D3574" s="6">
        <f t="shared" si="58"/>
        <v>-2.3336222610291779E-2</v>
      </c>
      <c r="E3574" s="6">
        <v>-2.2625465531162176E-3</v>
      </c>
    </row>
    <row r="3575" spans="2:5" x14ac:dyDescent="0.3">
      <c r="B3575" s="4">
        <v>44610</v>
      </c>
      <c r="C3575" s="5">
        <v>3138.04</v>
      </c>
      <c r="D3575" s="6">
        <f t="shared" si="58"/>
        <v>0.8295902423097552</v>
      </c>
      <c r="E3575" s="6">
        <v>-2.2637958005315758E-3</v>
      </c>
    </row>
    <row r="3576" spans="2:5" x14ac:dyDescent="0.3">
      <c r="B3576" s="4">
        <v>43823</v>
      </c>
      <c r="C3576" s="5">
        <v>1715.16</v>
      </c>
      <c r="D3576" s="6">
        <f t="shared" si="58"/>
        <v>1.1165669155303264</v>
      </c>
      <c r="E3576" s="6">
        <v>-2.2686817214058051E-3</v>
      </c>
    </row>
    <row r="3577" spans="2:5" x14ac:dyDescent="0.3">
      <c r="B3577" s="4">
        <v>42361</v>
      </c>
      <c r="C3577" s="7">
        <v>810.35</v>
      </c>
      <c r="D3577" s="6">
        <f t="shared" si="58"/>
        <v>-0.63290388047801549</v>
      </c>
      <c r="E3577" s="6">
        <v>-2.2777640975129559E-3</v>
      </c>
    </row>
    <row r="3578" spans="2:5" x14ac:dyDescent="0.3">
      <c r="B3578" s="4">
        <v>45702</v>
      </c>
      <c r="C3578" s="5">
        <v>2207.46</v>
      </c>
      <c r="D3578" s="6">
        <f t="shared" si="58"/>
        <v>4.539839887569955</v>
      </c>
      <c r="E3578" s="6">
        <v>-2.2779661016948988E-3</v>
      </c>
    </row>
    <row r="3579" spans="2:5" x14ac:dyDescent="0.3">
      <c r="B3579" s="4">
        <v>41533</v>
      </c>
      <c r="C3579" s="7">
        <v>398.47</v>
      </c>
      <c r="D3579" s="6">
        <f t="shared" si="58"/>
        <v>1.2262137549583776</v>
      </c>
      <c r="E3579" s="6">
        <v>-2.2785317241723877E-3</v>
      </c>
    </row>
    <row r="3580" spans="2:5" x14ac:dyDescent="0.3">
      <c r="B3580" s="4">
        <v>40295</v>
      </c>
      <c r="C3580" s="7">
        <v>178.99</v>
      </c>
      <c r="D3580" s="6">
        <f t="shared" si="58"/>
        <v>-0.12602539062500001</v>
      </c>
      <c r="E3580" s="6">
        <v>-2.285395763656614E-3</v>
      </c>
    </row>
    <row r="3581" spans="2:5" x14ac:dyDescent="0.3">
      <c r="B3581" s="4">
        <v>40358</v>
      </c>
      <c r="C3581" s="7">
        <v>204.8</v>
      </c>
      <c r="D3581" s="6">
        <f t="shared" si="58"/>
        <v>-0.93207026481982691</v>
      </c>
      <c r="E3581" s="6">
        <v>-2.289667267501334E-3</v>
      </c>
    </row>
    <row r="3582" spans="2:5" x14ac:dyDescent="0.3">
      <c r="B3582" s="4">
        <v>44890</v>
      </c>
      <c r="C3582" s="5">
        <v>3014.88</v>
      </c>
      <c r="D3582" s="6">
        <f t="shared" si="58"/>
        <v>1.3353240536332582</v>
      </c>
      <c r="E3582" s="6">
        <v>-2.2966291837369711E-3</v>
      </c>
    </row>
    <row r="3583" spans="2:5" x14ac:dyDescent="0.3">
      <c r="B3583" s="4">
        <v>43642</v>
      </c>
      <c r="C3583" s="5">
        <v>1290.99</v>
      </c>
      <c r="D3583" s="6">
        <f t="shared" si="58"/>
        <v>4.5409674234945703</v>
      </c>
      <c r="E3583" s="6">
        <v>-2.3107003199431281E-3</v>
      </c>
    </row>
    <row r="3584" spans="2:5" x14ac:dyDescent="0.3">
      <c r="B3584" s="4">
        <v>40659</v>
      </c>
      <c r="C3584" s="7">
        <v>232.99</v>
      </c>
      <c r="D3584" s="6">
        <f t="shared" si="58"/>
        <v>1.3753384621997748E-3</v>
      </c>
      <c r="E3584" s="6">
        <v>-2.312336744743682E-3</v>
      </c>
    </row>
    <row r="3585" spans="2:5" x14ac:dyDescent="0.3">
      <c r="B3585" s="4">
        <v>40500</v>
      </c>
      <c r="C3585" s="7">
        <v>232.67</v>
      </c>
      <c r="D3585" s="6">
        <f t="shared" si="58"/>
        <v>3.5038714672861015</v>
      </c>
      <c r="E3585" s="6">
        <v>-2.315509626516961E-3</v>
      </c>
    </row>
    <row r="3586" spans="2:5" x14ac:dyDescent="0.3">
      <c r="B3586" s="4">
        <v>38938</v>
      </c>
      <c r="C3586" s="7">
        <v>51.66</v>
      </c>
      <c r="D3586" s="6">
        <f t="shared" si="58"/>
        <v>-0.92712961787482551</v>
      </c>
      <c r="E3586" s="6">
        <v>-2.3174971031287087E-3</v>
      </c>
    </row>
    <row r="3587" spans="2:5" x14ac:dyDescent="0.3">
      <c r="B3587" s="4">
        <v>42146</v>
      </c>
      <c r="C3587" s="7">
        <v>708.93</v>
      </c>
      <c r="D3587" s="6">
        <f t="shared" si="58"/>
        <v>12.754947613504074</v>
      </c>
      <c r="E3587" s="6">
        <v>-2.3220467786879604E-3</v>
      </c>
    </row>
    <row r="3588" spans="2:5" x14ac:dyDescent="0.3">
      <c r="B3588" s="4">
        <v>38840</v>
      </c>
      <c r="C3588" s="7">
        <v>51.54</v>
      </c>
      <c r="D3588" s="6">
        <f t="shared" si="58"/>
        <v>-0.96541171733440712</v>
      </c>
      <c r="E3588" s="6">
        <v>-2.32288037166081E-3</v>
      </c>
    </row>
    <row r="3589" spans="2:5" x14ac:dyDescent="0.3">
      <c r="B3589" s="4">
        <v>43691</v>
      </c>
      <c r="C3589" s="5">
        <v>1490.1</v>
      </c>
      <c r="D3589" s="6">
        <f t="shared" si="58"/>
        <v>0.93003134471414139</v>
      </c>
      <c r="E3589" s="6">
        <v>-2.3232925139096442E-3</v>
      </c>
    </row>
    <row r="3590" spans="2:5" x14ac:dyDescent="0.3">
      <c r="B3590" s="4">
        <v>42278</v>
      </c>
      <c r="C3590" s="7">
        <v>772.06</v>
      </c>
      <c r="D3590" s="6">
        <f t="shared" si="58"/>
        <v>-0.60228513733489941</v>
      </c>
      <c r="E3590" s="6">
        <v>-2.3260021192464636E-3</v>
      </c>
    </row>
    <row r="3591" spans="2:5" x14ac:dyDescent="0.3">
      <c r="B3591" s="4">
        <v>44088</v>
      </c>
      <c r="C3591" s="5">
        <v>1941.24</v>
      </c>
      <c r="D3591" s="6">
        <f t="shared" si="58"/>
        <v>-0.3120683239718624</v>
      </c>
      <c r="E3591" s="6">
        <v>-2.3332545303168723E-3</v>
      </c>
    </row>
    <row r="3592" spans="2:5" x14ac:dyDescent="0.3">
      <c r="B3592" s="4">
        <v>44939</v>
      </c>
      <c r="C3592" s="5">
        <v>2821.85</v>
      </c>
      <c r="D3592" s="6">
        <f t="shared" ref="D3592:D3655" si="59">((C3592-C3593)/C3593)</f>
        <v>109.01364522417154</v>
      </c>
      <c r="E3592" s="6">
        <v>-2.3334335059838106E-3</v>
      </c>
    </row>
    <row r="3593" spans="2:5" x14ac:dyDescent="0.3">
      <c r="B3593" s="4">
        <v>38336</v>
      </c>
      <c r="C3593" s="7">
        <v>25.65</v>
      </c>
      <c r="D3593" s="6">
        <f t="shared" si="59"/>
        <v>-0.99084229467460683</v>
      </c>
      <c r="E3593" s="6">
        <v>-2.3337222870479296E-3</v>
      </c>
    </row>
    <row r="3594" spans="2:5" x14ac:dyDescent="0.3">
      <c r="B3594" s="4">
        <v>44355</v>
      </c>
      <c r="C3594" s="5">
        <v>2800.92</v>
      </c>
      <c r="D3594" s="6">
        <f t="shared" si="59"/>
        <v>40.063187215950748</v>
      </c>
      <c r="E3594" s="6">
        <v>-2.3366150426717006E-3</v>
      </c>
    </row>
    <row r="3595" spans="2:5" x14ac:dyDescent="0.3">
      <c r="B3595" s="4">
        <v>39864</v>
      </c>
      <c r="C3595" s="7">
        <v>68.209999999999994</v>
      </c>
      <c r="D3595" s="6">
        <f t="shared" si="59"/>
        <v>3.0005865102639291</v>
      </c>
      <c r="E3595" s="6">
        <v>-2.3402076934329499E-3</v>
      </c>
    </row>
    <row r="3596" spans="2:5" x14ac:dyDescent="0.3">
      <c r="B3596" s="4">
        <v>37453</v>
      </c>
      <c r="C3596" s="7">
        <v>17.05</v>
      </c>
      <c r="D3596" s="6">
        <f t="shared" si="59"/>
        <v>-0.99228768517471433</v>
      </c>
      <c r="E3596" s="6">
        <v>-2.3405500292568255E-3</v>
      </c>
    </row>
    <row r="3597" spans="2:5" x14ac:dyDescent="0.3">
      <c r="B3597" s="4">
        <v>45821</v>
      </c>
      <c r="C3597" s="5">
        <v>2210.75</v>
      </c>
      <c r="D3597" s="6">
        <f t="shared" si="59"/>
        <v>33.722004083555831</v>
      </c>
      <c r="E3597" s="6">
        <v>-2.342121176566177E-3</v>
      </c>
    </row>
    <row r="3598" spans="2:5" x14ac:dyDescent="0.3">
      <c r="B3598" s="4">
        <v>39892</v>
      </c>
      <c r="C3598" s="7">
        <v>63.67</v>
      </c>
      <c r="D3598" s="6">
        <f t="shared" si="59"/>
        <v>-0.98146363617837062</v>
      </c>
      <c r="E3598" s="6">
        <v>-2.3503603885928954E-3</v>
      </c>
    </row>
    <row r="3599" spans="2:5" x14ac:dyDescent="0.3">
      <c r="B3599" s="4">
        <v>45128</v>
      </c>
      <c r="C3599" s="5">
        <v>3434.87</v>
      </c>
      <c r="D3599" s="6">
        <f t="shared" si="59"/>
        <v>2.1825274022737169</v>
      </c>
      <c r="E3599" s="6">
        <v>-2.3526199763575953E-3</v>
      </c>
    </row>
    <row r="3600" spans="2:5" x14ac:dyDescent="0.3">
      <c r="B3600" s="4">
        <v>42891</v>
      </c>
      <c r="C3600" s="5">
        <v>1079.29</v>
      </c>
      <c r="D3600" s="6">
        <f t="shared" si="59"/>
        <v>10.093534792887244</v>
      </c>
      <c r="E3600" s="6">
        <v>-2.3570953190859599E-3</v>
      </c>
    </row>
    <row r="3601" spans="2:5" x14ac:dyDescent="0.3">
      <c r="B3601" s="4">
        <v>39989</v>
      </c>
      <c r="C3601" s="7">
        <v>97.29</v>
      </c>
      <c r="D3601" s="6">
        <f t="shared" si="59"/>
        <v>-0.9171739185956429</v>
      </c>
      <c r="E3601" s="6">
        <v>-2.3584905660376312E-3</v>
      </c>
    </row>
    <row r="3602" spans="2:5" x14ac:dyDescent="0.3">
      <c r="B3602" s="4">
        <v>43409</v>
      </c>
      <c r="C3602" s="5">
        <v>1174.6300000000001</v>
      </c>
      <c r="D3602" s="6">
        <f t="shared" si="59"/>
        <v>68.587085308056871</v>
      </c>
      <c r="E3602" s="6">
        <v>-2.3611146499519899E-3</v>
      </c>
    </row>
    <row r="3603" spans="2:5" x14ac:dyDescent="0.3">
      <c r="B3603" s="4">
        <v>37553</v>
      </c>
      <c r="C3603" s="7">
        <v>16.88</v>
      </c>
      <c r="D3603" s="6">
        <f t="shared" si="59"/>
        <v>-0.99411354442739575</v>
      </c>
      <c r="E3603" s="6">
        <v>-2.3640661938535874E-3</v>
      </c>
    </row>
    <row r="3604" spans="2:5" x14ac:dyDescent="0.3">
      <c r="B3604" s="4">
        <v>45992</v>
      </c>
      <c r="C3604" s="5">
        <v>2867.6</v>
      </c>
      <c r="D3604" s="6">
        <f t="shared" si="59"/>
        <v>1.2241871432117151</v>
      </c>
      <c r="E3604" s="6">
        <v>-2.3657111049263085E-3</v>
      </c>
    </row>
    <row r="3605" spans="2:5" x14ac:dyDescent="0.3">
      <c r="B3605" s="4">
        <v>43644</v>
      </c>
      <c r="C3605" s="5">
        <v>1289.28</v>
      </c>
      <c r="D3605" s="6">
        <f t="shared" si="59"/>
        <v>1.8293539325842694</v>
      </c>
      <c r="E3605" s="6">
        <v>-2.3832368689838184E-3</v>
      </c>
    </row>
    <row r="3606" spans="2:5" x14ac:dyDescent="0.3">
      <c r="B3606" s="4">
        <v>41607</v>
      </c>
      <c r="C3606" s="7">
        <v>455.68</v>
      </c>
      <c r="D3606" s="6">
        <f t="shared" si="59"/>
        <v>-0.84103372730697856</v>
      </c>
      <c r="E3606" s="6">
        <v>-2.3863213433456118E-3</v>
      </c>
    </row>
    <row r="3607" spans="2:5" x14ac:dyDescent="0.3">
      <c r="B3607" s="4">
        <v>45454</v>
      </c>
      <c r="C3607" s="5">
        <v>2866.52</v>
      </c>
      <c r="D3607" s="6">
        <f t="shared" si="59"/>
        <v>113.98275170477338</v>
      </c>
      <c r="E3607" s="6">
        <v>-2.3909041237005386E-3</v>
      </c>
    </row>
    <row r="3608" spans="2:5" x14ac:dyDescent="0.3">
      <c r="B3608" s="4">
        <v>37973</v>
      </c>
      <c r="C3608" s="7">
        <v>24.93</v>
      </c>
      <c r="D3608" s="6">
        <f t="shared" si="59"/>
        <v>-0.68419052444894857</v>
      </c>
      <c r="E3608" s="6">
        <v>-2.4009603841536106E-3</v>
      </c>
    </row>
    <row r="3609" spans="2:5" x14ac:dyDescent="0.3">
      <c r="B3609" s="4">
        <v>39330</v>
      </c>
      <c r="C3609" s="7">
        <v>78.94</v>
      </c>
      <c r="D3609" s="6">
        <f t="shared" si="59"/>
        <v>-0.97632103090804379</v>
      </c>
      <c r="E3609" s="6">
        <v>-2.401112094022466E-3</v>
      </c>
    </row>
    <row r="3610" spans="2:5" x14ac:dyDescent="0.3">
      <c r="B3610" s="4">
        <v>44813</v>
      </c>
      <c r="C3610" s="5">
        <v>3333.76</v>
      </c>
      <c r="D3610" s="6">
        <f t="shared" si="59"/>
        <v>4.5924086641033462E-3</v>
      </c>
      <c r="E3610" s="6">
        <v>-2.4058890418337314E-3</v>
      </c>
    </row>
    <row r="3611" spans="2:5" x14ac:dyDescent="0.3">
      <c r="B3611" s="4">
        <v>45120</v>
      </c>
      <c r="C3611" s="5">
        <v>3318.52</v>
      </c>
      <c r="D3611" s="6">
        <f t="shared" si="59"/>
        <v>8.907804382874545</v>
      </c>
      <c r="E3611" s="6">
        <v>-2.407914553603971E-3</v>
      </c>
    </row>
    <row r="3612" spans="2:5" x14ac:dyDescent="0.3">
      <c r="B3612" s="4">
        <v>41127</v>
      </c>
      <c r="C3612" s="7">
        <v>334.94</v>
      </c>
      <c r="D3612" s="6">
        <f t="shared" si="59"/>
        <v>0.59040835707502382</v>
      </c>
      <c r="E3612" s="6">
        <v>-2.4125093075204832E-3</v>
      </c>
    </row>
    <row r="3613" spans="2:5" x14ac:dyDescent="0.3">
      <c r="B3613" s="4">
        <v>40602</v>
      </c>
      <c r="C3613" s="7">
        <v>210.6</v>
      </c>
      <c r="D3613" s="6">
        <f t="shared" si="59"/>
        <v>-0.80898132443243143</v>
      </c>
      <c r="E3613" s="6">
        <v>-2.4158021884326621E-3</v>
      </c>
    </row>
    <row r="3614" spans="2:5" x14ac:dyDescent="0.3">
      <c r="B3614" s="4">
        <v>43207</v>
      </c>
      <c r="C3614" s="5">
        <v>1102.51</v>
      </c>
      <c r="D3614" s="6">
        <f t="shared" si="59"/>
        <v>3.8643723803220826</v>
      </c>
      <c r="E3614" s="6">
        <v>-2.4158960531316821E-3</v>
      </c>
    </row>
    <row r="3615" spans="2:5" x14ac:dyDescent="0.3">
      <c r="B3615" s="4">
        <v>40394</v>
      </c>
      <c r="C3615" s="7">
        <v>226.65</v>
      </c>
      <c r="D3615" s="6">
        <f t="shared" si="59"/>
        <v>5.8827816580625569</v>
      </c>
      <c r="E3615" s="6">
        <v>-2.4207746478872492E-3</v>
      </c>
    </row>
    <row r="3616" spans="2:5" x14ac:dyDescent="0.3">
      <c r="B3616" s="4">
        <v>38533</v>
      </c>
      <c r="C3616" s="7">
        <v>32.93</v>
      </c>
      <c r="D3616" s="6">
        <f t="shared" si="59"/>
        <v>0.33698741372310193</v>
      </c>
      <c r="E3616" s="6">
        <v>-2.4235080278702907E-3</v>
      </c>
    </row>
    <row r="3617" spans="2:5" x14ac:dyDescent="0.3">
      <c r="B3617" s="4">
        <v>38231</v>
      </c>
      <c r="C3617" s="7">
        <v>24.63</v>
      </c>
      <c r="D3617" s="6">
        <f t="shared" si="59"/>
        <v>0.5009140767824497</v>
      </c>
      <c r="E3617" s="6">
        <v>-2.4301336573512465E-3</v>
      </c>
    </row>
    <row r="3618" spans="2:5" x14ac:dyDescent="0.3">
      <c r="B3618" s="4">
        <v>37482</v>
      </c>
      <c r="C3618" s="7">
        <v>16.41</v>
      </c>
      <c r="D3618" s="6">
        <f t="shared" si="59"/>
        <v>6.0975609756107102E-4</v>
      </c>
      <c r="E3618" s="6">
        <v>-2.4316109422491882E-3</v>
      </c>
    </row>
    <row r="3619" spans="2:5" x14ac:dyDescent="0.3">
      <c r="B3619" s="4">
        <v>37600</v>
      </c>
      <c r="C3619" s="7">
        <v>16.399999999999999</v>
      </c>
      <c r="D3619" s="6">
        <f t="shared" si="59"/>
        <v>-0.33197556008146645</v>
      </c>
      <c r="E3619" s="6">
        <v>-2.4330900243310642E-3</v>
      </c>
    </row>
    <row r="3620" spans="2:5" x14ac:dyDescent="0.3">
      <c r="B3620" s="4">
        <v>38029</v>
      </c>
      <c r="C3620" s="7">
        <v>24.55</v>
      </c>
      <c r="D3620" s="6">
        <f t="shared" si="59"/>
        <v>-0.98893909971930982</v>
      </c>
      <c r="E3620" s="6">
        <v>-2.4380333197886518E-3</v>
      </c>
    </row>
    <row r="3621" spans="2:5" x14ac:dyDescent="0.3">
      <c r="B3621" s="4">
        <v>45813</v>
      </c>
      <c r="C3621" s="5">
        <v>2219.5300000000002</v>
      </c>
      <c r="D3621" s="6">
        <f t="shared" si="59"/>
        <v>107.85384992643453</v>
      </c>
      <c r="E3621" s="6">
        <v>-2.4449767862036792E-3</v>
      </c>
    </row>
    <row r="3622" spans="2:5" x14ac:dyDescent="0.3">
      <c r="B3622" s="4">
        <v>37839</v>
      </c>
      <c r="C3622" s="7">
        <v>20.39</v>
      </c>
      <c r="D3622" s="6">
        <f t="shared" si="59"/>
        <v>-0.79980363279332345</v>
      </c>
      <c r="E3622" s="6">
        <v>-2.4461839530333027E-3</v>
      </c>
    </row>
    <row r="3623" spans="2:5" x14ac:dyDescent="0.3">
      <c r="B3623" s="4">
        <v>39699</v>
      </c>
      <c r="C3623" s="7">
        <v>101.85</v>
      </c>
      <c r="D3623" s="6">
        <f t="shared" si="59"/>
        <v>4.0024557956777995</v>
      </c>
      <c r="E3623" s="6">
        <v>-2.4485798237022529E-3</v>
      </c>
    </row>
    <row r="3624" spans="2:5" x14ac:dyDescent="0.3">
      <c r="B3624" s="4">
        <v>37837</v>
      </c>
      <c r="C3624" s="7">
        <v>20.36</v>
      </c>
      <c r="D3624" s="6">
        <f t="shared" si="59"/>
        <v>-0.99290189201532575</v>
      </c>
      <c r="E3624" s="6">
        <v>-2.4497795198432488E-3</v>
      </c>
    </row>
    <row r="3625" spans="2:5" x14ac:dyDescent="0.3">
      <c r="B3625" s="4">
        <v>44396</v>
      </c>
      <c r="C3625" s="5">
        <v>2868.37</v>
      </c>
      <c r="D3625" s="6">
        <f t="shared" si="59"/>
        <v>116.84593262119967</v>
      </c>
      <c r="E3625" s="6">
        <v>-2.4587541384971218E-3</v>
      </c>
    </row>
    <row r="3626" spans="2:5" x14ac:dyDescent="0.3">
      <c r="B3626" s="4">
        <v>38222</v>
      </c>
      <c r="C3626" s="7">
        <v>24.34</v>
      </c>
      <c r="D3626" s="6">
        <f t="shared" si="59"/>
        <v>-0.99114542028331742</v>
      </c>
      <c r="E3626" s="6">
        <v>-2.4590163934425707E-3</v>
      </c>
    </row>
    <row r="3627" spans="2:5" x14ac:dyDescent="0.3">
      <c r="B3627" s="4">
        <v>44987</v>
      </c>
      <c r="C3627" s="5">
        <v>2748.86</v>
      </c>
      <c r="D3627" s="6">
        <f t="shared" si="59"/>
        <v>5.023446401963362</v>
      </c>
      <c r="E3627" s="6">
        <v>-2.4640284506377672E-3</v>
      </c>
    </row>
    <row r="3628" spans="2:5" x14ac:dyDescent="0.3">
      <c r="B3628" s="4">
        <v>41767</v>
      </c>
      <c r="C3628" s="7">
        <v>456.36</v>
      </c>
      <c r="D3628" s="6">
        <f t="shared" si="59"/>
        <v>3.5408955223880598</v>
      </c>
      <c r="E3628" s="6">
        <v>-2.4699993442479518E-3</v>
      </c>
    </row>
    <row r="3629" spans="2:5" x14ac:dyDescent="0.3">
      <c r="B3629" s="4">
        <v>39722</v>
      </c>
      <c r="C3629" s="7">
        <v>100.5</v>
      </c>
      <c r="D3629" s="6">
        <f t="shared" si="59"/>
        <v>3.1683948569058482</v>
      </c>
      <c r="E3629" s="6">
        <v>-2.4813895781637717E-3</v>
      </c>
    </row>
    <row r="3630" spans="2:5" x14ac:dyDescent="0.3">
      <c r="B3630" s="4">
        <v>38062</v>
      </c>
      <c r="C3630" s="7">
        <v>24.11</v>
      </c>
      <c r="D3630" s="6">
        <f t="shared" si="59"/>
        <v>-0.9914049716410408</v>
      </c>
      <c r="E3630" s="6">
        <v>-2.4824162184527211E-3</v>
      </c>
    </row>
    <row r="3631" spans="2:5" x14ac:dyDescent="0.3">
      <c r="B3631" s="4">
        <v>45406</v>
      </c>
      <c r="C3631" s="5">
        <v>2805.11</v>
      </c>
      <c r="D3631" s="6">
        <f t="shared" si="59"/>
        <v>15.667320261437908</v>
      </c>
      <c r="E3631" s="6">
        <v>-2.4856868532412723E-3</v>
      </c>
    </row>
    <row r="3632" spans="2:5" x14ac:dyDescent="0.3">
      <c r="B3632" s="4">
        <v>40247</v>
      </c>
      <c r="C3632" s="7">
        <v>168.3</v>
      </c>
      <c r="D3632" s="6">
        <f t="shared" si="59"/>
        <v>-0.93873517067151047</v>
      </c>
      <c r="E3632" s="6">
        <v>-2.4893314366997835E-3</v>
      </c>
    </row>
    <row r="3633" spans="2:5" x14ac:dyDescent="0.3">
      <c r="B3633" s="4">
        <v>44713</v>
      </c>
      <c r="C3633" s="5">
        <v>2747.09</v>
      </c>
      <c r="D3633" s="6">
        <f t="shared" si="59"/>
        <v>45.427074531012337</v>
      </c>
      <c r="E3633" s="6">
        <v>-2.4982116726034254E-3</v>
      </c>
    </row>
    <row r="3634" spans="2:5" x14ac:dyDescent="0.3">
      <c r="B3634" s="4">
        <v>39037</v>
      </c>
      <c r="C3634" s="7">
        <v>59.17</v>
      </c>
      <c r="D3634" s="6">
        <f t="shared" si="59"/>
        <v>-0.84672969822561839</v>
      </c>
      <c r="E3634" s="6">
        <v>-2.5286581254214189E-3</v>
      </c>
    </row>
    <row r="3635" spans="2:5" x14ac:dyDescent="0.3">
      <c r="B3635" s="4">
        <v>41256</v>
      </c>
      <c r="C3635" s="7">
        <v>386.05</v>
      </c>
      <c r="D3635" s="6">
        <f t="shared" si="59"/>
        <v>3.9234791480678486</v>
      </c>
      <c r="E3635" s="6">
        <v>-2.5321034545124706E-3</v>
      </c>
    </row>
    <row r="3636" spans="2:5" x14ac:dyDescent="0.3">
      <c r="B3636" s="4">
        <v>39332</v>
      </c>
      <c r="C3636" s="7">
        <v>78.41</v>
      </c>
      <c r="D3636" s="6">
        <f t="shared" si="59"/>
        <v>-0.97412894285337215</v>
      </c>
      <c r="E3636" s="6">
        <v>-2.5442055718102384E-3</v>
      </c>
    </row>
    <row r="3637" spans="2:5" x14ac:dyDescent="0.3">
      <c r="B3637" s="4">
        <v>44586</v>
      </c>
      <c r="C3637" s="5">
        <v>3030.8</v>
      </c>
      <c r="D3637" s="6">
        <f t="shared" si="59"/>
        <v>-3.9155948527570136E-2</v>
      </c>
      <c r="E3637" s="6">
        <v>-2.5505586546214474E-3</v>
      </c>
    </row>
    <row r="3638" spans="2:5" x14ac:dyDescent="0.3">
      <c r="B3638" s="4">
        <v>45272</v>
      </c>
      <c r="C3638" s="5">
        <v>3154.31</v>
      </c>
      <c r="D3638" s="6">
        <f t="shared" si="59"/>
        <v>-2.3689037889810349E-3</v>
      </c>
      <c r="E3638" s="6">
        <v>-2.5518754861845079E-3</v>
      </c>
    </row>
    <row r="3639" spans="2:5" x14ac:dyDescent="0.3">
      <c r="B3639" s="4">
        <v>45177</v>
      </c>
      <c r="C3639" s="5">
        <v>3161.8</v>
      </c>
      <c r="D3639" s="6">
        <f t="shared" si="59"/>
        <v>134.58319039451115</v>
      </c>
      <c r="E3639" s="6">
        <v>-2.5584322583289978E-3</v>
      </c>
    </row>
    <row r="3640" spans="2:5" x14ac:dyDescent="0.3">
      <c r="B3640" s="4">
        <v>38097</v>
      </c>
      <c r="C3640" s="7">
        <v>23.32</v>
      </c>
      <c r="D3640" s="6">
        <f t="shared" si="59"/>
        <v>8.5836909871242798E-4</v>
      </c>
      <c r="E3640" s="6">
        <v>-2.5662959794695776E-3</v>
      </c>
    </row>
    <row r="3641" spans="2:5" x14ac:dyDescent="0.3">
      <c r="B3641" s="4">
        <v>38082</v>
      </c>
      <c r="C3641" s="7">
        <v>23.3</v>
      </c>
      <c r="D3641" s="6">
        <f t="shared" si="59"/>
        <v>-0.98586250834294042</v>
      </c>
      <c r="E3641" s="6">
        <v>-2.5684931506848767E-3</v>
      </c>
    </row>
    <row r="3642" spans="2:5" x14ac:dyDescent="0.3">
      <c r="B3642" s="4">
        <v>43942</v>
      </c>
      <c r="C3642" s="5">
        <v>1648.1</v>
      </c>
      <c r="D3642" s="6">
        <f t="shared" si="59"/>
        <v>0.51261506832970805</v>
      </c>
      <c r="E3642" s="6">
        <v>-2.5720942899506763E-3</v>
      </c>
    </row>
    <row r="3643" spans="2:5" x14ac:dyDescent="0.3">
      <c r="B3643" s="4">
        <v>43203</v>
      </c>
      <c r="C3643" s="5">
        <v>1089.57</v>
      </c>
      <c r="D3643" s="6">
        <f t="shared" si="59"/>
        <v>69.340219496449322</v>
      </c>
      <c r="E3643" s="6">
        <v>-2.5723649279556313E-3</v>
      </c>
    </row>
    <row r="3644" spans="2:5" x14ac:dyDescent="0.3">
      <c r="B3644" s="4">
        <v>37685</v>
      </c>
      <c r="C3644" s="7">
        <v>15.49</v>
      </c>
      <c r="D3644" s="6">
        <f t="shared" si="59"/>
        <v>-0.98282609900770557</v>
      </c>
      <c r="E3644" s="6">
        <v>-2.5756600128782454E-3</v>
      </c>
    </row>
    <row r="3645" spans="2:5" x14ac:dyDescent="0.3">
      <c r="B3645" s="4">
        <v>42766</v>
      </c>
      <c r="C3645" s="7">
        <v>901.95</v>
      </c>
      <c r="D3645" s="6">
        <f t="shared" si="59"/>
        <v>6.2138825051875875E-3</v>
      </c>
      <c r="E3645" s="6">
        <v>-2.5766355553588794E-3</v>
      </c>
    </row>
    <row r="3646" spans="2:5" x14ac:dyDescent="0.3">
      <c r="B3646" s="4">
        <v>42758</v>
      </c>
      <c r="C3646" s="7">
        <v>896.38</v>
      </c>
      <c r="D3646" s="6">
        <f t="shared" si="59"/>
        <v>-0.45069706161718293</v>
      </c>
      <c r="E3646" s="6">
        <v>-2.5815066206743629E-3</v>
      </c>
    </row>
    <row r="3647" spans="2:5" x14ac:dyDescent="0.3">
      <c r="B3647" s="4">
        <v>43804</v>
      </c>
      <c r="C3647" s="5">
        <v>1631.85</v>
      </c>
      <c r="D3647" s="6">
        <f t="shared" si="59"/>
        <v>0.13928160016755683</v>
      </c>
      <c r="E3647" s="6">
        <v>-2.5854481443450309E-3</v>
      </c>
    </row>
    <row r="3648" spans="2:5" x14ac:dyDescent="0.3">
      <c r="B3648" s="4">
        <v>43971</v>
      </c>
      <c r="C3648" s="5">
        <v>1432.35</v>
      </c>
      <c r="D3648" s="6">
        <f t="shared" si="59"/>
        <v>-0.5098602827196107</v>
      </c>
      <c r="E3648" s="6">
        <v>-2.5904029747853708E-3</v>
      </c>
    </row>
    <row r="3649" spans="2:5" x14ac:dyDescent="0.3">
      <c r="B3649" s="4">
        <v>44433</v>
      </c>
      <c r="C3649" s="5">
        <v>2922.33</v>
      </c>
      <c r="D3649" s="6">
        <f t="shared" si="59"/>
        <v>125.78221258134489</v>
      </c>
      <c r="E3649" s="6">
        <v>-2.5939186260422295E-3</v>
      </c>
    </row>
    <row r="3650" spans="2:5" x14ac:dyDescent="0.3">
      <c r="B3650" s="4">
        <v>38078</v>
      </c>
      <c r="C3650" s="7">
        <v>23.05</v>
      </c>
      <c r="D3650" s="6">
        <f t="shared" si="59"/>
        <v>-0.92489410231345714</v>
      </c>
      <c r="E3650" s="6">
        <v>-2.5962786672435621E-3</v>
      </c>
    </row>
    <row r="3651" spans="2:5" x14ac:dyDescent="0.3">
      <c r="B3651" s="4">
        <v>41023</v>
      </c>
      <c r="C3651" s="7">
        <v>306.89999999999998</v>
      </c>
      <c r="D3651" s="6">
        <f t="shared" si="59"/>
        <v>3.7346497994446159</v>
      </c>
      <c r="E3651" s="6">
        <v>-2.5999350016249964E-3</v>
      </c>
    </row>
    <row r="3652" spans="2:5" x14ac:dyDescent="0.3">
      <c r="B3652" s="4">
        <v>39897</v>
      </c>
      <c r="C3652" s="7">
        <v>64.819999999999993</v>
      </c>
      <c r="D3652" s="6">
        <f t="shared" si="59"/>
        <v>-0.97778889513288281</v>
      </c>
      <c r="E3652" s="6">
        <v>-2.6157870441606665E-3</v>
      </c>
    </row>
    <row r="3653" spans="2:5" x14ac:dyDescent="0.3">
      <c r="B3653" s="4">
        <v>44537</v>
      </c>
      <c r="C3653" s="5">
        <v>2918.36</v>
      </c>
      <c r="D3653" s="6">
        <f t="shared" si="59"/>
        <v>5.3757384057657072E-2</v>
      </c>
      <c r="E3653" s="6">
        <v>-2.6178905133935702E-3</v>
      </c>
    </row>
    <row r="3654" spans="2:5" x14ac:dyDescent="0.3">
      <c r="B3654" s="4">
        <v>45005</v>
      </c>
      <c r="C3654" s="5">
        <v>2769.48</v>
      </c>
      <c r="D3654" s="6">
        <f t="shared" si="59"/>
        <v>3.698493485342019</v>
      </c>
      <c r="E3654" s="6">
        <v>-2.6181687224272917E-3</v>
      </c>
    </row>
    <row r="3655" spans="2:5" x14ac:dyDescent="0.3">
      <c r="B3655" s="4">
        <v>41942</v>
      </c>
      <c r="C3655" s="7">
        <v>589.44000000000005</v>
      </c>
      <c r="D3655" s="6">
        <f t="shared" si="59"/>
        <v>-0.62227249133285056</v>
      </c>
      <c r="E3655" s="6">
        <v>-2.6227178124840597E-3</v>
      </c>
    </row>
    <row r="3656" spans="2:5" x14ac:dyDescent="0.3">
      <c r="B3656" s="4">
        <v>43990</v>
      </c>
      <c r="C3656" s="5">
        <v>1560.49</v>
      </c>
      <c r="D3656" s="6">
        <f t="shared" ref="D3656:D3719" si="60">((C3656-C3657)/C3657)</f>
        <v>14.260023469587326</v>
      </c>
      <c r="E3656" s="6">
        <v>-2.6268694874088585E-3</v>
      </c>
    </row>
    <row r="3657" spans="2:5" x14ac:dyDescent="0.3">
      <c r="B3657" s="4">
        <v>39995</v>
      </c>
      <c r="C3657" s="7">
        <v>102.26</v>
      </c>
      <c r="D3657" s="6">
        <f t="shared" si="60"/>
        <v>-0.96828567086691819</v>
      </c>
      <c r="E3657" s="6">
        <v>-2.6333755973860918E-3</v>
      </c>
    </row>
    <row r="3658" spans="2:5" x14ac:dyDescent="0.3">
      <c r="B3658" s="4">
        <v>44840</v>
      </c>
      <c r="C3658" s="5">
        <v>3224.41</v>
      </c>
      <c r="D3658" s="6">
        <f t="shared" si="60"/>
        <v>0.37483317770358715</v>
      </c>
      <c r="E3658" s="6">
        <v>-2.6353802897062361E-3</v>
      </c>
    </row>
    <row r="3659" spans="2:5" x14ac:dyDescent="0.3">
      <c r="B3659" s="4">
        <v>44243</v>
      </c>
      <c r="C3659" s="5">
        <v>2345.31</v>
      </c>
      <c r="D3659" s="6">
        <f t="shared" si="60"/>
        <v>123.8169238956892</v>
      </c>
      <c r="E3659" s="6">
        <v>-2.6450863905628482E-3</v>
      </c>
    </row>
    <row r="3660" spans="2:5" x14ac:dyDescent="0.3">
      <c r="B3660" s="4">
        <v>37799</v>
      </c>
      <c r="C3660" s="7">
        <v>18.79</v>
      </c>
      <c r="D3660" s="6">
        <f t="shared" si="60"/>
        <v>-0.98833853620391121</v>
      </c>
      <c r="E3660" s="6">
        <v>-2.6539278131635195E-3</v>
      </c>
    </row>
    <row r="3661" spans="2:5" x14ac:dyDescent="0.3">
      <c r="B3661" s="4">
        <v>44012</v>
      </c>
      <c r="C3661" s="5">
        <v>1611.29</v>
      </c>
      <c r="D3661" s="6">
        <f t="shared" si="60"/>
        <v>-0.48336881661130426</v>
      </c>
      <c r="E3661" s="6">
        <v>-2.6615663627528982E-3</v>
      </c>
    </row>
    <row r="3662" spans="2:5" x14ac:dyDescent="0.3">
      <c r="B3662" s="4">
        <v>45154</v>
      </c>
      <c r="C3662" s="5">
        <v>3118.84</v>
      </c>
      <c r="D3662" s="6">
        <f t="shared" si="60"/>
        <v>2.0145952947089643</v>
      </c>
      <c r="E3662" s="6">
        <v>-2.6701287737553232E-3</v>
      </c>
    </row>
    <row r="3663" spans="2:5" x14ac:dyDescent="0.3">
      <c r="B3663" s="4">
        <v>43180</v>
      </c>
      <c r="C3663" s="5">
        <v>1034.58</v>
      </c>
      <c r="D3663" s="6">
        <f t="shared" si="60"/>
        <v>-4.5784065964472244E-2</v>
      </c>
      <c r="E3663" s="6">
        <v>-2.6702655805658478E-3</v>
      </c>
    </row>
    <row r="3664" spans="2:5" x14ac:dyDescent="0.3">
      <c r="B3664" s="4">
        <v>43066</v>
      </c>
      <c r="C3664" s="5">
        <v>1084.22</v>
      </c>
      <c r="D3664" s="6">
        <f t="shared" si="60"/>
        <v>21.41050020669698</v>
      </c>
      <c r="E3664" s="6">
        <v>-2.6767727870632596E-3</v>
      </c>
    </row>
    <row r="3665" spans="2:5" x14ac:dyDescent="0.3">
      <c r="B3665" s="4">
        <v>38741</v>
      </c>
      <c r="C3665" s="7">
        <v>48.38</v>
      </c>
      <c r="D3665" s="6">
        <f t="shared" si="60"/>
        <v>-0.53570057581573893</v>
      </c>
      <c r="E3665" s="6">
        <v>-2.6798598227168718E-3</v>
      </c>
    </row>
    <row r="3666" spans="2:5" x14ac:dyDescent="0.3">
      <c r="B3666" s="4">
        <v>39596</v>
      </c>
      <c r="C3666" s="7">
        <v>104.2</v>
      </c>
      <c r="D3666" s="6">
        <f t="shared" si="60"/>
        <v>-0.7404150369945941</v>
      </c>
      <c r="E3666" s="6">
        <v>-2.6799387442572849E-3</v>
      </c>
    </row>
    <row r="3667" spans="2:5" x14ac:dyDescent="0.3">
      <c r="B3667" s="4">
        <v>41528</v>
      </c>
      <c r="C3667" s="7">
        <v>401.41</v>
      </c>
      <c r="D3667" s="6">
        <f t="shared" si="60"/>
        <v>17.000448430493275</v>
      </c>
      <c r="E3667" s="6">
        <v>-2.6832964794155979E-3</v>
      </c>
    </row>
    <row r="3668" spans="2:5" x14ac:dyDescent="0.3">
      <c r="B3668" s="4">
        <v>38128</v>
      </c>
      <c r="C3668" s="7">
        <v>22.3</v>
      </c>
      <c r="D3668" s="6">
        <f t="shared" si="60"/>
        <v>-0.71406590588536989</v>
      </c>
      <c r="E3668" s="6">
        <v>-2.6833631484793705E-3</v>
      </c>
    </row>
    <row r="3669" spans="2:5" x14ac:dyDescent="0.3">
      <c r="B3669" s="4">
        <v>39344</v>
      </c>
      <c r="C3669" s="7">
        <v>77.989999999999995</v>
      </c>
      <c r="D3669" s="6">
        <f t="shared" si="60"/>
        <v>0.91904527559055105</v>
      </c>
      <c r="E3669" s="6">
        <v>-2.6854219948850119E-3</v>
      </c>
    </row>
    <row r="3670" spans="2:5" x14ac:dyDescent="0.3">
      <c r="B3670" s="4">
        <v>38673</v>
      </c>
      <c r="C3670" s="7">
        <v>40.64</v>
      </c>
      <c r="D3670" s="6">
        <f t="shared" si="60"/>
        <v>-0.97886624475426287</v>
      </c>
      <c r="E3670" s="6">
        <v>-2.6993865030674707E-3</v>
      </c>
    </row>
    <row r="3671" spans="2:5" x14ac:dyDescent="0.3">
      <c r="B3671" s="4">
        <v>44090</v>
      </c>
      <c r="C3671" s="5">
        <v>1922.99</v>
      </c>
      <c r="D3671" s="6">
        <f t="shared" si="60"/>
        <v>7.0174692516155934</v>
      </c>
      <c r="E3671" s="6">
        <v>-2.702001867026261E-3</v>
      </c>
    </row>
    <row r="3672" spans="2:5" x14ac:dyDescent="0.3">
      <c r="B3672" s="4">
        <v>40416</v>
      </c>
      <c r="C3672" s="7">
        <v>239.85</v>
      </c>
      <c r="D3672" s="6">
        <f t="shared" si="60"/>
        <v>3.3396055726433866</v>
      </c>
      <c r="E3672" s="6">
        <v>-2.7027027027027263E-3</v>
      </c>
    </row>
    <row r="3673" spans="2:5" x14ac:dyDescent="0.3">
      <c r="B3673" s="4">
        <v>38999</v>
      </c>
      <c r="C3673" s="7">
        <v>55.27</v>
      </c>
      <c r="D3673" s="6">
        <f t="shared" si="60"/>
        <v>0.25101856043458587</v>
      </c>
      <c r="E3673" s="6">
        <v>-2.7066041140382277E-3</v>
      </c>
    </row>
    <row r="3674" spans="2:5" x14ac:dyDescent="0.3">
      <c r="B3674" s="4">
        <v>38862</v>
      </c>
      <c r="C3674" s="7">
        <v>44.18</v>
      </c>
      <c r="D3674" s="6">
        <f t="shared" si="60"/>
        <v>9.3023255813953432E-2</v>
      </c>
      <c r="E3674" s="6">
        <v>-2.7088036117380913E-3</v>
      </c>
    </row>
    <row r="3675" spans="2:5" x14ac:dyDescent="0.3">
      <c r="B3675" s="4">
        <v>38615</v>
      </c>
      <c r="C3675" s="7">
        <v>40.42</v>
      </c>
      <c r="D3675" s="6">
        <f t="shared" si="60"/>
        <v>-0.96310023735621686</v>
      </c>
      <c r="E3675" s="6">
        <v>-2.7140389834690213E-3</v>
      </c>
    </row>
    <row r="3676" spans="2:5" x14ac:dyDescent="0.3">
      <c r="B3676" s="4">
        <v>43024</v>
      </c>
      <c r="C3676" s="5">
        <v>1095.4000000000001</v>
      </c>
      <c r="D3676" s="6">
        <f t="shared" si="60"/>
        <v>9.721346774982873</v>
      </c>
      <c r="E3676" s="6">
        <v>-2.7312454479242534E-3</v>
      </c>
    </row>
    <row r="3677" spans="2:5" x14ac:dyDescent="0.3">
      <c r="B3677" s="4">
        <v>39584</v>
      </c>
      <c r="C3677" s="7">
        <v>102.17</v>
      </c>
      <c r="D3677" s="6">
        <f t="shared" si="60"/>
        <v>-0.96618757177322467</v>
      </c>
      <c r="E3677" s="6">
        <v>-2.7330405075646769E-3</v>
      </c>
    </row>
    <row r="3678" spans="2:5" x14ac:dyDescent="0.3">
      <c r="B3678" s="4">
        <v>44924</v>
      </c>
      <c r="C3678" s="5">
        <v>3021.67</v>
      </c>
      <c r="D3678" s="6">
        <f t="shared" si="60"/>
        <v>1.7268190555259759</v>
      </c>
      <c r="E3678" s="6">
        <v>-2.7393010491852158E-3</v>
      </c>
    </row>
    <row r="3679" spans="2:5" x14ac:dyDescent="0.3">
      <c r="B3679" s="4">
        <v>43108</v>
      </c>
      <c r="C3679" s="5">
        <v>1108.1300000000001</v>
      </c>
      <c r="D3679" s="6">
        <f t="shared" si="60"/>
        <v>-0.63514149778575302</v>
      </c>
      <c r="E3679" s="6">
        <v>-2.7448298205510848E-3</v>
      </c>
    </row>
    <row r="3680" spans="2:5" x14ac:dyDescent="0.3">
      <c r="B3680" s="4">
        <v>45058</v>
      </c>
      <c r="C3680" s="5">
        <v>3037.15</v>
      </c>
      <c r="D3680" s="6">
        <f t="shared" si="60"/>
        <v>0.2548028854496327</v>
      </c>
      <c r="E3680" s="6">
        <v>-2.7548480729197031E-3</v>
      </c>
    </row>
    <row r="3681" spans="2:5" x14ac:dyDescent="0.3">
      <c r="B3681" s="4">
        <v>45842</v>
      </c>
      <c r="C3681" s="5">
        <v>2420.42</v>
      </c>
      <c r="D3681" s="6">
        <f t="shared" si="60"/>
        <v>-0.24834945064500297</v>
      </c>
      <c r="E3681" s="6">
        <v>-2.7563645652648847E-3</v>
      </c>
    </row>
    <row r="3682" spans="2:5" x14ac:dyDescent="0.3">
      <c r="B3682" s="4">
        <v>44774</v>
      </c>
      <c r="C3682" s="5">
        <v>3220.14</v>
      </c>
      <c r="D3682" s="6">
        <f t="shared" si="60"/>
        <v>0.10900875458909912</v>
      </c>
      <c r="E3682" s="6">
        <v>-2.7593254982116438E-3</v>
      </c>
    </row>
    <row r="3683" spans="2:5" x14ac:dyDescent="0.3">
      <c r="B3683" s="4">
        <v>44412</v>
      </c>
      <c r="C3683" s="5">
        <v>2903.62</v>
      </c>
      <c r="D3683" s="6">
        <f t="shared" si="60"/>
        <v>0.66830608000183844</v>
      </c>
      <c r="E3683" s="6">
        <v>-2.7750111618641783E-3</v>
      </c>
    </row>
    <row r="3684" spans="2:5" x14ac:dyDescent="0.3">
      <c r="B3684" s="4">
        <v>43847</v>
      </c>
      <c r="C3684" s="5">
        <v>1740.46</v>
      </c>
      <c r="D3684" s="6">
        <f t="shared" si="60"/>
        <v>16.974388102860686</v>
      </c>
      <c r="E3684" s="6">
        <v>-2.7788759589986358E-3</v>
      </c>
    </row>
    <row r="3685" spans="2:5" x14ac:dyDescent="0.3">
      <c r="B3685" s="4">
        <v>39496</v>
      </c>
      <c r="C3685" s="7">
        <v>96.83</v>
      </c>
      <c r="D3685" s="6">
        <f t="shared" si="60"/>
        <v>-0.97087302709352941</v>
      </c>
      <c r="E3685" s="6">
        <v>-2.78063851699275E-3</v>
      </c>
    </row>
    <row r="3686" spans="2:5" x14ac:dyDescent="0.3">
      <c r="B3686" s="4">
        <v>44816</v>
      </c>
      <c r="C3686" s="5">
        <v>3324.41</v>
      </c>
      <c r="D3686" s="6">
        <f t="shared" si="60"/>
        <v>1.358657632409805</v>
      </c>
      <c r="E3686" s="6">
        <v>-2.8046410059513471E-3</v>
      </c>
    </row>
    <row r="3687" spans="2:5" x14ac:dyDescent="0.3">
      <c r="B3687" s="4">
        <v>43556</v>
      </c>
      <c r="C3687" s="5">
        <v>1409.45</v>
      </c>
      <c r="D3687" s="6">
        <f t="shared" si="60"/>
        <v>-0.48574482990119533</v>
      </c>
      <c r="E3687" s="6">
        <v>-2.8370098906230039E-3</v>
      </c>
    </row>
    <row r="3688" spans="2:5" x14ac:dyDescent="0.3">
      <c r="B3688" s="4">
        <v>44977</v>
      </c>
      <c r="C3688" s="5">
        <v>2740.76</v>
      </c>
      <c r="D3688" s="6">
        <f t="shared" si="60"/>
        <v>31.670878531410185</v>
      </c>
      <c r="E3688" s="6">
        <v>-2.8414775683355143E-3</v>
      </c>
    </row>
    <row r="3689" spans="2:5" x14ac:dyDescent="0.3">
      <c r="B3689" s="4">
        <v>39428</v>
      </c>
      <c r="C3689" s="7">
        <v>83.89</v>
      </c>
      <c r="D3689" s="6">
        <f t="shared" si="60"/>
        <v>-0.97148732241180069</v>
      </c>
      <c r="E3689" s="6">
        <v>-2.8527279210744669E-3</v>
      </c>
    </row>
    <row r="3690" spans="2:5" x14ac:dyDescent="0.3">
      <c r="B3690" s="4">
        <v>45338</v>
      </c>
      <c r="C3690" s="5">
        <v>2942.2</v>
      </c>
      <c r="D3690" s="6">
        <f t="shared" si="60"/>
        <v>0.19370648663561546</v>
      </c>
      <c r="E3690" s="6">
        <v>-2.8671551449506337E-3</v>
      </c>
    </row>
    <row r="3691" spans="2:5" x14ac:dyDescent="0.3">
      <c r="B3691" s="4">
        <v>44182</v>
      </c>
      <c r="C3691" s="5">
        <v>2464.7600000000002</v>
      </c>
      <c r="D3691" s="6">
        <f t="shared" si="60"/>
        <v>14.220205014202792</v>
      </c>
      <c r="E3691" s="6">
        <v>-2.8682970244956981E-3</v>
      </c>
    </row>
    <row r="3692" spans="2:5" x14ac:dyDescent="0.3">
      <c r="B3692" s="4">
        <v>40196</v>
      </c>
      <c r="C3692" s="7">
        <v>161.94</v>
      </c>
      <c r="D3692" s="6">
        <f t="shared" si="60"/>
        <v>-0.32810555140652231</v>
      </c>
      <c r="E3692" s="6">
        <v>-2.8939104734930048E-3</v>
      </c>
    </row>
    <row r="3693" spans="2:5" x14ac:dyDescent="0.3">
      <c r="B3693" s="4">
        <v>40492</v>
      </c>
      <c r="C3693" s="7">
        <v>241.02</v>
      </c>
      <c r="D3693" s="6">
        <f t="shared" si="60"/>
        <v>-0.54799992498546601</v>
      </c>
      <c r="E3693" s="6">
        <v>-2.8959126261790032E-3</v>
      </c>
    </row>
    <row r="3694" spans="2:5" x14ac:dyDescent="0.3">
      <c r="B3694" s="4">
        <v>41816</v>
      </c>
      <c r="C3694" s="7">
        <v>533.23</v>
      </c>
      <c r="D3694" s="6">
        <f t="shared" si="60"/>
        <v>-0.49975608383211062</v>
      </c>
      <c r="E3694" s="6">
        <v>-2.8983881222183973E-3</v>
      </c>
    </row>
    <row r="3695" spans="2:5" x14ac:dyDescent="0.3">
      <c r="B3695" s="4">
        <v>43173</v>
      </c>
      <c r="C3695" s="5">
        <v>1065.94</v>
      </c>
      <c r="D3695" s="6">
        <f t="shared" si="60"/>
        <v>4.8497420700252443</v>
      </c>
      <c r="E3695" s="6">
        <v>-2.899797949562139E-3</v>
      </c>
    </row>
    <row r="3696" spans="2:5" x14ac:dyDescent="0.3">
      <c r="B3696" s="4">
        <v>40326</v>
      </c>
      <c r="C3696" s="7">
        <v>182.22</v>
      </c>
      <c r="D3696" s="6">
        <f t="shared" si="60"/>
        <v>-0.94502719678525859</v>
      </c>
      <c r="E3696" s="6">
        <v>-2.900136798905615E-3</v>
      </c>
    </row>
    <row r="3697" spans="2:5" x14ac:dyDescent="0.3">
      <c r="B3697" s="4">
        <v>44817</v>
      </c>
      <c r="C3697" s="5">
        <v>3314.73</v>
      </c>
      <c r="D3697" s="6">
        <f t="shared" si="60"/>
        <v>6.6286621711813316</v>
      </c>
      <c r="E3697" s="6">
        <v>-2.9117948748800049E-3</v>
      </c>
    </row>
    <row r="3698" spans="2:5" x14ac:dyDescent="0.3">
      <c r="B3698" s="4">
        <v>41470</v>
      </c>
      <c r="C3698" s="7">
        <v>434.51</v>
      </c>
      <c r="D3698" s="6">
        <f t="shared" si="60"/>
        <v>6.9653528872593951</v>
      </c>
      <c r="E3698" s="6">
        <v>-2.9143145623938267E-3</v>
      </c>
    </row>
    <row r="3699" spans="2:5" x14ac:dyDescent="0.3">
      <c r="B3699" s="4">
        <v>38978</v>
      </c>
      <c r="C3699" s="7">
        <v>54.55</v>
      </c>
      <c r="D3699" s="6">
        <f t="shared" si="60"/>
        <v>-0.98105053999881886</v>
      </c>
      <c r="E3699" s="6">
        <v>-2.9245110583075067E-3</v>
      </c>
    </row>
    <row r="3700" spans="2:5" x14ac:dyDescent="0.3">
      <c r="B3700" s="4">
        <v>44377</v>
      </c>
      <c r="C3700" s="5">
        <v>2878.71</v>
      </c>
      <c r="D3700" s="6">
        <f t="shared" si="60"/>
        <v>2.2723154809485759E-2</v>
      </c>
      <c r="E3700" s="6">
        <v>-2.9302050104427642E-3</v>
      </c>
    </row>
    <row r="3701" spans="2:5" x14ac:dyDescent="0.3">
      <c r="B3701" s="4">
        <v>44344</v>
      </c>
      <c r="C3701" s="5">
        <v>2814.75</v>
      </c>
      <c r="D3701" s="6">
        <f t="shared" si="60"/>
        <v>-8.808016535887149E-2</v>
      </c>
      <c r="E3701" s="6">
        <v>-2.9330187776963755E-3</v>
      </c>
    </row>
    <row r="3702" spans="2:5" x14ac:dyDescent="0.3">
      <c r="B3702" s="4">
        <v>45198</v>
      </c>
      <c r="C3702" s="5">
        <v>3086.62</v>
      </c>
      <c r="D3702" s="6">
        <f t="shared" si="60"/>
        <v>0.30143778724121945</v>
      </c>
      <c r="E3702" s="6">
        <v>-2.9331007526568879E-3</v>
      </c>
    </row>
    <row r="3703" spans="2:5" x14ac:dyDescent="0.3">
      <c r="B3703" s="4">
        <v>45859</v>
      </c>
      <c r="C3703" s="5">
        <v>2371.6999999999998</v>
      </c>
      <c r="D3703" s="6">
        <f t="shared" si="60"/>
        <v>-2.2382522671063554E-2</v>
      </c>
      <c r="E3703" s="6">
        <v>-2.9385922503563878E-3</v>
      </c>
    </row>
    <row r="3704" spans="2:5" x14ac:dyDescent="0.3">
      <c r="B3704" s="4">
        <v>45631</v>
      </c>
      <c r="C3704" s="5">
        <v>2426</v>
      </c>
      <c r="D3704" s="6">
        <f t="shared" si="60"/>
        <v>7.986183650035187</v>
      </c>
      <c r="E3704" s="6">
        <v>-2.9467731395669324E-3</v>
      </c>
    </row>
    <row r="3705" spans="2:5" x14ac:dyDescent="0.3">
      <c r="B3705" s="4">
        <v>40960</v>
      </c>
      <c r="C3705" s="7">
        <v>269.97000000000003</v>
      </c>
      <c r="D3705" s="6">
        <f t="shared" si="60"/>
        <v>-8.5567388909290627E-3</v>
      </c>
      <c r="E3705" s="6">
        <v>-2.9545370609740909E-3</v>
      </c>
    </row>
    <row r="3706" spans="2:5" x14ac:dyDescent="0.3">
      <c r="B3706" s="4">
        <v>40812</v>
      </c>
      <c r="C3706" s="7">
        <v>272.3</v>
      </c>
      <c r="D3706" s="6">
        <f t="shared" si="60"/>
        <v>3.0502751747731667</v>
      </c>
      <c r="E3706" s="6">
        <v>-2.9658379407564799E-3</v>
      </c>
    </row>
    <row r="3707" spans="2:5" x14ac:dyDescent="0.3">
      <c r="B3707" s="4">
        <v>39209</v>
      </c>
      <c r="C3707" s="7">
        <v>67.23</v>
      </c>
      <c r="D3707" s="6">
        <f t="shared" si="60"/>
        <v>-0.94883912060817754</v>
      </c>
      <c r="E3707" s="6">
        <v>-2.9660388551090437E-3</v>
      </c>
    </row>
    <row r="3708" spans="2:5" x14ac:dyDescent="0.3">
      <c r="B3708" s="4">
        <v>43326</v>
      </c>
      <c r="C3708" s="5">
        <v>1314.09</v>
      </c>
      <c r="D3708" s="6">
        <f t="shared" si="60"/>
        <v>-0.40938978952525201</v>
      </c>
      <c r="E3708" s="6">
        <v>-2.9666160849773004E-3</v>
      </c>
    </row>
    <row r="3709" spans="2:5" x14ac:dyDescent="0.3">
      <c r="B3709" s="4">
        <v>45812</v>
      </c>
      <c r="C3709" s="5">
        <v>2224.9699999999998</v>
      </c>
      <c r="D3709" s="6">
        <f t="shared" si="60"/>
        <v>0.55348963860805434</v>
      </c>
      <c r="E3709" s="6">
        <v>-2.9709625380893124E-3</v>
      </c>
    </row>
    <row r="3710" spans="2:5" x14ac:dyDescent="0.3">
      <c r="B3710" s="4">
        <v>43676</v>
      </c>
      <c r="C3710" s="5">
        <v>1432.24</v>
      </c>
      <c r="D3710" s="6">
        <f t="shared" si="60"/>
        <v>-0.52898307648796017</v>
      </c>
      <c r="E3710" s="6">
        <v>-2.9724819179817626E-3</v>
      </c>
    </row>
    <row r="3711" spans="2:5" x14ac:dyDescent="0.3">
      <c r="B3711" s="4">
        <v>45574</v>
      </c>
      <c r="C3711" s="5">
        <v>3040.74</v>
      </c>
      <c r="D3711" s="6">
        <f t="shared" si="60"/>
        <v>150.58225324027916</v>
      </c>
      <c r="E3711" s="6">
        <v>-2.9772248854031979E-3</v>
      </c>
    </row>
    <row r="3712" spans="2:5" x14ac:dyDescent="0.3">
      <c r="B3712" s="4">
        <v>37824</v>
      </c>
      <c r="C3712" s="7">
        <v>20.059999999999999</v>
      </c>
      <c r="D3712" s="6">
        <f t="shared" si="60"/>
        <v>-0.6995206710605153</v>
      </c>
      <c r="E3712" s="6">
        <v>-2.9821073558649238E-3</v>
      </c>
    </row>
    <row r="3713" spans="2:5" x14ac:dyDescent="0.3">
      <c r="B3713" s="4">
        <v>39911</v>
      </c>
      <c r="C3713" s="7">
        <v>66.760000000000005</v>
      </c>
      <c r="D3713" s="6">
        <f t="shared" si="60"/>
        <v>-0.97556878689292492</v>
      </c>
      <c r="E3713" s="6">
        <v>-2.9868578255673336E-3</v>
      </c>
    </row>
    <row r="3714" spans="2:5" x14ac:dyDescent="0.3">
      <c r="B3714" s="4">
        <v>44978</v>
      </c>
      <c r="C3714" s="5">
        <v>2732.57</v>
      </c>
      <c r="D3714" s="6">
        <f t="shared" si="60"/>
        <v>135.6285</v>
      </c>
      <c r="E3714" s="6">
        <v>-2.9882222449247849E-3</v>
      </c>
    </row>
    <row r="3715" spans="2:5" x14ac:dyDescent="0.3">
      <c r="B3715" s="4">
        <v>37825</v>
      </c>
      <c r="C3715" s="7">
        <v>20</v>
      </c>
      <c r="D3715" s="6">
        <f t="shared" si="60"/>
        <v>-0.98601339916360131</v>
      </c>
      <c r="E3715" s="6">
        <v>-2.9910269192422096E-3</v>
      </c>
    </row>
    <row r="3716" spans="2:5" x14ac:dyDescent="0.3">
      <c r="B3716" s="4">
        <v>43560</v>
      </c>
      <c r="C3716" s="5">
        <v>1429.94</v>
      </c>
      <c r="D3716" s="6">
        <f t="shared" si="60"/>
        <v>2.4106282497734104</v>
      </c>
      <c r="E3716" s="6">
        <v>-2.9911520467428261E-3</v>
      </c>
    </row>
    <row r="3717" spans="2:5" x14ac:dyDescent="0.3">
      <c r="B3717" s="4">
        <v>41429</v>
      </c>
      <c r="C3717" s="7">
        <v>419.26</v>
      </c>
      <c r="D3717" s="6">
        <f t="shared" si="60"/>
        <v>-0.85815684417078275</v>
      </c>
      <c r="E3717" s="6">
        <v>-2.9962903072386356E-3</v>
      </c>
    </row>
    <row r="3718" spans="2:5" x14ac:dyDescent="0.3">
      <c r="B3718" s="4">
        <v>45594</v>
      </c>
      <c r="C3718" s="5">
        <v>2955.8</v>
      </c>
      <c r="D3718" s="6">
        <f t="shared" si="60"/>
        <v>177.81427707199032</v>
      </c>
      <c r="E3718" s="6">
        <v>-2.9986271751852207E-3</v>
      </c>
    </row>
    <row r="3719" spans="2:5" x14ac:dyDescent="0.3">
      <c r="B3719" s="4">
        <v>37491</v>
      </c>
      <c r="C3719" s="7">
        <v>16.53</v>
      </c>
      <c r="D3719" s="6">
        <f t="shared" si="60"/>
        <v>-0.99267602139151156</v>
      </c>
      <c r="E3719" s="6">
        <v>-3.0156815440287796E-3</v>
      </c>
    </row>
    <row r="3720" spans="2:5" x14ac:dyDescent="0.3">
      <c r="B3720" s="4">
        <v>45657</v>
      </c>
      <c r="C3720" s="5">
        <v>2256.9699999999998</v>
      </c>
      <c r="D3720" s="6">
        <f t="shared" ref="D3720:D3783" si="61">((C3720-C3721)/C3721)</f>
        <v>13.542332474226805</v>
      </c>
      <c r="E3720" s="6">
        <v>-3.0170509762348181E-3</v>
      </c>
    </row>
    <row r="3721" spans="2:5" x14ac:dyDescent="0.3">
      <c r="B3721" s="4">
        <v>40184</v>
      </c>
      <c r="C3721" s="7">
        <v>155.19999999999999</v>
      </c>
      <c r="D3721" s="6">
        <f t="shared" si="61"/>
        <v>5.7186147186147176</v>
      </c>
      <c r="E3721" s="6">
        <v>-3.0192072974882696E-3</v>
      </c>
    </row>
    <row r="3722" spans="2:5" x14ac:dyDescent="0.3">
      <c r="B3722" s="4">
        <v>38281</v>
      </c>
      <c r="C3722" s="7">
        <v>23.1</v>
      </c>
      <c r="D3722" s="6">
        <f t="shared" si="61"/>
        <v>-0.4992412746585736</v>
      </c>
      <c r="E3722" s="6">
        <v>-3.0211480362537886E-3</v>
      </c>
    </row>
    <row r="3723" spans="2:5" x14ac:dyDescent="0.3">
      <c r="B3723" s="4">
        <v>38867</v>
      </c>
      <c r="C3723" s="7">
        <v>46.13</v>
      </c>
      <c r="D3723" s="6">
        <f t="shared" si="61"/>
        <v>-0.96180500931484159</v>
      </c>
      <c r="E3723" s="6">
        <v>-3.0257186081694525E-3</v>
      </c>
    </row>
    <row r="3724" spans="2:5" x14ac:dyDescent="0.3">
      <c r="B3724" s="4">
        <v>43266</v>
      </c>
      <c r="C3724" s="5">
        <v>1207.75</v>
      </c>
      <c r="D3724" s="6">
        <f t="shared" si="61"/>
        <v>-0.62545858258828202</v>
      </c>
      <c r="E3724" s="6">
        <v>-3.0295025672352053E-3</v>
      </c>
    </row>
    <row r="3725" spans="2:5" x14ac:dyDescent="0.3">
      <c r="B3725" s="4">
        <v>44454</v>
      </c>
      <c r="C3725" s="5">
        <v>3224.61</v>
      </c>
      <c r="D3725" s="6">
        <f t="shared" si="61"/>
        <v>4.6386129957333706</v>
      </c>
      <c r="E3725" s="6">
        <v>-3.0330012799821746E-3</v>
      </c>
    </row>
    <row r="3726" spans="2:5" x14ac:dyDescent="0.3">
      <c r="B3726" s="4">
        <v>41911</v>
      </c>
      <c r="C3726" s="7">
        <v>571.88</v>
      </c>
      <c r="D3726" s="6">
        <f t="shared" si="61"/>
        <v>33.807060255629949</v>
      </c>
      <c r="E3726" s="6">
        <v>-3.0333670374115425E-3</v>
      </c>
    </row>
    <row r="3727" spans="2:5" x14ac:dyDescent="0.3">
      <c r="B3727" s="4">
        <v>37587</v>
      </c>
      <c r="C3727" s="7">
        <v>16.43</v>
      </c>
      <c r="D3727" s="6">
        <f t="shared" si="61"/>
        <v>-0.98479421754541829</v>
      </c>
      <c r="E3727" s="6">
        <v>-3.0339805825243147E-3</v>
      </c>
    </row>
    <row r="3728" spans="2:5" x14ac:dyDescent="0.3">
      <c r="B3728" s="4">
        <v>42663</v>
      </c>
      <c r="C3728" s="5">
        <v>1080.51</v>
      </c>
      <c r="D3728" s="6">
        <f t="shared" si="61"/>
        <v>3.6395723302846839</v>
      </c>
      <c r="E3728" s="6">
        <v>-3.0356154272005572E-3</v>
      </c>
    </row>
    <row r="3729" spans="2:5" x14ac:dyDescent="0.3">
      <c r="B3729" s="4">
        <v>40561</v>
      </c>
      <c r="C3729" s="7">
        <v>232.89</v>
      </c>
      <c r="D3729" s="6">
        <f t="shared" si="61"/>
        <v>-0.92755692422545732</v>
      </c>
      <c r="E3729" s="6">
        <v>-3.03938356164387E-3</v>
      </c>
    </row>
    <row r="3730" spans="2:5" x14ac:dyDescent="0.3">
      <c r="B3730" s="4">
        <v>44455</v>
      </c>
      <c r="C3730" s="5">
        <v>3214.8</v>
      </c>
      <c r="D3730" s="6">
        <f t="shared" si="61"/>
        <v>17.885037889913647</v>
      </c>
      <c r="E3730" s="6">
        <v>-3.0422283624996342E-3</v>
      </c>
    </row>
    <row r="3731" spans="2:5" x14ac:dyDescent="0.3">
      <c r="B3731" s="4">
        <v>40262</v>
      </c>
      <c r="C3731" s="7">
        <v>170.23</v>
      </c>
      <c r="D3731" s="6">
        <f t="shared" si="61"/>
        <v>9.4821428571428577</v>
      </c>
      <c r="E3731" s="6">
        <v>-3.0453879941435445E-3</v>
      </c>
    </row>
    <row r="3732" spans="2:5" x14ac:dyDescent="0.3">
      <c r="B3732" s="4">
        <v>37593</v>
      </c>
      <c r="C3732" s="7">
        <v>16.239999999999998</v>
      </c>
      <c r="D3732" s="6">
        <f t="shared" si="61"/>
        <v>-0.99419010242448747</v>
      </c>
      <c r="E3732" s="6">
        <v>-3.0693677102517319E-3</v>
      </c>
    </row>
    <row r="3733" spans="2:5" x14ac:dyDescent="0.3">
      <c r="B3733" s="4">
        <v>45447</v>
      </c>
      <c r="C3733" s="5">
        <v>2795.23</v>
      </c>
      <c r="D3733" s="6">
        <f t="shared" si="61"/>
        <v>42.056531115218732</v>
      </c>
      <c r="E3733" s="6">
        <v>-3.0707886327322981E-3</v>
      </c>
    </row>
    <row r="3734" spans="2:5" x14ac:dyDescent="0.3">
      <c r="B3734" s="4">
        <v>39126</v>
      </c>
      <c r="C3734" s="7">
        <v>64.92</v>
      </c>
      <c r="D3734" s="6">
        <f t="shared" si="61"/>
        <v>-0.97890344720012479</v>
      </c>
      <c r="E3734" s="6">
        <v>-3.0712530712531149E-3</v>
      </c>
    </row>
    <row r="3735" spans="2:5" x14ac:dyDescent="0.3">
      <c r="B3735" s="4">
        <v>45533</v>
      </c>
      <c r="C3735" s="5">
        <v>3077.28</v>
      </c>
      <c r="D3735" s="6">
        <f t="shared" si="61"/>
        <v>26.256687333923825</v>
      </c>
      <c r="E3735" s="6">
        <v>-3.0873296380404835E-3</v>
      </c>
    </row>
    <row r="3736" spans="2:5" x14ac:dyDescent="0.3">
      <c r="B3736" s="4">
        <v>40046</v>
      </c>
      <c r="C3736" s="7">
        <v>112.9</v>
      </c>
      <c r="D3736" s="6">
        <f t="shared" si="61"/>
        <v>2.5007751937984497</v>
      </c>
      <c r="E3736" s="6">
        <v>-3.0905077262692654E-3</v>
      </c>
    </row>
    <row r="3737" spans="2:5" x14ac:dyDescent="0.3">
      <c r="B3737" s="4">
        <v>38526</v>
      </c>
      <c r="C3737" s="7">
        <v>32.25</v>
      </c>
      <c r="D3737" s="6">
        <f t="shared" si="61"/>
        <v>-0.8836580086580087</v>
      </c>
      <c r="E3737" s="6">
        <v>-3.0911901081916975E-3</v>
      </c>
    </row>
    <row r="3738" spans="2:5" x14ac:dyDescent="0.3">
      <c r="B3738" s="4">
        <v>40833</v>
      </c>
      <c r="C3738" s="7">
        <v>277.2</v>
      </c>
      <c r="D3738" s="6">
        <f t="shared" si="61"/>
        <v>-0.89236539850429852</v>
      </c>
      <c r="E3738" s="6">
        <v>-3.0928576566209222E-3</v>
      </c>
    </row>
    <row r="3739" spans="2:5" x14ac:dyDescent="0.3">
      <c r="B3739" s="4">
        <v>45888</v>
      </c>
      <c r="C3739" s="5">
        <v>2575.38</v>
      </c>
      <c r="D3739" s="6">
        <f t="shared" si="61"/>
        <v>1.3380238216282956</v>
      </c>
      <c r="E3739" s="6">
        <v>-3.0928593271578528E-3</v>
      </c>
    </row>
    <row r="3740" spans="2:5" x14ac:dyDescent="0.3">
      <c r="B3740" s="4">
        <v>43052</v>
      </c>
      <c r="C3740" s="5">
        <v>1101.52</v>
      </c>
      <c r="D3740" s="6">
        <f t="shared" si="61"/>
        <v>-0.60619071964076954</v>
      </c>
      <c r="E3740" s="6">
        <v>-3.0951906890872558E-3</v>
      </c>
    </row>
    <row r="3741" spans="2:5" x14ac:dyDescent="0.3">
      <c r="B3741" s="4">
        <v>45349</v>
      </c>
      <c r="C3741" s="5">
        <v>2797.09</v>
      </c>
      <c r="D3741" s="6">
        <f t="shared" si="61"/>
        <v>107.92095015576325</v>
      </c>
      <c r="E3741" s="6">
        <v>-3.1007309884203086E-3</v>
      </c>
    </row>
    <row r="3742" spans="2:5" x14ac:dyDescent="0.3">
      <c r="B3742" s="4">
        <v>37988</v>
      </c>
      <c r="C3742" s="7">
        <v>25.68</v>
      </c>
      <c r="D3742" s="6">
        <f t="shared" si="61"/>
        <v>-0.97843883025616474</v>
      </c>
      <c r="E3742" s="6">
        <v>-3.1055900621118726E-3</v>
      </c>
    </row>
    <row r="3743" spans="2:5" x14ac:dyDescent="0.3">
      <c r="B3743" s="4">
        <v>43280</v>
      </c>
      <c r="C3743" s="5">
        <v>1191.03</v>
      </c>
      <c r="D3743" s="6">
        <f t="shared" si="61"/>
        <v>10.627745777604217</v>
      </c>
      <c r="E3743" s="6">
        <v>-3.1136220966729669E-3</v>
      </c>
    </row>
    <row r="3744" spans="2:5" x14ac:dyDescent="0.3">
      <c r="B3744" s="4">
        <v>39706</v>
      </c>
      <c r="C3744" s="7">
        <v>102.43</v>
      </c>
      <c r="D3744" s="6">
        <f t="shared" si="61"/>
        <v>-0.95567700422762547</v>
      </c>
      <c r="E3744" s="6">
        <v>-3.1143552311434859E-3</v>
      </c>
    </row>
    <row r="3745" spans="2:5" x14ac:dyDescent="0.3">
      <c r="B3745" s="4">
        <v>45660</v>
      </c>
      <c r="C3745" s="5">
        <v>2310.9899999999998</v>
      </c>
      <c r="D3745" s="6">
        <f t="shared" si="61"/>
        <v>41.512693156732887</v>
      </c>
      <c r="E3745" s="6">
        <v>-3.1144719417137597E-3</v>
      </c>
    </row>
    <row r="3746" spans="2:5" x14ac:dyDescent="0.3">
      <c r="B3746" s="4">
        <v>39006</v>
      </c>
      <c r="C3746" s="7">
        <v>54.36</v>
      </c>
      <c r="D3746" s="6">
        <f t="shared" si="61"/>
        <v>-0.94918723885549772</v>
      </c>
      <c r="E3746" s="6">
        <v>-3.1175499724922372E-3</v>
      </c>
    </row>
    <row r="3747" spans="2:5" x14ac:dyDescent="0.3">
      <c r="B3747" s="4">
        <v>42873</v>
      </c>
      <c r="C3747" s="5">
        <v>1069.81</v>
      </c>
      <c r="D3747" s="6">
        <f t="shared" si="61"/>
        <v>0.16781285477250885</v>
      </c>
      <c r="E3747" s="6">
        <v>-3.1216221253122893E-3</v>
      </c>
    </row>
    <row r="3748" spans="2:5" x14ac:dyDescent="0.3">
      <c r="B3748" s="4">
        <v>42769</v>
      </c>
      <c r="C3748" s="7">
        <v>916.08</v>
      </c>
      <c r="D3748" s="6">
        <f t="shared" si="61"/>
        <v>-0.16647255786868534</v>
      </c>
      <c r="E3748" s="6">
        <v>-3.1339775398276262E-3</v>
      </c>
    </row>
    <row r="3749" spans="2:5" x14ac:dyDescent="0.3">
      <c r="B3749" s="4">
        <v>43208</v>
      </c>
      <c r="C3749" s="5">
        <v>1099.04</v>
      </c>
      <c r="D3749" s="6">
        <f t="shared" si="61"/>
        <v>1.4790562335055153</v>
      </c>
      <c r="E3749" s="6">
        <v>-3.1473637427325168E-3</v>
      </c>
    </row>
    <row r="3750" spans="2:5" x14ac:dyDescent="0.3">
      <c r="B3750" s="4">
        <v>41659</v>
      </c>
      <c r="C3750" s="7">
        <v>443.33</v>
      </c>
      <c r="D3750" s="6">
        <f t="shared" si="61"/>
        <v>5.6968277945619334</v>
      </c>
      <c r="E3750" s="6">
        <v>-3.147977424504832E-3</v>
      </c>
    </row>
    <row r="3751" spans="2:5" x14ac:dyDescent="0.3">
      <c r="B3751" s="4">
        <v>39111</v>
      </c>
      <c r="C3751" s="7">
        <v>66.2</v>
      </c>
      <c r="D3751" s="6">
        <f t="shared" si="61"/>
        <v>-0.61109152861003402</v>
      </c>
      <c r="E3751" s="6">
        <v>-3.1621743713295251E-3</v>
      </c>
    </row>
    <row r="3752" spans="2:5" x14ac:dyDescent="0.3">
      <c r="B3752" s="4">
        <v>40242</v>
      </c>
      <c r="C3752" s="7">
        <v>170.22</v>
      </c>
      <c r="D3752" s="6">
        <f t="shared" si="61"/>
        <v>5.7520825069416892</v>
      </c>
      <c r="E3752" s="6">
        <v>-3.1623330990863908E-3</v>
      </c>
    </row>
    <row r="3753" spans="2:5" x14ac:dyDescent="0.3">
      <c r="B3753" s="4">
        <v>38355</v>
      </c>
      <c r="C3753" s="7">
        <v>25.21</v>
      </c>
      <c r="D3753" s="6">
        <f t="shared" si="61"/>
        <v>-0.98038437597261119</v>
      </c>
      <c r="E3753" s="6">
        <v>-3.1633056544087901E-3</v>
      </c>
    </row>
    <row r="3754" spans="2:5" x14ac:dyDescent="0.3">
      <c r="B3754" s="4">
        <v>43647</v>
      </c>
      <c r="C3754" s="5">
        <v>1285.2</v>
      </c>
      <c r="D3754" s="6">
        <f t="shared" si="61"/>
        <v>-0.5991516436903499</v>
      </c>
      <c r="E3754" s="6">
        <v>-3.16455696202526E-3</v>
      </c>
    </row>
    <row r="3755" spans="2:5" x14ac:dyDescent="0.3">
      <c r="B3755" s="4">
        <v>45303</v>
      </c>
      <c r="C3755" s="5">
        <v>3206.2</v>
      </c>
      <c r="D3755" s="6">
        <f t="shared" si="61"/>
        <v>4.4226566992524434</v>
      </c>
      <c r="E3755" s="6">
        <v>-3.165048905912949E-3</v>
      </c>
    </row>
    <row r="3756" spans="2:5" x14ac:dyDescent="0.3">
      <c r="B3756" s="4">
        <v>41940</v>
      </c>
      <c r="C3756" s="7">
        <v>591.26</v>
      </c>
      <c r="D3756" s="6">
        <f t="shared" si="61"/>
        <v>30.383227176220807</v>
      </c>
      <c r="E3756" s="6">
        <v>-3.169572107765444E-3</v>
      </c>
    </row>
    <row r="3757" spans="2:5" x14ac:dyDescent="0.3">
      <c r="B3757" s="4">
        <v>37798</v>
      </c>
      <c r="C3757" s="7">
        <v>18.84</v>
      </c>
      <c r="D3757" s="6">
        <f t="shared" si="61"/>
        <v>-0.95451802138908337</v>
      </c>
      <c r="E3757" s="6">
        <v>-3.1746031746031074E-3</v>
      </c>
    </row>
    <row r="3758" spans="2:5" x14ac:dyDescent="0.3">
      <c r="B3758" s="4">
        <v>41311</v>
      </c>
      <c r="C3758" s="7">
        <v>414.23</v>
      </c>
      <c r="D3758" s="6">
        <f t="shared" si="61"/>
        <v>17.862932604735885</v>
      </c>
      <c r="E3758" s="6">
        <v>-3.1765130549873495E-3</v>
      </c>
    </row>
    <row r="3759" spans="2:5" x14ac:dyDescent="0.3">
      <c r="B3759" s="4">
        <v>37916</v>
      </c>
      <c r="C3759" s="7">
        <v>21.96</v>
      </c>
      <c r="D3759" s="6">
        <f t="shared" si="61"/>
        <v>-0.66626139817629182</v>
      </c>
      <c r="E3759" s="6">
        <v>-3.1774852473899357E-3</v>
      </c>
    </row>
    <row r="3760" spans="2:5" x14ac:dyDescent="0.3">
      <c r="B3760" s="4">
        <v>39181</v>
      </c>
      <c r="C3760" s="7">
        <v>65.8</v>
      </c>
      <c r="D3760" s="6">
        <f t="shared" si="61"/>
        <v>2.5055940330314335</v>
      </c>
      <c r="E3760" s="6">
        <v>-3.1813361611878191E-3</v>
      </c>
    </row>
    <row r="3761" spans="2:5" x14ac:dyDescent="0.3">
      <c r="B3761" s="4">
        <v>37771</v>
      </c>
      <c r="C3761" s="7">
        <v>18.77</v>
      </c>
      <c r="D3761" s="6">
        <f t="shared" si="61"/>
        <v>-0.84192353040256029</v>
      </c>
      <c r="E3761" s="6">
        <v>-3.1864046733934533E-3</v>
      </c>
    </row>
    <row r="3762" spans="2:5" x14ac:dyDescent="0.3">
      <c r="B3762" s="4">
        <v>40064</v>
      </c>
      <c r="C3762" s="7">
        <v>118.74</v>
      </c>
      <c r="D3762" s="6">
        <f t="shared" si="61"/>
        <v>3.7572115384615383</v>
      </c>
      <c r="E3762" s="6">
        <v>-3.1900604432505849E-3</v>
      </c>
    </row>
    <row r="3763" spans="2:5" x14ac:dyDescent="0.3">
      <c r="B3763" s="4">
        <v>38208</v>
      </c>
      <c r="C3763" s="7">
        <v>24.96</v>
      </c>
      <c r="D3763" s="6">
        <f t="shared" si="61"/>
        <v>-0.46666666666666662</v>
      </c>
      <c r="E3763" s="6">
        <v>-3.1948881789136702E-3</v>
      </c>
    </row>
    <row r="3764" spans="2:5" x14ac:dyDescent="0.3">
      <c r="B3764" s="4">
        <v>38910</v>
      </c>
      <c r="C3764" s="7">
        <v>46.8</v>
      </c>
      <c r="D3764" s="6">
        <f t="shared" si="61"/>
        <v>-0.98252936038047167</v>
      </c>
      <c r="E3764" s="6">
        <v>-3.1948881789138589E-3</v>
      </c>
    </row>
    <row r="3765" spans="2:5" x14ac:dyDescent="0.3">
      <c r="B3765" s="4">
        <v>45016</v>
      </c>
      <c r="C3765" s="5">
        <v>2678.78</v>
      </c>
      <c r="D3765" s="6">
        <f t="shared" si="61"/>
        <v>2.382084464364624</v>
      </c>
      <c r="E3765" s="6">
        <v>-3.1964336879550235E-3</v>
      </c>
    </row>
    <row r="3766" spans="2:5" x14ac:dyDescent="0.3">
      <c r="B3766" s="4">
        <v>42335</v>
      </c>
      <c r="C3766" s="7">
        <v>792.05</v>
      </c>
      <c r="D3766" s="6">
        <f t="shared" si="61"/>
        <v>24.426966292134832</v>
      </c>
      <c r="E3766" s="6">
        <v>-3.1966171232963884E-3</v>
      </c>
    </row>
    <row r="3767" spans="2:5" x14ac:dyDescent="0.3">
      <c r="B3767" s="4">
        <v>38519</v>
      </c>
      <c r="C3767" s="7">
        <v>31.15</v>
      </c>
      <c r="D3767" s="6">
        <f t="shared" si="61"/>
        <v>-0.98980273280213693</v>
      </c>
      <c r="E3767" s="6">
        <v>-3.2000000000000457E-3</v>
      </c>
    </row>
    <row r="3768" spans="2:5" x14ac:dyDescent="0.3">
      <c r="B3768" s="4">
        <v>45253</v>
      </c>
      <c r="C3768" s="5">
        <v>3054.74</v>
      </c>
      <c r="D3768" s="6">
        <f t="shared" si="61"/>
        <v>122.22468737394111</v>
      </c>
      <c r="E3768" s="6">
        <v>-3.2076278238057482E-3</v>
      </c>
    </row>
    <row r="3769" spans="2:5" x14ac:dyDescent="0.3">
      <c r="B3769" s="4">
        <v>38239</v>
      </c>
      <c r="C3769" s="7">
        <v>24.79</v>
      </c>
      <c r="D3769" s="6">
        <f t="shared" si="61"/>
        <v>-0.97684411108101299</v>
      </c>
      <c r="E3769" s="6">
        <v>-3.2167269802976213E-3</v>
      </c>
    </row>
    <row r="3770" spans="2:5" x14ac:dyDescent="0.3">
      <c r="B3770" s="4">
        <v>42949</v>
      </c>
      <c r="C3770" s="5">
        <v>1070.57</v>
      </c>
      <c r="D3770" s="6">
        <f t="shared" si="61"/>
        <v>3.4385157545605303</v>
      </c>
      <c r="E3770" s="6">
        <v>-3.2215115034031046E-3</v>
      </c>
    </row>
    <row r="3771" spans="2:5" x14ac:dyDescent="0.3">
      <c r="B3771" s="4">
        <v>40413</v>
      </c>
      <c r="C3771" s="7">
        <v>241.2</v>
      </c>
      <c r="D3771" s="6">
        <f t="shared" si="61"/>
        <v>-0.81020427433823294</v>
      </c>
      <c r="E3771" s="6">
        <v>-3.2234068931316687E-3</v>
      </c>
    </row>
    <row r="3772" spans="2:5" x14ac:dyDescent="0.3">
      <c r="B3772" s="4">
        <v>43434</v>
      </c>
      <c r="C3772" s="5">
        <v>1270.8399999999999</v>
      </c>
      <c r="D3772" s="6">
        <f t="shared" si="61"/>
        <v>11.473890851982725</v>
      </c>
      <c r="E3772" s="6">
        <v>-3.2236558296404776E-3</v>
      </c>
    </row>
    <row r="3773" spans="2:5" x14ac:dyDescent="0.3">
      <c r="B3773" s="4">
        <v>39686</v>
      </c>
      <c r="C3773" s="7">
        <v>101.88</v>
      </c>
      <c r="D3773" s="6">
        <f t="shared" si="61"/>
        <v>-0.96732070170036277</v>
      </c>
      <c r="E3773" s="6">
        <v>-3.2286469034340896E-3</v>
      </c>
    </row>
    <row r="3774" spans="2:5" x14ac:dyDescent="0.3">
      <c r="B3774" s="4">
        <v>44680</v>
      </c>
      <c r="C3774" s="5">
        <v>3117.57</v>
      </c>
      <c r="D3774" s="6">
        <f t="shared" si="61"/>
        <v>76.919770057485636</v>
      </c>
      <c r="E3774" s="6">
        <v>-3.2324278698587046E-3</v>
      </c>
    </row>
    <row r="3775" spans="2:5" x14ac:dyDescent="0.3">
      <c r="B3775" s="4">
        <v>38639</v>
      </c>
      <c r="C3775" s="7">
        <v>40.01</v>
      </c>
      <c r="D3775" s="6">
        <f t="shared" si="61"/>
        <v>-0.97030026351928145</v>
      </c>
      <c r="E3775" s="6">
        <v>-3.238664673642316E-3</v>
      </c>
    </row>
    <row r="3776" spans="2:5" x14ac:dyDescent="0.3">
      <c r="B3776" s="4">
        <v>43311</v>
      </c>
      <c r="C3776" s="5">
        <v>1347.15</v>
      </c>
      <c r="D3776" s="6">
        <f t="shared" si="61"/>
        <v>23.347551057292613</v>
      </c>
      <c r="E3776" s="6">
        <v>-3.2407715699983588E-3</v>
      </c>
    </row>
    <row r="3777" spans="2:5" x14ac:dyDescent="0.3">
      <c r="B3777" s="4">
        <v>39001</v>
      </c>
      <c r="C3777" s="7">
        <v>55.33</v>
      </c>
      <c r="D3777" s="6">
        <f t="shared" si="61"/>
        <v>-0.94802205751110857</v>
      </c>
      <c r="E3777" s="6">
        <v>-3.2426589803638932E-3</v>
      </c>
    </row>
    <row r="3778" spans="2:5" x14ac:dyDescent="0.3">
      <c r="B3778" s="4">
        <v>43146</v>
      </c>
      <c r="C3778" s="5">
        <v>1064.49</v>
      </c>
      <c r="D3778" s="6">
        <f t="shared" si="61"/>
        <v>-0.63701617330637217</v>
      </c>
      <c r="E3778" s="6">
        <v>-3.2491853627476938E-3</v>
      </c>
    </row>
    <row r="3779" spans="2:5" x14ac:dyDescent="0.3">
      <c r="B3779" s="4">
        <v>45341</v>
      </c>
      <c r="C3779" s="5">
        <v>2932.61</v>
      </c>
      <c r="D3779" s="6">
        <f t="shared" si="61"/>
        <v>9.0985192837465565</v>
      </c>
      <c r="E3779" s="6">
        <v>-3.2594657059342299E-3</v>
      </c>
    </row>
    <row r="3780" spans="2:5" x14ac:dyDescent="0.3">
      <c r="B3780" s="4">
        <v>40785</v>
      </c>
      <c r="C3780" s="7">
        <v>290.39999999999998</v>
      </c>
      <c r="D3780" s="6">
        <f t="shared" si="61"/>
        <v>-0.90555022522888784</v>
      </c>
      <c r="E3780" s="6">
        <v>-3.2606830272869244E-3</v>
      </c>
    </row>
    <row r="3781" spans="2:5" x14ac:dyDescent="0.3">
      <c r="B3781" s="4">
        <v>45212</v>
      </c>
      <c r="C3781" s="5">
        <v>3074.65</v>
      </c>
      <c r="D3781" s="6">
        <f t="shared" si="61"/>
        <v>0.33778150997250161</v>
      </c>
      <c r="E3781" s="6">
        <v>-3.2612466001666106E-3</v>
      </c>
    </row>
    <row r="3782" spans="2:5" x14ac:dyDescent="0.3">
      <c r="B3782" s="4">
        <v>45742</v>
      </c>
      <c r="C3782" s="5">
        <v>2298.3200000000002</v>
      </c>
      <c r="D3782" s="6">
        <f t="shared" si="61"/>
        <v>-0.21725477908746926</v>
      </c>
      <c r="E3782" s="6">
        <v>-3.2612843909377845E-3</v>
      </c>
    </row>
    <row r="3783" spans="2:5" x14ac:dyDescent="0.3">
      <c r="B3783" s="4">
        <v>45343</v>
      </c>
      <c r="C3783" s="5">
        <v>2936.23</v>
      </c>
      <c r="D3783" s="6">
        <f t="shared" si="61"/>
        <v>-5.4555231416188454E-2</v>
      </c>
      <c r="E3783" s="6">
        <v>-3.2723779392844466E-3</v>
      </c>
    </row>
    <row r="3784" spans="2:5" x14ac:dyDescent="0.3">
      <c r="B3784" s="4">
        <v>45086</v>
      </c>
      <c r="C3784" s="5">
        <v>3105.66</v>
      </c>
      <c r="D3784" s="6">
        <f t="shared" ref="D3784:D3847" si="62">((C3784-C3785)/C3785)</f>
        <v>-4.7556481333120163E-3</v>
      </c>
      <c r="E3784" s="6">
        <v>-3.2735745508464028E-3</v>
      </c>
    </row>
    <row r="3785" spans="2:5" x14ac:dyDescent="0.3">
      <c r="B3785" s="4">
        <v>45205</v>
      </c>
      <c r="C3785" s="5">
        <v>3120.5</v>
      </c>
      <c r="D3785" s="6">
        <f t="shared" si="62"/>
        <v>-4.5388773490533392E-2</v>
      </c>
      <c r="E3785" s="6">
        <v>-3.273975884372754E-3</v>
      </c>
    </row>
    <row r="3786" spans="2:5" x14ac:dyDescent="0.3">
      <c r="B3786" s="4">
        <v>45111</v>
      </c>
      <c r="C3786" s="5">
        <v>3268.87</v>
      </c>
      <c r="D3786" s="6">
        <f t="shared" si="62"/>
        <v>36.392701898878975</v>
      </c>
      <c r="E3786" s="6">
        <v>-3.2747796231869753E-3</v>
      </c>
    </row>
    <row r="3787" spans="2:5" x14ac:dyDescent="0.3">
      <c r="B3787" s="4">
        <v>39743</v>
      </c>
      <c r="C3787" s="7">
        <v>87.42</v>
      </c>
      <c r="D3787" s="6">
        <f t="shared" si="62"/>
        <v>-0.73782389635316692</v>
      </c>
      <c r="E3787" s="6">
        <v>-3.3063504731500634E-3</v>
      </c>
    </row>
    <row r="3788" spans="2:5" x14ac:dyDescent="0.3">
      <c r="B3788" s="4">
        <v>41129</v>
      </c>
      <c r="C3788" s="7">
        <v>333.44</v>
      </c>
      <c r="D3788" s="6">
        <f t="shared" si="62"/>
        <v>-0.88974784581098687</v>
      </c>
      <c r="E3788" s="6">
        <v>-3.3178897025856035E-3</v>
      </c>
    </row>
    <row r="3789" spans="2:5" x14ac:dyDescent="0.3">
      <c r="B3789" s="4">
        <v>45572</v>
      </c>
      <c r="C3789" s="5">
        <v>3024.34</v>
      </c>
      <c r="D3789" s="6">
        <f t="shared" si="62"/>
        <v>1.8445100731739434</v>
      </c>
      <c r="E3789" s="6">
        <v>-3.3383094906193353E-3</v>
      </c>
    </row>
    <row r="3790" spans="2:5" x14ac:dyDescent="0.3">
      <c r="B3790" s="4">
        <v>43136</v>
      </c>
      <c r="C3790" s="5">
        <v>1063.22</v>
      </c>
      <c r="D3790" s="6">
        <f t="shared" si="62"/>
        <v>-0.555095260213326</v>
      </c>
      <c r="E3790" s="6">
        <v>-3.3464880623177351E-3</v>
      </c>
    </row>
    <row r="3791" spans="2:5" x14ac:dyDescent="0.3">
      <c r="B3791" s="4">
        <v>45853</v>
      </c>
      <c r="C3791" s="5">
        <v>2389.77</v>
      </c>
      <c r="D3791" s="6">
        <f t="shared" si="62"/>
        <v>-0.2311624719701186</v>
      </c>
      <c r="E3791" s="6">
        <v>-3.3738416754940425E-3</v>
      </c>
    </row>
    <row r="3792" spans="2:5" x14ac:dyDescent="0.3">
      <c r="B3792" s="4">
        <v>45155</v>
      </c>
      <c r="C3792" s="5">
        <v>3108.29</v>
      </c>
      <c r="D3792" s="6">
        <f t="shared" si="62"/>
        <v>30.217133674801648</v>
      </c>
      <c r="E3792" s="6">
        <v>-3.3826679149940946E-3</v>
      </c>
    </row>
    <row r="3793" spans="2:5" x14ac:dyDescent="0.3">
      <c r="B3793" s="4">
        <v>39541</v>
      </c>
      <c r="C3793" s="7">
        <v>99.57</v>
      </c>
      <c r="D3793" s="6">
        <f t="shared" si="62"/>
        <v>3.0745341614906822E-2</v>
      </c>
      <c r="E3793" s="6">
        <v>-3.4030627564808672E-3</v>
      </c>
    </row>
    <row r="3794" spans="2:5" x14ac:dyDescent="0.3">
      <c r="B3794" s="4">
        <v>39491</v>
      </c>
      <c r="C3794" s="7">
        <v>96.6</v>
      </c>
      <c r="D3794" s="6">
        <f t="shared" si="62"/>
        <v>3.1282051282051277</v>
      </c>
      <c r="E3794" s="6">
        <v>-3.4045187248531155E-3</v>
      </c>
    </row>
    <row r="3795" spans="2:5" x14ac:dyDescent="0.3">
      <c r="B3795" s="4">
        <v>37944</v>
      </c>
      <c r="C3795" s="7">
        <v>23.4</v>
      </c>
      <c r="D3795" s="6">
        <f t="shared" si="62"/>
        <v>-0.71260132645541641</v>
      </c>
      <c r="E3795" s="6">
        <v>-3.4071550255537412E-3</v>
      </c>
    </row>
    <row r="3796" spans="2:5" x14ac:dyDescent="0.3">
      <c r="B3796" s="4">
        <v>39378</v>
      </c>
      <c r="C3796" s="7">
        <v>81.42</v>
      </c>
      <c r="D3796" s="6">
        <f t="shared" si="62"/>
        <v>-0.97368608161128312</v>
      </c>
      <c r="E3796" s="6">
        <v>-3.427172582619353E-3</v>
      </c>
    </row>
    <row r="3797" spans="2:5" x14ac:dyDescent="0.3">
      <c r="B3797" s="4">
        <v>45161</v>
      </c>
      <c r="C3797" s="5">
        <v>3094.18</v>
      </c>
      <c r="D3797" s="6">
        <f t="shared" si="62"/>
        <v>2.7004197710991784</v>
      </c>
      <c r="E3797" s="6">
        <v>-3.4301394923393846E-3</v>
      </c>
    </row>
    <row r="3798" spans="2:5" x14ac:dyDescent="0.3">
      <c r="B3798" s="4">
        <v>42720</v>
      </c>
      <c r="C3798" s="7">
        <v>836.17</v>
      </c>
      <c r="D3798" s="6">
        <f t="shared" si="62"/>
        <v>6.7862929509265291</v>
      </c>
      <c r="E3798" s="6">
        <v>-3.4324533698826E-3</v>
      </c>
    </row>
    <row r="3799" spans="2:5" x14ac:dyDescent="0.3">
      <c r="B3799" s="4">
        <v>39570</v>
      </c>
      <c r="C3799" s="7">
        <v>107.39</v>
      </c>
      <c r="D3799" s="6">
        <f t="shared" si="62"/>
        <v>-0.96827258572960651</v>
      </c>
      <c r="E3799" s="6">
        <v>-3.4335560504825959E-3</v>
      </c>
    </row>
    <row r="3800" spans="2:5" x14ac:dyDescent="0.3">
      <c r="B3800" s="4">
        <v>44567</v>
      </c>
      <c r="C3800" s="5">
        <v>3384.77</v>
      </c>
      <c r="D3800" s="6">
        <f t="shared" si="62"/>
        <v>0.20328980813600062</v>
      </c>
      <c r="E3800" s="6">
        <v>-3.4447529346644662E-3</v>
      </c>
    </row>
    <row r="3801" spans="2:5" x14ac:dyDescent="0.3">
      <c r="B3801" s="4">
        <v>45043</v>
      </c>
      <c r="C3801" s="5">
        <v>2812.93</v>
      </c>
      <c r="D3801" s="6">
        <f t="shared" si="62"/>
        <v>2.6894756171139265</v>
      </c>
      <c r="E3801" s="6">
        <v>-3.4541641277084189E-3</v>
      </c>
    </row>
    <row r="3802" spans="2:5" x14ac:dyDescent="0.3">
      <c r="B3802" s="4">
        <v>42068</v>
      </c>
      <c r="C3802" s="7">
        <v>762.42</v>
      </c>
      <c r="D3802" s="6">
        <f t="shared" si="62"/>
        <v>32.191989551589025</v>
      </c>
      <c r="E3802" s="6">
        <v>-3.4637353444784019E-3</v>
      </c>
    </row>
    <row r="3803" spans="2:5" x14ac:dyDescent="0.3">
      <c r="B3803" s="4">
        <v>38133</v>
      </c>
      <c r="C3803" s="7">
        <v>22.97</v>
      </c>
      <c r="D3803" s="6">
        <f t="shared" si="62"/>
        <v>-0.72338631984585744</v>
      </c>
      <c r="E3803" s="6">
        <v>-3.4707158351410779E-3</v>
      </c>
    </row>
    <row r="3804" spans="2:5" x14ac:dyDescent="0.3">
      <c r="B3804" s="4">
        <v>39419</v>
      </c>
      <c r="C3804" s="7">
        <v>83.04</v>
      </c>
      <c r="D3804" s="6">
        <f t="shared" si="62"/>
        <v>2.2261072261072266</v>
      </c>
      <c r="E3804" s="6">
        <v>-3.4801392055681273E-3</v>
      </c>
    </row>
    <row r="3805" spans="2:5" x14ac:dyDescent="0.3">
      <c r="B3805" s="4">
        <v>38006</v>
      </c>
      <c r="C3805" s="7">
        <v>25.74</v>
      </c>
      <c r="D3805" s="6">
        <f t="shared" si="62"/>
        <v>-0.99108200810726543</v>
      </c>
      <c r="E3805" s="6">
        <v>-3.484320557491284E-3</v>
      </c>
    </row>
    <row r="3806" spans="2:5" x14ac:dyDescent="0.3">
      <c r="B3806" s="4">
        <v>46035</v>
      </c>
      <c r="C3806" s="5">
        <v>2886.3</v>
      </c>
      <c r="D3806" s="6">
        <f t="shared" si="62"/>
        <v>6.0142652312328373</v>
      </c>
      <c r="E3806" s="6">
        <v>-3.487087418864766E-3</v>
      </c>
    </row>
    <row r="3807" spans="2:5" x14ac:dyDescent="0.3">
      <c r="B3807" s="4">
        <v>41446</v>
      </c>
      <c r="C3807" s="7">
        <v>411.49</v>
      </c>
      <c r="D3807" s="6">
        <f t="shared" si="62"/>
        <v>5.584893582973276</v>
      </c>
      <c r="E3807" s="6">
        <v>-3.4872738720848513E-3</v>
      </c>
    </row>
    <row r="3808" spans="2:5" x14ac:dyDescent="0.3">
      <c r="B3808" s="4">
        <v>39135</v>
      </c>
      <c r="C3808" s="7">
        <v>62.49</v>
      </c>
      <c r="D3808" s="6">
        <f t="shared" si="62"/>
        <v>-0.77281320439176904</v>
      </c>
      <c r="E3808" s="6">
        <v>-3.5082124063147641E-3</v>
      </c>
    </row>
    <row r="3809" spans="2:5" x14ac:dyDescent="0.3">
      <c r="B3809" s="4">
        <v>40745</v>
      </c>
      <c r="C3809" s="7">
        <v>275.06</v>
      </c>
      <c r="D3809" s="6">
        <f t="shared" si="62"/>
        <v>-0.88307260669954091</v>
      </c>
      <c r="E3809" s="6">
        <v>-3.5141107850594883E-3</v>
      </c>
    </row>
    <row r="3810" spans="2:5" x14ac:dyDescent="0.3">
      <c r="B3810" s="4">
        <v>46125</v>
      </c>
      <c r="C3810" s="5">
        <v>2352.4</v>
      </c>
      <c r="D3810" s="6">
        <f t="shared" si="62"/>
        <v>138.11295091661739</v>
      </c>
      <c r="E3810" s="6">
        <v>-3.5159062989790009E-3</v>
      </c>
    </row>
    <row r="3811" spans="2:5" x14ac:dyDescent="0.3">
      <c r="B3811" s="4">
        <v>37753</v>
      </c>
      <c r="C3811" s="7">
        <v>16.91</v>
      </c>
      <c r="D3811" s="6">
        <f t="shared" si="62"/>
        <v>-0.96076839199127662</v>
      </c>
      <c r="E3811" s="6">
        <v>-3.5356511490865481E-3</v>
      </c>
    </row>
    <row r="3812" spans="2:5" x14ac:dyDescent="0.3">
      <c r="B3812" s="4">
        <v>41666</v>
      </c>
      <c r="C3812" s="7">
        <v>431.03</v>
      </c>
      <c r="D3812" s="6">
        <f t="shared" si="62"/>
        <v>18.131380381713271</v>
      </c>
      <c r="E3812" s="6">
        <v>-3.5370815609395913E-3</v>
      </c>
    </row>
    <row r="3813" spans="2:5" x14ac:dyDescent="0.3">
      <c r="B3813" s="4">
        <v>38139</v>
      </c>
      <c r="C3813" s="7">
        <v>22.53</v>
      </c>
      <c r="D3813" s="6">
        <f t="shared" si="62"/>
        <v>-0.99190229560754339</v>
      </c>
      <c r="E3813" s="6">
        <v>-3.5382574082263732E-3</v>
      </c>
    </row>
    <row r="3814" spans="2:5" x14ac:dyDescent="0.3">
      <c r="B3814" s="4">
        <v>45397</v>
      </c>
      <c r="C3814" s="5">
        <v>2782.27</v>
      </c>
      <c r="D3814" s="6">
        <f t="shared" si="62"/>
        <v>9.1873604042327255</v>
      </c>
      <c r="E3814" s="6">
        <v>-3.5384918432033053E-3</v>
      </c>
    </row>
    <row r="3815" spans="2:5" x14ac:dyDescent="0.3">
      <c r="B3815" s="4">
        <v>40809</v>
      </c>
      <c r="C3815" s="7">
        <v>273.11</v>
      </c>
      <c r="D3815" s="6">
        <f t="shared" si="62"/>
        <v>7.838511326860842</v>
      </c>
      <c r="E3815" s="6">
        <v>-3.5391126678341015E-3</v>
      </c>
    </row>
    <row r="3816" spans="2:5" x14ac:dyDescent="0.3">
      <c r="B3816" s="4">
        <v>38462</v>
      </c>
      <c r="C3816" s="7">
        <v>30.9</v>
      </c>
      <c r="D3816" s="6">
        <f t="shared" si="62"/>
        <v>-0.9886415432797635</v>
      </c>
      <c r="E3816" s="6">
        <v>-3.5472428248952913E-3</v>
      </c>
    </row>
    <row r="3817" spans="2:5" x14ac:dyDescent="0.3">
      <c r="B3817" s="4">
        <v>44967</v>
      </c>
      <c r="C3817" s="5">
        <v>2720.44</v>
      </c>
      <c r="D3817" s="6">
        <f t="shared" si="62"/>
        <v>8.7106550062466539</v>
      </c>
      <c r="E3817" s="6">
        <v>-3.552931351505717E-3</v>
      </c>
    </row>
    <row r="3818" spans="2:5" x14ac:dyDescent="0.3">
      <c r="B3818" s="4">
        <v>40980</v>
      </c>
      <c r="C3818" s="7">
        <v>280.14999999999998</v>
      </c>
      <c r="D3818" s="6">
        <f t="shared" si="62"/>
        <v>1.943061245929194</v>
      </c>
      <c r="E3818" s="6">
        <v>-3.556820202738752E-3</v>
      </c>
    </row>
    <row r="3819" spans="2:5" x14ac:dyDescent="0.3">
      <c r="B3819" s="4">
        <v>39504</v>
      </c>
      <c r="C3819" s="7">
        <v>95.19</v>
      </c>
      <c r="D3819" s="6">
        <f t="shared" si="62"/>
        <v>-0.96599907844965227</v>
      </c>
      <c r="E3819" s="6">
        <v>-3.5590913849053011E-3</v>
      </c>
    </row>
    <row r="3820" spans="2:5" x14ac:dyDescent="0.3">
      <c r="B3820" s="4">
        <v>44351</v>
      </c>
      <c r="C3820" s="5">
        <v>2799.63</v>
      </c>
      <c r="D3820" s="6">
        <f t="shared" si="62"/>
        <v>7.0409857253640462</v>
      </c>
      <c r="E3820" s="6">
        <v>-3.5591875086755194E-3</v>
      </c>
    </row>
    <row r="3821" spans="2:5" x14ac:dyDescent="0.3">
      <c r="B3821" s="4">
        <v>41207</v>
      </c>
      <c r="C3821" s="7">
        <v>348.17</v>
      </c>
      <c r="D3821" s="6">
        <f t="shared" si="62"/>
        <v>-0.56085717168659499</v>
      </c>
      <c r="E3821" s="6">
        <v>-3.5773567626352239E-3</v>
      </c>
    </row>
    <row r="3822" spans="2:5" x14ac:dyDescent="0.3">
      <c r="B3822" s="4">
        <v>42291</v>
      </c>
      <c r="C3822" s="7">
        <v>792.84</v>
      </c>
      <c r="D3822" s="6">
        <f t="shared" si="62"/>
        <v>-0.73941166803615443</v>
      </c>
      <c r="E3822" s="6">
        <v>-3.5817969309656053E-3</v>
      </c>
    </row>
    <row r="3823" spans="2:5" x14ac:dyDescent="0.3">
      <c r="B3823" s="4">
        <v>44504</v>
      </c>
      <c r="C3823" s="5">
        <v>3042.5</v>
      </c>
      <c r="D3823" s="6">
        <f t="shared" si="62"/>
        <v>-2.8774452219214423E-2</v>
      </c>
      <c r="E3823" s="6">
        <v>-3.5958971403120435E-3</v>
      </c>
    </row>
    <row r="3824" spans="2:5" x14ac:dyDescent="0.3">
      <c r="B3824" s="4">
        <v>44608</v>
      </c>
      <c r="C3824" s="5">
        <v>3132.64</v>
      </c>
      <c r="D3824" s="6">
        <f t="shared" si="62"/>
        <v>0.22077861346011457</v>
      </c>
      <c r="E3824" s="6">
        <v>-3.6005547144366224E-3</v>
      </c>
    </row>
    <row r="3825" spans="2:5" x14ac:dyDescent="0.3">
      <c r="B3825" s="4">
        <v>45889</v>
      </c>
      <c r="C3825" s="5">
        <v>2566.1</v>
      </c>
      <c r="D3825" s="6">
        <f t="shared" si="62"/>
        <v>11.558606176283462</v>
      </c>
      <c r="E3825" s="6">
        <v>-3.6033517383843158E-3</v>
      </c>
    </row>
    <row r="3826" spans="2:5" x14ac:dyDescent="0.3">
      <c r="B3826" s="4">
        <v>40366</v>
      </c>
      <c r="C3826" s="7">
        <v>204.33</v>
      </c>
      <c r="D3826" s="6">
        <f t="shared" si="62"/>
        <v>-0.46956205705978549</v>
      </c>
      <c r="E3826" s="6">
        <v>-3.6085239186618261E-3</v>
      </c>
    </row>
    <row r="3827" spans="2:5" x14ac:dyDescent="0.3">
      <c r="B3827" s="4">
        <v>41254</v>
      </c>
      <c r="C3827" s="7">
        <v>385.21</v>
      </c>
      <c r="D3827" s="6">
        <f t="shared" si="62"/>
        <v>0.15741241511928367</v>
      </c>
      <c r="E3827" s="6">
        <v>-3.6212203512584621E-3</v>
      </c>
    </row>
    <row r="3828" spans="2:5" x14ac:dyDescent="0.3">
      <c r="B3828" s="4">
        <v>41045</v>
      </c>
      <c r="C3828" s="7">
        <v>332.82</v>
      </c>
      <c r="D3828" s="6">
        <f t="shared" si="62"/>
        <v>-0.8539942969949551</v>
      </c>
      <c r="E3828" s="6">
        <v>-3.6224291231325917E-3</v>
      </c>
    </row>
    <row r="3829" spans="2:5" x14ac:dyDescent="0.3">
      <c r="B3829" s="4">
        <v>46087</v>
      </c>
      <c r="C3829" s="5">
        <v>2279.5</v>
      </c>
      <c r="D3829" s="6">
        <f t="shared" si="62"/>
        <v>1.2653416149068324</v>
      </c>
      <c r="E3829" s="6">
        <v>-3.627939505201583E-3</v>
      </c>
    </row>
    <row r="3830" spans="2:5" x14ac:dyDescent="0.3">
      <c r="B3830" s="4">
        <v>42832</v>
      </c>
      <c r="C3830" s="5">
        <v>1006.25</v>
      </c>
      <c r="D3830" s="6">
        <f t="shared" si="62"/>
        <v>-6.5951916829109766E-2</v>
      </c>
      <c r="E3830" s="6">
        <v>-3.6339512040557266E-3</v>
      </c>
    </row>
    <row r="3831" spans="2:5" x14ac:dyDescent="0.3">
      <c r="B3831" s="4">
        <v>42976</v>
      </c>
      <c r="C3831" s="5">
        <v>1077.3</v>
      </c>
      <c r="D3831" s="6">
        <f t="shared" si="62"/>
        <v>-0.63954589407540996</v>
      </c>
      <c r="E3831" s="6">
        <v>-3.6347493132821542E-3</v>
      </c>
    </row>
    <row r="3832" spans="2:5" x14ac:dyDescent="0.3">
      <c r="B3832" s="4">
        <v>45224</v>
      </c>
      <c r="C3832" s="5">
        <v>2988.73</v>
      </c>
      <c r="D3832" s="6">
        <f t="shared" si="62"/>
        <v>3.2665443526513453E-2</v>
      </c>
      <c r="E3832" s="6">
        <v>-3.6437462912462869E-3</v>
      </c>
    </row>
    <row r="3833" spans="2:5" x14ac:dyDescent="0.3">
      <c r="B3833" s="4">
        <v>44690</v>
      </c>
      <c r="C3833" s="5">
        <v>2894.19</v>
      </c>
      <c r="D3833" s="6">
        <f t="shared" si="62"/>
        <v>41.474170824772528</v>
      </c>
      <c r="E3833" s="6">
        <v>-3.6491450328594872E-3</v>
      </c>
    </row>
    <row r="3834" spans="2:5" x14ac:dyDescent="0.3">
      <c r="B3834" s="4">
        <v>39219</v>
      </c>
      <c r="C3834" s="7">
        <v>68.14</v>
      </c>
      <c r="D3834" s="6">
        <f t="shared" si="62"/>
        <v>3.1701346389228884</v>
      </c>
      <c r="E3834" s="6">
        <v>-3.6555051908173709E-3</v>
      </c>
    </row>
    <row r="3835" spans="2:5" x14ac:dyDescent="0.3">
      <c r="B3835" s="4">
        <v>37712</v>
      </c>
      <c r="C3835" s="7">
        <v>16.34</v>
      </c>
      <c r="D3835" s="6">
        <f t="shared" si="62"/>
        <v>-0.97978898413051807</v>
      </c>
      <c r="E3835" s="6">
        <v>-3.6585365853657758E-3</v>
      </c>
    </row>
    <row r="3836" spans="2:5" x14ac:dyDescent="0.3">
      <c r="B3836" s="4">
        <v>42296</v>
      </c>
      <c r="C3836" s="7">
        <v>808.47</v>
      </c>
      <c r="D3836" s="6">
        <f t="shared" si="62"/>
        <v>-0.26388964763725753</v>
      </c>
      <c r="E3836" s="6">
        <v>-3.6847164370394214E-3</v>
      </c>
    </row>
    <row r="3837" spans="2:5" x14ac:dyDescent="0.3">
      <c r="B3837" s="4">
        <v>43031</v>
      </c>
      <c r="C3837" s="5">
        <v>1098.3</v>
      </c>
      <c r="D3837" s="6">
        <f t="shared" si="62"/>
        <v>66.880098887515445</v>
      </c>
      <c r="E3837" s="6">
        <v>-3.6920453205366043E-3</v>
      </c>
    </row>
    <row r="3838" spans="2:5" x14ac:dyDescent="0.3">
      <c r="B3838" s="4">
        <v>37617</v>
      </c>
      <c r="C3838" s="7">
        <v>16.18</v>
      </c>
      <c r="D3838" s="6">
        <f t="shared" si="62"/>
        <v>-0.87754484220086271</v>
      </c>
      <c r="E3838" s="6">
        <v>-3.6945812807880991E-3</v>
      </c>
    </row>
    <row r="3839" spans="2:5" x14ac:dyDescent="0.3">
      <c r="B3839" s="4">
        <v>40108</v>
      </c>
      <c r="C3839" s="7">
        <v>132.13</v>
      </c>
      <c r="D3839" s="6">
        <f t="shared" si="62"/>
        <v>-0.95565259126745716</v>
      </c>
      <c r="E3839" s="6">
        <v>-3.6947670034686254E-3</v>
      </c>
    </row>
    <row r="3840" spans="2:5" x14ac:dyDescent="0.3">
      <c r="B3840" s="4">
        <v>44882</v>
      </c>
      <c r="C3840" s="5">
        <v>2979.43</v>
      </c>
      <c r="D3840" s="6">
        <f t="shared" si="62"/>
        <v>0.90731126489171698</v>
      </c>
      <c r="E3840" s="6">
        <v>-3.7150481184000639E-3</v>
      </c>
    </row>
    <row r="3841" spans="2:5" x14ac:dyDescent="0.3">
      <c r="B3841" s="4">
        <v>43992</v>
      </c>
      <c r="C3841" s="5">
        <v>1562.11</v>
      </c>
      <c r="D3841" s="6">
        <f t="shared" si="62"/>
        <v>-0.50364140139936575</v>
      </c>
      <c r="E3841" s="6">
        <v>-3.7182545250456999E-3</v>
      </c>
    </row>
    <row r="3842" spans="2:5" x14ac:dyDescent="0.3">
      <c r="B3842" s="4">
        <v>44553</v>
      </c>
      <c r="C3842" s="5">
        <v>3147.14</v>
      </c>
      <c r="D3842" s="6">
        <f t="shared" si="62"/>
        <v>9.08063705526575E-2</v>
      </c>
      <c r="E3842" s="6">
        <v>-3.7196610201684771E-3</v>
      </c>
    </row>
    <row r="3843" spans="2:5" x14ac:dyDescent="0.3">
      <c r="B3843" s="4">
        <v>44389</v>
      </c>
      <c r="C3843" s="5">
        <v>2885.15</v>
      </c>
      <c r="D3843" s="6">
        <f t="shared" si="62"/>
        <v>2.3239438242376065</v>
      </c>
      <c r="E3843" s="6">
        <v>-3.7224656673330316E-3</v>
      </c>
    </row>
    <row r="3844" spans="2:5" x14ac:dyDescent="0.3">
      <c r="B3844" s="4">
        <v>42710</v>
      </c>
      <c r="C3844" s="7">
        <v>867.99</v>
      </c>
      <c r="D3844" s="6">
        <f t="shared" si="62"/>
        <v>7.5541539371242727</v>
      </c>
      <c r="E3844" s="6">
        <v>-3.730315412515495E-3</v>
      </c>
    </row>
    <row r="3845" spans="2:5" x14ac:dyDescent="0.3">
      <c r="B3845" s="4">
        <v>39700</v>
      </c>
      <c r="C3845" s="7">
        <v>101.47</v>
      </c>
      <c r="D3845" s="6">
        <f t="shared" si="62"/>
        <v>-0.56799216621253401</v>
      </c>
      <c r="E3845" s="6">
        <v>-3.730976926853171E-3</v>
      </c>
    </row>
    <row r="3846" spans="2:5" x14ac:dyDescent="0.3">
      <c r="B3846" s="4">
        <v>40897</v>
      </c>
      <c r="C3846" s="7">
        <v>234.88</v>
      </c>
      <c r="D3846" s="6">
        <f t="shared" si="62"/>
        <v>-0.90761230839426821</v>
      </c>
      <c r="E3846" s="6">
        <v>-3.7326094333220033E-3</v>
      </c>
    </row>
    <row r="3847" spans="2:5" x14ac:dyDescent="0.3">
      <c r="B3847" s="4">
        <v>45912</v>
      </c>
      <c r="C3847" s="5">
        <v>2542.33</v>
      </c>
      <c r="D3847" s="6">
        <f t="shared" si="62"/>
        <v>0.68526939598027259</v>
      </c>
      <c r="E3847" s="6">
        <v>-3.757954794821211E-3</v>
      </c>
    </row>
    <row r="3848" spans="2:5" x14ac:dyDescent="0.3">
      <c r="B3848" s="4">
        <v>43698</v>
      </c>
      <c r="C3848" s="5">
        <v>1508.56</v>
      </c>
      <c r="D3848" s="6">
        <f t="shared" ref="D3848:D3911" si="63">((C3848-C3849)/C3849)</f>
        <v>-0.48448563383362042</v>
      </c>
      <c r="E3848" s="6">
        <v>-3.7642148640260231E-3</v>
      </c>
    </row>
    <row r="3849" spans="2:5" x14ac:dyDescent="0.3">
      <c r="B3849" s="4">
        <v>44930</v>
      </c>
      <c r="C3849" s="5">
        <v>2926.32</v>
      </c>
      <c r="D3849" s="6">
        <f t="shared" si="63"/>
        <v>11.719259355848221</v>
      </c>
      <c r="E3849" s="6">
        <v>-3.7652601978633835E-3</v>
      </c>
    </row>
    <row r="3850" spans="2:5" x14ac:dyDescent="0.3">
      <c r="B3850" s="4">
        <v>40407</v>
      </c>
      <c r="C3850" s="7">
        <v>230.07</v>
      </c>
      <c r="D3850" s="6">
        <f t="shared" si="63"/>
        <v>1.1762202043132803</v>
      </c>
      <c r="E3850" s="6">
        <v>-3.7672122629254551E-3</v>
      </c>
    </row>
    <row r="3851" spans="2:5" x14ac:dyDescent="0.3">
      <c r="B3851" s="4">
        <v>39608</v>
      </c>
      <c r="C3851" s="7">
        <v>105.72</v>
      </c>
      <c r="D3851" s="6">
        <f t="shared" si="63"/>
        <v>-0.95780297678205795</v>
      </c>
      <c r="E3851" s="6">
        <v>-3.7693177534866723E-3</v>
      </c>
    </row>
    <row r="3852" spans="2:5" x14ac:dyDescent="0.3">
      <c r="B3852" s="4">
        <v>45958</v>
      </c>
      <c r="C3852" s="5">
        <v>2505.39</v>
      </c>
      <c r="D3852" s="6">
        <f t="shared" si="63"/>
        <v>-0.20500909099563061</v>
      </c>
      <c r="E3852" s="6">
        <v>-3.7735398905714133E-3</v>
      </c>
    </row>
    <row r="3853" spans="2:5" x14ac:dyDescent="0.3">
      <c r="B3853" s="4">
        <v>44557</v>
      </c>
      <c r="C3853" s="5">
        <v>3151.47</v>
      </c>
      <c r="D3853" s="6">
        <f t="shared" si="63"/>
        <v>1.293130838152033E-3</v>
      </c>
      <c r="E3853" s="6">
        <v>-3.774407996434245E-3</v>
      </c>
    </row>
    <row r="3854" spans="2:5" x14ac:dyDescent="0.3">
      <c r="B3854" s="4">
        <v>45174</v>
      </c>
      <c r="C3854" s="5">
        <v>3147.4</v>
      </c>
      <c r="D3854" s="6">
        <f t="shared" si="63"/>
        <v>0.42066587224208285</v>
      </c>
      <c r="E3854" s="6">
        <v>-3.7855768256862261E-3</v>
      </c>
    </row>
    <row r="3855" spans="2:5" x14ac:dyDescent="0.3">
      <c r="B3855" s="4">
        <v>45818</v>
      </c>
      <c r="C3855" s="5">
        <v>2215.44</v>
      </c>
      <c r="D3855" s="6">
        <f t="shared" si="63"/>
        <v>4.2109608373515233</v>
      </c>
      <c r="E3855" s="6">
        <v>-3.7951688040721867E-3</v>
      </c>
    </row>
    <row r="3856" spans="2:5" x14ac:dyDescent="0.3">
      <c r="B3856" s="4">
        <v>41673</v>
      </c>
      <c r="C3856" s="7">
        <v>425.15</v>
      </c>
      <c r="D3856" s="6">
        <f t="shared" si="63"/>
        <v>-0.85013042865200228</v>
      </c>
      <c r="E3856" s="6">
        <v>-3.7959556669869125E-3</v>
      </c>
    </row>
    <row r="3857" spans="2:5" x14ac:dyDescent="0.3">
      <c r="B3857" s="4">
        <v>45441</v>
      </c>
      <c r="C3857" s="5">
        <v>2836.8</v>
      </c>
      <c r="D3857" s="6">
        <f t="shared" si="63"/>
        <v>1.2491080631094904</v>
      </c>
      <c r="E3857" s="6">
        <v>-3.7961659075505232E-3</v>
      </c>
    </row>
    <row r="3858" spans="2:5" x14ac:dyDescent="0.3">
      <c r="B3858" s="4">
        <v>43451</v>
      </c>
      <c r="C3858" s="5">
        <v>1261.3</v>
      </c>
      <c r="D3858" s="6">
        <f t="shared" si="63"/>
        <v>-0.23953020053298604</v>
      </c>
      <c r="E3858" s="6">
        <v>-3.8069061384386448E-3</v>
      </c>
    </row>
    <row r="3859" spans="2:5" x14ac:dyDescent="0.3">
      <c r="B3859" s="4">
        <v>43812</v>
      </c>
      <c r="C3859" s="5">
        <v>1658.58</v>
      </c>
      <c r="D3859" s="6">
        <f t="shared" si="63"/>
        <v>7.1727604217995458</v>
      </c>
      <c r="E3859" s="6">
        <v>-3.8259407189405797E-3</v>
      </c>
    </row>
    <row r="3860" spans="2:5" x14ac:dyDescent="0.3">
      <c r="B3860" s="4">
        <v>40361</v>
      </c>
      <c r="C3860" s="7">
        <v>202.94</v>
      </c>
      <c r="D3860" s="6">
        <f t="shared" si="63"/>
        <v>2.7161691997802597</v>
      </c>
      <c r="E3860" s="6">
        <v>-3.828784606322409E-3</v>
      </c>
    </row>
    <row r="3861" spans="2:5" x14ac:dyDescent="0.3">
      <c r="B3861" s="4">
        <v>38761</v>
      </c>
      <c r="C3861" s="7">
        <v>54.61</v>
      </c>
      <c r="D3861" s="6">
        <f t="shared" si="63"/>
        <v>-0.88041954979416659</v>
      </c>
      <c r="E3861" s="6">
        <v>-3.8307187157971697E-3</v>
      </c>
    </row>
    <row r="3862" spans="2:5" x14ac:dyDescent="0.3">
      <c r="B3862" s="4">
        <v>41605</v>
      </c>
      <c r="C3862" s="7">
        <v>456.68</v>
      </c>
      <c r="D3862" s="6">
        <f t="shared" si="63"/>
        <v>5.7867439441224544</v>
      </c>
      <c r="E3862" s="6">
        <v>-3.8391065352063321E-3</v>
      </c>
    </row>
    <row r="3863" spans="2:5" x14ac:dyDescent="0.3">
      <c r="B3863" s="4">
        <v>39870</v>
      </c>
      <c r="C3863" s="7">
        <v>67.290000000000006</v>
      </c>
      <c r="D3863" s="6">
        <f t="shared" si="63"/>
        <v>-0.96144524468432546</v>
      </c>
      <c r="E3863" s="6">
        <v>-3.8490007401923154E-3</v>
      </c>
    </row>
    <row r="3864" spans="2:5" x14ac:dyDescent="0.3">
      <c r="B3864" s="4">
        <v>43846</v>
      </c>
      <c r="C3864" s="5">
        <v>1745.31</v>
      </c>
      <c r="D3864" s="6">
        <f t="shared" si="63"/>
        <v>1.0715108067368522</v>
      </c>
      <c r="E3864" s="6">
        <v>-3.852607787404541E-3</v>
      </c>
    </row>
    <row r="3865" spans="2:5" x14ac:dyDescent="0.3">
      <c r="B3865" s="4">
        <v>42717</v>
      </c>
      <c r="C3865" s="7">
        <v>842.53</v>
      </c>
      <c r="D3865" s="6">
        <f t="shared" si="63"/>
        <v>-0.2175176922934042</v>
      </c>
      <c r="E3865" s="6">
        <v>-3.854384658130258E-3</v>
      </c>
    </row>
    <row r="3866" spans="2:5" x14ac:dyDescent="0.3">
      <c r="B3866" s="4">
        <v>42957</v>
      </c>
      <c r="C3866" s="5">
        <v>1076.74</v>
      </c>
      <c r="D3866" s="6">
        <f t="shared" si="63"/>
        <v>17.960028173974294</v>
      </c>
      <c r="E3866" s="6">
        <v>-3.8578605064252089E-3</v>
      </c>
    </row>
    <row r="3867" spans="2:5" x14ac:dyDescent="0.3">
      <c r="B3867" s="4">
        <v>39023</v>
      </c>
      <c r="C3867" s="7">
        <v>56.79</v>
      </c>
      <c r="D3867" s="6">
        <f t="shared" si="63"/>
        <v>0.69269746646795838</v>
      </c>
      <c r="E3867" s="6">
        <v>-3.858972110156093E-3</v>
      </c>
    </row>
    <row r="3868" spans="2:5" x14ac:dyDescent="0.3">
      <c r="B3868" s="4">
        <v>38547</v>
      </c>
      <c r="C3868" s="7">
        <v>33.549999999999997</v>
      </c>
      <c r="D3868" s="6">
        <f t="shared" si="63"/>
        <v>-0.55165040759053863</v>
      </c>
      <c r="E3868" s="6">
        <v>-3.8598574821853493E-3</v>
      </c>
    </row>
    <row r="3869" spans="2:5" x14ac:dyDescent="0.3">
      <c r="B3869" s="4">
        <v>39931</v>
      </c>
      <c r="C3869" s="7">
        <v>74.83</v>
      </c>
      <c r="D3869" s="6">
        <f t="shared" si="63"/>
        <v>-0.77135087236838085</v>
      </c>
      <c r="E3869" s="6">
        <v>-3.8604898828541829E-3</v>
      </c>
    </row>
    <row r="3870" spans="2:5" x14ac:dyDescent="0.3">
      <c r="B3870" s="4">
        <v>41148</v>
      </c>
      <c r="C3870" s="7">
        <v>327.27</v>
      </c>
      <c r="D3870" s="6">
        <f t="shared" si="63"/>
        <v>-0.8558142198803409</v>
      </c>
      <c r="E3870" s="6">
        <v>-3.8655871431181547E-3</v>
      </c>
    </row>
    <row r="3871" spans="2:5" x14ac:dyDescent="0.3">
      <c r="B3871" s="4">
        <v>45806</v>
      </c>
      <c r="C3871" s="5">
        <v>2269.7800000000002</v>
      </c>
      <c r="D3871" s="6">
        <f t="shared" si="63"/>
        <v>2.5181660363320733</v>
      </c>
      <c r="E3871" s="6">
        <v>-3.8664261670594293E-3</v>
      </c>
    </row>
    <row r="3872" spans="2:5" x14ac:dyDescent="0.3">
      <c r="B3872" s="4">
        <v>42167</v>
      </c>
      <c r="C3872" s="7">
        <v>645.16</v>
      </c>
      <c r="D3872" s="6">
        <f t="shared" si="63"/>
        <v>-0.32506878406511214</v>
      </c>
      <c r="E3872" s="6">
        <v>-3.8754303889326218E-3</v>
      </c>
    </row>
    <row r="3873" spans="2:5" x14ac:dyDescent="0.3">
      <c r="B3873" s="4">
        <v>42796</v>
      </c>
      <c r="C3873" s="7">
        <v>955.89</v>
      </c>
      <c r="D3873" s="6">
        <f t="shared" si="63"/>
        <v>30.025316455696206</v>
      </c>
      <c r="E3873" s="6">
        <v>-3.8765748585363087E-3</v>
      </c>
    </row>
    <row r="3874" spans="2:5" x14ac:dyDescent="0.3">
      <c r="B3874" s="4">
        <v>38457</v>
      </c>
      <c r="C3874" s="7">
        <v>30.81</v>
      </c>
      <c r="D3874" s="6">
        <f t="shared" si="63"/>
        <v>-0.98942309342762491</v>
      </c>
      <c r="E3874" s="6">
        <v>-3.8797284190107014E-3</v>
      </c>
    </row>
    <row r="3875" spans="2:5" x14ac:dyDescent="0.3">
      <c r="B3875" s="4">
        <v>44385</v>
      </c>
      <c r="C3875" s="5">
        <v>2912.95</v>
      </c>
      <c r="D3875" s="6">
        <f t="shared" si="63"/>
        <v>-6.5121667854139878E-2</v>
      </c>
      <c r="E3875" s="6">
        <v>-3.8812707314572251E-3</v>
      </c>
    </row>
    <row r="3876" spans="2:5" x14ac:dyDescent="0.3">
      <c r="B3876" s="4">
        <v>45085</v>
      </c>
      <c r="C3876" s="5">
        <v>3115.86</v>
      </c>
      <c r="D3876" s="6">
        <f t="shared" si="63"/>
        <v>39.571093750000003</v>
      </c>
      <c r="E3876" s="6">
        <v>-3.8906276474330718E-3</v>
      </c>
    </row>
    <row r="3877" spans="2:5" x14ac:dyDescent="0.3">
      <c r="B3877" s="4">
        <v>39773</v>
      </c>
      <c r="C3877" s="7">
        <v>76.8</v>
      </c>
      <c r="D3877" s="6">
        <f t="shared" si="63"/>
        <v>-0.96856337059610886</v>
      </c>
      <c r="E3877" s="6">
        <v>-3.8910505836575512E-3</v>
      </c>
    </row>
    <row r="3878" spans="2:5" x14ac:dyDescent="0.3">
      <c r="B3878" s="4">
        <v>45629</v>
      </c>
      <c r="C3878" s="5">
        <v>2443.0100000000002</v>
      </c>
      <c r="D3878" s="6">
        <f t="shared" si="63"/>
        <v>105.26402783819054</v>
      </c>
      <c r="E3878" s="6">
        <v>-3.8938904654727009E-3</v>
      </c>
    </row>
    <row r="3879" spans="2:5" x14ac:dyDescent="0.3">
      <c r="B3879" s="4">
        <v>37903</v>
      </c>
      <c r="C3879" s="7">
        <v>22.99</v>
      </c>
      <c r="D3879" s="6">
        <f t="shared" si="63"/>
        <v>-0.18155927376290501</v>
      </c>
      <c r="E3879" s="6">
        <v>-3.8994800693240841E-3</v>
      </c>
    </row>
    <row r="3880" spans="2:5" x14ac:dyDescent="0.3">
      <c r="B3880" s="4">
        <v>38408</v>
      </c>
      <c r="C3880" s="7">
        <v>28.09</v>
      </c>
      <c r="D3880" s="6">
        <f t="shared" si="63"/>
        <v>-0.89966782155230918</v>
      </c>
      <c r="E3880" s="6">
        <v>-3.9007092198581361E-3</v>
      </c>
    </row>
    <row r="3881" spans="2:5" x14ac:dyDescent="0.3">
      <c r="B3881" s="4">
        <v>40742</v>
      </c>
      <c r="C3881" s="7">
        <v>279.97000000000003</v>
      </c>
      <c r="D3881" s="6">
        <f t="shared" si="63"/>
        <v>-0.90229560143501275</v>
      </c>
      <c r="E3881" s="6">
        <v>-3.9136158252391431E-3</v>
      </c>
    </row>
    <row r="3882" spans="2:5" x14ac:dyDescent="0.3">
      <c r="B3882" s="4">
        <v>45498</v>
      </c>
      <c r="C3882" s="5">
        <v>2865.48</v>
      </c>
      <c r="D3882" s="6">
        <f t="shared" si="63"/>
        <v>18.76465719409574</v>
      </c>
      <c r="E3882" s="6">
        <v>-3.9141528257679746E-3</v>
      </c>
    </row>
    <row r="3883" spans="2:5" x14ac:dyDescent="0.3">
      <c r="B3883" s="4">
        <v>40154</v>
      </c>
      <c r="C3883" s="7">
        <v>144.97999999999999</v>
      </c>
      <c r="D3883" s="6">
        <f t="shared" si="63"/>
        <v>-0.81107636174094344</v>
      </c>
      <c r="E3883" s="6">
        <v>-3.9161800068706395E-3</v>
      </c>
    </row>
    <row r="3884" spans="2:5" x14ac:dyDescent="0.3">
      <c r="B3884" s="4">
        <v>42019</v>
      </c>
      <c r="C3884" s="7">
        <v>767.4</v>
      </c>
      <c r="D3884" s="6">
        <f t="shared" si="63"/>
        <v>-2.0748794119898925E-2</v>
      </c>
      <c r="E3884" s="6">
        <v>-3.9199397731107472E-3</v>
      </c>
    </row>
    <row r="3885" spans="2:5" x14ac:dyDescent="0.3">
      <c r="B3885" s="4">
        <v>42452</v>
      </c>
      <c r="C3885" s="7">
        <v>783.66</v>
      </c>
      <c r="D3885" s="6">
        <f t="shared" si="63"/>
        <v>9.3086029992107342</v>
      </c>
      <c r="E3885" s="6">
        <v>-3.9275500476644827E-3</v>
      </c>
    </row>
    <row r="3886" spans="2:5" x14ac:dyDescent="0.3">
      <c r="B3886" s="4">
        <v>39780</v>
      </c>
      <c r="C3886" s="7">
        <v>76.02</v>
      </c>
      <c r="D3886" s="6">
        <f t="shared" si="63"/>
        <v>-0.92639070442992011</v>
      </c>
      <c r="E3886" s="6">
        <v>-3.9308176100628558E-3</v>
      </c>
    </row>
    <row r="3887" spans="2:5" x14ac:dyDescent="0.3">
      <c r="B3887" s="4">
        <v>43165</v>
      </c>
      <c r="C3887" s="5">
        <v>1032.75</v>
      </c>
      <c r="D3887" s="6">
        <f t="shared" si="63"/>
        <v>3.250874665569047</v>
      </c>
      <c r="E3887" s="6">
        <v>-3.9350713231676628E-3</v>
      </c>
    </row>
    <row r="3888" spans="2:5" x14ac:dyDescent="0.3">
      <c r="B3888" s="4">
        <v>40448</v>
      </c>
      <c r="C3888" s="7">
        <v>242.95</v>
      </c>
      <c r="D3888" s="6">
        <f t="shared" si="63"/>
        <v>-0.92633012111030932</v>
      </c>
      <c r="E3888" s="6">
        <v>-3.9358779877824114E-3</v>
      </c>
    </row>
    <row r="3889" spans="2:5" x14ac:dyDescent="0.3">
      <c r="B3889" s="4">
        <v>45138</v>
      </c>
      <c r="C3889" s="5">
        <v>3297.82</v>
      </c>
      <c r="D3889" s="6">
        <f t="shared" si="63"/>
        <v>12.480297580117726</v>
      </c>
      <c r="E3889" s="6">
        <v>-3.9385537292425422E-3</v>
      </c>
    </row>
    <row r="3890" spans="2:5" x14ac:dyDescent="0.3">
      <c r="B3890" s="4">
        <v>40434</v>
      </c>
      <c r="C3890" s="7">
        <v>244.64</v>
      </c>
      <c r="D3890" s="6">
        <f t="shared" si="63"/>
        <v>9.7865961199294524</v>
      </c>
      <c r="E3890" s="6">
        <v>-3.9493505964741955E-3</v>
      </c>
    </row>
    <row r="3891" spans="2:5" x14ac:dyDescent="0.3">
      <c r="B3891" s="4">
        <v>38121</v>
      </c>
      <c r="C3891" s="7">
        <v>22.68</v>
      </c>
      <c r="D3891" s="6">
        <f t="shared" si="63"/>
        <v>-0.98013314646110716</v>
      </c>
      <c r="E3891" s="6">
        <v>-3.952569169960468E-3</v>
      </c>
    </row>
    <row r="3892" spans="2:5" x14ac:dyDescent="0.3">
      <c r="B3892" s="4">
        <v>43230</v>
      </c>
      <c r="C3892" s="5">
        <v>1141.5999999999999</v>
      </c>
      <c r="D3892" s="6">
        <f t="shared" si="63"/>
        <v>3.0674101257704769</v>
      </c>
      <c r="E3892" s="6">
        <v>-3.9698119792349884E-3</v>
      </c>
    </row>
    <row r="3893" spans="2:5" x14ac:dyDescent="0.3">
      <c r="B3893" s="4">
        <v>40798</v>
      </c>
      <c r="C3893" s="7">
        <v>280.67</v>
      </c>
      <c r="D3893" s="6">
        <f t="shared" si="63"/>
        <v>0.23290138370305297</v>
      </c>
      <c r="E3893" s="6">
        <v>-3.9745910074878614E-3</v>
      </c>
    </row>
    <row r="3894" spans="2:5" x14ac:dyDescent="0.3">
      <c r="B3894" s="4">
        <v>40389</v>
      </c>
      <c r="C3894" s="7">
        <v>227.65</v>
      </c>
      <c r="D3894" s="6">
        <f t="shared" si="63"/>
        <v>-0.92144528257613922</v>
      </c>
      <c r="E3894" s="6">
        <v>-3.981449072453608E-3</v>
      </c>
    </row>
    <row r="3895" spans="2:5" x14ac:dyDescent="0.3">
      <c r="B3895" s="4">
        <v>45495</v>
      </c>
      <c r="C3895" s="5">
        <v>2897.98</v>
      </c>
      <c r="D3895" s="6">
        <f t="shared" si="63"/>
        <v>128.1434937611408</v>
      </c>
      <c r="E3895" s="6">
        <v>-3.9868297142542598E-3</v>
      </c>
    </row>
    <row r="3896" spans="2:5" x14ac:dyDescent="0.3">
      <c r="B3896" s="4">
        <v>38140</v>
      </c>
      <c r="C3896" s="7">
        <v>22.44</v>
      </c>
      <c r="D3896" s="6">
        <f t="shared" si="63"/>
        <v>-0.93228317943146843</v>
      </c>
      <c r="E3896" s="6">
        <v>-3.9946737683089146E-3</v>
      </c>
    </row>
    <row r="3897" spans="2:5" x14ac:dyDescent="0.3">
      <c r="B3897" s="4">
        <v>41103</v>
      </c>
      <c r="C3897" s="7">
        <v>331.38</v>
      </c>
      <c r="D3897" s="6">
        <f t="shared" si="63"/>
        <v>-0.74815895670413346</v>
      </c>
      <c r="E3897" s="6">
        <v>-3.9974752787712547E-3</v>
      </c>
    </row>
    <row r="3898" spans="2:5" x14ac:dyDescent="0.3">
      <c r="B3898" s="4">
        <v>43511</v>
      </c>
      <c r="C3898" s="5">
        <v>1315.83</v>
      </c>
      <c r="D3898" s="6">
        <f t="shared" si="63"/>
        <v>4.631387486090901</v>
      </c>
      <c r="E3898" s="6">
        <v>-4.0041782729804739E-3</v>
      </c>
    </row>
    <row r="3899" spans="2:5" x14ac:dyDescent="0.3">
      <c r="B3899" s="4">
        <v>40564</v>
      </c>
      <c r="C3899" s="7">
        <v>233.66</v>
      </c>
      <c r="D3899" s="6">
        <f t="shared" si="63"/>
        <v>-0.74360831303355501</v>
      </c>
      <c r="E3899" s="6">
        <v>-4.0068201193520789E-3</v>
      </c>
    </row>
    <row r="3900" spans="2:5" x14ac:dyDescent="0.3">
      <c r="B3900" s="4">
        <v>42780</v>
      </c>
      <c r="C3900" s="7">
        <v>911.34</v>
      </c>
      <c r="D3900" s="6">
        <f t="shared" si="63"/>
        <v>-0.66965952464667478</v>
      </c>
      <c r="E3900" s="6">
        <v>-4.0108851269384585E-3</v>
      </c>
    </row>
    <row r="3901" spans="2:5" x14ac:dyDescent="0.3">
      <c r="B3901" s="4">
        <v>45356</v>
      </c>
      <c r="C3901" s="5">
        <v>2758.79</v>
      </c>
      <c r="D3901" s="6">
        <f t="shared" si="63"/>
        <v>-1.0959503255227064E-2</v>
      </c>
      <c r="E3901" s="6">
        <v>-4.0109751254558384E-3</v>
      </c>
    </row>
    <row r="3902" spans="2:5" x14ac:dyDescent="0.3">
      <c r="B3902" s="4">
        <v>44750</v>
      </c>
      <c r="C3902" s="5">
        <v>2789.36</v>
      </c>
      <c r="D3902" s="6">
        <f t="shared" si="63"/>
        <v>4.2588752097434064</v>
      </c>
      <c r="E3902" s="6">
        <v>-4.013425694493959E-3</v>
      </c>
    </row>
    <row r="3903" spans="2:5" x14ac:dyDescent="0.3">
      <c r="B3903" s="4">
        <v>41823</v>
      </c>
      <c r="C3903" s="7">
        <v>530.41</v>
      </c>
      <c r="D3903" s="6">
        <f t="shared" si="63"/>
        <v>-0.59769574418057847</v>
      </c>
      <c r="E3903" s="6">
        <v>-4.0184020279785682E-3</v>
      </c>
    </row>
    <row r="3904" spans="2:5" x14ac:dyDescent="0.3">
      <c r="B3904" s="4">
        <v>43475</v>
      </c>
      <c r="C3904" s="5">
        <v>1318.43</v>
      </c>
      <c r="D3904" s="6">
        <f t="shared" si="63"/>
        <v>-0.45814308083693289</v>
      </c>
      <c r="E3904" s="6">
        <v>-4.0264096210792947E-3</v>
      </c>
    </row>
    <row r="3905" spans="2:5" x14ac:dyDescent="0.3">
      <c r="B3905" s="4">
        <v>45630</v>
      </c>
      <c r="C3905" s="5">
        <v>2433.17</v>
      </c>
      <c r="D3905" s="6">
        <f t="shared" si="63"/>
        <v>24.934448944787892</v>
      </c>
      <c r="E3905" s="6">
        <v>-4.0278181423736067E-3</v>
      </c>
    </row>
    <row r="3906" spans="2:5" x14ac:dyDescent="0.3">
      <c r="B3906" s="4">
        <v>39987</v>
      </c>
      <c r="C3906" s="7">
        <v>93.82</v>
      </c>
      <c r="D3906" s="6">
        <f t="shared" si="63"/>
        <v>-0.77507671653241272</v>
      </c>
      <c r="E3906" s="6">
        <v>-4.0339702760085949E-3</v>
      </c>
    </row>
    <row r="3907" spans="2:5" x14ac:dyDescent="0.3">
      <c r="B3907" s="4">
        <v>41431</v>
      </c>
      <c r="C3907" s="7">
        <v>417.12</v>
      </c>
      <c r="D3907" s="6">
        <f t="shared" si="63"/>
        <v>-0.86224843629254377</v>
      </c>
      <c r="E3907" s="6">
        <v>-4.0352427114920793E-3</v>
      </c>
    </row>
    <row r="3908" spans="2:5" x14ac:dyDescent="0.3">
      <c r="B3908" s="4">
        <v>44525</v>
      </c>
      <c r="C3908" s="5">
        <v>3028.06</v>
      </c>
      <c r="D3908" s="6">
        <f t="shared" si="63"/>
        <v>0.32693251533742329</v>
      </c>
      <c r="E3908" s="6">
        <v>-4.0357461196646356E-3</v>
      </c>
    </row>
    <row r="3909" spans="2:5" x14ac:dyDescent="0.3">
      <c r="B3909" s="4">
        <v>45749</v>
      </c>
      <c r="C3909" s="5">
        <v>2282</v>
      </c>
      <c r="D3909" s="6">
        <f t="shared" si="63"/>
        <v>47.750267036957915</v>
      </c>
      <c r="E3909" s="6">
        <v>-4.0370976541189308E-3</v>
      </c>
    </row>
    <row r="3910" spans="2:5" x14ac:dyDescent="0.3">
      <c r="B3910" s="4">
        <v>38915</v>
      </c>
      <c r="C3910" s="7">
        <v>46.81</v>
      </c>
      <c r="D3910" s="6">
        <f t="shared" si="63"/>
        <v>-0.96206399118257269</v>
      </c>
      <c r="E3910" s="6">
        <v>-4.0425531914893131E-3</v>
      </c>
    </row>
    <row r="3911" spans="2:5" x14ac:dyDescent="0.3">
      <c r="B3911" s="4">
        <v>43424</v>
      </c>
      <c r="C3911" s="5">
        <v>1233.92</v>
      </c>
      <c r="D3911" s="6">
        <f t="shared" si="63"/>
        <v>3.2851884007640217</v>
      </c>
      <c r="E3911" s="6">
        <v>-4.0438119990637003E-3</v>
      </c>
    </row>
    <row r="3912" spans="2:5" x14ac:dyDescent="0.3">
      <c r="B3912" s="4">
        <v>40792</v>
      </c>
      <c r="C3912" s="7">
        <v>287.95</v>
      </c>
      <c r="D3912" s="6">
        <f t="shared" ref="D3912:D3975" si="64">((C3912-C3913)/C3913)</f>
        <v>-0.73161024532100516</v>
      </c>
      <c r="E3912" s="6">
        <v>-4.0467625899281122E-3</v>
      </c>
    </row>
    <row r="3913" spans="2:5" x14ac:dyDescent="0.3">
      <c r="B3913" s="4">
        <v>43097</v>
      </c>
      <c r="C3913" s="5">
        <v>1072.8800000000001</v>
      </c>
      <c r="D3913" s="6">
        <f t="shared" si="64"/>
        <v>-0.63967570544812158</v>
      </c>
      <c r="E3913" s="6">
        <v>-4.0473803423562993E-3</v>
      </c>
    </row>
    <row r="3914" spans="2:5" x14ac:dyDescent="0.3">
      <c r="B3914" s="4">
        <v>44916</v>
      </c>
      <c r="C3914" s="5">
        <v>2977.54</v>
      </c>
      <c r="D3914" s="6">
        <f t="shared" si="64"/>
        <v>3.2873763481115641</v>
      </c>
      <c r="E3914" s="6">
        <v>-4.053972692546942E-3</v>
      </c>
    </row>
    <row r="3915" spans="2:5" x14ac:dyDescent="0.3">
      <c r="B3915" s="4">
        <v>42159</v>
      </c>
      <c r="C3915" s="7">
        <v>694.49</v>
      </c>
      <c r="D3915" s="6">
        <f t="shared" si="64"/>
        <v>30.453351449275363</v>
      </c>
      <c r="E3915" s="6">
        <v>-4.0583949979923718E-3</v>
      </c>
    </row>
    <row r="3916" spans="2:5" x14ac:dyDescent="0.3">
      <c r="B3916" s="4">
        <v>38149</v>
      </c>
      <c r="C3916" s="7">
        <v>22.08</v>
      </c>
      <c r="D3916" s="6">
        <f t="shared" si="64"/>
        <v>-0.99290454231405756</v>
      </c>
      <c r="E3916" s="6">
        <v>-4.059539918809355E-3</v>
      </c>
    </row>
    <row r="3917" spans="2:5" x14ac:dyDescent="0.3">
      <c r="B3917" s="4">
        <v>44853</v>
      </c>
      <c r="C3917" s="5">
        <v>3111.85</v>
      </c>
      <c r="D3917" s="6">
        <f t="shared" si="64"/>
        <v>0.32500340634260994</v>
      </c>
      <c r="E3917" s="6">
        <v>-4.0613978377617363E-3</v>
      </c>
    </row>
    <row r="3918" spans="2:5" x14ac:dyDescent="0.3">
      <c r="B3918" s="4">
        <v>44230</v>
      </c>
      <c r="C3918" s="5">
        <v>2348.56</v>
      </c>
      <c r="D3918" s="6">
        <f t="shared" si="64"/>
        <v>21.857031630170315</v>
      </c>
      <c r="E3918" s="6">
        <v>-4.0625238535455608E-3</v>
      </c>
    </row>
    <row r="3919" spans="2:5" x14ac:dyDescent="0.3">
      <c r="B3919" s="4">
        <v>39589</v>
      </c>
      <c r="C3919" s="7">
        <v>102.75</v>
      </c>
      <c r="D3919" s="6">
        <f t="shared" si="64"/>
        <v>-0.9044363839285714</v>
      </c>
      <c r="E3919" s="6">
        <v>-4.0709508578075189E-3</v>
      </c>
    </row>
    <row r="3920" spans="2:5" x14ac:dyDescent="0.3">
      <c r="B3920" s="4">
        <v>42906</v>
      </c>
      <c r="C3920" s="5">
        <v>1075.2</v>
      </c>
      <c r="D3920" s="6">
        <f t="shared" si="64"/>
        <v>43.011461318051573</v>
      </c>
      <c r="E3920" s="6">
        <v>-4.0755835494626384E-3</v>
      </c>
    </row>
    <row r="3921" spans="2:5" x14ac:dyDescent="0.3">
      <c r="B3921" s="4">
        <v>38161</v>
      </c>
      <c r="C3921" s="7">
        <v>24.43</v>
      </c>
      <c r="D3921" s="6">
        <f t="shared" si="64"/>
        <v>-0.99154123948714223</v>
      </c>
      <c r="E3921" s="6">
        <v>-4.0766408479413537E-3</v>
      </c>
    </row>
    <row r="3922" spans="2:5" x14ac:dyDescent="0.3">
      <c r="B3922" s="4">
        <v>44383</v>
      </c>
      <c r="C3922" s="5">
        <v>2888.13</v>
      </c>
      <c r="D3922" s="6">
        <f t="shared" si="64"/>
        <v>12.034253994042784</v>
      </c>
      <c r="E3922" s="6">
        <v>-4.0828008565604789E-3</v>
      </c>
    </row>
    <row r="3923" spans="2:5" x14ac:dyDescent="0.3">
      <c r="B3923" s="4">
        <v>40633</v>
      </c>
      <c r="C3923" s="7">
        <v>221.58</v>
      </c>
      <c r="D3923" s="6">
        <f t="shared" si="64"/>
        <v>-0.83236749330468596</v>
      </c>
      <c r="E3923" s="6">
        <v>-4.0900714638860015E-3</v>
      </c>
    </row>
    <row r="3924" spans="2:5" x14ac:dyDescent="0.3">
      <c r="B3924" s="4">
        <v>43333</v>
      </c>
      <c r="C3924" s="5">
        <v>1321.82</v>
      </c>
      <c r="D3924" s="6">
        <f t="shared" si="64"/>
        <v>1.2981379418258949</v>
      </c>
      <c r="E3924" s="6">
        <v>-4.113676089446113E-3</v>
      </c>
    </row>
    <row r="3925" spans="2:5" x14ac:dyDescent="0.3">
      <c r="B3925" s="4">
        <v>41919</v>
      </c>
      <c r="C3925" s="7">
        <v>575.16999999999996</v>
      </c>
      <c r="D3925" s="6">
        <f t="shared" si="64"/>
        <v>7.5210370370370363</v>
      </c>
      <c r="E3925" s="6">
        <v>-4.1208553372002353E-3</v>
      </c>
    </row>
    <row r="3926" spans="2:5" x14ac:dyDescent="0.3">
      <c r="B3926" s="4">
        <v>39188</v>
      </c>
      <c r="C3926" s="7">
        <v>67.5</v>
      </c>
      <c r="D3926" s="6">
        <f t="shared" si="64"/>
        <v>-0.7954607436138299</v>
      </c>
      <c r="E3926" s="6">
        <v>-4.1310120979640179E-3</v>
      </c>
    </row>
    <row r="3927" spans="2:5" x14ac:dyDescent="0.3">
      <c r="B3927" s="4">
        <v>41106</v>
      </c>
      <c r="C3927" s="7">
        <v>330.01</v>
      </c>
      <c r="D3927" s="6">
        <f t="shared" si="64"/>
        <v>0.39917747816501303</v>
      </c>
      <c r="E3927" s="6">
        <v>-4.1342265676866576E-3</v>
      </c>
    </row>
    <row r="3928" spans="2:5" x14ac:dyDescent="0.3">
      <c r="B3928" s="4">
        <v>40914</v>
      </c>
      <c r="C3928" s="7">
        <v>235.86</v>
      </c>
      <c r="D3928" s="6">
        <f t="shared" si="64"/>
        <v>-0.91906526662548893</v>
      </c>
      <c r="E3928" s="6">
        <v>-4.1378145583515864E-3</v>
      </c>
    </row>
    <row r="3929" spans="2:5" x14ac:dyDescent="0.3">
      <c r="B3929" s="4">
        <v>44931</v>
      </c>
      <c r="C3929" s="5">
        <v>2914.2</v>
      </c>
      <c r="D3929" s="6">
        <f t="shared" si="64"/>
        <v>51.717076700434149</v>
      </c>
      <c r="E3929" s="6">
        <v>-4.1417206593948527E-3</v>
      </c>
    </row>
    <row r="3930" spans="2:5" x14ac:dyDescent="0.3">
      <c r="B3930" s="4">
        <v>38993</v>
      </c>
      <c r="C3930" s="7">
        <v>55.28</v>
      </c>
      <c r="D3930" s="6">
        <f t="shared" si="64"/>
        <v>-0.94649632210607826</v>
      </c>
      <c r="E3930" s="6">
        <v>-4.1433975860204805E-3</v>
      </c>
    </row>
    <row r="3931" spans="2:5" x14ac:dyDescent="0.3">
      <c r="B3931" s="4">
        <v>42915</v>
      </c>
      <c r="C3931" s="5">
        <v>1033.2</v>
      </c>
      <c r="D3931" s="6">
        <f t="shared" si="64"/>
        <v>-0.5424188205282644</v>
      </c>
      <c r="E3931" s="6">
        <v>-4.1445783132529682E-3</v>
      </c>
    </row>
    <row r="3932" spans="2:5" x14ac:dyDescent="0.3">
      <c r="B3932" s="4">
        <v>45646</v>
      </c>
      <c r="C3932" s="5">
        <v>2257.96</v>
      </c>
      <c r="D3932" s="6">
        <f t="shared" si="64"/>
        <v>1.0481105890463145</v>
      </c>
      <c r="E3932" s="6">
        <v>-4.1457906993155437E-3</v>
      </c>
    </row>
    <row r="3933" spans="2:5" x14ac:dyDescent="0.3">
      <c r="B3933" s="4">
        <v>43040</v>
      </c>
      <c r="C3933" s="5">
        <v>1102.46</v>
      </c>
      <c r="D3933" s="6">
        <f t="shared" si="64"/>
        <v>-0.67650631752533763</v>
      </c>
      <c r="E3933" s="6">
        <v>-4.1461541935774518E-3</v>
      </c>
    </row>
    <row r="3934" spans="2:5" x14ac:dyDescent="0.3">
      <c r="B3934" s="4">
        <v>44572</v>
      </c>
      <c r="C3934" s="5">
        <v>3407.98</v>
      </c>
      <c r="D3934" s="6">
        <f t="shared" si="64"/>
        <v>49.751749813849585</v>
      </c>
      <c r="E3934" s="6">
        <v>-4.1494018432694417E-3</v>
      </c>
    </row>
    <row r="3935" spans="2:5" x14ac:dyDescent="0.3">
      <c r="B3935" s="4">
        <v>39184</v>
      </c>
      <c r="C3935" s="7">
        <v>67.150000000000006</v>
      </c>
      <c r="D3935" s="6">
        <f t="shared" si="64"/>
        <v>-0.85225522552255228</v>
      </c>
      <c r="E3935" s="6">
        <v>-4.1524543971526188E-3</v>
      </c>
    </row>
    <row r="3936" spans="2:5" x14ac:dyDescent="0.3">
      <c r="B3936" s="4">
        <v>41612</v>
      </c>
      <c r="C3936" s="7">
        <v>454.5</v>
      </c>
      <c r="D3936" s="6">
        <f t="shared" si="64"/>
        <v>26.150537634408604</v>
      </c>
      <c r="E3936" s="6">
        <v>-4.1630148992111687E-3</v>
      </c>
    </row>
    <row r="3937" spans="2:5" x14ac:dyDescent="0.3">
      <c r="B3937" s="4">
        <v>37755</v>
      </c>
      <c r="C3937" s="7">
        <v>16.739999999999998</v>
      </c>
      <c r="D3937" s="6">
        <f t="shared" si="64"/>
        <v>-0.78704999363948613</v>
      </c>
      <c r="E3937" s="6">
        <v>-4.1641879833432651E-3</v>
      </c>
    </row>
    <row r="3938" spans="2:5" x14ac:dyDescent="0.3">
      <c r="B3938" s="4">
        <v>39331</v>
      </c>
      <c r="C3938" s="7">
        <v>78.61</v>
      </c>
      <c r="D3938" s="6">
        <f t="shared" si="64"/>
        <v>0.65251208745007361</v>
      </c>
      <c r="E3938" s="6">
        <v>-4.1803901697491548E-3</v>
      </c>
    </row>
    <row r="3939" spans="2:5" x14ac:dyDescent="0.3">
      <c r="B3939" s="4">
        <v>38726</v>
      </c>
      <c r="C3939" s="7">
        <v>47.57</v>
      </c>
      <c r="D3939" s="6">
        <f t="shared" si="64"/>
        <v>-0.93054764720482375</v>
      </c>
      <c r="E3939" s="6">
        <v>-4.1867280720117818E-3</v>
      </c>
    </row>
    <row r="3940" spans="2:5" x14ac:dyDescent="0.3">
      <c r="B3940" s="4">
        <v>42005</v>
      </c>
      <c r="C3940" s="7">
        <v>684.93</v>
      </c>
      <c r="D3940" s="6">
        <f t="shared" si="64"/>
        <v>21.166019417475727</v>
      </c>
      <c r="E3940" s="6">
        <v>-4.1872028612552825E-3</v>
      </c>
    </row>
    <row r="3941" spans="2:5" x14ac:dyDescent="0.3">
      <c r="B3941" s="4">
        <v>38516</v>
      </c>
      <c r="C3941" s="7">
        <v>30.9</v>
      </c>
      <c r="D3941" s="6">
        <f t="shared" si="64"/>
        <v>-0.98938884558194795</v>
      </c>
      <c r="E3941" s="6">
        <v>-4.1894940380277973E-3</v>
      </c>
    </row>
    <row r="3942" spans="2:5" x14ac:dyDescent="0.3">
      <c r="B3942" s="4">
        <v>44762</v>
      </c>
      <c r="C3942" s="5">
        <v>2912.03</v>
      </c>
      <c r="D3942" s="6">
        <f t="shared" si="64"/>
        <v>5.6351394458621948</v>
      </c>
      <c r="E3942" s="6">
        <v>-4.1924706509955459E-3</v>
      </c>
    </row>
    <row r="3943" spans="2:5" x14ac:dyDescent="0.3">
      <c r="B3943" s="4">
        <v>41540</v>
      </c>
      <c r="C3943" s="7">
        <v>438.88</v>
      </c>
      <c r="D3943" s="6">
        <f t="shared" si="64"/>
        <v>0.35410817315109061</v>
      </c>
      <c r="E3943" s="6">
        <v>-4.1975812855944063E-3</v>
      </c>
    </row>
    <row r="3944" spans="2:5" x14ac:dyDescent="0.3">
      <c r="B3944" s="4">
        <v>41122</v>
      </c>
      <c r="C3944" s="7">
        <v>324.11</v>
      </c>
      <c r="D3944" s="6">
        <f t="shared" si="64"/>
        <v>4.4878090077886892</v>
      </c>
      <c r="E3944" s="6">
        <v>-4.2091679980336867E-3</v>
      </c>
    </row>
    <row r="3945" spans="2:5" x14ac:dyDescent="0.3">
      <c r="B3945" s="4">
        <v>39162</v>
      </c>
      <c r="C3945" s="7">
        <v>59.06</v>
      </c>
      <c r="D3945" s="6">
        <f t="shared" si="64"/>
        <v>-0.94368748748557862</v>
      </c>
      <c r="E3945" s="6">
        <v>-4.215140785702242E-3</v>
      </c>
    </row>
    <row r="3946" spans="2:5" x14ac:dyDescent="0.3">
      <c r="B3946" s="4">
        <v>43084</v>
      </c>
      <c r="C3946" s="5">
        <v>1048.79</v>
      </c>
      <c r="D3946" s="6">
        <f t="shared" si="64"/>
        <v>-4.0851974466372863E-2</v>
      </c>
      <c r="E3946" s="6">
        <v>-4.2250579165242922E-3</v>
      </c>
    </row>
    <row r="3947" spans="2:5" x14ac:dyDescent="0.3">
      <c r="B3947" s="4">
        <v>43059</v>
      </c>
      <c r="C3947" s="5">
        <v>1093.46</v>
      </c>
      <c r="D3947" s="6">
        <f t="shared" si="64"/>
        <v>-0.26124056670697848</v>
      </c>
      <c r="E3947" s="6">
        <v>-4.2254803751934009E-3</v>
      </c>
    </row>
    <row r="3948" spans="2:5" x14ac:dyDescent="0.3">
      <c r="B3948" s="4">
        <v>43684</v>
      </c>
      <c r="C3948" s="5">
        <v>1480.13</v>
      </c>
      <c r="D3948" s="6">
        <f t="shared" si="64"/>
        <v>7.2129064476750644</v>
      </c>
      <c r="E3948" s="6">
        <v>-4.2517407245450138E-3</v>
      </c>
    </row>
    <row r="3949" spans="2:5" x14ac:dyDescent="0.3">
      <c r="B3949" s="4">
        <v>40330</v>
      </c>
      <c r="C3949" s="7">
        <v>180.22</v>
      </c>
      <c r="D3949" s="6">
        <f t="shared" si="64"/>
        <v>-0.56661215852250868</v>
      </c>
      <c r="E3949" s="6">
        <v>-4.2543786949555788E-3</v>
      </c>
    </row>
    <row r="3950" spans="2:5" x14ac:dyDescent="0.3">
      <c r="B3950" s="4">
        <v>41379</v>
      </c>
      <c r="C3950" s="7">
        <v>415.84</v>
      </c>
      <c r="D3950" s="6">
        <f t="shared" si="64"/>
        <v>24.44920440636475</v>
      </c>
      <c r="E3950" s="6">
        <v>-4.2622479766295423E-3</v>
      </c>
    </row>
    <row r="3951" spans="2:5" x14ac:dyDescent="0.3">
      <c r="B3951" s="4">
        <v>37718</v>
      </c>
      <c r="C3951" s="7">
        <v>16.34</v>
      </c>
      <c r="D3951" s="6">
        <f t="shared" si="64"/>
        <v>0</v>
      </c>
      <c r="E3951" s="6">
        <v>-4.2656916514320709E-3</v>
      </c>
    </row>
    <row r="3952" spans="2:5" x14ac:dyDescent="0.3">
      <c r="B3952" s="4">
        <v>37484</v>
      </c>
      <c r="C3952" s="7">
        <v>16.34</v>
      </c>
      <c r="D3952" s="6">
        <f t="shared" si="64"/>
        <v>-0.99465158374002893</v>
      </c>
      <c r="E3952" s="6">
        <v>-4.2656916514320709E-3</v>
      </c>
    </row>
    <row r="3953" spans="2:5" x14ac:dyDescent="0.3">
      <c r="B3953" s="4">
        <v>45509</v>
      </c>
      <c r="C3953" s="5">
        <v>3055.11</v>
      </c>
      <c r="D3953" s="6">
        <f t="shared" si="64"/>
        <v>4.2297680416767597E-2</v>
      </c>
      <c r="E3953" s="6">
        <v>-4.2793262587019452E-3</v>
      </c>
    </row>
    <row r="3954" spans="2:5" x14ac:dyDescent="0.3">
      <c r="B3954" s="4">
        <v>44365</v>
      </c>
      <c r="C3954" s="5">
        <v>2931.13</v>
      </c>
      <c r="D3954" s="6">
        <f t="shared" si="64"/>
        <v>0.24121007321586604</v>
      </c>
      <c r="E3954" s="6">
        <v>-4.2802838575548398E-3</v>
      </c>
    </row>
    <row r="3955" spans="2:5" x14ac:dyDescent="0.3">
      <c r="B3955" s="4">
        <v>45860</v>
      </c>
      <c r="C3955" s="5">
        <v>2361.5100000000002</v>
      </c>
      <c r="D3955" s="6">
        <f t="shared" si="64"/>
        <v>5.8098217890305106</v>
      </c>
      <c r="E3955" s="6">
        <v>-4.296496184171523E-3</v>
      </c>
    </row>
    <row r="3956" spans="2:5" x14ac:dyDescent="0.3">
      <c r="B3956" s="4">
        <v>41213</v>
      </c>
      <c r="C3956" s="7">
        <v>346.78</v>
      </c>
      <c r="D3956" s="6">
        <f t="shared" si="64"/>
        <v>-0.84364065938029797</v>
      </c>
      <c r="E3956" s="6">
        <v>-4.3068795222234984E-3</v>
      </c>
    </row>
    <row r="3957" spans="2:5" x14ac:dyDescent="0.3">
      <c r="B3957" s="4">
        <v>45685</v>
      </c>
      <c r="C3957" s="5">
        <v>2217.84</v>
      </c>
      <c r="D3957" s="6">
        <f t="shared" si="64"/>
        <v>95.093587521663792</v>
      </c>
      <c r="E3957" s="6">
        <v>-4.3098804008188368E-3</v>
      </c>
    </row>
    <row r="3958" spans="2:5" x14ac:dyDescent="0.3">
      <c r="B3958" s="4">
        <v>37887</v>
      </c>
      <c r="C3958" s="7">
        <v>23.08</v>
      </c>
      <c r="D3958" s="6">
        <f t="shared" si="64"/>
        <v>-0.97132848021068841</v>
      </c>
      <c r="E3958" s="6">
        <v>-4.3140638481450142E-3</v>
      </c>
    </row>
    <row r="3959" spans="2:5" x14ac:dyDescent="0.3">
      <c r="B3959" s="4">
        <v>42297</v>
      </c>
      <c r="C3959" s="7">
        <v>804.98</v>
      </c>
      <c r="D3959" s="6">
        <f t="shared" si="64"/>
        <v>2.3338027002402053</v>
      </c>
      <c r="E3959" s="6">
        <v>-4.3167959231635179E-3</v>
      </c>
    </row>
    <row r="3960" spans="2:5" x14ac:dyDescent="0.3">
      <c r="B3960" s="4">
        <v>40926</v>
      </c>
      <c r="C3960" s="7">
        <v>241.46</v>
      </c>
      <c r="D3960" s="6">
        <f t="shared" si="64"/>
        <v>-0.30441045141589601</v>
      </c>
      <c r="E3960" s="6">
        <v>-4.3297183621293263E-3</v>
      </c>
    </row>
    <row r="3961" spans="2:5" x14ac:dyDescent="0.3">
      <c r="B3961" s="4">
        <v>41169</v>
      </c>
      <c r="C3961" s="7">
        <v>347.13</v>
      </c>
      <c r="D3961" s="6">
        <f t="shared" si="64"/>
        <v>-0.85971371300172961</v>
      </c>
      <c r="E3961" s="6">
        <v>-4.3311151904543111E-3</v>
      </c>
    </row>
    <row r="3962" spans="2:5" x14ac:dyDescent="0.3">
      <c r="B3962" s="4">
        <v>45881</v>
      </c>
      <c r="C3962" s="5">
        <v>2474.44</v>
      </c>
      <c r="D3962" s="6">
        <f t="shared" si="64"/>
        <v>76.061351603861723</v>
      </c>
      <c r="E3962" s="6">
        <v>-4.3376441522278699E-3</v>
      </c>
    </row>
    <row r="3963" spans="2:5" x14ac:dyDescent="0.3">
      <c r="B3963" s="4">
        <v>38527</v>
      </c>
      <c r="C3963" s="7">
        <v>32.11</v>
      </c>
      <c r="D3963" s="6">
        <f t="shared" si="64"/>
        <v>-0.22138700290979638</v>
      </c>
      <c r="E3963" s="6">
        <v>-4.3410852713178473E-3</v>
      </c>
    </row>
    <row r="3964" spans="2:5" x14ac:dyDescent="0.3">
      <c r="B3964" s="4">
        <v>38666</v>
      </c>
      <c r="C3964" s="7">
        <v>41.24</v>
      </c>
      <c r="D3964" s="6">
        <f t="shared" si="64"/>
        <v>-0.96600136851911389</v>
      </c>
      <c r="E3964" s="6">
        <v>-4.3457267020762845E-3</v>
      </c>
    </row>
    <row r="3965" spans="2:5" x14ac:dyDescent="0.3">
      <c r="B3965" s="4">
        <v>43250</v>
      </c>
      <c r="C3965" s="5">
        <v>1212.99</v>
      </c>
      <c r="D3965" s="6">
        <f t="shared" si="64"/>
        <v>0.13447311566483663</v>
      </c>
      <c r="E3965" s="6">
        <v>-4.3503599307225327E-3</v>
      </c>
    </row>
    <row r="3966" spans="2:5" x14ac:dyDescent="0.3">
      <c r="B3966" s="4">
        <v>42898</v>
      </c>
      <c r="C3966" s="5">
        <v>1069.21</v>
      </c>
      <c r="D3966" s="6">
        <f t="shared" si="64"/>
        <v>1.5035356373513162</v>
      </c>
      <c r="E3966" s="6">
        <v>-4.3672595213707557E-3</v>
      </c>
    </row>
    <row r="3967" spans="2:5" x14ac:dyDescent="0.3">
      <c r="B3967" s="4">
        <v>41369</v>
      </c>
      <c r="C3967" s="7">
        <v>427.08</v>
      </c>
      <c r="D3967" s="6">
        <f t="shared" si="64"/>
        <v>0.84459897205545709</v>
      </c>
      <c r="E3967" s="6">
        <v>-4.3826930249906649E-3</v>
      </c>
    </row>
    <row r="3968" spans="2:5" x14ac:dyDescent="0.3">
      <c r="B3968" s="4">
        <v>40494</v>
      </c>
      <c r="C3968" s="7">
        <v>231.53</v>
      </c>
      <c r="D3968" s="6">
        <f t="shared" si="64"/>
        <v>-0.43859266264154606</v>
      </c>
      <c r="E3968" s="6">
        <v>-4.3861535153730822E-3</v>
      </c>
    </row>
    <row r="3969" spans="2:5" x14ac:dyDescent="0.3">
      <c r="B3969" s="4">
        <v>41312</v>
      </c>
      <c r="C3969" s="7">
        <v>412.41</v>
      </c>
      <c r="D3969" s="6">
        <f t="shared" si="64"/>
        <v>-0.63641573142670738</v>
      </c>
      <c r="E3969" s="6">
        <v>-4.3936943244091281E-3</v>
      </c>
    </row>
    <row r="3970" spans="2:5" x14ac:dyDescent="0.3">
      <c r="B3970" s="4">
        <v>43228</v>
      </c>
      <c r="C3970" s="5">
        <v>1134.29</v>
      </c>
      <c r="D3970" s="6">
        <f t="shared" si="64"/>
        <v>3.3197882550079978</v>
      </c>
      <c r="E3970" s="6">
        <v>-4.3974370227332499E-3</v>
      </c>
    </row>
    <row r="3971" spans="2:5" x14ac:dyDescent="0.3">
      <c r="B3971" s="4">
        <v>40689</v>
      </c>
      <c r="C3971" s="7">
        <v>262.58</v>
      </c>
      <c r="D3971" s="6">
        <f t="shared" si="64"/>
        <v>-0.75146002328465022</v>
      </c>
      <c r="E3971" s="6">
        <v>-4.3982710244939143E-3</v>
      </c>
    </row>
    <row r="3972" spans="2:5" x14ac:dyDescent="0.3">
      <c r="B3972" s="4">
        <v>42969</v>
      </c>
      <c r="C3972" s="5">
        <v>1056.49</v>
      </c>
      <c r="D3972" s="6">
        <f t="shared" si="64"/>
        <v>35.094636146224808</v>
      </c>
      <c r="E3972" s="6">
        <v>-4.4102264481657638E-3</v>
      </c>
    </row>
    <row r="3973" spans="2:5" x14ac:dyDescent="0.3">
      <c r="B3973" s="4">
        <v>38474</v>
      </c>
      <c r="C3973" s="7">
        <v>29.27</v>
      </c>
      <c r="D3973" s="6">
        <f t="shared" si="64"/>
        <v>-0.87241740040101123</v>
      </c>
      <c r="E3973" s="6">
        <v>-4.4217687074829598E-3</v>
      </c>
    </row>
    <row r="3974" spans="2:5" x14ac:dyDescent="0.3">
      <c r="B3974" s="4">
        <v>40473</v>
      </c>
      <c r="C3974" s="7">
        <v>229.42</v>
      </c>
      <c r="D3974" s="6">
        <f t="shared" si="64"/>
        <v>-0.78831887802177525</v>
      </c>
      <c r="E3974" s="6">
        <v>-4.426314875889647E-3</v>
      </c>
    </row>
    <row r="3975" spans="2:5" x14ac:dyDescent="0.3">
      <c r="B3975" s="4">
        <v>42662</v>
      </c>
      <c r="C3975" s="5">
        <v>1083.8</v>
      </c>
      <c r="D3975" s="6">
        <f t="shared" si="64"/>
        <v>-0.64452403677428027</v>
      </c>
      <c r="E3975" s="6">
        <v>-4.4276239642850003E-3</v>
      </c>
    </row>
    <row r="3976" spans="2:5" x14ac:dyDescent="0.3">
      <c r="B3976" s="4">
        <v>44489</v>
      </c>
      <c r="C3976" s="5">
        <v>3048.87</v>
      </c>
      <c r="D3976" s="6">
        <f t="shared" ref="D3976:D4039" si="65">((C3976-C3977)/C3977)</f>
        <v>-8.9846082200941008E-2</v>
      </c>
      <c r="E3976" s="6">
        <v>-4.4441106554165668E-3</v>
      </c>
    </row>
    <row r="3977" spans="2:5" x14ac:dyDescent="0.3">
      <c r="B3977" s="4">
        <v>44781</v>
      </c>
      <c r="C3977" s="5">
        <v>3349.84</v>
      </c>
      <c r="D3977" s="6">
        <f t="shared" si="65"/>
        <v>61.50867699197611</v>
      </c>
      <c r="E3977" s="6">
        <v>-4.4460294816928304E-3</v>
      </c>
    </row>
    <row r="3978" spans="2:5" x14ac:dyDescent="0.3">
      <c r="B3978" s="4">
        <v>38768</v>
      </c>
      <c r="C3978" s="7">
        <v>53.59</v>
      </c>
      <c r="D3978" s="6">
        <f t="shared" si="65"/>
        <v>-0.95417268832468216</v>
      </c>
      <c r="E3978" s="6">
        <v>-4.4584804012631415E-3</v>
      </c>
    </row>
    <row r="3979" spans="2:5" x14ac:dyDescent="0.3">
      <c r="B3979" s="4">
        <v>43410</v>
      </c>
      <c r="C3979" s="5">
        <v>1169.3900000000001</v>
      </c>
      <c r="D3979" s="6">
        <f t="shared" si="65"/>
        <v>-8.8159382432063588E-2</v>
      </c>
      <c r="E3979" s="6">
        <v>-4.4609792019614757E-3</v>
      </c>
    </row>
    <row r="3980" spans="2:5" x14ac:dyDescent="0.3">
      <c r="B3980" s="4">
        <v>43614</v>
      </c>
      <c r="C3980" s="5">
        <v>1282.45</v>
      </c>
      <c r="D3980" s="6">
        <f t="shared" si="65"/>
        <v>-0.44731273622106621</v>
      </c>
      <c r="E3980" s="6">
        <v>-4.4713206697665677E-3</v>
      </c>
    </row>
    <row r="3981" spans="2:5" x14ac:dyDescent="0.3">
      <c r="B3981" s="4">
        <v>45644</v>
      </c>
      <c r="C3981" s="5">
        <v>2320.39</v>
      </c>
      <c r="D3981" s="6">
        <f t="shared" si="65"/>
        <v>93.903476482617592</v>
      </c>
      <c r="E3981" s="6">
        <v>-4.4748200204221223E-3</v>
      </c>
    </row>
    <row r="3982" spans="2:5" x14ac:dyDescent="0.3">
      <c r="B3982" s="4">
        <v>38180</v>
      </c>
      <c r="C3982" s="7">
        <v>24.45</v>
      </c>
      <c r="D3982" s="6">
        <f t="shared" si="65"/>
        <v>-0.99053283306422579</v>
      </c>
      <c r="E3982" s="6">
        <v>-4.4788273615634948E-3</v>
      </c>
    </row>
    <row r="3983" spans="2:5" x14ac:dyDescent="0.3">
      <c r="B3983" s="4">
        <v>44734</v>
      </c>
      <c r="C3983" s="5">
        <v>2582.61</v>
      </c>
      <c r="D3983" s="6">
        <f t="shared" si="65"/>
        <v>-0.11784356522897517</v>
      </c>
      <c r="E3983" s="6">
        <v>-4.4830085111630591E-3</v>
      </c>
    </row>
    <row r="3984" spans="2:5" x14ac:dyDescent="0.3">
      <c r="B3984" s="4">
        <v>44693</v>
      </c>
      <c r="C3984" s="5">
        <v>2927.61</v>
      </c>
      <c r="D3984" s="6">
        <f t="shared" si="65"/>
        <v>9.8121653063485628</v>
      </c>
      <c r="E3984" s="6">
        <v>-4.4851741022851107E-3</v>
      </c>
    </row>
    <row r="3985" spans="2:5" x14ac:dyDescent="0.3">
      <c r="B3985" s="4">
        <v>40956</v>
      </c>
      <c r="C3985" s="7">
        <v>270.77</v>
      </c>
      <c r="D3985" s="6">
        <f t="shared" si="65"/>
        <v>-0.91852375650708629</v>
      </c>
      <c r="E3985" s="6">
        <v>-4.485459024228932E-3</v>
      </c>
    </row>
    <row r="3986" spans="2:5" x14ac:dyDescent="0.3">
      <c r="B3986" s="4">
        <v>44806</v>
      </c>
      <c r="C3986" s="5">
        <v>3323.3</v>
      </c>
      <c r="D3986" s="6">
        <f t="shared" si="65"/>
        <v>165.91612255148169</v>
      </c>
      <c r="E3986" s="6">
        <v>-4.4962870434440668E-3</v>
      </c>
    </row>
    <row r="3987" spans="2:5" x14ac:dyDescent="0.3">
      <c r="B3987" s="4">
        <v>37826</v>
      </c>
      <c r="C3987" s="7">
        <v>19.91</v>
      </c>
      <c r="D3987" s="6">
        <f t="shared" si="65"/>
        <v>-0.98125076513075493</v>
      </c>
      <c r="E3987" s="6">
        <v>-4.4999999999999927E-3</v>
      </c>
    </row>
    <row r="3988" spans="2:5" x14ac:dyDescent="0.3">
      <c r="B3988" s="4">
        <v>42871</v>
      </c>
      <c r="C3988" s="5">
        <v>1061.9100000000001</v>
      </c>
      <c r="D3988" s="6">
        <f t="shared" si="65"/>
        <v>-0.57535490062782413</v>
      </c>
      <c r="E3988" s="6">
        <v>-4.5278137128071765E-3</v>
      </c>
    </row>
    <row r="3989" spans="2:5" x14ac:dyDescent="0.3">
      <c r="B3989" s="4">
        <v>45951</v>
      </c>
      <c r="C3989" s="5">
        <v>2500.6999999999998</v>
      </c>
      <c r="D3989" s="6">
        <f t="shared" si="65"/>
        <v>0.93438844023639334</v>
      </c>
      <c r="E3989" s="6">
        <v>-4.5301105060348837E-3</v>
      </c>
    </row>
    <row r="3990" spans="2:5" x14ac:dyDescent="0.3">
      <c r="B3990" s="4">
        <v>43343</v>
      </c>
      <c r="C3990" s="5">
        <v>1292.76</v>
      </c>
      <c r="D3990" s="6">
        <f t="shared" si="65"/>
        <v>-0.37811601035222586</v>
      </c>
      <c r="E3990" s="6">
        <v>-4.5354791514265582E-3</v>
      </c>
    </row>
    <row r="3991" spans="2:5" x14ac:dyDescent="0.3">
      <c r="B3991" s="4">
        <v>44147</v>
      </c>
      <c r="C3991" s="5">
        <v>2078.7800000000002</v>
      </c>
      <c r="D3991" s="6">
        <f t="shared" si="65"/>
        <v>2.7221436373077408</v>
      </c>
      <c r="E3991" s="6">
        <v>-4.5396646011512058E-3</v>
      </c>
    </row>
    <row r="3992" spans="2:5" x14ac:dyDescent="0.3">
      <c r="B3992" s="4">
        <v>41871</v>
      </c>
      <c r="C3992" s="7">
        <v>558.49</v>
      </c>
      <c r="D3992" s="6">
        <f t="shared" si="65"/>
        <v>-0.74675789893713496</v>
      </c>
      <c r="E3992" s="6">
        <v>-4.5451304719805264E-3</v>
      </c>
    </row>
    <row r="3993" spans="2:5" x14ac:dyDescent="0.3">
      <c r="B3993" s="4">
        <v>45819</v>
      </c>
      <c r="C3993" s="5">
        <v>2205.36</v>
      </c>
      <c r="D3993" s="6">
        <f t="shared" si="65"/>
        <v>-0.213365958752149</v>
      </c>
      <c r="E3993" s="6">
        <v>-4.5498862528436457E-3</v>
      </c>
    </row>
    <row r="3994" spans="2:5" x14ac:dyDescent="0.3">
      <c r="B3994" s="4">
        <v>45426</v>
      </c>
      <c r="C3994" s="5">
        <v>2803.54</v>
      </c>
      <c r="D3994" s="6">
        <f t="shared" si="65"/>
        <v>4.3025041609925854</v>
      </c>
      <c r="E3994" s="6">
        <v>-4.5519748895738342E-3</v>
      </c>
    </row>
    <row r="3995" spans="2:5" x14ac:dyDescent="0.3">
      <c r="B3995" s="4">
        <v>41836</v>
      </c>
      <c r="C3995" s="7">
        <v>528.72</v>
      </c>
      <c r="D3995" s="6">
        <f t="shared" si="65"/>
        <v>-0.81687574899037829</v>
      </c>
      <c r="E3995" s="6">
        <v>-4.5562375268290078E-3</v>
      </c>
    </row>
    <row r="3996" spans="2:5" x14ac:dyDescent="0.3">
      <c r="B3996" s="4">
        <v>44426</v>
      </c>
      <c r="C3996" s="5">
        <v>2887.22</v>
      </c>
      <c r="D3996" s="6">
        <f t="shared" si="65"/>
        <v>119.35097957482286</v>
      </c>
      <c r="E3996" s="6">
        <v>-4.5613611680946128E-3</v>
      </c>
    </row>
    <row r="3997" spans="2:5" x14ac:dyDescent="0.3">
      <c r="B3997" s="4">
        <v>38068</v>
      </c>
      <c r="C3997" s="7">
        <v>23.99</v>
      </c>
      <c r="D3997" s="6">
        <f t="shared" si="65"/>
        <v>-0.98938598897452468</v>
      </c>
      <c r="E3997" s="6">
        <v>-4.5643153526972189E-3</v>
      </c>
    </row>
    <row r="3998" spans="2:5" x14ac:dyDescent="0.3">
      <c r="B3998" s="4">
        <v>44251</v>
      </c>
      <c r="C3998" s="5">
        <v>2260.2199999999998</v>
      </c>
      <c r="D3998" s="6">
        <f t="shared" si="65"/>
        <v>2.276583407025123</v>
      </c>
      <c r="E3998" s="6">
        <v>-4.5714789042544304E-3</v>
      </c>
    </row>
    <row r="3999" spans="2:5" x14ac:dyDescent="0.3">
      <c r="B3999" s="4">
        <v>42180</v>
      </c>
      <c r="C3999" s="7">
        <v>689.81</v>
      </c>
      <c r="D3999" s="6">
        <f t="shared" si="65"/>
        <v>-0.68728438212587328</v>
      </c>
      <c r="E3999" s="6">
        <v>-4.5744465929753713E-3</v>
      </c>
    </row>
    <row r="4000" spans="2:5" x14ac:dyDescent="0.3">
      <c r="B4000" s="4">
        <v>45672</v>
      </c>
      <c r="C4000" s="5">
        <v>2205.87</v>
      </c>
      <c r="D4000" s="6">
        <f t="shared" si="65"/>
        <v>91.218645484949818</v>
      </c>
      <c r="E4000" s="6">
        <v>-4.5757916254892022E-3</v>
      </c>
    </row>
    <row r="4001" spans="2:5" x14ac:dyDescent="0.3">
      <c r="B4001" s="4">
        <v>38070</v>
      </c>
      <c r="C4001" s="7">
        <v>23.92</v>
      </c>
      <c r="D4001" s="6">
        <f t="shared" si="65"/>
        <v>-0.97760215738417167</v>
      </c>
      <c r="E4001" s="6">
        <v>-4.5776113191843288E-3</v>
      </c>
    </row>
    <row r="4002" spans="2:5" x14ac:dyDescent="0.3">
      <c r="B4002" s="4">
        <v>43145</v>
      </c>
      <c r="C4002" s="5">
        <v>1067.96</v>
      </c>
      <c r="D4002" s="6">
        <f t="shared" si="65"/>
        <v>0.51464352068530261</v>
      </c>
      <c r="E4002" s="6">
        <v>-4.5857877861457683E-3</v>
      </c>
    </row>
    <row r="4003" spans="2:5" x14ac:dyDescent="0.3">
      <c r="B4003" s="4">
        <v>42144</v>
      </c>
      <c r="C4003" s="7">
        <v>705.09</v>
      </c>
      <c r="D4003" s="6">
        <f t="shared" si="65"/>
        <v>1.9618163488196254</v>
      </c>
      <c r="E4003" s="6">
        <v>-4.5881921111330711E-3</v>
      </c>
    </row>
    <row r="4004" spans="2:5" x14ac:dyDescent="0.3">
      <c r="B4004" s="4">
        <v>40556</v>
      </c>
      <c r="C4004" s="7">
        <v>238.06</v>
      </c>
      <c r="D4004" s="6">
        <f t="shared" si="65"/>
        <v>7.8658812868146868E-2</v>
      </c>
      <c r="E4004" s="6">
        <v>-4.5994313430339287E-3</v>
      </c>
    </row>
    <row r="4005" spans="2:5" x14ac:dyDescent="0.3">
      <c r="B4005" s="4">
        <v>40631</v>
      </c>
      <c r="C4005" s="7">
        <v>220.7</v>
      </c>
      <c r="D4005" s="6">
        <f t="shared" si="65"/>
        <v>0.24555561826288161</v>
      </c>
      <c r="E4005" s="6">
        <v>-4.6003968969872376E-3</v>
      </c>
    </row>
    <row r="4006" spans="2:5" x14ac:dyDescent="0.3">
      <c r="B4006" s="4">
        <v>40287</v>
      </c>
      <c r="C4006" s="7">
        <v>177.19</v>
      </c>
      <c r="D4006" s="6">
        <f t="shared" si="65"/>
        <v>-0.84094112155405343</v>
      </c>
      <c r="E4006" s="6">
        <v>-4.6064827818661494E-3</v>
      </c>
    </row>
    <row r="4007" spans="2:5" x14ac:dyDescent="0.3">
      <c r="B4007" s="4">
        <v>43118</v>
      </c>
      <c r="C4007" s="5">
        <v>1113.99</v>
      </c>
      <c r="D4007" s="6">
        <f t="shared" si="65"/>
        <v>-0.55036265958434416</v>
      </c>
      <c r="E4007" s="6">
        <v>-4.6106420050932235E-3</v>
      </c>
    </row>
    <row r="4008" spans="2:5" x14ac:dyDescent="0.3">
      <c r="B4008" s="4">
        <v>45895</v>
      </c>
      <c r="C4008" s="5">
        <v>2477.5300000000002</v>
      </c>
      <c r="D4008" s="6">
        <f t="shared" si="65"/>
        <v>0.86298660771353619</v>
      </c>
      <c r="E4008" s="6">
        <v>-4.6162746783873897E-3</v>
      </c>
    </row>
    <row r="4009" spans="2:5" x14ac:dyDescent="0.3">
      <c r="B4009" s="4">
        <v>43315</v>
      </c>
      <c r="C4009" s="5">
        <v>1329.87</v>
      </c>
      <c r="D4009" s="6">
        <f t="shared" si="65"/>
        <v>-0.46570537802026507</v>
      </c>
      <c r="E4009" s="6">
        <v>-4.6181252058322157E-3</v>
      </c>
    </row>
    <row r="4010" spans="2:5" x14ac:dyDescent="0.3">
      <c r="B4010" s="4">
        <v>45894</v>
      </c>
      <c r="C4010" s="5">
        <v>2489.02</v>
      </c>
      <c r="D4010" s="6">
        <f t="shared" si="65"/>
        <v>9.9638798343758257</v>
      </c>
      <c r="E4010" s="6">
        <v>-4.6308885867391535E-3</v>
      </c>
    </row>
    <row r="4011" spans="2:5" x14ac:dyDescent="0.3">
      <c r="B4011" s="4">
        <v>40589</v>
      </c>
      <c r="C4011" s="7">
        <v>227.02</v>
      </c>
      <c r="D4011" s="6">
        <f t="shared" si="65"/>
        <v>-0.82740846612334262</v>
      </c>
      <c r="E4011" s="6">
        <v>-4.6474921080322789E-3</v>
      </c>
    </row>
    <row r="4012" spans="2:5" x14ac:dyDescent="0.3">
      <c r="B4012" s="4">
        <v>43301</v>
      </c>
      <c r="C4012" s="5">
        <v>1315.36</v>
      </c>
      <c r="D4012" s="6">
        <f t="shared" si="65"/>
        <v>-0.50784611585461681</v>
      </c>
      <c r="E4012" s="6">
        <v>-4.6688308248772807E-3</v>
      </c>
    </row>
    <row r="4013" spans="2:5" x14ac:dyDescent="0.3">
      <c r="B4013" s="4">
        <v>44203</v>
      </c>
      <c r="C4013" s="5">
        <v>2672.66</v>
      </c>
      <c r="D4013" s="6">
        <f t="shared" si="65"/>
        <v>34.840954807563364</v>
      </c>
      <c r="E4013" s="6">
        <v>-4.6700431997616434E-3</v>
      </c>
    </row>
    <row r="4014" spans="2:5" x14ac:dyDescent="0.3">
      <c r="B4014" s="4">
        <v>39805</v>
      </c>
      <c r="C4014" s="7">
        <v>74.569999999999993</v>
      </c>
      <c r="D4014" s="6">
        <f t="shared" si="65"/>
        <v>-0.29889056036103806</v>
      </c>
      <c r="E4014" s="6">
        <v>-4.6716497597438407E-3</v>
      </c>
    </row>
    <row r="4015" spans="2:5" x14ac:dyDescent="0.3">
      <c r="B4015" s="4">
        <v>39617</v>
      </c>
      <c r="C4015" s="7">
        <v>106.36</v>
      </c>
      <c r="D4015" s="6">
        <f t="shared" si="65"/>
        <v>1.0052790346907994</v>
      </c>
      <c r="E4015" s="6">
        <v>-4.6790192775594238E-3</v>
      </c>
    </row>
    <row r="4016" spans="2:5" x14ac:dyDescent="0.3">
      <c r="B4016" s="4">
        <v>38789</v>
      </c>
      <c r="C4016" s="7">
        <v>53.04</v>
      </c>
      <c r="D4016" s="6">
        <f t="shared" si="65"/>
        <v>-0.98034434455207786</v>
      </c>
      <c r="E4016" s="6">
        <v>-4.6913116907487335E-3</v>
      </c>
    </row>
    <row r="4017" spans="2:5" x14ac:dyDescent="0.3">
      <c r="B4017" s="4">
        <v>44340</v>
      </c>
      <c r="C4017" s="5">
        <v>2698.46</v>
      </c>
      <c r="D4017" s="6">
        <f t="shared" si="65"/>
        <v>114.81373390557938</v>
      </c>
      <c r="E4017" s="6">
        <v>-4.6953551761403731E-3</v>
      </c>
    </row>
    <row r="4018" spans="2:5" x14ac:dyDescent="0.3">
      <c r="B4018" s="4">
        <v>37881</v>
      </c>
      <c r="C4018" s="7">
        <v>23.3</v>
      </c>
      <c r="D4018" s="6">
        <f t="shared" si="65"/>
        <v>-0.99202431727471252</v>
      </c>
      <c r="E4018" s="6">
        <v>-4.6988466467321414E-3</v>
      </c>
    </row>
    <row r="4019" spans="2:5" x14ac:dyDescent="0.3">
      <c r="B4019" s="4">
        <v>45590</v>
      </c>
      <c r="C4019" s="5">
        <v>2921.38</v>
      </c>
      <c r="D4019" s="6">
        <f t="shared" si="65"/>
        <v>172.0675355450237</v>
      </c>
      <c r="E4019" s="6">
        <v>-4.7117582728322428E-3</v>
      </c>
    </row>
    <row r="4020" spans="2:5" x14ac:dyDescent="0.3">
      <c r="B4020" s="4">
        <v>37537</v>
      </c>
      <c r="C4020" s="7">
        <v>16.88</v>
      </c>
      <c r="D4020" s="6">
        <f t="shared" si="65"/>
        <v>-0.3330699328328724</v>
      </c>
      <c r="E4020" s="6">
        <v>-4.7169811320755808E-3</v>
      </c>
    </row>
    <row r="4021" spans="2:5" x14ac:dyDescent="0.3">
      <c r="B4021" s="4">
        <v>38363</v>
      </c>
      <c r="C4021" s="7">
        <v>25.31</v>
      </c>
      <c r="D4021" s="6">
        <f t="shared" si="65"/>
        <v>-0.89563316976619523</v>
      </c>
      <c r="E4021" s="6">
        <v>-4.7188360204483285E-3</v>
      </c>
    </row>
    <row r="4022" spans="2:5" x14ac:dyDescent="0.3">
      <c r="B4022" s="4">
        <v>40925</v>
      </c>
      <c r="C4022" s="7">
        <v>242.51</v>
      </c>
      <c r="D4022" s="6">
        <f t="shared" si="65"/>
        <v>13.4179548156956</v>
      </c>
      <c r="E4022" s="6">
        <v>-4.7196913732250089E-3</v>
      </c>
    </row>
    <row r="4023" spans="2:5" x14ac:dyDescent="0.3">
      <c r="B4023" s="4">
        <v>37515</v>
      </c>
      <c r="C4023" s="7">
        <v>16.82</v>
      </c>
      <c r="D4023" s="6">
        <f t="shared" si="65"/>
        <v>-0.33306899286280728</v>
      </c>
      <c r="E4023" s="6">
        <v>-4.733727810650787E-3</v>
      </c>
    </row>
    <row r="4024" spans="2:5" x14ac:dyDescent="0.3">
      <c r="B4024" s="4">
        <v>38260</v>
      </c>
      <c r="C4024" s="7">
        <v>25.22</v>
      </c>
      <c r="D4024" s="6">
        <f t="shared" si="65"/>
        <v>-0.98044612605348236</v>
      </c>
      <c r="E4024" s="6">
        <v>-4.7355958958169297E-3</v>
      </c>
    </row>
    <row r="4025" spans="2:5" x14ac:dyDescent="0.3">
      <c r="B4025" s="4">
        <v>43462</v>
      </c>
      <c r="C4025" s="5">
        <v>1289.77</v>
      </c>
      <c r="D4025" s="6">
        <f t="shared" si="65"/>
        <v>46.27895894428152</v>
      </c>
      <c r="E4025" s="6">
        <v>-4.7379833476090929E-3</v>
      </c>
    </row>
    <row r="4026" spans="2:5" x14ac:dyDescent="0.3">
      <c r="B4026" s="4">
        <v>38387</v>
      </c>
      <c r="C4026" s="7">
        <v>27.28</v>
      </c>
      <c r="D4026" s="6">
        <f t="shared" si="65"/>
        <v>-0.82420415001933234</v>
      </c>
      <c r="E4026" s="6">
        <v>-4.742794600510726E-3</v>
      </c>
    </row>
    <row r="4027" spans="2:5" x14ac:dyDescent="0.3">
      <c r="B4027" s="4">
        <v>40182</v>
      </c>
      <c r="C4027" s="7">
        <v>155.18</v>
      </c>
      <c r="D4027" s="6">
        <f t="shared" si="65"/>
        <v>-0.45879398737488231</v>
      </c>
      <c r="E4027" s="6">
        <v>-4.7460236018469779E-3</v>
      </c>
    </row>
    <row r="4028" spans="2:5" x14ac:dyDescent="0.3">
      <c r="B4028" s="4">
        <v>40772</v>
      </c>
      <c r="C4028" s="7">
        <v>286.73</v>
      </c>
      <c r="D4028" s="6">
        <f t="shared" si="65"/>
        <v>2.6125740204107344</v>
      </c>
      <c r="E4028" s="6">
        <v>-4.7552933009371899E-3</v>
      </c>
    </row>
    <row r="4029" spans="2:5" x14ac:dyDescent="0.3">
      <c r="B4029" s="4">
        <v>39833</v>
      </c>
      <c r="C4029" s="7">
        <v>79.37</v>
      </c>
      <c r="D4029" s="6">
        <f t="shared" si="65"/>
        <v>2.4568815331010452</v>
      </c>
      <c r="E4029" s="6">
        <v>-4.7648902821316045E-3</v>
      </c>
    </row>
    <row r="4030" spans="2:5" x14ac:dyDescent="0.3">
      <c r="B4030" s="4">
        <v>38310</v>
      </c>
      <c r="C4030" s="7">
        <v>22.96</v>
      </c>
      <c r="D4030" s="6">
        <f t="shared" si="65"/>
        <v>0.37649880095923272</v>
      </c>
      <c r="E4030" s="6">
        <v>-4.768097095795381E-3</v>
      </c>
    </row>
    <row r="4031" spans="2:5" x14ac:dyDescent="0.3">
      <c r="B4031" s="4">
        <v>37530</v>
      </c>
      <c r="C4031" s="7">
        <v>16.68</v>
      </c>
      <c r="D4031" s="6">
        <f t="shared" si="65"/>
        <v>-0.78920763300897256</v>
      </c>
      <c r="E4031" s="6">
        <v>-4.7732696897375797E-3</v>
      </c>
    </row>
    <row r="4032" spans="2:5" x14ac:dyDescent="0.3">
      <c r="B4032" s="4">
        <v>39329</v>
      </c>
      <c r="C4032" s="7">
        <v>79.13</v>
      </c>
      <c r="D4032" s="6">
        <f t="shared" si="65"/>
        <v>7.5882129758444766E-4</v>
      </c>
      <c r="E4032" s="6">
        <v>-4.7792730474155408E-3</v>
      </c>
    </row>
    <row r="4033" spans="2:5" x14ac:dyDescent="0.3">
      <c r="B4033" s="4">
        <v>39342</v>
      </c>
      <c r="C4033" s="7">
        <v>79.069999999999993</v>
      </c>
      <c r="D4033" s="6">
        <f t="shared" si="65"/>
        <v>0.46997583193902204</v>
      </c>
      <c r="E4033" s="6">
        <v>-4.782882315922085E-3</v>
      </c>
    </row>
    <row r="4034" spans="2:5" x14ac:dyDescent="0.3">
      <c r="B4034" s="4">
        <v>39008</v>
      </c>
      <c r="C4034" s="7">
        <v>53.79</v>
      </c>
      <c r="D4034" s="6">
        <f t="shared" si="65"/>
        <v>-0.97754221012374953</v>
      </c>
      <c r="E4034" s="6">
        <v>-4.8103607770582429E-3</v>
      </c>
    </row>
    <row r="4035" spans="2:5" x14ac:dyDescent="0.3">
      <c r="B4035" s="4">
        <v>45855</v>
      </c>
      <c r="C4035" s="5">
        <v>2395.16</v>
      </c>
      <c r="D4035" s="6">
        <f t="shared" si="65"/>
        <v>9.6272073830863416</v>
      </c>
      <c r="E4035" s="6">
        <v>-4.8114877386007332E-3</v>
      </c>
    </row>
    <row r="4036" spans="2:5" x14ac:dyDescent="0.3">
      <c r="B4036" s="4">
        <v>40652</v>
      </c>
      <c r="C4036" s="7">
        <v>225.38</v>
      </c>
      <c r="D4036" s="6">
        <f t="shared" si="65"/>
        <v>4.1906955320128967</v>
      </c>
      <c r="E4036" s="6">
        <v>-4.8129995142844675E-3</v>
      </c>
    </row>
    <row r="4037" spans="2:5" x14ac:dyDescent="0.3">
      <c r="B4037" s="4">
        <v>38694</v>
      </c>
      <c r="C4037" s="7">
        <v>43.42</v>
      </c>
      <c r="D4037" s="6">
        <f t="shared" si="65"/>
        <v>-0.98050677010379628</v>
      </c>
      <c r="E4037" s="6">
        <v>-4.8132019252807891E-3</v>
      </c>
    </row>
    <row r="4038" spans="2:5" x14ac:dyDescent="0.3">
      <c r="B4038" s="4">
        <v>45684</v>
      </c>
      <c r="C4038" s="5">
        <v>2227.44</v>
      </c>
      <c r="D4038" s="6">
        <f t="shared" si="65"/>
        <v>29.829619377162629</v>
      </c>
      <c r="E4038" s="6">
        <v>-4.8163272600547516E-3</v>
      </c>
    </row>
    <row r="4039" spans="2:5" x14ac:dyDescent="0.3">
      <c r="B4039" s="4">
        <v>39251</v>
      </c>
      <c r="C4039" s="7">
        <v>72.25</v>
      </c>
      <c r="D4039" s="6">
        <f t="shared" si="65"/>
        <v>-0.23786919831223627</v>
      </c>
      <c r="E4039" s="6">
        <v>-4.8209366391183794E-3</v>
      </c>
    </row>
    <row r="4040" spans="2:5" x14ac:dyDescent="0.3">
      <c r="B4040" s="4">
        <v>39654</v>
      </c>
      <c r="C4040" s="7">
        <v>94.8</v>
      </c>
      <c r="D4040" s="6">
        <f t="shared" ref="D4040:D4103" si="66">((C4040-C4041)/C4041)</f>
        <v>-0.81364261843915864</v>
      </c>
      <c r="E4040" s="6">
        <v>-4.8288893554483299E-3</v>
      </c>
    </row>
    <row r="4041" spans="2:5" x14ac:dyDescent="0.3">
      <c r="B4041" s="4">
        <v>41808</v>
      </c>
      <c r="C4041" s="7">
        <v>508.7</v>
      </c>
      <c r="D4041" s="6">
        <f t="shared" si="66"/>
        <v>-0.77097965063929408</v>
      </c>
      <c r="E4041" s="6">
        <v>-4.8320519592308375E-3</v>
      </c>
    </row>
    <row r="4042" spans="2:5" x14ac:dyDescent="0.3">
      <c r="B4042" s="4">
        <v>46093</v>
      </c>
      <c r="C4042" s="5">
        <v>2221.1999999999998</v>
      </c>
      <c r="D4042" s="6">
        <f t="shared" si="66"/>
        <v>-0.31800178083453601</v>
      </c>
      <c r="E4042" s="6">
        <v>-4.8387096774194366E-3</v>
      </c>
    </row>
    <row r="4043" spans="2:5" x14ac:dyDescent="0.3">
      <c r="B4043" s="4">
        <v>44798</v>
      </c>
      <c r="C4043" s="5">
        <v>3256.9</v>
      </c>
      <c r="D4043" s="6">
        <f t="shared" si="66"/>
        <v>131.01864612890148</v>
      </c>
      <c r="E4043" s="6">
        <v>-4.8399811778508809E-3</v>
      </c>
    </row>
    <row r="4044" spans="2:5" x14ac:dyDescent="0.3">
      <c r="B4044" s="4">
        <v>38244</v>
      </c>
      <c r="C4044" s="7">
        <v>24.67</v>
      </c>
      <c r="D4044" s="6">
        <f t="shared" si="66"/>
        <v>-0.92939728693263113</v>
      </c>
      <c r="E4044" s="6">
        <v>-4.8406615570793649E-3</v>
      </c>
    </row>
    <row r="4045" spans="2:5" x14ac:dyDescent="0.3">
      <c r="B4045" s="4">
        <v>41205</v>
      </c>
      <c r="C4045" s="7">
        <v>349.42</v>
      </c>
      <c r="D4045" s="6">
        <f t="shared" si="66"/>
        <v>20.254257907542577</v>
      </c>
      <c r="E4045" s="6">
        <v>-4.8416495784916512E-3</v>
      </c>
    </row>
    <row r="4046" spans="2:5" x14ac:dyDescent="0.3">
      <c r="B4046" s="4">
        <v>37692</v>
      </c>
      <c r="C4046" s="7">
        <v>16.440000000000001</v>
      </c>
      <c r="D4046" s="6">
        <f t="shared" si="66"/>
        <v>-0.98487441346950033</v>
      </c>
      <c r="E4046" s="6">
        <v>-4.8426150121064345E-3</v>
      </c>
    </row>
    <row r="4047" spans="2:5" x14ac:dyDescent="0.3">
      <c r="B4047" s="4">
        <v>43210</v>
      </c>
      <c r="C4047" s="5">
        <v>1086.9000000000001</v>
      </c>
      <c r="D4047" s="6">
        <f t="shared" si="66"/>
        <v>3.0075955901331075</v>
      </c>
      <c r="E4047" s="6">
        <v>-4.8434796143527808E-3</v>
      </c>
    </row>
    <row r="4048" spans="2:5" x14ac:dyDescent="0.3">
      <c r="B4048" s="4">
        <v>40962</v>
      </c>
      <c r="C4048" s="7">
        <v>271.20999999999998</v>
      </c>
      <c r="D4048" s="6">
        <f t="shared" si="66"/>
        <v>15.506999391357272</v>
      </c>
      <c r="E4048" s="6">
        <v>-4.8435034675081397E-3</v>
      </c>
    </row>
    <row r="4049" spans="2:5" x14ac:dyDescent="0.3">
      <c r="B4049" s="4">
        <v>37697</v>
      </c>
      <c r="C4049" s="7">
        <v>16.43</v>
      </c>
      <c r="D4049" s="6">
        <f t="shared" si="66"/>
        <v>-0.99263756945689197</v>
      </c>
      <c r="E4049" s="6">
        <v>-4.8455481526348786E-3</v>
      </c>
    </row>
    <row r="4050" spans="2:5" x14ac:dyDescent="0.3">
      <c r="B4050" s="4">
        <v>45811</v>
      </c>
      <c r="C4050" s="5">
        <v>2231.6</v>
      </c>
      <c r="D4050" s="6">
        <f t="shared" si="66"/>
        <v>135.07317073170731</v>
      </c>
      <c r="E4050" s="6">
        <v>-4.8517712532553728E-3</v>
      </c>
    </row>
    <row r="4051" spans="2:5" x14ac:dyDescent="0.3">
      <c r="B4051" s="4">
        <v>37634</v>
      </c>
      <c r="C4051" s="7">
        <v>16.399999999999999</v>
      </c>
      <c r="D4051" s="6">
        <f t="shared" si="66"/>
        <v>-0.33306222041480282</v>
      </c>
      <c r="E4051" s="6">
        <v>-4.8543689320389473E-3</v>
      </c>
    </row>
    <row r="4052" spans="2:5" x14ac:dyDescent="0.3">
      <c r="B4052" s="4">
        <v>38265</v>
      </c>
      <c r="C4052" s="7">
        <v>24.59</v>
      </c>
      <c r="D4052" s="6">
        <f t="shared" si="66"/>
        <v>-0.99183848226969185</v>
      </c>
      <c r="E4052" s="6">
        <v>-4.8563334682315256E-3</v>
      </c>
    </row>
    <row r="4053" spans="2:5" x14ac:dyDescent="0.3">
      <c r="B4053" s="4">
        <v>45239</v>
      </c>
      <c r="C4053" s="5">
        <v>3012.92</v>
      </c>
      <c r="D4053" s="6">
        <f t="shared" si="66"/>
        <v>1.8392434765400454</v>
      </c>
      <c r="E4053" s="6">
        <v>-4.8618726136528123E-3</v>
      </c>
    </row>
    <row r="4054" spans="2:5" x14ac:dyDescent="0.3">
      <c r="B4054" s="4">
        <v>42968</v>
      </c>
      <c r="C4054" s="5">
        <v>1061.17</v>
      </c>
      <c r="D4054" s="6">
        <f t="shared" si="66"/>
        <v>1.7191359606416239</v>
      </c>
      <c r="E4054" s="6">
        <v>-4.867024269477313E-3</v>
      </c>
    </row>
    <row r="4055" spans="2:5" x14ac:dyDescent="0.3">
      <c r="B4055" s="4">
        <v>41249</v>
      </c>
      <c r="C4055" s="7">
        <v>390.26</v>
      </c>
      <c r="D4055" s="6">
        <f t="shared" si="66"/>
        <v>22.912990196078432</v>
      </c>
      <c r="E4055" s="6">
        <v>-4.8703368437157989E-3</v>
      </c>
    </row>
    <row r="4056" spans="2:5" x14ac:dyDescent="0.3">
      <c r="B4056" s="4">
        <v>37659</v>
      </c>
      <c r="C4056" s="7">
        <v>16.32</v>
      </c>
      <c r="D4056" s="6">
        <f t="shared" si="66"/>
        <v>-0.99462567426053616</v>
      </c>
      <c r="E4056" s="6">
        <v>-4.8780487804877017E-3</v>
      </c>
    </row>
    <row r="4057" spans="2:5" x14ac:dyDescent="0.3">
      <c r="B4057" s="4">
        <v>44910</v>
      </c>
      <c r="C4057" s="5">
        <v>3036.66</v>
      </c>
      <c r="D4057" s="6">
        <f t="shared" si="66"/>
        <v>1.8226731486043075</v>
      </c>
      <c r="E4057" s="6">
        <v>-4.8794874735791074E-3</v>
      </c>
    </row>
    <row r="4058" spans="2:5" x14ac:dyDescent="0.3">
      <c r="B4058" s="4">
        <v>42941</v>
      </c>
      <c r="C4058" s="5">
        <v>1075.81</v>
      </c>
      <c r="D4058" s="6">
        <f t="shared" si="66"/>
        <v>43.090573770491801</v>
      </c>
      <c r="E4058" s="6">
        <v>-4.8839597073323899E-3</v>
      </c>
    </row>
    <row r="4059" spans="2:5" x14ac:dyDescent="0.3">
      <c r="B4059" s="4">
        <v>38167</v>
      </c>
      <c r="C4059" s="7">
        <v>24.4</v>
      </c>
      <c r="D4059" s="6">
        <f t="shared" si="66"/>
        <v>-0.9899811119323314</v>
      </c>
      <c r="E4059" s="6">
        <v>-4.8939641109298935E-3</v>
      </c>
    </row>
    <row r="4060" spans="2:5" x14ac:dyDescent="0.3">
      <c r="B4060" s="4">
        <v>45849</v>
      </c>
      <c r="C4060" s="5">
        <v>2435.4</v>
      </c>
      <c r="D4060" s="6">
        <f t="shared" si="66"/>
        <v>148.77859778597784</v>
      </c>
      <c r="E4060" s="6">
        <v>-4.8950306041562882E-3</v>
      </c>
    </row>
    <row r="4061" spans="2:5" x14ac:dyDescent="0.3">
      <c r="B4061" s="4">
        <v>37719</v>
      </c>
      <c r="C4061" s="7">
        <v>16.260000000000002</v>
      </c>
      <c r="D4061" s="6">
        <f t="shared" si="66"/>
        <v>-0.8427770257203635</v>
      </c>
      <c r="E4061" s="6">
        <v>-4.895960832313237E-3</v>
      </c>
    </row>
    <row r="4062" spans="2:5" x14ac:dyDescent="0.3">
      <c r="B4062" s="4">
        <v>39561</v>
      </c>
      <c r="C4062" s="7">
        <v>103.42</v>
      </c>
      <c r="D4062" s="6">
        <f t="shared" si="66"/>
        <v>2.0122312093115075E-2</v>
      </c>
      <c r="E4062" s="6">
        <v>-4.9071490426248927E-3</v>
      </c>
    </row>
    <row r="4063" spans="2:5" x14ac:dyDescent="0.3">
      <c r="B4063" s="4">
        <v>39687</v>
      </c>
      <c r="C4063" s="7">
        <v>101.38</v>
      </c>
      <c r="D4063" s="6">
        <f t="shared" si="66"/>
        <v>-0.93752118474328705</v>
      </c>
      <c r="E4063" s="6">
        <v>-4.9077345897133888E-3</v>
      </c>
    </row>
    <row r="4064" spans="2:5" x14ac:dyDescent="0.3">
      <c r="B4064" s="4">
        <v>43798</v>
      </c>
      <c r="C4064" s="5">
        <v>1622.63</v>
      </c>
      <c r="D4064" s="6">
        <f t="shared" si="66"/>
        <v>-0.39761366462855507</v>
      </c>
      <c r="E4064" s="6">
        <v>-4.9243864447524148E-3</v>
      </c>
    </row>
    <row r="4065" spans="2:5" x14ac:dyDescent="0.3">
      <c r="B4065" s="4">
        <v>44971</v>
      </c>
      <c r="C4065" s="5">
        <v>2693.67</v>
      </c>
      <c r="D4065" s="6">
        <f t="shared" si="66"/>
        <v>-4.9279463319308551E-3</v>
      </c>
      <c r="E4065" s="6">
        <v>-4.9279463319308551E-3</v>
      </c>
    </row>
    <row r="4066" spans="2:5" x14ac:dyDescent="0.3">
      <c r="B4066" s="4">
        <v>44970</v>
      </c>
      <c r="C4066" s="5">
        <v>2707.01</v>
      </c>
      <c r="D4066" s="6">
        <f t="shared" si="66"/>
        <v>1.0027299764733735</v>
      </c>
      <c r="E4066" s="6">
        <v>-4.9367014159473598E-3</v>
      </c>
    </row>
    <row r="4067" spans="2:5" x14ac:dyDescent="0.3">
      <c r="B4067" s="4">
        <v>43570</v>
      </c>
      <c r="C4067" s="5">
        <v>1351.66</v>
      </c>
      <c r="D4067" s="6">
        <f t="shared" si="66"/>
        <v>23.901621223286664</v>
      </c>
      <c r="E4067" s="6">
        <v>-4.9397439578316733E-3</v>
      </c>
    </row>
    <row r="4068" spans="2:5" x14ac:dyDescent="0.3">
      <c r="B4068" s="4">
        <v>38985</v>
      </c>
      <c r="C4068" s="7">
        <v>54.28</v>
      </c>
      <c r="D4068" s="6">
        <f t="shared" si="66"/>
        <v>0</v>
      </c>
      <c r="E4068" s="6">
        <v>-4.9495875343720632E-3</v>
      </c>
    </row>
    <row r="4069" spans="2:5" x14ac:dyDescent="0.3">
      <c r="B4069" s="4">
        <v>38979</v>
      </c>
      <c r="C4069" s="7">
        <v>54.28</v>
      </c>
      <c r="D4069" s="6">
        <f t="shared" si="66"/>
        <v>-0.95844975007080691</v>
      </c>
      <c r="E4069" s="6">
        <v>-4.9495875343720632E-3</v>
      </c>
    </row>
    <row r="4070" spans="2:5" x14ac:dyDescent="0.3">
      <c r="B4070" s="4">
        <v>43640</v>
      </c>
      <c r="C4070" s="5">
        <v>1306.3699999999999</v>
      </c>
      <c r="D4070" s="6">
        <f t="shared" si="66"/>
        <v>0.60253437848845026</v>
      </c>
      <c r="E4070" s="6">
        <v>-4.9509852460639676E-3</v>
      </c>
    </row>
    <row r="4071" spans="2:5" x14ac:dyDescent="0.3">
      <c r="B4071" s="4">
        <v>42409</v>
      </c>
      <c r="C4071" s="7">
        <v>815.19</v>
      </c>
      <c r="D4071" s="6">
        <f t="shared" si="66"/>
        <v>49.822319201995022</v>
      </c>
      <c r="E4071" s="6">
        <v>-4.9557522123893135E-3</v>
      </c>
    </row>
    <row r="4072" spans="2:5" x14ac:dyDescent="0.3">
      <c r="B4072" s="4">
        <v>37669</v>
      </c>
      <c r="C4072" s="7">
        <v>16.04</v>
      </c>
      <c r="D4072" s="6">
        <f t="shared" si="66"/>
        <v>-0.80943328977070206</v>
      </c>
      <c r="E4072" s="6">
        <v>-4.9627791563276579E-3</v>
      </c>
    </row>
    <row r="4073" spans="2:5" x14ac:dyDescent="0.3">
      <c r="B4073" s="4">
        <v>39407</v>
      </c>
      <c r="C4073" s="7">
        <v>84.17</v>
      </c>
      <c r="D4073" s="6">
        <f t="shared" si="66"/>
        <v>-0.19012797074954299</v>
      </c>
      <c r="E4073" s="6">
        <v>-4.9651259014068059E-3</v>
      </c>
    </row>
    <row r="4074" spans="2:5" x14ac:dyDescent="0.3">
      <c r="B4074" s="4">
        <v>39560</v>
      </c>
      <c r="C4074" s="7">
        <v>103.93</v>
      </c>
      <c r="D4074" s="6">
        <f t="shared" si="66"/>
        <v>-0.87021242054522518</v>
      </c>
      <c r="E4074" s="6">
        <v>-4.9784585926280133E-3</v>
      </c>
    </row>
    <row r="4075" spans="2:5" x14ac:dyDescent="0.3">
      <c r="B4075" s="4">
        <v>42382</v>
      </c>
      <c r="C4075" s="7">
        <v>800.77</v>
      </c>
      <c r="D4075" s="6">
        <f t="shared" si="66"/>
        <v>-0.52315818307410145</v>
      </c>
      <c r="E4075" s="6">
        <v>-4.9827281990108985E-3</v>
      </c>
    </row>
    <row r="4076" spans="2:5" x14ac:dyDescent="0.3">
      <c r="B4076" s="4">
        <v>43951</v>
      </c>
      <c r="C4076" s="5">
        <v>1679.32</v>
      </c>
      <c r="D4076" s="6">
        <f t="shared" si="66"/>
        <v>-0.23318721461187217</v>
      </c>
      <c r="E4076" s="6">
        <v>-4.9830245359151534E-3</v>
      </c>
    </row>
    <row r="4077" spans="2:5" x14ac:dyDescent="0.3">
      <c r="B4077" s="4">
        <v>45715</v>
      </c>
      <c r="C4077" s="5">
        <v>2190</v>
      </c>
      <c r="D4077" s="6">
        <f t="shared" si="66"/>
        <v>1.0616809760506101</v>
      </c>
      <c r="E4077" s="6">
        <v>-4.9886868576724998E-3</v>
      </c>
    </row>
    <row r="4078" spans="2:5" x14ac:dyDescent="0.3">
      <c r="B4078" s="4">
        <v>42971</v>
      </c>
      <c r="C4078" s="5">
        <v>1062.24</v>
      </c>
      <c r="D4078" s="6">
        <f t="shared" si="66"/>
        <v>-0.60472878688085374</v>
      </c>
      <c r="E4078" s="6">
        <v>-5.0019670656999181E-3</v>
      </c>
    </row>
    <row r="4079" spans="2:5" x14ac:dyDescent="0.3">
      <c r="B4079" s="4">
        <v>45014</v>
      </c>
      <c r="C4079" s="5">
        <v>2687.37</v>
      </c>
      <c r="D4079" s="6">
        <f t="shared" si="66"/>
        <v>41.327453142227121</v>
      </c>
      <c r="E4079" s="6">
        <v>-5.0094412973454034E-3</v>
      </c>
    </row>
    <row r="4080" spans="2:5" x14ac:dyDescent="0.3">
      <c r="B4080" s="4">
        <v>39120</v>
      </c>
      <c r="C4080" s="7">
        <v>63.49</v>
      </c>
      <c r="D4080" s="6">
        <f t="shared" si="66"/>
        <v>-0.97467379900992868</v>
      </c>
      <c r="E4080" s="6">
        <v>-5.0148879485974029E-3</v>
      </c>
    </row>
    <row r="4081" spans="2:5" x14ac:dyDescent="0.3">
      <c r="B4081" s="4">
        <v>45961</v>
      </c>
      <c r="C4081" s="5">
        <v>2506.89</v>
      </c>
      <c r="D4081" s="6">
        <f t="shared" si="66"/>
        <v>0.12811178111781121</v>
      </c>
      <c r="E4081" s="6">
        <v>-5.0326047698616393E-3</v>
      </c>
    </row>
    <row r="4082" spans="2:5" x14ac:dyDescent="0.3">
      <c r="B4082" s="4">
        <v>45712</v>
      </c>
      <c r="C4082" s="5">
        <v>2222.1999999999998</v>
      </c>
      <c r="D4082" s="6">
        <f t="shared" si="66"/>
        <v>1.0216888953583578</v>
      </c>
      <c r="E4082" s="6">
        <v>-5.0504145996383221E-3</v>
      </c>
    </row>
    <row r="4083" spans="2:5" x14ac:dyDescent="0.3">
      <c r="B4083" s="4">
        <v>43042</v>
      </c>
      <c r="C4083" s="5">
        <v>1099.18</v>
      </c>
      <c r="D4083" s="6">
        <f t="shared" si="66"/>
        <v>-0.54829827978729528</v>
      </c>
      <c r="E4083" s="6">
        <v>-5.0508707773633437E-3</v>
      </c>
    </row>
    <row r="4084" spans="2:5" x14ac:dyDescent="0.3">
      <c r="B4084" s="4">
        <v>45621</v>
      </c>
      <c r="C4084" s="5">
        <v>2433.42</v>
      </c>
      <c r="D4084" s="6">
        <f t="shared" si="66"/>
        <v>-0.12093144231950227</v>
      </c>
      <c r="E4084" s="6">
        <v>-5.0536025317077281E-3</v>
      </c>
    </row>
    <row r="4085" spans="2:5" x14ac:dyDescent="0.3">
      <c r="B4085" s="4">
        <v>45398</v>
      </c>
      <c r="C4085" s="5">
        <v>2768.18</v>
      </c>
      <c r="D4085" s="6">
        <f t="shared" si="66"/>
        <v>43.142560995056606</v>
      </c>
      <c r="E4085" s="6">
        <v>-5.0642101593303835E-3</v>
      </c>
    </row>
    <row r="4086" spans="2:5" x14ac:dyDescent="0.3">
      <c r="B4086" s="4">
        <v>39134</v>
      </c>
      <c r="C4086" s="7">
        <v>62.71</v>
      </c>
      <c r="D4086" s="6">
        <f t="shared" si="66"/>
        <v>-0.94861310279837752</v>
      </c>
      <c r="E4086" s="6">
        <v>-5.0769474853244534E-3</v>
      </c>
    </row>
    <row r="4087" spans="2:5" x14ac:dyDescent="0.3">
      <c r="B4087" s="4">
        <v>43241</v>
      </c>
      <c r="C4087" s="5">
        <v>1220.3499999999999</v>
      </c>
      <c r="D4087" s="6">
        <f t="shared" si="66"/>
        <v>4.2842729713345449</v>
      </c>
      <c r="E4087" s="6">
        <v>-5.0791632017479649E-3</v>
      </c>
    </row>
    <row r="4088" spans="2:5" x14ac:dyDescent="0.3">
      <c r="B4088" s="4">
        <v>40406</v>
      </c>
      <c r="C4088" s="7">
        <v>230.94</v>
      </c>
      <c r="D4088" s="6">
        <f t="shared" si="66"/>
        <v>-0.92899746661091565</v>
      </c>
      <c r="E4088" s="6">
        <v>-5.0835774599345459E-3</v>
      </c>
    </row>
    <row r="4089" spans="2:5" x14ac:dyDescent="0.3">
      <c r="B4089" s="4">
        <v>45147</v>
      </c>
      <c r="C4089" s="5">
        <v>3252.56</v>
      </c>
      <c r="D4089" s="6">
        <f t="shared" si="66"/>
        <v>31.168529324498071</v>
      </c>
      <c r="E4089" s="6">
        <v>-5.0929735318318769E-3</v>
      </c>
    </row>
    <row r="4090" spans="2:5" x14ac:dyDescent="0.3">
      <c r="B4090" s="4">
        <v>40004</v>
      </c>
      <c r="C4090" s="7">
        <v>101.11</v>
      </c>
      <c r="D4090" s="6">
        <f t="shared" si="66"/>
        <v>-0.96393874115498746</v>
      </c>
      <c r="E4090" s="6">
        <v>-5.1165994293023327E-3</v>
      </c>
    </row>
    <row r="4091" spans="2:5" x14ac:dyDescent="0.3">
      <c r="B4091" s="4">
        <v>45446</v>
      </c>
      <c r="C4091" s="5">
        <v>2803.84</v>
      </c>
      <c r="D4091" s="6">
        <f t="shared" si="66"/>
        <v>10.278519710378118</v>
      </c>
      <c r="E4091" s="6">
        <v>-5.1201623691129088E-3</v>
      </c>
    </row>
    <row r="4092" spans="2:5" x14ac:dyDescent="0.3">
      <c r="B4092" s="4">
        <v>40932</v>
      </c>
      <c r="C4092" s="7">
        <v>248.6</v>
      </c>
      <c r="D4092" s="6">
        <f t="shared" si="66"/>
        <v>-0.91825003781675651</v>
      </c>
      <c r="E4092" s="6">
        <v>-5.1224587802145075E-3</v>
      </c>
    </row>
    <row r="4093" spans="2:5" x14ac:dyDescent="0.3">
      <c r="B4093" s="4">
        <v>44894</v>
      </c>
      <c r="C4093" s="5">
        <v>3040.98</v>
      </c>
      <c r="D4093" s="6">
        <f t="shared" si="66"/>
        <v>6.8745144751152312</v>
      </c>
      <c r="E4093" s="6">
        <v>-5.123272613065279E-3</v>
      </c>
    </row>
    <row r="4094" spans="2:5" x14ac:dyDescent="0.3">
      <c r="B4094" s="4">
        <v>41292</v>
      </c>
      <c r="C4094" s="7">
        <v>386.18</v>
      </c>
      <c r="D4094" s="6">
        <f t="shared" si="66"/>
        <v>0.43172802432061685</v>
      </c>
      <c r="E4094" s="6">
        <v>-5.1266197799933249E-3</v>
      </c>
    </row>
    <row r="4095" spans="2:5" x14ac:dyDescent="0.3">
      <c r="B4095" s="4">
        <v>40757</v>
      </c>
      <c r="C4095" s="7">
        <v>269.73</v>
      </c>
      <c r="D4095" s="6">
        <f t="shared" si="66"/>
        <v>3.095505617977528</v>
      </c>
      <c r="E4095" s="6">
        <v>-5.1268810858659869E-3</v>
      </c>
    </row>
    <row r="4096" spans="2:5" x14ac:dyDescent="0.3">
      <c r="B4096" s="4">
        <v>39113</v>
      </c>
      <c r="C4096" s="7">
        <v>65.86</v>
      </c>
      <c r="D4096" s="6">
        <f t="shared" si="66"/>
        <v>-0.53419619492184733</v>
      </c>
      <c r="E4096" s="6">
        <v>-5.1359516616314715E-3</v>
      </c>
    </row>
    <row r="4097" spans="2:5" x14ac:dyDescent="0.3">
      <c r="B4097" s="4">
        <v>40114</v>
      </c>
      <c r="C4097" s="7">
        <v>141.38999999999999</v>
      </c>
      <c r="D4097" s="6">
        <f t="shared" si="66"/>
        <v>5.0865260439087381</v>
      </c>
      <c r="E4097" s="6">
        <v>-5.1365043625106821E-3</v>
      </c>
    </row>
    <row r="4098" spans="2:5" x14ac:dyDescent="0.3">
      <c r="B4098" s="4">
        <v>38076</v>
      </c>
      <c r="C4098" s="7">
        <v>23.23</v>
      </c>
      <c r="D4098" s="6">
        <f t="shared" si="66"/>
        <v>-0.99188825840244432</v>
      </c>
      <c r="E4098" s="6">
        <v>-5.1391862955032543E-3</v>
      </c>
    </row>
    <row r="4099" spans="2:5" x14ac:dyDescent="0.3">
      <c r="B4099" s="4">
        <v>44418</v>
      </c>
      <c r="C4099" s="5">
        <v>2863.75</v>
      </c>
      <c r="D4099" s="6">
        <f t="shared" si="66"/>
        <v>16.632842805245982</v>
      </c>
      <c r="E4099" s="6">
        <v>-5.144933577900042E-3</v>
      </c>
    </row>
    <row r="4100" spans="2:5" x14ac:dyDescent="0.3">
      <c r="B4100" s="4">
        <v>40193</v>
      </c>
      <c r="C4100" s="7">
        <v>162.41</v>
      </c>
      <c r="D4100" s="6">
        <f t="shared" si="66"/>
        <v>-8.6249578035332577E-2</v>
      </c>
      <c r="E4100" s="6">
        <v>-5.1454823889739874E-3</v>
      </c>
    </row>
    <row r="4101" spans="2:5" x14ac:dyDescent="0.3">
      <c r="B4101" s="4">
        <v>40283</v>
      </c>
      <c r="C4101" s="7">
        <v>177.74</v>
      </c>
      <c r="D4101" s="6">
        <f t="shared" si="66"/>
        <v>-0.85644943747627544</v>
      </c>
      <c r="E4101" s="6">
        <v>-5.1494458748460063E-3</v>
      </c>
    </row>
    <row r="4102" spans="2:5" x14ac:dyDescent="0.3">
      <c r="B4102" s="4">
        <v>43349</v>
      </c>
      <c r="C4102" s="5">
        <v>1238.17</v>
      </c>
      <c r="D4102" s="6">
        <f t="shared" si="66"/>
        <v>3.2182059755391279</v>
      </c>
      <c r="E4102" s="6">
        <v>-5.1503318388531512E-3</v>
      </c>
    </row>
    <row r="4103" spans="2:5" x14ac:dyDescent="0.3">
      <c r="B4103" s="4">
        <v>41017</v>
      </c>
      <c r="C4103" s="7">
        <v>293.52999999999997</v>
      </c>
      <c r="D4103" s="6">
        <f t="shared" si="66"/>
        <v>1.9233144109152474</v>
      </c>
      <c r="E4103" s="6">
        <v>-5.1516692086088414E-3</v>
      </c>
    </row>
    <row r="4104" spans="2:5" x14ac:dyDescent="0.3">
      <c r="B4104" s="4">
        <v>39720</v>
      </c>
      <c r="C4104" s="7">
        <v>100.41</v>
      </c>
      <c r="D4104" s="6">
        <f t="shared" ref="D4104:D4167" si="67">((C4104-C4105)/C4105)</f>
        <v>-0.65299281172242196</v>
      </c>
      <c r="E4104" s="6">
        <v>-5.1520856038839808E-3</v>
      </c>
    </row>
    <row r="4105" spans="2:5" x14ac:dyDescent="0.3">
      <c r="B4105" s="4">
        <v>40778</v>
      </c>
      <c r="C4105" s="7">
        <v>289.36</v>
      </c>
      <c r="D4105" s="6">
        <f t="shared" si="67"/>
        <v>11.520986585893553</v>
      </c>
      <c r="E4105" s="6">
        <v>-5.1571202640445573E-3</v>
      </c>
    </row>
    <row r="4106" spans="2:5" x14ac:dyDescent="0.3">
      <c r="B4106" s="4">
        <v>38077</v>
      </c>
      <c r="C4106" s="7">
        <v>23.11</v>
      </c>
      <c r="D4106" s="6">
        <f t="shared" si="67"/>
        <v>-0.98634168828789437</v>
      </c>
      <c r="E4106" s="6">
        <v>-5.1657339647008605E-3</v>
      </c>
    </row>
    <row r="4107" spans="2:5" x14ac:dyDescent="0.3">
      <c r="B4107" s="4">
        <v>43858</v>
      </c>
      <c r="C4107" s="5">
        <v>1692.01</v>
      </c>
      <c r="D4107" s="6">
        <f t="shared" si="67"/>
        <v>1.8314841775858894</v>
      </c>
      <c r="E4107" s="6">
        <v>-5.1681561618061875E-3</v>
      </c>
    </row>
    <row r="4108" spans="2:5" x14ac:dyDescent="0.3">
      <c r="B4108" s="4">
        <v>41946</v>
      </c>
      <c r="C4108" s="7">
        <v>597.57000000000005</v>
      </c>
      <c r="D4108" s="6">
        <f t="shared" si="67"/>
        <v>-0.65008344312692135</v>
      </c>
      <c r="E4108" s="6">
        <v>-5.177465539055571E-3</v>
      </c>
    </row>
    <row r="4109" spans="2:5" x14ac:dyDescent="0.3">
      <c r="B4109" s="4">
        <v>43861</v>
      </c>
      <c r="C4109" s="5">
        <v>1707.75</v>
      </c>
      <c r="D4109" s="6">
        <f t="shared" si="67"/>
        <v>1.8993073240297444</v>
      </c>
      <c r="E4109" s="6">
        <v>-5.1787212228540051E-3</v>
      </c>
    </row>
    <row r="4110" spans="2:5" x14ac:dyDescent="0.3">
      <c r="B4110" s="4">
        <v>41933</v>
      </c>
      <c r="C4110" s="7">
        <v>589.02</v>
      </c>
      <c r="D4110" s="6">
        <f t="shared" si="67"/>
        <v>-0.45851680931062061</v>
      </c>
      <c r="E4110" s="6">
        <v>-5.1850225472479692E-3</v>
      </c>
    </row>
    <row r="4111" spans="2:5" x14ac:dyDescent="0.3">
      <c r="B4111" s="4">
        <v>43060</v>
      </c>
      <c r="C4111" s="5">
        <v>1087.79</v>
      </c>
      <c r="D4111" s="6">
        <f t="shared" si="67"/>
        <v>-8.2057640933998303E-3</v>
      </c>
      <c r="E4111" s="6">
        <v>-5.1853748651071573E-3</v>
      </c>
    </row>
    <row r="4112" spans="2:5" x14ac:dyDescent="0.3">
      <c r="B4112" s="4">
        <v>43123</v>
      </c>
      <c r="C4112" s="5">
        <v>1096.79</v>
      </c>
      <c r="D4112" s="6">
        <f t="shared" si="67"/>
        <v>-0.51018886125017304</v>
      </c>
      <c r="E4112" s="6">
        <v>-5.1881615586253432E-3</v>
      </c>
    </row>
    <row r="4113" spans="2:5" x14ac:dyDescent="0.3">
      <c r="B4113" s="4">
        <v>45694</v>
      </c>
      <c r="C4113" s="5">
        <v>2239.21</v>
      </c>
      <c r="D4113" s="6">
        <f t="shared" si="67"/>
        <v>-0.24998157787200972</v>
      </c>
      <c r="E4113" s="6">
        <v>-5.1890585501734145E-3</v>
      </c>
    </row>
    <row r="4114" spans="2:5" x14ac:dyDescent="0.3">
      <c r="B4114" s="4">
        <v>44498</v>
      </c>
      <c r="C4114" s="5">
        <v>2985.54</v>
      </c>
      <c r="D4114" s="6">
        <f t="shared" si="67"/>
        <v>-9.528542597227864E-2</v>
      </c>
      <c r="E4114" s="6">
        <v>-5.1980247505947442E-3</v>
      </c>
    </row>
    <row r="4115" spans="2:5" x14ac:dyDescent="0.3">
      <c r="B4115" s="4">
        <v>44466</v>
      </c>
      <c r="C4115" s="5">
        <v>3299.98</v>
      </c>
      <c r="D4115" s="6">
        <f t="shared" si="67"/>
        <v>5.799736251056026</v>
      </c>
      <c r="E4115" s="6">
        <v>-5.2031206665781688E-3</v>
      </c>
    </row>
    <row r="4116" spans="2:5" x14ac:dyDescent="0.3">
      <c r="B4116" s="4">
        <v>41751</v>
      </c>
      <c r="C4116" s="7">
        <v>485.31</v>
      </c>
      <c r="D4116" s="6">
        <f t="shared" si="67"/>
        <v>0.6658428586139431</v>
      </c>
      <c r="E4116" s="6">
        <v>-5.2065183970483146E-3</v>
      </c>
    </row>
    <row r="4117" spans="2:5" x14ac:dyDescent="0.3">
      <c r="B4117" s="4">
        <v>40728</v>
      </c>
      <c r="C4117" s="7">
        <v>291.33</v>
      </c>
      <c r="D4117" s="6">
        <f t="shared" si="67"/>
        <v>-0.88182633139574973</v>
      </c>
      <c r="E4117" s="6">
        <v>-5.2243392747388841E-3</v>
      </c>
    </row>
    <row r="4118" spans="2:5" x14ac:dyDescent="0.3">
      <c r="B4118" s="4">
        <v>45623</v>
      </c>
      <c r="C4118" s="5">
        <v>2465.27</v>
      </c>
      <c r="D4118" s="6">
        <f t="shared" si="67"/>
        <v>-0.25292811016058009</v>
      </c>
      <c r="E4118" s="6">
        <v>-5.2295388240801042E-3</v>
      </c>
    </row>
    <row r="4119" spans="2:5" x14ac:dyDescent="0.3">
      <c r="B4119" s="4">
        <v>45294</v>
      </c>
      <c r="C4119" s="5">
        <v>3299.91</v>
      </c>
      <c r="D4119" s="6">
        <f t="shared" si="67"/>
        <v>12.91075794621027</v>
      </c>
      <c r="E4119" s="6">
        <v>-5.2332188817913912E-3</v>
      </c>
    </row>
    <row r="4120" spans="2:5" x14ac:dyDescent="0.3">
      <c r="B4120" s="4">
        <v>40420</v>
      </c>
      <c r="C4120" s="7">
        <v>237.22</v>
      </c>
      <c r="D4120" s="6">
        <f t="shared" si="67"/>
        <v>-0.84575671668964081</v>
      </c>
      <c r="E4120" s="6">
        <v>-5.2417494863085503E-3</v>
      </c>
    </row>
    <row r="4121" spans="2:5" x14ac:dyDescent="0.3">
      <c r="B4121" s="4">
        <v>43957</v>
      </c>
      <c r="C4121" s="5">
        <v>1537.96</v>
      </c>
      <c r="D4121" s="6">
        <f t="shared" si="67"/>
        <v>-0.44373553240740743</v>
      </c>
      <c r="E4121" s="6">
        <v>-5.2455580924537053E-3</v>
      </c>
    </row>
    <row r="4122" spans="2:5" x14ac:dyDescent="0.3">
      <c r="B4122" s="4">
        <v>46003</v>
      </c>
      <c r="C4122" s="5">
        <v>2764.8</v>
      </c>
      <c r="D4122" s="6">
        <f t="shared" si="67"/>
        <v>0.25911386582750046</v>
      </c>
      <c r="E4122" s="6">
        <v>-5.2529322875440416E-3</v>
      </c>
    </row>
    <row r="4123" spans="2:5" x14ac:dyDescent="0.3">
      <c r="B4123" s="4">
        <v>45733</v>
      </c>
      <c r="C4123" s="5">
        <v>2195.83</v>
      </c>
      <c r="D4123" s="6">
        <f t="shared" si="67"/>
        <v>12.083656080557706</v>
      </c>
      <c r="E4123" s="6">
        <v>-5.2684986364419329E-3</v>
      </c>
    </row>
    <row r="4124" spans="2:5" x14ac:dyDescent="0.3">
      <c r="B4124" s="4">
        <v>40224</v>
      </c>
      <c r="C4124" s="7">
        <v>167.83</v>
      </c>
      <c r="D4124" s="6">
        <f t="shared" si="67"/>
        <v>-0.86198644781421674</v>
      </c>
      <c r="E4124" s="6">
        <v>-5.2750118539591417E-3</v>
      </c>
    </row>
    <row r="4125" spans="2:5" x14ac:dyDescent="0.3">
      <c r="B4125" s="4">
        <v>43355</v>
      </c>
      <c r="C4125" s="5">
        <v>1216.04</v>
      </c>
      <c r="D4125" s="6">
        <f t="shared" si="67"/>
        <v>42.091424521615878</v>
      </c>
      <c r="E4125" s="6">
        <v>-5.2761167780513915E-3</v>
      </c>
    </row>
    <row r="4126" spans="2:5" x14ac:dyDescent="0.3">
      <c r="B4126" s="4">
        <v>38422</v>
      </c>
      <c r="C4126" s="7">
        <v>28.22</v>
      </c>
      <c r="D4126" s="6">
        <f t="shared" si="67"/>
        <v>-0.93014159817803754</v>
      </c>
      <c r="E4126" s="6">
        <v>-5.2872752908002156E-3</v>
      </c>
    </row>
    <row r="4127" spans="2:5" x14ac:dyDescent="0.3">
      <c r="B4127" s="4">
        <v>41317</v>
      </c>
      <c r="C4127" s="7">
        <v>403.96</v>
      </c>
      <c r="D4127" s="6">
        <f t="shared" si="67"/>
        <v>4.1224955617550085</v>
      </c>
      <c r="E4127" s="6">
        <v>-5.2941321316885429E-3</v>
      </c>
    </row>
    <row r="4128" spans="2:5" x14ac:dyDescent="0.3">
      <c r="B4128" s="4">
        <v>39325</v>
      </c>
      <c r="C4128" s="7">
        <v>78.86</v>
      </c>
      <c r="D4128" s="6">
        <f t="shared" si="67"/>
        <v>-0.91711423856720931</v>
      </c>
      <c r="E4128" s="6">
        <v>-5.2976791120080942E-3</v>
      </c>
    </row>
    <row r="4129" spans="2:5" x14ac:dyDescent="0.3">
      <c r="B4129" s="4">
        <v>42801</v>
      </c>
      <c r="C4129" s="7">
        <v>951.43</v>
      </c>
      <c r="D4129" s="6">
        <f t="shared" si="67"/>
        <v>-0.60894780106863966</v>
      </c>
      <c r="E4129" s="6">
        <v>-5.3005750130685307E-3</v>
      </c>
    </row>
    <row r="4130" spans="2:5" x14ac:dyDescent="0.3">
      <c r="B4130" s="4">
        <v>45874</v>
      </c>
      <c r="C4130" s="5">
        <v>2433</v>
      </c>
      <c r="D4130" s="6">
        <f t="shared" si="67"/>
        <v>1.1217742237147717E-2</v>
      </c>
      <c r="E4130" s="6">
        <v>-5.3066664486218279E-3</v>
      </c>
    </row>
    <row r="4131" spans="2:5" x14ac:dyDescent="0.3">
      <c r="B4131" s="4">
        <v>45769</v>
      </c>
      <c r="C4131" s="5">
        <v>2406.0100000000002</v>
      </c>
      <c r="D4131" s="6">
        <f t="shared" si="67"/>
        <v>1.3016970879730612</v>
      </c>
      <c r="E4131" s="6">
        <v>-5.316532099699311E-3</v>
      </c>
    </row>
    <row r="4132" spans="2:5" x14ac:dyDescent="0.3">
      <c r="B4132" s="4">
        <v>43074</v>
      </c>
      <c r="C4132" s="5">
        <v>1045.32</v>
      </c>
      <c r="D4132" s="6">
        <f t="shared" si="67"/>
        <v>14.641478377973963</v>
      </c>
      <c r="E4132" s="6">
        <v>-5.347593582887813E-3</v>
      </c>
    </row>
    <row r="4133" spans="2:5" x14ac:dyDescent="0.3">
      <c r="B4133" s="4">
        <v>39198</v>
      </c>
      <c r="C4133" s="7">
        <v>66.83</v>
      </c>
      <c r="D4133" s="6">
        <f t="shared" si="67"/>
        <v>-0.82601338158340065</v>
      </c>
      <c r="E4133" s="6">
        <v>-5.3579401696680967E-3</v>
      </c>
    </row>
    <row r="4134" spans="2:5" x14ac:dyDescent="0.3">
      <c r="B4134" s="4">
        <v>41295</v>
      </c>
      <c r="C4134" s="7">
        <v>384.11</v>
      </c>
      <c r="D4134" s="6">
        <f t="shared" si="67"/>
        <v>16.255615453728662</v>
      </c>
      <c r="E4134" s="6">
        <v>-5.3601947278470998E-3</v>
      </c>
    </row>
    <row r="4135" spans="2:5" x14ac:dyDescent="0.3">
      <c r="B4135" s="4">
        <v>38126</v>
      </c>
      <c r="C4135" s="7">
        <v>22.26</v>
      </c>
      <c r="D4135" s="6">
        <f t="shared" si="67"/>
        <v>-0.99266612414874644</v>
      </c>
      <c r="E4135" s="6">
        <v>-5.3619302949060518E-3</v>
      </c>
    </row>
    <row r="4136" spans="2:5" x14ac:dyDescent="0.3">
      <c r="B4136" s="4">
        <v>44516</v>
      </c>
      <c r="C4136" s="5">
        <v>3035.23</v>
      </c>
      <c r="D4136" s="6">
        <f t="shared" si="67"/>
        <v>41.132565241532483</v>
      </c>
      <c r="E4136" s="6">
        <v>-5.364399003801249E-3</v>
      </c>
    </row>
    <row r="4137" spans="2:5" x14ac:dyDescent="0.3">
      <c r="B4137" s="4">
        <v>39237</v>
      </c>
      <c r="C4137" s="7">
        <v>72.040000000000006</v>
      </c>
      <c r="D4137" s="6">
        <f t="shared" si="67"/>
        <v>-0.30322081439210752</v>
      </c>
      <c r="E4137" s="6">
        <v>-5.3845091812784835E-3</v>
      </c>
    </row>
    <row r="4138" spans="2:5" x14ac:dyDescent="0.3">
      <c r="B4138" s="4">
        <v>39582</v>
      </c>
      <c r="C4138" s="7">
        <v>103.39</v>
      </c>
      <c r="D4138" s="6">
        <f t="shared" si="67"/>
        <v>-0.91820346679957898</v>
      </c>
      <c r="E4138" s="6">
        <v>-5.3872053872054092E-3</v>
      </c>
    </row>
    <row r="4139" spans="2:5" x14ac:dyDescent="0.3">
      <c r="B4139" s="4">
        <v>43437</v>
      </c>
      <c r="C4139" s="5">
        <v>1263.99</v>
      </c>
      <c r="D4139" s="6">
        <f t="shared" si="67"/>
        <v>0.62170588386235925</v>
      </c>
      <c r="E4139" s="6">
        <v>-5.390135658304672E-3</v>
      </c>
    </row>
    <row r="4140" spans="2:5" x14ac:dyDescent="0.3">
      <c r="B4140" s="4">
        <v>42457</v>
      </c>
      <c r="C4140" s="7">
        <v>779.42</v>
      </c>
      <c r="D4140" s="6">
        <f t="shared" si="67"/>
        <v>16.689968225147524</v>
      </c>
      <c r="E4140" s="6">
        <v>-5.4105096598014565E-3</v>
      </c>
    </row>
    <row r="4141" spans="2:5" x14ac:dyDescent="0.3">
      <c r="B4141" s="4">
        <v>38860</v>
      </c>
      <c r="C4141" s="7">
        <v>44.06</v>
      </c>
      <c r="D4141" s="6">
        <f t="shared" si="67"/>
        <v>-0.98344293713126152</v>
      </c>
      <c r="E4141" s="6">
        <v>-5.4176072234761825E-3</v>
      </c>
    </row>
    <row r="4142" spans="2:5" x14ac:dyDescent="0.3">
      <c r="B4142" s="4">
        <v>46043</v>
      </c>
      <c r="C4142" s="5">
        <v>2661.1</v>
      </c>
      <c r="D4142" s="6">
        <f t="shared" si="67"/>
        <v>10.435262773408963</v>
      </c>
      <c r="E4142" s="6">
        <v>-5.4193451936014351E-3</v>
      </c>
    </row>
    <row r="4143" spans="2:5" x14ac:dyDescent="0.3">
      <c r="B4143" s="4">
        <v>40462</v>
      </c>
      <c r="C4143" s="7">
        <v>232.71</v>
      </c>
      <c r="D4143" s="6">
        <f t="shared" si="67"/>
        <v>8.7736245275094511</v>
      </c>
      <c r="E4143" s="6">
        <v>-5.4278143431061706E-3</v>
      </c>
    </row>
    <row r="4144" spans="2:5" x14ac:dyDescent="0.3">
      <c r="B4144" s="4">
        <v>38114</v>
      </c>
      <c r="C4144" s="7">
        <v>23.81</v>
      </c>
      <c r="D4144" s="6">
        <f t="shared" si="67"/>
        <v>-0.91027621811056258</v>
      </c>
      <c r="E4144" s="6">
        <v>-5.4302422723476419E-3</v>
      </c>
    </row>
    <row r="4145" spans="2:5" x14ac:dyDescent="0.3">
      <c r="B4145" s="4">
        <v>40711</v>
      </c>
      <c r="C4145" s="7">
        <v>265.37</v>
      </c>
      <c r="D4145" s="6">
        <f t="shared" si="67"/>
        <v>-0.67245146080452245</v>
      </c>
      <c r="E4145" s="6">
        <v>-5.4343752342402695E-3</v>
      </c>
    </row>
    <row r="4146" spans="2:5" x14ac:dyDescent="0.3">
      <c r="B4146" s="4">
        <v>42370</v>
      </c>
      <c r="C4146" s="7">
        <v>810.17</v>
      </c>
      <c r="D4146" s="6">
        <f t="shared" si="67"/>
        <v>30.647265624999996</v>
      </c>
      <c r="E4146" s="6">
        <v>-5.4382519027744462E-3</v>
      </c>
    </row>
    <row r="4147" spans="2:5" x14ac:dyDescent="0.3">
      <c r="B4147" s="4">
        <v>38343</v>
      </c>
      <c r="C4147" s="7">
        <v>25.6</v>
      </c>
      <c r="D4147" s="6">
        <f t="shared" si="67"/>
        <v>-0.88961234961838642</v>
      </c>
      <c r="E4147" s="6">
        <v>-5.4390054390053236E-3</v>
      </c>
    </row>
    <row r="4148" spans="2:5" x14ac:dyDescent="0.3">
      <c r="B4148" s="4">
        <v>40521</v>
      </c>
      <c r="C4148" s="7">
        <v>231.91</v>
      </c>
      <c r="D4148" s="6">
        <f t="shared" si="67"/>
        <v>-0.47079092693167818</v>
      </c>
      <c r="E4148" s="6">
        <v>-5.4464362295223012E-3</v>
      </c>
    </row>
    <row r="4149" spans="2:5" x14ac:dyDescent="0.3">
      <c r="B4149" s="4">
        <v>41681</v>
      </c>
      <c r="C4149" s="7">
        <v>438.22</v>
      </c>
      <c r="D4149" s="6">
        <f t="shared" si="67"/>
        <v>20.889110889110892</v>
      </c>
      <c r="E4149" s="6">
        <v>-5.4468703190957675E-3</v>
      </c>
    </row>
    <row r="4150" spans="2:5" x14ac:dyDescent="0.3">
      <c r="B4150" s="4">
        <v>37819</v>
      </c>
      <c r="C4150" s="7">
        <v>20.02</v>
      </c>
      <c r="D4150" s="6">
        <f t="shared" si="67"/>
        <v>-0.57683365039103784</v>
      </c>
      <c r="E4150" s="6">
        <v>-5.4644808743169121E-3</v>
      </c>
    </row>
    <row r="4151" spans="2:5" x14ac:dyDescent="0.3">
      <c r="B4151" s="4">
        <v>38902</v>
      </c>
      <c r="C4151" s="7">
        <v>47.31</v>
      </c>
      <c r="D4151" s="6">
        <f t="shared" si="67"/>
        <v>-0.95091712661327132</v>
      </c>
      <c r="E4151" s="6">
        <v>-5.465629598486399E-3</v>
      </c>
    </row>
    <row r="4152" spans="2:5" x14ac:dyDescent="0.3">
      <c r="B4152" s="4">
        <v>42681</v>
      </c>
      <c r="C4152" s="7">
        <v>963.88</v>
      </c>
      <c r="D4152" s="6">
        <f t="shared" si="67"/>
        <v>36.873477406679761</v>
      </c>
      <c r="E4152" s="6">
        <v>-5.4685404156090247E-3</v>
      </c>
    </row>
    <row r="4153" spans="2:5" x14ac:dyDescent="0.3">
      <c r="B4153" s="4">
        <v>38348</v>
      </c>
      <c r="C4153" s="7">
        <v>25.45</v>
      </c>
      <c r="D4153" s="6">
        <f t="shared" si="67"/>
        <v>-0.49970513072537842</v>
      </c>
      <c r="E4153" s="6">
        <v>-5.4708870652598893E-3</v>
      </c>
    </row>
    <row r="4154" spans="2:5" x14ac:dyDescent="0.3">
      <c r="B4154" s="4">
        <v>38952</v>
      </c>
      <c r="C4154" s="7">
        <v>50.87</v>
      </c>
      <c r="D4154" s="6">
        <f t="shared" si="67"/>
        <v>-0.31626344086021513</v>
      </c>
      <c r="E4154" s="6">
        <v>-5.4740957966764644E-3</v>
      </c>
    </row>
    <row r="4155" spans="2:5" x14ac:dyDescent="0.3">
      <c r="B4155" s="4">
        <v>39784</v>
      </c>
      <c r="C4155" s="7">
        <v>74.400000000000006</v>
      </c>
      <c r="D4155" s="6">
        <f t="shared" si="67"/>
        <v>-0.95826976577223366</v>
      </c>
      <c r="E4155" s="6">
        <v>-5.4805507285121853E-3</v>
      </c>
    </row>
    <row r="4156" spans="2:5" x14ac:dyDescent="0.3">
      <c r="B4156" s="4">
        <v>43899</v>
      </c>
      <c r="C4156" s="5">
        <v>1782.88</v>
      </c>
      <c r="D4156" s="6">
        <f t="shared" si="67"/>
        <v>4.0144218147450325E-2</v>
      </c>
      <c r="E4156" s="6">
        <v>-5.4833185512436072E-3</v>
      </c>
    </row>
    <row r="4157" spans="2:5" x14ac:dyDescent="0.3">
      <c r="B4157" s="4">
        <v>43829</v>
      </c>
      <c r="C4157" s="5">
        <v>1714.07</v>
      </c>
      <c r="D4157" s="6">
        <f t="shared" si="67"/>
        <v>-0.43309167399802884</v>
      </c>
      <c r="E4157" s="6">
        <v>-5.488735328076701E-3</v>
      </c>
    </row>
    <row r="4158" spans="2:5" x14ac:dyDescent="0.3">
      <c r="B4158" s="4">
        <v>45217</v>
      </c>
      <c r="C4158" s="5">
        <v>3023.54</v>
      </c>
      <c r="D4158" s="6">
        <f t="shared" si="67"/>
        <v>9.9068766951246716E-3</v>
      </c>
      <c r="E4158" s="6">
        <v>-5.4897162385740732E-3</v>
      </c>
    </row>
    <row r="4159" spans="2:5" x14ac:dyDescent="0.3">
      <c r="B4159" s="4">
        <v>44874</v>
      </c>
      <c r="C4159" s="5">
        <v>2993.88</v>
      </c>
      <c r="D4159" s="6">
        <f t="shared" si="67"/>
        <v>3.5751105329800019E-2</v>
      </c>
      <c r="E4159" s="6">
        <v>-5.4942499717647248E-3</v>
      </c>
    </row>
    <row r="4160" spans="2:5" x14ac:dyDescent="0.3">
      <c r="B4160" s="4">
        <v>44379</v>
      </c>
      <c r="C4160" s="5">
        <v>2890.54</v>
      </c>
      <c r="D4160" s="6">
        <f t="shared" si="67"/>
        <v>31.643026538678711</v>
      </c>
      <c r="E4160" s="6">
        <v>-5.4945622069080286E-3</v>
      </c>
    </row>
    <row r="4161" spans="2:5" x14ac:dyDescent="0.3">
      <c r="B4161" s="4">
        <v>39391</v>
      </c>
      <c r="C4161" s="7">
        <v>88.55</v>
      </c>
      <c r="D4161" s="6">
        <f t="shared" si="67"/>
        <v>0.88604898828540979</v>
      </c>
      <c r="E4161" s="6">
        <v>-5.5031446540881523E-3</v>
      </c>
    </row>
    <row r="4162" spans="2:5" x14ac:dyDescent="0.3">
      <c r="B4162" s="4">
        <v>38909</v>
      </c>
      <c r="C4162" s="7">
        <v>46.95</v>
      </c>
      <c r="D4162" s="6">
        <f t="shared" si="67"/>
        <v>-0.78675568878593805</v>
      </c>
      <c r="E4162" s="6">
        <v>-5.5073077737767002E-3</v>
      </c>
    </row>
    <row r="4163" spans="2:5" x14ac:dyDescent="0.3">
      <c r="B4163" s="4">
        <v>40624</v>
      </c>
      <c r="C4163" s="7">
        <v>220.17</v>
      </c>
      <c r="D4163" s="6">
        <f t="shared" si="67"/>
        <v>-0.72939788355886592</v>
      </c>
      <c r="E4163" s="6">
        <v>-5.5106373368264102E-3</v>
      </c>
    </row>
    <row r="4164" spans="2:5" x14ac:dyDescent="0.3">
      <c r="B4164" s="4">
        <v>42402</v>
      </c>
      <c r="C4164" s="7">
        <v>813.63</v>
      </c>
      <c r="D4164" s="6">
        <f t="shared" si="67"/>
        <v>3.6121535060370729</v>
      </c>
      <c r="E4164" s="6">
        <v>-5.5125039724252464E-3</v>
      </c>
    </row>
    <row r="4165" spans="2:5" x14ac:dyDescent="0.3">
      <c r="B4165" s="4">
        <v>40276</v>
      </c>
      <c r="C4165" s="7">
        <v>176.41</v>
      </c>
      <c r="D4165" s="6">
        <f t="shared" si="67"/>
        <v>-0.84078950930931473</v>
      </c>
      <c r="E4165" s="6">
        <v>-5.5245504256158174E-3</v>
      </c>
    </row>
    <row r="4166" spans="2:5" x14ac:dyDescent="0.3">
      <c r="B4166" s="4">
        <v>43035</v>
      </c>
      <c r="C4166" s="5">
        <v>1108.03</v>
      </c>
      <c r="D4166" s="6">
        <f t="shared" si="67"/>
        <v>12.445334304089309</v>
      </c>
      <c r="E4166" s="6">
        <v>-5.5465307258057844E-3</v>
      </c>
    </row>
    <row r="4167" spans="2:5" x14ac:dyDescent="0.3">
      <c r="B4167" s="4">
        <v>39359</v>
      </c>
      <c r="C4167" s="7">
        <v>82.41</v>
      </c>
      <c r="D4167" s="6">
        <f t="shared" si="67"/>
        <v>-0.88128268291628853</v>
      </c>
      <c r="E4167" s="6">
        <v>-5.5508627971522619E-3</v>
      </c>
    </row>
    <row r="4168" spans="2:5" x14ac:dyDescent="0.3">
      <c r="B4168" s="4">
        <v>42151</v>
      </c>
      <c r="C4168" s="7">
        <v>694.17</v>
      </c>
      <c r="D4168" s="6">
        <f t="shared" ref="D4168:D4231" si="68">((C4168-C4169)/C4169)</f>
        <v>-0.32367154465207831</v>
      </c>
      <c r="E4168" s="6">
        <v>-5.5583410930449047E-3</v>
      </c>
    </row>
    <row r="4169" spans="2:5" x14ac:dyDescent="0.3">
      <c r="B4169" s="4">
        <v>42600</v>
      </c>
      <c r="C4169" s="5">
        <v>1026.3800000000001</v>
      </c>
      <c r="D4169" s="6">
        <f t="shared" si="68"/>
        <v>-0.63313173772554399</v>
      </c>
      <c r="E4169" s="6">
        <v>-5.5613688330812139E-3</v>
      </c>
    </row>
    <row r="4170" spans="2:5" x14ac:dyDescent="0.3">
      <c r="B4170" s="4">
        <v>45364</v>
      </c>
      <c r="C4170" s="5">
        <v>2797.68</v>
      </c>
      <c r="D4170" s="6">
        <f t="shared" si="68"/>
        <v>1.6352435853961791</v>
      </c>
      <c r="E4170" s="6">
        <v>-5.5628027995294161E-3</v>
      </c>
    </row>
    <row r="4171" spans="2:5" x14ac:dyDescent="0.3">
      <c r="B4171" s="4">
        <v>42964</v>
      </c>
      <c r="C4171" s="5">
        <v>1061.6400000000001</v>
      </c>
      <c r="D4171" s="6">
        <f t="shared" si="68"/>
        <v>-0.29165443433238136</v>
      </c>
      <c r="E4171" s="6">
        <v>-5.5639858371267989E-3</v>
      </c>
    </row>
    <row r="4172" spans="2:5" x14ac:dyDescent="0.3">
      <c r="B4172" s="4">
        <v>43962</v>
      </c>
      <c r="C4172" s="5">
        <v>1498.76</v>
      </c>
      <c r="D4172" s="6">
        <f t="shared" si="68"/>
        <v>20.020476858345024</v>
      </c>
      <c r="E4172" s="6">
        <v>-5.5733963215584877E-3</v>
      </c>
    </row>
    <row r="4173" spans="2:5" x14ac:dyDescent="0.3">
      <c r="B4173" s="4">
        <v>39273</v>
      </c>
      <c r="C4173" s="7">
        <v>71.3</v>
      </c>
      <c r="D4173" s="6">
        <f t="shared" si="68"/>
        <v>-0.90853814972548619</v>
      </c>
      <c r="E4173" s="6">
        <v>-5.5788005578801345E-3</v>
      </c>
    </row>
    <row r="4174" spans="2:5" x14ac:dyDescent="0.3">
      <c r="B4174" s="4">
        <v>42388</v>
      </c>
      <c r="C4174" s="7">
        <v>779.56</v>
      </c>
      <c r="D4174" s="6">
        <f t="shared" si="68"/>
        <v>9.1929916317991616</v>
      </c>
      <c r="E4174" s="6">
        <v>-5.5871622828279066E-3</v>
      </c>
    </row>
    <row r="4175" spans="2:5" x14ac:dyDescent="0.3">
      <c r="B4175" s="4">
        <v>39777</v>
      </c>
      <c r="C4175" s="7">
        <v>76.48</v>
      </c>
      <c r="D4175" s="6">
        <f t="shared" si="68"/>
        <v>-0.64726501245272572</v>
      </c>
      <c r="E4175" s="6">
        <v>-5.5909504615783727E-3</v>
      </c>
    </row>
    <row r="4176" spans="2:5" x14ac:dyDescent="0.3">
      <c r="B4176" s="4">
        <v>40577</v>
      </c>
      <c r="C4176" s="7">
        <v>216.82</v>
      </c>
      <c r="D4176" s="6">
        <f t="shared" si="68"/>
        <v>0.4896599106836137</v>
      </c>
      <c r="E4176" s="6">
        <v>-5.5953036140157716E-3</v>
      </c>
    </row>
    <row r="4177" spans="2:5" x14ac:dyDescent="0.3">
      <c r="B4177" s="4">
        <v>40151</v>
      </c>
      <c r="C4177" s="7">
        <v>145.55000000000001</v>
      </c>
      <c r="D4177" s="6">
        <f t="shared" si="68"/>
        <v>-0.93586975678533657</v>
      </c>
      <c r="E4177" s="6">
        <v>-5.6022408963584966E-3</v>
      </c>
    </row>
    <row r="4178" spans="2:5" x14ac:dyDescent="0.3">
      <c r="B4178" s="4">
        <v>46121</v>
      </c>
      <c r="C4178" s="5">
        <v>2269.6</v>
      </c>
      <c r="D4178" s="6">
        <f t="shared" si="68"/>
        <v>141.29467084639501</v>
      </c>
      <c r="E4178" s="6">
        <v>-5.6081317910971701E-3</v>
      </c>
    </row>
    <row r="4179" spans="2:5" x14ac:dyDescent="0.3">
      <c r="B4179" s="4">
        <v>37670</v>
      </c>
      <c r="C4179" s="7">
        <v>15.95</v>
      </c>
      <c r="D4179" s="6">
        <f t="shared" si="68"/>
        <v>-0.9422164257508242</v>
      </c>
      <c r="E4179" s="6">
        <v>-5.610972568578545E-3</v>
      </c>
    </row>
    <row r="4180" spans="2:5" x14ac:dyDescent="0.3">
      <c r="B4180" s="4">
        <v>40744</v>
      </c>
      <c r="C4180" s="7">
        <v>276.02999999999997</v>
      </c>
      <c r="D4180" s="6">
        <f t="shared" si="68"/>
        <v>-0.75961228630896915</v>
      </c>
      <c r="E4180" s="6">
        <v>-5.6197989841132697E-3</v>
      </c>
    </row>
    <row r="4181" spans="2:5" x14ac:dyDescent="0.3">
      <c r="B4181" s="4">
        <v>43384</v>
      </c>
      <c r="C4181" s="5">
        <v>1148.27</v>
      </c>
      <c r="D4181" s="6">
        <f t="shared" si="68"/>
        <v>-0.47911034094826804</v>
      </c>
      <c r="E4181" s="6">
        <v>-5.6202154560255025E-3</v>
      </c>
    </row>
    <row r="4182" spans="2:5" x14ac:dyDescent="0.3">
      <c r="B4182" s="4">
        <v>45700</v>
      </c>
      <c r="C4182" s="5">
        <v>2204.44</v>
      </c>
      <c r="D4182" s="6">
        <f t="shared" si="68"/>
        <v>-0.1995235864643361</v>
      </c>
      <c r="E4182" s="6">
        <v>-5.6204610041048469E-3</v>
      </c>
    </row>
    <row r="4183" spans="2:5" x14ac:dyDescent="0.3">
      <c r="B4183" s="4">
        <v>45006</v>
      </c>
      <c r="C4183" s="5">
        <v>2753.91</v>
      </c>
      <c r="D4183" s="6">
        <f t="shared" si="68"/>
        <v>0.24273356167165291</v>
      </c>
      <c r="E4183" s="6">
        <v>-5.6219940205382108E-3</v>
      </c>
    </row>
    <row r="4184" spans="2:5" x14ac:dyDescent="0.3">
      <c r="B4184" s="4">
        <v>45671</v>
      </c>
      <c r="C4184" s="5">
        <v>2216.0100000000002</v>
      </c>
      <c r="D4184" s="6">
        <f t="shared" si="68"/>
        <v>95.85358391608392</v>
      </c>
      <c r="E4184" s="6">
        <v>-5.6403629216809402E-3</v>
      </c>
    </row>
    <row r="4185" spans="2:5" x14ac:dyDescent="0.3">
      <c r="B4185" s="4">
        <v>37883</v>
      </c>
      <c r="C4185" s="7">
        <v>22.88</v>
      </c>
      <c r="D4185" s="6">
        <f t="shared" si="68"/>
        <v>2.6292725679228188E-3</v>
      </c>
      <c r="E4185" s="6">
        <v>-5.6497175141244048E-3</v>
      </c>
    </row>
    <row r="4186" spans="2:5" x14ac:dyDescent="0.3">
      <c r="B4186" s="4">
        <v>38300</v>
      </c>
      <c r="C4186" s="7">
        <v>22.82</v>
      </c>
      <c r="D4186" s="6">
        <f t="shared" si="68"/>
        <v>-0.99190983830312218</v>
      </c>
      <c r="E4186" s="6">
        <v>-5.6644880174291506E-3</v>
      </c>
    </row>
    <row r="4187" spans="2:5" x14ac:dyDescent="0.3">
      <c r="B4187" s="4">
        <v>45442</v>
      </c>
      <c r="C4187" s="5">
        <v>2820.71</v>
      </c>
      <c r="D4187" s="6">
        <f t="shared" si="68"/>
        <v>1.6218919345993328</v>
      </c>
      <c r="E4187" s="6">
        <v>-5.6718838127468082E-3</v>
      </c>
    </row>
    <row r="4188" spans="2:5" x14ac:dyDescent="0.3">
      <c r="B4188" s="4">
        <v>42643</v>
      </c>
      <c r="C4188" s="5">
        <v>1075.83</v>
      </c>
      <c r="D4188" s="6">
        <f t="shared" si="68"/>
        <v>2.1157288076689156</v>
      </c>
      <c r="E4188" s="6">
        <v>-5.6932134308081235E-3</v>
      </c>
    </row>
    <row r="4189" spans="2:5" x14ac:dyDescent="0.3">
      <c r="B4189" s="4">
        <v>41078</v>
      </c>
      <c r="C4189" s="7">
        <v>345.29</v>
      </c>
      <c r="D4189" s="6">
        <f t="shared" si="68"/>
        <v>5.3883441258094358</v>
      </c>
      <c r="E4189" s="6">
        <v>-5.7016154577129077E-3</v>
      </c>
    </row>
    <row r="4190" spans="2:5" x14ac:dyDescent="0.3">
      <c r="B4190" s="4">
        <v>39007</v>
      </c>
      <c r="C4190" s="7">
        <v>54.05</v>
      </c>
      <c r="D4190" s="6">
        <f t="shared" si="68"/>
        <v>-0.98169465809143519</v>
      </c>
      <c r="E4190" s="6">
        <v>-5.7027225901398505E-3</v>
      </c>
    </row>
    <row r="4191" spans="2:5" x14ac:dyDescent="0.3">
      <c r="B4191" s="4">
        <v>45588</v>
      </c>
      <c r="C4191" s="5">
        <v>2952.69</v>
      </c>
      <c r="D4191" s="6">
        <f t="shared" si="68"/>
        <v>42.460259052104803</v>
      </c>
      <c r="E4191" s="6">
        <v>-5.7044143546502611E-3</v>
      </c>
    </row>
    <row r="4192" spans="2:5" x14ac:dyDescent="0.3">
      <c r="B4192" s="4">
        <v>39862</v>
      </c>
      <c r="C4192" s="7">
        <v>67.94</v>
      </c>
      <c r="D4192" s="6">
        <f t="shared" si="68"/>
        <v>-0.97013140598690772</v>
      </c>
      <c r="E4192" s="6">
        <v>-5.7075954924630558E-3</v>
      </c>
    </row>
    <row r="4193" spans="2:5" x14ac:dyDescent="0.3">
      <c r="B4193" s="4">
        <v>45799</v>
      </c>
      <c r="C4193" s="5">
        <v>2274.63</v>
      </c>
      <c r="D4193" s="6">
        <f t="shared" si="68"/>
        <v>1.329322492114857</v>
      </c>
      <c r="E4193" s="6">
        <v>-5.7088154426517337E-3</v>
      </c>
    </row>
    <row r="4194" spans="2:5" x14ac:dyDescent="0.3">
      <c r="B4194" s="4">
        <v>42683</v>
      </c>
      <c r="C4194" s="7">
        <v>976.52</v>
      </c>
      <c r="D4194" s="6">
        <f t="shared" si="68"/>
        <v>39.16947758124229</v>
      </c>
      <c r="E4194" s="6">
        <v>-5.7221984645773561E-3</v>
      </c>
    </row>
    <row r="4195" spans="2:5" x14ac:dyDescent="0.3">
      <c r="B4195" s="4">
        <v>38181</v>
      </c>
      <c r="C4195" s="7">
        <v>24.31</v>
      </c>
      <c r="D4195" s="6">
        <f t="shared" si="68"/>
        <v>-0.98643309187101669</v>
      </c>
      <c r="E4195" s="6">
        <v>-5.7259713701431729E-3</v>
      </c>
    </row>
    <row r="4196" spans="2:5" x14ac:dyDescent="0.3">
      <c r="B4196" s="4">
        <v>44063</v>
      </c>
      <c r="C4196" s="5">
        <v>1791.86</v>
      </c>
      <c r="D4196" s="6">
        <f t="shared" si="68"/>
        <v>0.17656405946315062</v>
      </c>
      <c r="E4196" s="6">
        <v>-5.7319150589006454E-3</v>
      </c>
    </row>
    <row r="4197" spans="2:5" x14ac:dyDescent="0.3">
      <c r="B4197" s="4">
        <v>43920</v>
      </c>
      <c r="C4197" s="5">
        <v>1522.96</v>
      </c>
      <c r="D4197" s="6">
        <f t="shared" si="68"/>
        <v>5.3863798381347756</v>
      </c>
      <c r="E4197" s="6">
        <v>-5.7385343561285876E-3</v>
      </c>
    </row>
    <row r="4198" spans="2:5" x14ac:dyDescent="0.3">
      <c r="B4198" s="4">
        <v>40417</v>
      </c>
      <c r="C4198" s="7">
        <v>238.47</v>
      </c>
      <c r="D4198" s="6">
        <f t="shared" si="68"/>
        <v>-0.67716300919219674</v>
      </c>
      <c r="E4198" s="6">
        <v>-5.7535959974984174E-3</v>
      </c>
    </row>
    <row r="4199" spans="2:5" x14ac:dyDescent="0.3">
      <c r="B4199" s="4">
        <v>42314</v>
      </c>
      <c r="C4199" s="7">
        <v>738.67</v>
      </c>
      <c r="D4199" s="6">
        <f t="shared" si="68"/>
        <v>-2.7074957018635009E-5</v>
      </c>
      <c r="E4199" s="6">
        <v>-5.7742004953161372E-3</v>
      </c>
    </row>
    <row r="4200" spans="2:5" x14ac:dyDescent="0.3">
      <c r="B4200" s="4">
        <v>42073</v>
      </c>
      <c r="C4200" s="7">
        <v>738.69</v>
      </c>
      <c r="D4200" s="6">
        <f t="shared" si="68"/>
        <v>-0.74155593341310322</v>
      </c>
      <c r="E4200" s="6">
        <v>-5.7874264794949525E-3</v>
      </c>
    </row>
    <row r="4201" spans="2:5" x14ac:dyDescent="0.3">
      <c r="B4201" s="4">
        <v>44424</v>
      </c>
      <c r="C4201" s="5">
        <v>2858.22</v>
      </c>
      <c r="D4201" s="6">
        <f t="shared" si="68"/>
        <v>150.54931071049839</v>
      </c>
      <c r="E4201" s="6">
        <v>-5.7881079426477557E-3</v>
      </c>
    </row>
    <row r="4202" spans="2:5" x14ac:dyDescent="0.3">
      <c r="B4202" s="4">
        <v>37795</v>
      </c>
      <c r="C4202" s="7">
        <v>18.86</v>
      </c>
      <c r="D4202" s="6">
        <f t="shared" si="68"/>
        <v>-0.31192995257205403</v>
      </c>
      <c r="E4202" s="6">
        <v>-5.7986294148655478E-3</v>
      </c>
    </row>
    <row r="4203" spans="2:5" x14ac:dyDescent="0.3">
      <c r="B4203" s="4">
        <v>38386</v>
      </c>
      <c r="C4203" s="7">
        <v>27.41</v>
      </c>
      <c r="D4203" s="6">
        <f t="shared" si="68"/>
        <v>-0.11035378123985715</v>
      </c>
      <c r="E4203" s="6">
        <v>-5.8034095030830663E-3</v>
      </c>
    </row>
    <row r="4204" spans="2:5" x14ac:dyDescent="0.3">
      <c r="B4204" s="4">
        <v>38467</v>
      </c>
      <c r="C4204" s="7">
        <v>30.81</v>
      </c>
      <c r="D4204" s="6">
        <f t="shared" si="68"/>
        <v>-0.90987011467353152</v>
      </c>
      <c r="E4204" s="6">
        <v>-5.8083252662148996E-3</v>
      </c>
    </row>
    <row r="4205" spans="2:5" x14ac:dyDescent="0.3">
      <c r="B4205" s="4">
        <v>41068</v>
      </c>
      <c r="C4205" s="7">
        <v>341.84</v>
      </c>
      <c r="D4205" s="6">
        <f t="shared" si="68"/>
        <v>-0.79027834868126412</v>
      </c>
      <c r="E4205" s="6">
        <v>-5.8166589111214523E-3</v>
      </c>
    </row>
    <row r="4206" spans="2:5" x14ac:dyDescent="0.3">
      <c r="B4206" s="4">
        <v>44046</v>
      </c>
      <c r="C4206" s="5">
        <v>1629.97</v>
      </c>
      <c r="D4206" s="6">
        <f t="shared" si="68"/>
        <v>1.0679649835067242</v>
      </c>
      <c r="E4206" s="6">
        <v>-5.8248755733385105E-3</v>
      </c>
    </row>
    <row r="4207" spans="2:5" x14ac:dyDescent="0.3">
      <c r="B4207" s="4">
        <v>42027</v>
      </c>
      <c r="C4207" s="7">
        <v>788.2</v>
      </c>
      <c r="D4207" s="6">
        <f t="shared" si="68"/>
        <v>4.3849832615973217</v>
      </c>
      <c r="E4207" s="6">
        <v>-5.8273000176584907E-3</v>
      </c>
    </row>
    <row r="4208" spans="2:5" x14ac:dyDescent="0.3">
      <c r="B4208" s="4">
        <v>40150</v>
      </c>
      <c r="C4208" s="7">
        <v>146.37</v>
      </c>
      <c r="D4208" s="6">
        <f t="shared" si="68"/>
        <v>-0.80180363163667379</v>
      </c>
      <c r="E4208" s="6">
        <v>-5.8412008422195566E-3</v>
      </c>
    </row>
    <row r="4209" spans="2:5" x14ac:dyDescent="0.3">
      <c r="B4209" s="4">
        <v>42016</v>
      </c>
      <c r="C4209" s="7">
        <v>738.51</v>
      </c>
      <c r="D4209" s="6">
        <f t="shared" si="68"/>
        <v>-0.74498347681055832</v>
      </c>
      <c r="E4209" s="6">
        <v>-5.8423638688833972E-3</v>
      </c>
    </row>
    <row r="4210" spans="2:5" x14ac:dyDescent="0.3">
      <c r="B4210" s="4">
        <v>44386</v>
      </c>
      <c r="C4210" s="5">
        <v>2895.93</v>
      </c>
      <c r="D4210" s="6">
        <f t="shared" si="68"/>
        <v>1.4262757944653435</v>
      </c>
      <c r="E4210" s="6">
        <v>-5.8428740623766226E-3</v>
      </c>
    </row>
    <row r="4211" spans="2:5" x14ac:dyDescent="0.3">
      <c r="B4211" s="4">
        <v>43278</v>
      </c>
      <c r="C4211" s="5">
        <v>1193.57</v>
      </c>
      <c r="D4211" s="6">
        <f t="shared" si="68"/>
        <v>1.6292404617146883</v>
      </c>
      <c r="E4211" s="6">
        <v>-5.8471251634612835E-3</v>
      </c>
    </row>
    <row r="4212" spans="2:5" x14ac:dyDescent="0.3">
      <c r="B4212" s="4">
        <v>41619</v>
      </c>
      <c r="C4212" s="7">
        <v>453.96</v>
      </c>
      <c r="D4212" s="6">
        <f t="shared" si="68"/>
        <v>-0.42628938289079582</v>
      </c>
      <c r="E4212" s="6">
        <v>-5.8471848104592692E-3</v>
      </c>
    </row>
    <row r="4213" spans="2:5" x14ac:dyDescent="0.3">
      <c r="B4213" s="4">
        <v>42467</v>
      </c>
      <c r="C4213" s="7">
        <v>791.27</v>
      </c>
      <c r="D4213" s="6">
        <f t="shared" si="68"/>
        <v>1.2878332273174116</v>
      </c>
      <c r="E4213" s="6">
        <v>-5.8547862249192376E-3</v>
      </c>
    </row>
    <row r="4214" spans="2:5" x14ac:dyDescent="0.3">
      <c r="B4214" s="4">
        <v>41179</v>
      </c>
      <c r="C4214" s="7">
        <v>345.86</v>
      </c>
      <c r="D4214" s="6">
        <f t="shared" si="68"/>
        <v>-0.84726668933569438</v>
      </c>
      <c r="E4214" s="6">
        <v>-5.8637539522850349E-3</v>
      </c>
    </row>
    <row r="4215" spans="2:5" x14ac:dyDescent="0.3">
      <c r="B4215" s="4">
        <v>45827</v>
      </c>
      <c r="C4215" s="5">
        <v>2264.4699999999998</v>
      </c>
      <c r="D4215" s="6">
        <f t="shared" si="68"/>
        <v>2.2939074576837654E-2</v>
      </c>
      <c r="E4215" s="6">
        <v>-5.8695957573843402E-3</v>
      </c>
    </row>
    <row r="4216" spans="2:5" x14ac:dyDescent="0.3">
      <c r="B4216" s="4">
        <v>45706</v>
      </c>
      <c r="C4216" s="5">
        <v>2213.69</v>
      </c>
      <c r="D4216" s="6">
        <f t="shared" si="68"/>
        <v>8.5706441850410719</v>
      </c>
      <c r="E4216" s="6">
        <v>-5.8873720136519338E-3</v>
      </c>
    </row>
    <row r="4217" spans="2:5" x14ac:dyDescent="0.3">
      <c r="B4217" s="4">
        <v>40501</v>
      </c>
      <c r="C4217" s="7">
        <v>231.3</v>
      </c>
      <c r="D4217" s="6">
        <f t="shared" si="68"/>
        <v>-7.4096313198030464E-2</v>
      </c>
      <c r="E4217" s="6">
        <v>-5.8881677912922857E-3</v>
      </c>
    </row>
    <row r="4218" spans="2:5" x14ac:dyDescent="0.3">
      <c r="B4218" s="4">
        <v>40682</v>
      </c>
      <c r="C4218" s="7">
        <v>249.81</v>
      </c>
      <c r="D4218" s="6">
        <f t="shared" si="68"/>
        <v>-0.81288341260626951</v>
      </c>
      <c r="E4218" s="6">
        <v>-5.889609614389708E-3</v>
      </c>
    </row>
    <row r="4219" spans="2:5" x14ac:dyDescent="0.3">
      <c r="B4219" s="4">
        <v>43321</v>
      </c>
      <c r="C4219" s="5">
        <v>1335.05</v>
      </c>
      <c r="D4219" s="6">
        <f t="shared" si="68"/>
        <v>1.4811827457394016</v>
      </c>
      <c r="E4219" s="6">
        <v>-5.8899743849407885E-3</v>
      </c>
    </row>
    <row r="4220" spans="2:5" x14ac:dyDescent="0.3">
      <c r="B4220" s="4">
        <v>41828</v>
      </c>
      <c r="C4220" s="7">
        <v>538.07000000000005</v>
      </c>
      <c r="D4220" s="6">
        <f t="shared" si="68"/>
        <v>0.19515337287043841</v>
      </c>
      <c r="E4220" s="6">
        <v>-5.8936555444702009E-3</v>
      </c>
    </row>
    <row r="4221" spans="2:5" x14ac:dyDescent="0.3">
      <c r="B4221" s="4">
        <v>41758</v>
      </c>
      <c r="C4221" s="7">
        <v>450.21</v>
      </c>
      <c r="D4221" s="6">
        <f t="shared" si="68"/>
        <v>0.62848151631339078</v>
      </c>
      <c r="E4221" s="6">
        <v>-5.8956014838368129E-3</v>
      </c>
    </row>
    <row r="4222" spans="2:5" x14ac:dyDescent="0.3">
      <c r="B4222" s="4">
        <v>40800</v>
      </c>
      <c r="C4222" s="7">
        <v>276.45999999999998</v>
      </c>
      <c r="D4222" s="6">
        <f t="shared" si="68"/>
        <v>2.8158730158730156</v>
      </c>
      <c r="E4222" s="6">
        <v>-5.8971592952177026E-3</v>
      </c>
    </row>
    <row r="4223" spans="2:5" x14ac:dyDescent="0.3">
      <c r="B4223" s="4">
        <v>39289</v>
      </c>
      <c r="C4223" s="7">
        <v>72.45</v>
      </c>
      <c r="D4223" s="6">
        <f t="shared" si="68"/>
        <v>-0.9019873104343944</v>
      </c>
      <c r="E4223" s="6">
        <v>-5.9001097694839823E-3</v>
      </c>
    </row>
    <row r="4224" spans="2:5" x14ac:dyDescent="0.3">
      <c r="B4224" s="4">
        <v>42088</v>
      </c>
      <c r="C4224" s="7">
        <v>739.19</v>
      </c>
      <c r="D4224" s="6">
        <f t="shared" si="68"/>
        <v>-0.75266924752481867</v>
      </c>
      <c r="E4224" s="6">
        <v>-5.9038704645095162E-3</v>
      </c>
    </row>
    <row r="4225" spans="2:5" x14ac:dyDescent="0.3">
      <c r="B4225" s="4">
        <v>44502</v>
      </c>
      <c r="C4225" s="5">
        <v>2988.67</v>
      </c>
      <c r="D4225" s="6">
        <f t="shared" si="68"/>
        <v>29.643596841997333</v>
      </c>
      <c r="E4225" s="6">
        <v>-5.9106451484147301E-3</v>
      </c>
    </row>
    <row r="4226" spans="2:5" x14ac:dyDescent="0.3">
      <c r="B4226" s="4">
        <v>39629</v>
      </c>
      <c r="C4226" s="7">
        <v>97.53</v>
      </c>
      <c r="D4226" s="6">
        <f t="shared" si="68"/>
        <v>4.8019036287923855</v>
      </c>
      <c r="E4226" s="6">
        <v>-5.911731729691146E-3</v>
      </c>
    </row>
    <row r="4227" spans="2:5" x14ac:dyDescent="0.3">
      <c r="B4227" s="4">
        <v>37754</v>
      </c>
      <c r="C4227" s="7">
        <v>16.809999999999999</v>
      </c>
      <c r="D4227" s="6">
        <f t="shared" si="68"/>
        <v>-0.96182582037016007</v>
      </c>
      <c r="E4227" s="6">
        <v>-5.9136605558841766E-3</v>
      </c>
    </row>
    <row r="4228" spans="2:5" x14ac:dyDescent="0.3">
      <c r="B4228" s="4">
        <v>41631</v>
      </c>
      <c r="C4228" s="7">
        <v>440.35</v>
      </c>
      <c r="D4228" s="6">
        <f t="shared" si="68"/>
        <v>-0.84997666265786775</v>
      </c>
      <c r="E4228" s="6">
        <v>-5.9146217576811167E-3</v>
      </c>
    </row>
    <row r="4229" spans="2:5" x14ac:dyDescent="0.3">
      <c r="B4229" s="4">
        <v>45589</v>
      </c>
      <c r="C4229" s="5">
        <v>2935.21</v>
      </c>
      <c r="D4229" s="6">
        <f t="shared" si="68"/>
        <v>173.92312276519664</v>
      </c>
      <c r="E4229" s="6">
        <v>-5.9200254683017921E-3</v>
      </c>
    </row>
    <row r="4230" spans="2:5" x14ac:dyDescent="0.3">
      <c r="B4230" s="4">
        <v>37538</v>
      </c>
      <c r="C4230" s="7">
        <v>16.78</v>
      </c>
      <c r="D4230" s="6">
        <f t="shared" si="68"/>
        <v>-0.41019332161687166</v>
      </c>
      <c r="E4230" s="6">
        <v>-5.9241706161136179E-3</v>
      </c>
    </row>
    <row r="4231" spans="2:5" x14ac:dyDescent="0.3">
      <c r="B4231" s="4">
        <v>38414</v>
      </c>
      <c r="C4231" s="7">
        <v>28.45</v>
      </c>
      <c r="D4231" s="6">
        <f t="shared" si="68"/>
        <v>-0.622077577045696</v>
      </c>
      <c r="E4231" s="6">
        <v>-5.9399021663173197E-3</v>
      </c>
    </row>
    <row r="4232" spans="2:5" x14ac:dyDescent="0.3">
      <c r="B4232" s="4">
        <v>39790</v>
      </c>
      <c r="C4232" s="7">
        <v>75.28</v>
      </c>
      <c r="D4232" s="6">
        <f t="shared" ref="D4232:D4295" si="69">((C4232-C4233)/C4233)</f>
        <v>-0.71216639902118228</v>
      </c>
      <c r="E4232" s="6">
        <v>-5.9421629473128592E-3</v>
      </c>
    </row>
    <row r="4233" spans="2:5" x14ac:dyDescent="0.3">
      <c r="B4233" s="4">
        <v>40942</v>
      </c>
      <c r="C4233" s="7">
        <v>261.54000000000002</v>
      </c>
      <c r="D4233" s="6">
        <f t="shared" si="69"/>
        <v>-0.89432044091739271</v>
      </c>
      <c r="E4233" s="6">
        <v>-5.9670860096537309E-3</v>
      </c>
    </row>
    <row r="4234" spans="2:5" x14ac:dyDescent="0.3">
      <c r="B4234" s="4">
        <v>45918</v>
      </c>
      <c r="C4234" s="5">
        <v>2474.84</v>
      </c>
      <c r="D4234" s="6">
        <f t="shared" si="69"/>
        <v>147.90734055354994</v>
      </c>
      <c r="E4234" s="6">
        <v>-5.972583152254636E-3</v>
      </c>
    </row>
    <row r="4235" spans="2:5" x14ac:dyDescent="0.3">
      <c r="B4235" s="4">
        <v>37638</v>
      </c>
      <c r="C4235" s="7">
        <v>16.62</v>
      </c>
      <c r="D4235" s="6">
        <f t="shared" si="69"/>
        <v>-9.0809628008752738E-2</v>
      </c>
      <c r="E4235" s="6">
        <v>-5.9808612440190121E-3</v>
      </c>
    </row>
    <row r="4236" spans="2:5" x14ac:dyDescent="0.3">
      <c r="B4236" s="4">
        <v>37761</v>
      </c>
      <c r="C4236" s="7">
        <v>18.28</v>
      </c>
      <c r="D4236" s="6">
        <f t="shared" si="69"/>
        <v>-0.98569091435683476</v>
      </c>
      <c r="E4236" s="6">
        <v>-5.9815116911364563E-3</v>
      </c>
    </row>
    <row r="4237" spans="2:5" x14ac:dyDescent="0.3">
      <c r="B4237" s="4">
        <v>43648</v>
      </c>
      <c r="C4237" s="5">
        <v>1277.51</v>
      </c>
      <c r="D4237" s="6">
        <f t="shared" si="69"/>
        <v>-0.49296506943645152</v>
      </c>
      <c r="E4237" s="6">
        <v>-5.9835045129163203E-3</v>
      </c>
    </row>
    <row r="4238" spans="2:5" x14ac:dyDescent="0.3">
      <c r="B4238" s="4">
        <v>45960</v>
      </c>
      <c r="C4238" s="5">
        <v>2519.5700000000002</v>
      </c>
      <c r="D4238" s="6">
        <f t="shared" si="69"/>
        <v>5.8774941995359633</v>
      </c>
      <c r="E4238" s="6">
        <v>-5.9848347365014237E-3</v>
      </c>
    </row>
    <row r="4239" spans="2:5" x14ac:dyDescent="0.3">
      <c r="B4239" s="4">
        <v>41225</v>
      </c>
      <c r="C4239" s="7">
        <v>366.35</v>
      </c>
      <c r="D4239" s="6">
        <f t="shared" si="69"/>
        <v>-0.54596155514519062</v>
      </c>
      <c r="E4239" s="6">
        <v>-5.9963099630995758E-3</v>
      </c>
    </row>
    <row r="4240" spans="2:5" x14ac:dyDescent="0.3">
      <c r="B4240" s="4">
        <v>42219</v>
      </c>
      <c r="C4240" s="7">
        <v>806.87</v>
      </c>
      <c r="D4240" s="6">
        <f t="shared" si="69"/>
        <v>26.067091580006711</v>
      </c>
      <c r="E4240" s="6">
        <v>-5.9994579545174622E-3</v>
      </c>
    </row>
    <row r="4241" spans="2:5" x14ac:dyDescent="0.3">
      <c r="B4241" s="4">
        <v>38476</v>
      </c>
      <c r="C4241" s="7">
        <v>29.81</v>
      </c>
      <c r="D4241" s="6">
        <f t="shared" si="69"/>
        <v>-0.97230248915235029</v>
      </c>
      <c r="E4241" s="6">
        <v>-6.0020006668889542E-3</v>
      </c>
    </row>
    <row r="4242" spans="2:5" x14ac:dyDescent="0.3">
      <c r="B4242" s="4">
        <v>42865</v>
      </c>
      <c r="C4242" s="5">
        <v>1076.27</v>
      </c>
      <c r="D4242" s="6">
        <f t="shared" si="69"/>
        <v>3.2223224794036875</v>
      </c>
      <c r="E4242" s="6">
        <v>-6.0031216232440867E-3</v>
      </c>
    </row>
    <row r="4243" spans="2:5" x14ac:dyDescent="0.3">
      <c r="B4243" s="4">
        <v>40871</v>
      </c>
      <c r="C4243" s="7">
        <v>254.9</v>
      </c>
      <c r="D4243" s="6">
        <f t="shared" si="69"/>
        <v>-8.1970755600374617E-2</v>
      </c>
      <c r="E4243" s="6">
        <v>-6.005303384807331E-3</v>
      </c>
    </row>
    <row r="4244" spans="2:5" x14ac:dyDescent="0.3">
      <c r="B4244" s="4">
        <v>40723</v>
      </c>
      <c r="C4244" s="7">
        <v>277.66000000000003</v>
      </c>
      <c r="D4244" s="6">
        <f t="shared" si="69"/>
        <v>-0.74535015958032202</v>
      </c>
      <c r="E4244" s="6">
        <v>-6.0141762726424793E-3</v>
      </c>
    </row>
    <row r="4245" spans="2:5" x14ac:dyDescent="0.3">
      <c r="B4245" s="4">
        <v>43215</v>
      </c>
      <c r="C4245" s="5">
        <v>1090.3599999999999</v>
      </c>
      <c r="D4245" s="6">
        <f t="shared" si="69"/>
        <v>-0.1485620134154817</v>
      </c>
      <c r="E4245" s="6">
        <v>-6.025688943179966E-3</v>
      </c>
    </row>
    <row r="4246" spans="2:5" x14ac:dyDescent="0.3">
      <c r="B4246" s="4">
        <v>43297</v>
      </c>
      <c r="C4246" s="5">
        <v>1280.6099999999999</v>
      </c>
      <c r="D4246" s="6">
        <f t="shared" si="69"/>
        <v>76.754098360655732</v>
      </c>
      <c r="E4246" s="6">
        <v>-6.0308294136824604E-3</v>
      </c>
    </row>
    <row r="4247" spans="2:5" x14ac:dyDescent="0.3">
      <c r="B4247" s="4">
        <v>37558</v>
      </c>
      <c r="C4247" s="7">
        <v>16.47</v>
      </c>
      <c r="D4247" s="6">
        <f t="shared" si="69"/>
        <v>-0.97039846151081066</v>
      </c>
      <c r="E4247" s="6">
        <v>-6.0350030175015945E-3</v>
      </c>
    </row>
    <row r="4248" spans="2:5" x14ac:dyDescent="0.3">
      <c r="B4248" s="4">
        <v>41873</v>
      </c>
      <c r="C4248" s="7">
        <v>556.39</v>
      </c>
      <c r="D4248" s="6">
        <f t="shared" si="69"/>
        <v>-0.76142717480790345</v>
      </c>
      <c r="E4248" s="6">
        <v>-6.0381942583561023E-3</v>
      </c>
    </row>
    <row r="4249" spans="2:5" x14ac:dyDescent="0.3">
      <c r="B4249" s="4">
        <v>45931</v>
      </c>
      <c r="C4249" s="5">
        <v>2332.16</v>
      </c>
      <c r="D4249" s="6">
        <f t="shared" si="69"/>
        <v>-0.16170566097418085</v>
      </c>
      <c r="E4249" s="6">
        <v>-6.0434549127578651E-3</v>
      </c>
    </row>
    <row r="4250" spans="2:5" x14ac:dyDescent="0.3">
      <c r="B4250" s="4">
        <v>45408</v>
      </c>
      <c r="C4250" s="5">
        <v>2782.03</v>
      </c>
      <c r="D4250" s="6">
        <f t="shared" si="69"/>
        <v>140.29151853732859</v>
      </c>
      <c r="E4250" s="6">
        <v>-6.0451240643811495E-3</v>
      </c>
    </row>
    <row r="4251" spans="2:5" x14ac:dyDescent="0.3">
      <c r="B4251" s="4">
        <v>37812</v>
      </c>
      <c r="C4251" s="7">
        <v>19.690000000000001</v>
      </c>
      <c r="D4251" s="6">
        <f t="shared" si="69"/>
        <v>-0.82851419613307786</v>
      </c>
      <c r="E4251" s="6">
        <v>-6.057546693588968E-3</v>
      </c>
    </row>
    <row r="4252" spans="2:5" x14ac:dyDescent="0.3">
      <c r="B4252" s="4">
        <v>40035</v>
      </c>
      <c r="C4252" s="7">
        <v>114.82</v>
      </c>
      <c r="D4252" s="6">
        <f t="shared" si="69"/>
        <v>4.0008710801393716</v>
      </c>
      <c r="E4252" s="6">
        <v>-6.0595567867036257E-3</v>
      </c>
    </row>
    <row r="4253" spans="2:5" x14ac:dyDescent="0.3">
      <c r="B4253" s="4">
        <v>38119</v>
      </c>
      <c r="C4253" s="7">
        <v>22.96</v>
      </c>
      <c r="D4253" s="6">
        <f t="shared" si="69"/>
        <v>-0.91998327176413197</v>
      </c>
      <c r="E4253" s="6">
        <v>-6.0606060606060849E-3</v>
      </c>
    </row>
    <row r="4254" spans="2:5" x14ac:dyDescent="0.3">
      <c r="B4254" s="4">
        <v>41010</v>
      </c>
      <c r="C4254" s="7">
        <v>286.94</v>
      </c>
      <c r="D4254" s="6">
        <f t="shared" si="69"/>
        <v>11.513737461840384</v>
      </c>
      <c r="E4254" s="6">
        <v>-6.061865669056774E-3</v>
      </c>
    </row>
    <row r="4255" spans="2:5" x14ac:dyDescent="0.3">
      <c r="B4255" s="4">
        <v>38314</v>
      </c>
      <c r="C4255" s="7">
        <v>22.93</v>
      </c>
      <c r="D4255" s="6">
        <f t="shared" si="69"/>
        <v>-0.84425728452081772</v>
      </c>
      <c r="E4255" s="6">
        <v>-6.0684872128305405E-3</v>
      </c>
    </row>
    <row r="4256" spans="2:5" x14ac:dyDescent="0.3">
      <c r="B4256" s="4">
        <v>40149</v>
      </c>
      <c r="C4256" s="7">
        <v>147.22999999999999</v>
      </c>
      <c r="D4256" s="6">
        <f t="shared" si="69"/>
        <v>-0.95342886063136589</v>
      </c>
      <c r="E4256" s="6">
        <v>-6.0757442786741759E-3</v>
      </c>
    </row>
    <row r="4257" spans="2:5" x14ac:dyDescent="0.3">
      <c r="B4257" s="4">
        <v>45268</v>
      </c>
      <c r="C4257" s="5">
        <v>3161.4</v>
      </c>
      <c r="D4257" s="6">
        <f t="shared" si="69"/>
        <v>1.4063755937157472</v>
      </c>
      <c r="E4257" s="6">
        <v>-6.0897204136105068E-3</v>
      </c>
    </row>
    <row r="4258" spans="2:5" x14ac:dyDescent="0.3">
      <c r="B4258" s="4">
        <v>43335</v>
      </c>
      <c r="C4258" s="5">
        <v>1313.76</v>
      </c>
      <c r="D4258" s="6">
        <f t="shared" si="69"/>
        <v>-0.3221682196699997</v>
      </c>
      <c r="E4258" s="6">
        <v>-6.0976532356901434E-3</v>
      </c>
    </row>
    <row r="4259" spans="2:5" x14ac:dyDescent="0.3">
      <c r="B4259" s="4">
        <v>44109</v>
      </c>
      <c r="C4259" s="5">
        <v>1938.18</v>
      </c>
      <c r="D4259" s="6">
        <f t="shared" si="69"/>
        <v>28.763206388206385</v>
      </c>
      <c r="E4259" s="6">
        <v>-6.1023137512306487E-3</v>
      </c>
    </row>
    <row r="4260" spans="2:5" x14ac:dyDescent="0.3">
      <c r="B4260" s="4">
        <v>39125</v>
      </c>
      <c r="C4260" s="7">
        <v>65.12</v>
      </c>
      <c r="D4260" s="6">
        <f t="shared" si="69"/>
        <v>1.1074433656957932</v>
      </c>
      <c r="E4260" s="6">
        <v>-6.1050061050059749E-3</v>
      </c>
    </row>
    <row r="4261" spans="2:5" x14ac:dyDescent="0.3">
      <c r="B4261" s="4">
        <v>38446</v>
      </c>
      <c r="C4261" s="7">
        <v>30.9</v>
      </c>
      <c r="D4261" s="6">
        <f t="shared" si="69"/>
        <v>-0.98923326190351746</v>
      </c>
      <c r="E4261" s="6">
        <v>-6.1112898037954735E-3</v>
      </c>
    </row>
    <row r="4262" spans="2:5" x14ac:dyDescent="0.3">
      <c r="B4262" s="4">
        <v>44392</v>
      </c>
      <c r="C4262" s="5">
        <v>2869.95</v>
      </c>
      <c r="D4262" s="6">
        <f t="shared" si="69"/>
        <v>-4.6030653862645973E-2</v>
      </c>
      <c r="E4262" s="6">
        <v>-6.1123424296994364E-3</v>
      </c>
    </row>
    <row r="4263" spans="2:5" x14ac:dyDescent="0.3">
      <c r="B4263" s="4">
        <v>45070</v>
      </c>
      <c r="C4263" s="5">
        <v>3008.43</v>
      </c>
      <c r="D4263" s="6">
        <f t="shared" si="69"/>
        <v>28.416544441185099</v>
      </c>
      <c r="E4263" s="6">
        <v>-6.1216534080398158E-3</v>
      </c>
    </row>
    <row r="4264" spans="2:5" x14ac:dyDescent="0.3">
      <c r="B4264" s="4">
        <v>39548</v>
      </c>
      <c r="C4264" s="7">
        <v>102.27</v>
      </c>
      <c r="D4264" s="6">
        <f t="shared" si="69"/>
        <v>-0.91530855609659145</v>
      </c>
      <c r="E4264" s="6">
        <v>-6.1224489795919301E-3</v>
      </c>
    </row>
    <row r="4265" spans="2:5" x14ac:dyDescent="0.3">
      <c r="B4265" s="4">
        <v>43369</v>
      </c>
      <c r="C4265" s="5">
        <v>1207.56</v>
      </c>
      <c r="D4265" s="6">
        <f t="shared" si="69"/>
        <v>-0.4365752945293363</v>
      </c>
      <c r="E4265" s="6">
        <v>-6.1234567901235016E-3</v>
      </c>
    </row>
    <row r="4266" spans="2:5" x14ac:dyDescent="0.3">
      <c r="B4266" s="4">
        <v>45719</v>
      </c>
      <c r="C4266" s="5">
        <v>2143.25</v>
      </c>
      <c r="D4266" s="6">
        <f t="shared" si="69"/>
        <v>-4.2431038950594586E-2</v>
      </c>
      <c r="E4266" s="6">
        <v>-6.1257802138690431E-3</v>
      </c>
    </row>
    <row r="4267" spans="2:5" x14ac:dyDescent="0.3">
      <c r="B4267" s="4">
        <v>45681</v>
      </c>
      <c r="C4267" s="5">
        <v>2238.2199999999998</v>
      </c>
      <c r="D4267" s="6">
        <f t="shared" si="69"/>
        <v>0.99623624266424049</v>
      </c>
      <c r="E4267" s="6">
        <v>-6.1322451299496003E-3</v>
      </c>
    </row>
    <row r="4268" spans="2:5" x14ac:dyDescent="0.3">
      <c r="B4268" s="4">
        <v>42985</v>
      </c>
      <c r="C4268" s="5">
        <v>1121.22</v>
      </c>
      <c r="D4268" s="6">
        <f t="shared" si="69"/>
        <v>15.109482758620693</v>
      </c>
      <c r="E4268" s="6">
        <v>-6.1339904621767445E-3</v>
      </c>
    </row>
    <row r="4269" spans="2:5" x14ac:dyDescent="0.3">
      <c r="B4269" s="4">
        <v>39258</v>
      </c>
      <c r="C4269" s="7">
        <v>69.599999999999994</v>
      </c>
      <c r="D4269" s="6">
        <f t="shared" si="69"/>
        <v>-0.91016688823779957</v>
      </c>
      <c r="E4269" s="6">
        <v>-6.1402256175925578E-3</v>
      </c>
    </row>
    <row r="4270" spans="2:5" x14ac:dyDescent="0.3">
      <c r="B4270" s="4">
        <v>42389</v>
      </c>
      <c r="C4270" s="7">
        <v>774.77</v>
      </c>
      <c r="D4270" s="6">
        <f t="shared" si="69"/>
        <v>-0.2793373516389478</v>
      </c>
      <c r="E4270" s="6">
        <v>-6.1444917645851046E-3</v>
      </c>
    </row>
    <row r="4271" spans="2:5" x14ac:dyDescent="0.3">
      <c r="B4271" s="4">
        <v>43069</v>
      </c>
      <c r="C4271" s="5">
        <v>1075.08</v>
      </c>
      <c r="D4271" s="6">
        <f t="shared" si="69"/>
        <v>1.3458508804468785</v>
      </c>
      <c r="E4271" s="6">
        <v>-6.15674746242173E-3</v>
      </c>
    </row>
    <row r="4272" spans="2:5" x14ac:dyDescent="0.3">
      <c r="B4272" s="4">
        <v>41486</v>
      </c>
      <c r="C4272" s="7">
        <v>458.29</v>
      </c>
      <c r="D4272" s="6">
        <f t="shared" si="69"/>
        <v>-0.83385056012761483</v>
      </c>
      <c r="E4272" s="6">
        <v>-6.1587838570467653E-3</v>
      </c>
    </row>
    <row r="4273" spans="2:5" x14ac:dyDescent="0.3">
      <c r="B4273" s="4">
        <v>46021</v>
      </c>
      <c r="C4273" s="5">
        <v>2758.3</v>
      </c>
      <c r="D4273" s="6">
        <f t="shared" si="69"/>
        <v>113.02645721372468</v>
      </c>
      <c r="E4273" s="6">
        <v>-6.1612740505872701E-3</v>
      </c>
    </row>
    <row r="4274" spans="2:5" x14ac:dyDescent="0.3">
      <c r="B4274" s="4">
        <v>38223</v>
      </c>
      <c r="C4274" s="7">
        <v>24.19</v>
      </c>
      <c r="D4274" s="6">
        <f t="shared" si="69"/>
        <v>0.50248447204968938</v>
      </c>
      <c r="E4274" s="6">
        <v>-6.1626951520130889E-3</v>
      </c>
    </row>
    <row r="4275" spans="2:5" x14ac:dyDescent="0.3">
      <c r="B4275" s="4">
        <v>37655</v>
      </c>
      <c r="C4275" s="7">
        <v>16.100000000000001</v>
      </c>
      <c r="D4275" s="6">
        <f t="shared" si="69"/>
        <v>-0.99478805850323404</v>
      </c>
      <c r="E4275" s="6">
        <v>-6.1728395061727082E-3</v>
      </c>
    </row>
    <row r="4276" spans="2:5" x14ac:dyDescent="0.3">
      <c r="B4276" s="4">
        <v>45156</v>
      </c>
      <c r="C4276" s="5">
        <v>3089.06</v>
      </c>
      <c r="D4276" s="6">
        <f t="shared" si="69"/>
        <v>2.2659780298785193</v>
      </c>
      <c r="E4276" s="6">
        <v>-6.1866814229045615E-3</v>
      </c>
    </row>
    <row r="4277" spans="2:5" x14ac:dyDescent="0.3">
      <c r="B4277" s="4">
        <v>42563</v>
      </c>
      <c r="C4277" s="7">
        <v>945.83</v>
      </c>
      <c r="D4277" s="6">
        <f t="shared" si="69"/>
        <v>-0.63451833532980417</v>
      </c>
      <c r="E4277" s="6">
        <v>-6.1887950237464653E-3</v>
      </c>
    </row>
    <row r="4278" spans="2:5" x14ac:dyDescent="0.3">
      <c r="B4278" s="4">
        <v>44209</v>
      </c>
      <c r="C4278" s="5">
        <v>2587.9</v>
      </c>
      <c r="D4278" s="6">
        <f t="shared" si="69"/>
        <v>0.52289431717206203</v>
      </c>
      <c r="E4278" s="6">
        <v>-6.1942450739815242E-3</v>
      </c>
    </row>
    <row r="4279" spans="2:5" x14ac:dyDescent="0.3">
      <c r="B4279" s="4">
        <v>43892</v>
      </c>
      <c r="C4279" s="5">
        <v>1699.33</v>
      </c>
      <c r="D4279" s="6">
        <f t="shared" si="69"/>
        <v>-0.30563069505168972</v>
      </c>
      <c r="E4279" s="6">
        <v>-6.1990841730364026E-3</v>
      </c>
    </row>
    <row r="4280" spans="2:5" x14ac:dyDescent="0.3">
      <c r="B4280" s="4">
        <v>46141</v>
      </c>
      <c r="C4280" s="5">
        <v>2447.3000000000002</v>
      </c>
      <c r="D4280" s="6">
        <f t="shared" si="69"/>
        <v>7.7820840306527028E-2</v>
      </c>
      <c r="E4280" s="6">
        <v>-6.2129456671809174E-3</v>
      </c>
    </row>
    <row r="4281" spans="2:5" x14ac:dyDescent="0.3">
      <c r="B4281" s="4">
        <v>44250</v>
      </c>
      <c r="C4281" s="5">
        <v>2270.6</v>
      </c>
      <c r="D4281" s="6">
        <f t="shared" si="69"/>
        <v>1.0789423085726841</v>
      </c>
      <c r="E4281" s="6">
        <v>-6.2236850167629197E-3</v>
      </c>
    </row>
    <row r="4282" spans="2:5" x14ac:dyDescent="0.3">
      <c r="B4282" s="4">
        <v>43209</v>
      </c>
      <c r="C4282" s="5">
        <v>1092.19</v>
      </c>
      <c r="D4282" s="6">
        <f t="shared" si="69"/>
        <v>-0.62817544886940058</v>
      </c>
      <c r="E4282" s="6">
        <v>-6.2327121851797106E-3</v>
      </c>
    </row>
    <row r="4283" spans="2:5" x14ac:dyDescent="0.3">
      <c r="B4283" s="4">
        <v>44929</v>
      </c>
      <c r="C4283" s="5">
        <v>2937.38</v>
      </c>
      <c r="D4283" s="6">
        <f t="shared" si="69"/>
        <v>0.26811810061606084</v>
      </c>
      <c r="E4283" s="6">
        <v>-6.2351774978770076E-3</v>
      </c>
    </row>
    <row r="4284" spans="2:5" x14ac:dyDescent="0.3">
      <c r="B4284" s="4">
        <v>45754</v>
      </c>
      <c r="C4284" s="5">
        <v>2316.33</v>
      </c>
      <c r="D4284" s="6">
        <f t="shared" si="69"/>
        <v>1.1647741609891495</v>
      </c>
      <c r="E4284" s="6">
        <v>-6.2380141320622622E-3</v>
      </c>
    </row>
    <row r="4285" spans="2:5" x14ac:dyDescent="0.3">
      <c r="B4285" s="4">
        <v>42958</v>
      </c>
      <c r="C4285" s="5">
        <v>1070.01</v>
      </c>
      <c r="D4285" s="6">
        <f t="shared" si="69"/>
        <v>19.427835051546392</v>
      </c>
      <c r="E4285" s="6">
        <v>-6.2503482734922247E-3</v>
      </c>
    </row>
    <row r="4286" spans="2:5" x14ac:dyDescent="0.3">
      <c r="B4286" s="4">
        <v>38785</v>
      </c>
      <c r="C4286" s="7">
        <v>52.38</v>
      </c>
      <c r="D4286" s="6">
        <f t="shared" si="69"/>
        <v>-0.46708719096551021</v>
      </c>
      <c r="E4286" s="6">
        <v>-6.2606715993169856E-3</v>
      </c>
    </row>
    <row r="4287" spans="2:5" x14ac:dyDescent="0.3">
      <c r="B4287" s="4">
        <v>39531</v>
      </c>
      <c r="C4287" s="7">
        <v>98.29</v>
      </c>
      <c r="D4287" s="6">
        <f t="shared" si="69"/>
        <v>-0.95356626574325154</v>
      </c>
      <c r="E4287" s="6">
        <v>-6.2683247396622217E-3</v>
      </c>
    </row>
    <row r="4288" spans="2:5" x14ac:dyDescent="0.3">
      <c r="B4288" s="4">
        <v>44134</v>
      </c>
      <c r="C4288" s="5">
        <v>2116.7800000000002</v>
      </c>
      <c r="D4288" s="6">
        <f t="shared" si="69"/>
        <v>0.2641190557237641</v>
      </c>
      <c r="E4288" s="6">
        <v>-6.2718882326981669E-3</v>
      </c>
    </row>
    <row r="4289" spans="2:5" x14ac:dyDescent="0.3">
      <c r="B4289" s="4">
        <v>43784</v>
      </c>
      <c r="C4289" s="5">
        <v>1674.51</v>
      </c>
      <c r="D4289" s="6">
        <f t="shared" si="69"/>
        <v>5.7523287229323756</v>
      </c>
      <c r="E4289" s="6">
        <v>-6.2903905383030843E-3</v>
      </c>
    </row>
    <row r="4290" spans="2:5" x14ac:dyDescent="0.3">
      <c r="B4290" s="4">
        <v>40429</v>
      </c>
      <c r="C4290" s="7">
        <v>247.99</v>
      </c>
      <c r="D4290" s="6">
        <f t="shared" si="69"/>
        <v>-0.71488848011037021</v>
      </c>
      <c r="E4290" s="6">
        <v>-6.2910722872254899E-3</v>
      </c>
    </row>
    <row r="4291" spans="2:5" x14ac:dyDescent="0.3">
      <c r="B4291" s="4">
        <v>42698</v>
      </c>
      <c r="C4291" s="7">
        <v>869.8</v>
      </c>
      <c r="D4291" s="6">
        <f t="shared" si="69"/>
        <v>-0.68393895348837208</v>
      </c>
      <c r="E4291" s="6">
        <v>-6.3176173557402196E-3</v>
      </c>
    </row>
    <row r="4292" spans="2:5" x14ac:dyDescent="0.3">
      <c r="B4292" s="4">
        <v>46023</v>
      </c>
      <c r="C4292" s="5">
        <v>2752</v>
      </c>
      <c r="D4292" s="6">
        <f t="shared" si="69"/>
        <v>1.5399872631452647</v>
      </c>
      <c r="E4292" s="6">
        <v>-6.318830113738942E-3</v>
      </c>
    </row>
    <row r="4293" spans="2:5" x14ac:dyDescent="0.3">
      <c r="B4293" s="4">
        <v>43216</v>
      </c>
      <c r="C4293" s="5">
        <v>1083.47</v>
      </c>
      <c r="D4293" s="6">
        <f t="shared" si="69"/>
        <v>19.274513473053894</v>
      </c>
      <c r="E4293" s="6">
        <v>-6.3190139036647282E-3</v>
      </c>
    </row>
    <row r="4294" spans="2:5" x14ac:dyDescent="0.3">
      <c r="B4294" s="4">
        <v>38806</v>
      </c>
      <c r="C4294" s="7">
        <v>53.44</v>
      </c>
      <c r="D4294" s="6">
        <f t="shared" si="69"/>
        <v>-0.9756195481586919</v>
      </c>
      <c r="E4294" s="6">
        <v>-6.3220528077352805E-3</v>
      </c>
    </row>
    <row r="4295" spans="2:5" x14ac:dyDescent="0.3">
      <c r="B4295" s="4">
        <v>45673</v>
      </c>
      <c r="C4295" s="5">
        <v>2191.92</v>
      </c>
      <c r="D4295" s="6">
        <f t="shared" si="69"/>
        <v>21.899289594651069</v>
      </c>
      <c r="E4295" s="6">
        <v>-6.3240354145982398E-3</v>
      </c>
    </row>
    <row r="4296" spans="2:5" x14ac:dyDescent="0.3">
      <c r="B4296" s="4">
        <v>39966</v>
      </c>
      <c r="C4296" s="7">
        <v>95.72</v>
      </c>
      <c r="D4296" s="6">
        <f t="shared" ref="D4296:D4359" si="70">((C4296-C4297)/C4297)</f>
        <v>4.0833775889537973</v>
      </c>
      <c r="E4296" s="6">
        <v>-6.3323990449496463E-3</v>
      </c>
    </row>
    <row r="4297" spans="2:5" x14ac:dyDescent="0.3">
      <c r="B4297" s="4">
        <v>37770</v>
      </c>
      <c r="C4297" s="7">
        <v>18.829999999999998</v>
      </c>
      <c r="D4297" s="6">
        <f t="shared" si="70"/>
        <v>-0.94976255269195886</v>
      </c>
      <c r="E4297" s="6">
        <v>-6.3324538258575725E-3</v>
      </c>
    </row>
    <row r="4298" spans="2:5" x14ac:dyDescent="0.3">
      <c r="B4298" s="4">
        <v>41507</v>
      </c>
      <c r="C4298" s="7">
        <v>374.82</v>
      </c>
      <c r="D4298" s="6">
        <f t="shared" si="70"/>
        <v>-0.8375341883861348</v>
      </c>
      <c r="E4298" s="6">
        <v>-6.3359932133294095E-3</v>
      </c>
    </row>
    <row r="4299" spans="2:5" x14ac:dyDescent="0.3">
      <c r="B4299" s="4">
        <v>44278</v>
      </c>
      <c r="C4299" s="5">
        <v>2307.0700000000002</v>
      </c>
      <c r="D4299" s="6">
        <f t="shared" si="70"/>
        <v>30.367369136641742</v>
      </c>
      <c r="E4299" s="6">
        <v>-6.3484953549169752E-3</v>
      </c>
    </row>
    <row r="4300" spans="2:5" x14ac:dyDescent="0.3">
      <c r="B4300" s="4">
        <v>39800</v>
      </c>
      <c r="C4300" s="7">
        <v>73.55</v>
      </c>
      <c r="D4300" s="6">
        <f t="shared" si="70"/>
        <v>-0.77613076033359707</v>
      </c>
      <c r="E4300" s="6">
        <v>-6.3496352337206012E-3</v>
      </c>
    </row>
    <row r="4301" spans="2:5" x14ac:dyDescent="0.3">
      <c r="B4301" s="4">
        <v>41145</v>
      </c>
      <c r="C4301" s="7">
        <v>328.54</v>
      </c>
      <c r="D4301" s="6">
        <f t="shared" si="70"/>
        <v>-0.83349972886818946</v>
      </c>
      <c r="E4301" s="6">
        <v>-6.3513186547301172E-3</v>
      </c>
    </row>
    <row r="4302" spans="2:5" x14ac:dyDescent="0.3">
      <c r="B4302" s="4">
        <v>44117</v>
      </c>
      <c r="C4302" s="5">
        <v>1973.21</v>
      </c>
      <c r="D4302" s="6">
        <f t="shared" si="70"/>
        <v>4.9642425341554839</v>
      </c>
      <c r="E4302" s="6">
        <v>-6.3550253546375531E-3</v>
      </c>
    </row>
    <row r="4303" spans="2:5" x14ac:dyDescent="0.3">
      <c r="B4303" s="4">
        <v>41150</v>
      </c>
      <c r="C4303" s="7">
        <v>330.84</v>
      </c>
      <c r="D4303" s="6">
        <f t="shared" si="70"/>
        <v>-0.73704039296103785</v>
      </c>
      <c r="E4303" s="6">
        <v>-6.3671311869293746E-3</v>
      </c>
    </row>
    <row r="4304" spans="2:5" x14ac:dyDescent="0.3">
      <c r="B4304" s="4">
        <v>43598</v>
      </c>
      <c r="C4304" s="5">
        <v>1258.1400000000001</v>
      </c>
      <c r="D4304" s="6">
        <f t="shared" si="70"/>
        <v>-0.63235715245837454</v>
      </c>
      <c r="E4304" s="6">
        <v>-6.3733503921150018E-3</v>
      </c>
    </row>
    <row r="4305" spans="2:5" x14ac:dyDescent="0.3">
      <c r="B4305" s="4">
        <v>44571</v>
      </c>
      <c r="C4305" s="5">
        <v>3422.18</v>
      </c>
      <c r="D4305" s="6">
        <f t="shared" si="70"/>
        <v>1.2130551747329212</v>
      </c>
      <c r="E4305" s="6">
        <v>-6.3760474312890992E-3</v>
      </c>
    </row>
    <row r="4306" spans="2:5" x14ac:dyDescent="0.3">
      <c r="B4306" s="4">
        <v>43978</v>
      </c>
      <c r="C4306" s="5">
        <v>1546.36</v>
      </c>
      <c r="D4306" s="6">
        <f t="shared" si="70"/>
        <v>11.755588550688772</v>
      </c>
      <c r="E4306" s="6">
        <v>-6.3805588932654353E-3</v>
      </c>
    </row>
    <row r="4307" spans="2:5" x14ac:dyDescent="0.3">
      <c r="B4307" s="4">
        <v>40091</v>
      </c>
      <c r="C4307" s="7">
        <v>121.23</v>
      </c>
      <c r="D4307" s="6">
        <f t="shared" si="70"/>
        <v>-0.95841979441412828</v>
      </c>
      <c r="E4307" s="6">
        <v>-6.3929186132284333E-3</v>
      </c>
    </row>
    <row r="4308" spans="2:5" x14ac:dyDescent="0.3">
      <c r="B4308" s="4">
        <v>44648</v>
      </c>
      <c r="C4308" s="5">
        <v>2915.57</v>
      </c>
      <c r="D4308" s="6">
        <f t="shared" si="70"/>
        <v>1.4322969241421886</v>
      </c>
      <c r="E4308" s="6">
        <v>-6.4000545265560501E-3</v>
      </c>
    </row>
    <row r="4309" spans="2:5" x14ac:dyDescent="0.3">
      <c r="B4309" s="4">
        <v>43243</v>
      </c>
      <c r="C4309" s="5">
        <v>1198.69</v>
      </c>
      <c r="D4309" s="6">
        <f t="shared" si="70"/>
        <v>-0.60324437398013386</v>
      </c>
      <c r="E4309" s="6">
        <v>-6.4156229536732412E-3</v>
      </c>
    </row>
    <row r="4310" spans="2:5" x14ac:dyDescent="0.3">
      <c r="B4310" s="4">
        <v>45575</v>
      </c>
      <c r="C4310" s="5">
        <v>3021.23</v>
      </c>
      <c r="D4310" s="6">
        <f t="shared" si="70"/>
        <v>149.08594138102336</v>
      </c>
      <c r="E4310" s="6">
        <v>-6.416201319415591E-3</v>
      </c>
    </row>
    <row r="4311" spans="2:5" x14ac:dyDescent="0.3">
      <c r="B4311" s="4">
        <v>37833</v>
      </c>
      <c r="C4311" s="7">
        <v>20.13</v>
      </c>
      <c r="D4311" s="6">
        <f t="shared" si="70"/>
        <v>0</v>
      </c>
      <c r="E4311" s="6">
        <v>-6.416584402764193E-3</v>
      </c>
    </row>
    <row r="4312" spans="2:5" x14ac:dyDescent="0.3">
      <c r="B4312" s="4">
        <v>37818</v>
      </c>
      <c r="C4312" s="7">
        <v>20.13</v>
      </c>
      <c r="D4312" s="6">
        <f t="shared" si="70"/>
        <v>-0.98830337999198137</v>
      </c>
      <c r="E4312" s="6">
        <v>-6.416584402764193E-3</v>
      </c>
    </row>
    <row r="4313" spans="2:5" x14ac:dyDescent="0.3">
      <c r="B4313" s="4">
        <v>43769</v>
      </c>
      <c r="C4313" s="5">
        <v>1721.01</v>
      </c>
      <c r="D4313" s="6">
        <f t="shared" si="70"/>
        <v>35.034547738693469</v>
      </c>
      <c r="E4313" s="6">
        <v>-6.4255776092002424E-3</v>
      </c>
    </row>
    <row r="4314" spans="2:5" x14ac:dyDescent="0.3">
      <c r="B4314" s="4">
        <v>38721</v>
      </c>
      <c r="C4314" s="7">
        <v>47.76</v>
      </c>
      <c r="D4314" s="6">
        <f t="shared" si="70"/>
        <v>-0.9832634223778135</v>
      </c>
      <c r="E4314" s="6">
        <v>-6.4489286457250321E-3</v>
      </c>
    </row>
    <row r="4315" spans="2:5" x14ac:dyDescent="0.3">
      <c r="B4315" s="4">
        <v>45327</v>
      </c>
      <c r="C4315" s="5">
        <v>2853.63</v>
      </c>
      <c r="D4315" s="6">
        <f t="shared" si="70"/>
        <v>7.24343530635237</v>
      </c>
      <c r="E4315" s="6">
        <v>-6.4515904406438869E-3</v>
      </c>
    </row>
    <row r="4316" spans="2:5" x14ac:dyDescent="0.3">
      <c r="B4316" s="4">
        <v>41197</v>
      </c>
      <c r="C4316" s="7">
        <v>346.17</v>
      </c>
      <c r="D4316" s="6">
        <f t="shared" si="70"/>
        <v>-0.73050843499178686</v>
      </c>
      <c r="E4316" s="6">
        <v>-6.457723437230928E-3</v>
      </c>
    </row>
    <row r="4317" spans="2:5" x14ac:dyDescent="0.3">
      <c r="B4317" s="4">
        <v>43661</v>
      </c>
      <c r="C4317" s="5">
        <v>1284.53</v>
      </c>
      <c r="D4317" s="6">
        <f t="shared" si="70"/>
        <v>-0.46124357764496177</v>
      </c>
      <c r="E4317" s="6">
        <v>-6.466134009853991E-3</v>
      </c>
    </row>
    <row r="4318" spans="2:5" x14ac:dyDescent="0.3">
      <c r="B4318" s="4">
        <v>45779</v>
      </c>
      <c r="C4318" s="5">
        <v>2384.25</v>
      </c>
      <c r="D4318" s="6">
        <f t="shared" si="70"/>
        <v>8.2006251447094236</v>
      </c>
      <c r="E4318" s="6">
        <v>-6.4714265474335973E-3</v>
      </c>
    </row>
    <row r="4319" spans="2:5" x14ac:dyDescent="0.3">
      <c r="B4319" s="4">
        <v>40716</v>
      </c>
      <c r="C4319" s="7">
        <v>259.14</v>
      </c>
      <c r="D4319" s="6">
        <f t="shared" si="70"/>
        <v>4.1274238227146816</v>
      </c>
      <c r="E4319" s="6">
        <v>-6.4793160295978144E-3</v>
      </c>
    </row>
    <row r="4320" spans="2:5" x14ac:dyDescent="0.3">
      <c r="B4320" s="4">
        <v>38953</v>
      </c>
      <c r="C4320" s="7">
        <v>50.54</v>
      </c>
      <c r="D4320" s="6">
        <f t="shared" si="70"/>
        <v>-0.96150418548675809</v>
      </c>
      <c r="E4320" s="6">
        <v>-6.4871240416748245E-3</v>
      </c>
    </row>
    <row r="4321" spans="2:5" x14ac:dyDescent="0.3">
      <c r="B4321" s="4">
        <v>43637</v>
      </c>
      <c r="C4321" s="5">
        <v>1312.87</v>
      </c>
      <c r="D4321" s="6">
        <f t="shared" si="70"/>
        <v>6.6883930662918711</v>
      </c>
      <c r="E4321" s="6">
        <v>-6.500385936767019E-3</v>
      </c>
    </row>
    <row r="4322" spans="2:5" x14ac:dyDescent="0.3">
      <c r="B4322" s="4">
        <v>40241</v>
      </c>
      <c r="C4322" s="7">
        <v>170.76</v>
      </c>
      <c r="D4322" s="6">
        <f t="shared" si="70"/>
        <v>9.1885441527446297</v>
      </c>
      <c r="E4322" s="6">
        <v>-6.5161740749360283E-3</v>
      </c>
    </row>
    <row r="4323" spans="2:5" x14ac:dyDescent="0.3">
      <c r="B4323" s="4">
        <v>37529</v>
      </c>
      <c r="C4323" s="7">
        <v>16.760000000000002</v>
      </c>
      <c r="D4323" s="6">
        <f t="shared" si="70"/>
        <v>-0.84926702041550495</v>
      </c>
      <c r="E4323" s="6">
        <v>-6.520450503852959E-3</v>
      </c>
    </row>
    <row r="4324" spans="2:5" x14ac:dyDescent="0.3">
      <c r="B4324" s="4">
        <v>40017</v>
      </c>
      <c r="C4324" s="7">
        <v>111.19</v>
      </c>
      <c r="D4324" s="6">
        <f t="shared" si="70"/>
        <v>-3.931225159841021E-2</v>
      </c>
      <c r="E4324" s="6">
        <v>-6.5225160829164045E-3</v>
      </c>
    </row>
    <row r="4325" spans="2:5" x14ac:dyDescent="0.3">
      <c r="B4325" s="4">
        <v>40037</v>
      </c>
      <c r="C4325" s="7">
        <v>115.74</v>
      </c>
      <c r="D4325" s="6">
        <f t="shared" si="70"/>
        <v>5.9098507462686563</v>
      </c>
      <c r="E4325" s="6">
        <v>-6.5236051502146359E-3</v>
      </c>
    </row>
    <row r="4326" spans="2:5" x14ac:dyDescent="0.3">
      <c r="B4326" s="4">
        <v>37503</v>
      </c>
      <c r="C4326" s="7">
        <v>16.75</v>
      </c>
      <c r="D4326" s="6">
        <f t="shared" si="70"/>
        <v>-0.99416132180702732</v>
      </c>
      <c r="E4326" s="6">
        <v>-6.5243179122182349E-3</v>
      </c>
    </row>
    <row r="4327" spans="2:5" x14ac:dyDescent="0.3">
      <c r="B4327" s="4">
        <v>44491</v>
      </c>
      <c r="C4327" s="5">
        <v>2868.8</v>
      </c>
      <c r="D4327" s="6">
        <f t="shared" si="70"/>
        <v>6.8190512288682382E-3</v>
      </c>
      <c r="E4327" s="6">
        <v>-6.5277994216750325E-3</v>
      </c>
    </row>
    <row r="4328" spans="2:5" x14ac:dyDescent="0.3">
      <c r="B4328" s="4">
        <v>45419</v>
      </c>
      <c r="C4328" s="5">
        <v>2849.37</v>
      </c>
      <c r="D4328" s="6">
        <f t="shared" si="70"/>
        <v>4.078728789391131</v>
      </c>
      <c r="E4328" s="6">
        <v>-6.5304557023813737E-3</v>
      </c>
    </row>
    <row r="4329" spans="2:5" x14ac:dyDescent="0.3">
      <c r="B4329" s="4">
        <v>41870</v>
      </c>
      <c r="C4329" s="7">
        <v>561.04</v>
      </c>
      <c r="D4329" s="6">
        <f t="shared" si="70"/>
        <v>32.655668866226755</v>
      </c>
      <c r="E4329" s="6">
        <v>-6.5516875022134883E-3</v>
      </c>
    </row>
    <row r="4330" spans="2:5" x14ac:dyDescent="0.3">
      <c r="B4330" s="4">
        <v>37522</v>
      </c>
      <c r="C4330" s="7">
        <v>16.670000000000002</v>
      </c>
      <c r="D4330" s="6">
        <f t="shared" si="70"/>
        <v>-0.98392540307027698</v>
      </c>
      <c r="E4330" s="6">
        <v>-6.5554231227651621E-3</v>
      </c>
    </row>
    <row r="4331" spans="2:5" x14ac:dyDescent="0.3">
      <c r="B4331" s="4">
        <v>42606</v>
      </c>
      <c r="C4331" s="5">
        <v>1037.04</v>
      </c>
      <c r="D4331" s="6">
        <f t="shared" si="70"/>
        <v>61.58539529269764</v>
      </c>
      <c r="E4331" s="6">
        <v>-6.5715106810998432E-3</v>
      </c>
    </row>
    <row r="4332" spans="2:5" x14ac:dyDescent="0.3">
      <c r="B4332" s="4">
        <v>37644</v>
      </c>
      <c r="C4332" s="7">
        <v>16.57</v>
      </c>
      <c r="D4332" s="6">
        <f t="shared" si="70"/>
        <v>-0.98477889438004085</v>
      </c>
      <c r="E4332" s="6">
        <v>-6.5947242206234671E-3</v>
      </c>
    </row>
    <row r="4333" spans="2:5" x14ac:dyDescent="0.3">
      <c r="B4333" s="4">
        <v>42661</v>
      </c>
      <c r="C4333" s="5">
        <v>1088.6199999999999</v>
      </c>
      <c r="D4333" s="6">
        <f t="shared" si="70"/>
        <v>0.22581298982073669</v>
      </c>
      <c r="E4333" s="6">
        <v>-6.5976182871743567E-3</v>
      </c>
    </row>
    <row r="4334" spans="2:5" x14ac:dyDescent="0.3">
      <c r="B4334" s="4">
        <v>42508</v>
      </c>
      <c r="C4334" s="7">
        <v>888.08</v>
      </c>
      <c r="D4334" s="6">
        <f t="shared" si="70"/>
        <v>0.21189956331877743</v>
      </c>
      <c r="E4334" s="6">
        <v>-6.599700217007066E-3</v>
      </c>
    </row>
    <row r="4335" spans="2:5" x14ac:dyDescent="0.3">
      <c r="B4335" s="4">
        <v>42194</v>
      </c>
      <c r="C4335" s="7">
        <v>732.8</v>
      </c>
      <c r="D4335" s="6">
        <f t="shared" si="70"/>
        <v>-0.31857279684579559</v>
      </c>
      <c r="E4335" s="6">
        <v>-6.6018680439763099E-3</v>
      </c>
    </row>
    <row r="4336" spans="2:5" x14ac:dyDescent="0.3">
      <c r="B4336" s="4">
        <v>42954</v>
      </c>
      <c r="C4336" s="5">
        <v>1075.3900000000001</v>
      </c>
      <c r="D4336" s="6">
        <f t="shared" si="70"/>
        <v>0.88853766046748539</v>
      </c>
      <c r="E4336" s="6">
        <v>-6.6048367727750143E-3</v>
      </c>
    </row>
    <row r="4337" spans="2:5" x14ac:dyDescent="0.3">
      <c r="B4337" s="4">
        <v>41852</v>
      </c>
      <c r="C4337" s="7">
        <v>569.42999999999995</v>
      </c>
      <c r="D4337" s="6">
        <f t="shared" si="70"/>
        <v>1.0394326850757494</v>
      </c>
      <c r="E4337" s="6">
        <v>-6.6117720944839278E-3</v>
      </c>
    </row>
    <row r="4338" spans="2:5" x14ac:dyDescent="0.3">
      <c r="B4338" s="4">
        <v>40969</v>
      </c>
      <c r="C4338" s="7">
        <v>279.20999999999998</v>
      </c>
      <c r="D4338" s="6">
        <f t="shared" si="70"/>
        <v>-0.91524991576896109</v>
      </c>
      <c r="E4338" s="6">
        <v>-6.6175685772228042E-3</v>
      </c>
    </row>
    <row r="4339" spans="2:5" x14ac:dyDescent="0.3">
      <c r="B4339" s="4">
        <v>45551</v>
      </c>
      <c r="C4339" s="5">
        <v>3294.51</v>
      </c>
      <c r="D4339" s="6">
        <f t="shared" si="70"/>
        <v>1.8655388362181442</v>
      </c>
      <c r="E4339" s="6">
        <v>-6.6244934388266473E-3</v>
      </c>
    </row>
    <row r="4340" spans="2:5" x14ac:dyDescent="0.3">
      <c r="B4340" s="4">
        <v>42999</v>
      </c>
      <c r="C4340" s="5">
        <v>1149.7</v>
      </c>
      <c r="D4340" s="6">
        <f t="shared" si="70"/>
        <v>0.53954310506440994</v>
      </c>
      <c r="E4340" s="6">
        <v>-6.6356771328345597E-3</v>
      </c>
    </row>
    <row r="4341" spans="2:5" x14ac:dyDescent="0.3">
      <c r="B4341" s="4">
        <v>42111</v>
      </c>
      <c r="C4341" s="7">
        <v>746.78</v>
      </c>
      <c r="D4341" s="6">
        <f t="shared" si="70"/>
        <v>-0.29169512102587447</v>
      </c>
      <c r="E4341" s="6">
        <v>-6.6376684358247992E-3</v>
      </c>
    </row>
    <row r="4342" spans="2:5" x14ac:dyDescent="0.3">
      <c r="B4342" s="4">
        <v>42594</v>
      </c>
      <c r="C4342" s="5">
        <v>1054.32</v>
      </c>
      <c r="D4342" s="6">
        <f t="shared" si="70"/>
        <v>-0.12444983308143311</v>
      </c>
      <c r="E4342" s="6">
        <v>-6.6423584612340233E-3</v>
      </c>
    </row>
    <row r="4343" spans="2:5" x14ac:dyDescent="0.3">
      <c r="B4343" s="4">
        <v>43255</v>
      </c>
      <c r="C4343" s="5">
        <v>1204.18</v>
      </c>
      <c r="D4343" s="6">
        <f t="shared" si="70"/>
        <v>2.1401376864504016</v>
      </c>
      <c r="E4343" s="6">
        <v>-6.6488484128554952E-3</v>
      </c>
    </row>
    <row r="4344" spans="2:5" x14ac:dyDescent="0.3">
      <c r="B4344" s="4">
        <v>41257</v>
      </c>
      <c r="C4344" s="7">
        <v>383.48</v>
      </c>
      <c r="D4344" s="6">
        <f t="shared" si="70"/>
        <v>0.71449009701792843</v>
      </c>
      <c r="E4344" s="6">
        <v>-6.6571687605232301E-3</v>
      </c>
    </row>
    <row r="4345" spans="2:5" x14ac:dyDescent="0.3">
      <c r="B4345" s="4">
        <v>40639</v>
      </c>
      <c r="C4345" s="7">
        <v>223.67</v>
      </c>
      <c r="D4345" s="6">
        <f t="shared" si="70"/>
        <v>0.46103599190018929</v>
      </c>
      <c r="E4345" s="6">
        <v>-6.6616334325176538E-3</v>
      </c>
    </row>
    <row r="4346" spans="2:5" x14ac:dyDescent="0.3">
      <c r="B4346" s="4">
        <v>40205</v>
      </c>
      <c r="C4346" s="7">
        <v>153.09</v>
      </c>
      <c r="D4346" s="6">
        <f t="shared" si="70"/>
        <v>-0.82645415074875583</v>
      </c>
      <c r="E4346" s="6">
        <v>-6.6831040747469574E-3</v>
      </c>
    </row>
    <row r="4347" spans="2:5" x14ac:dyDescent="0.3">
      <c r="B4347" s="4">
        <v>42509</v>
      </c>
      <c r="C4347" s="7">
        <v>882.13</v>
      </c>
      <c r="D4347" s="6">
        <f t="shared" si="70"/>
        <v>15.091390003648302</v>
      </c>
      <c r="E4347" s="6">
        <v>-6.6998468606432361E-3</v>
      </c>
    </row>
    <row r="4348" spans="2:5" x14ac:dyDescent="0.3">
      <c r="B4348" s="4">
        <v>38758</v>
      </c>
      <c r="C4348" s="7">
        <v>54.82</v>
      </c>
      <c r="D4348" s="6">
        <f t="shared" si="70"/>
        <v>-0.94550045731101118</v>
      </c>
      <c r="E4348" s="6">
        <v>-6.7041130639608161E-3</v>
      </c>
    </row>
    <row r="4349" spans="2:5" x14ac:dyDescent="0.3">
      <c r="B4349" s="4">
        <v>42830</v>
      </c>
      <c r="C4349" s="5">
        <v>1005.88</v>
      </c>
      <c r="D4349" s="6">
        <f t="shared" si="70"/>
        <v>0.79724128073184697</v>
      </c>
      <c r="E4349" s="6">
        <v>-6.7050470538279634E-3</v>
      </c>
    </row>
    <row r="4350" spans="2:5" x14ac:dyDescent="0.3">
      <c r="B4350" s="4">
        <v>41862</v>
      </c>
      <c r="C4350" s="7">
        <v>559.67999999999995</v>
      </c>
      <c r="D4350" s="6">
        <f t="shared" si="70"/>
        <v>0.44295769201020946</v>
      </c>
      <c r="E4350" s="6">
        <v>-6.7085507400704326E-3</v>
      </c>
    </row>
    <row r="4351" spans="2:5" x14ac:dyDescent="0.3">
      <c r="B4351" s="4">
        <v>41337</v>
      </c>
      <c r="C4351" s="7">
        <v>387.87</v>
      </c>
      <c r="D4351" s="6">
        <f t="shared" si="70"/>
        <v>-0.79884348096670466</v>
      </c>
      <c r="E4351" s="6">
        <v>-6.7095188097006445E-3</v>
      </c>
    </row>
    <row r="4352" spans="2:5" x14ac:dyDescent="0.3">
      <c r="B4352" s="4">
        <v>44089</v>
      </c>
      <c r="C4352" s="5">
        <v>1928.2</v>
      </c>
      <c r="D4352" s="6">
        <f t="shared" si="70"/>
        <v>-0.36195417664888618</v>
      </c>
      <c r="E4352" s="6">
        <v>-6.7173559168366426E-3</v>
      </c>
    </row>
    <row r="4353" spans="2:5" x14ac:dyDescent="0.3">
      <c r="B4353" s="4">
        <v>44508</v>
      </c>
      <c r="C4353" s="5">
        <v>3022.04</v>
      </c>
      <c r="D4353" s="6">
        <f t="shared" si="70"/>
        <v>5.9558160979184233E-2</v>
      </c>
      <c r="E4353" s="6">
        <v>-6.7247329498767577E-3</v>
      </c>
    </row>
    <row r="4354" spans="2:5" x14ac:dyDescent="0.3">
      <c r="B4354" s="4">
        <v>44937</v>
      </c>
      <c r="C4354" s="5">
        <v>2852.17</v>
      </c>
      <c r="D4354" s="6">
        <f t="shared" si="70"/>
        <v>14.758715951157523</v>
      </c>
      <c r="E4354" s="6">
        <v>-6.7385914080347374E-3</v>
      </c>
    </row>
    <row r="4355" spans="2:5" x14ac:dyDescent="0.3">
      <c r="B4355" s="4">
        <v>40329</v>
      </c>
      <c r="C4355" s="7">
        <v>180.99</v>
      </c>
      <c r="D4355" s="6">
        <f t="shared" si="70"/>
        <v>1.1590122867708459</v>
      </c>
      <c r="E4355" s="6">
        <v>-6.7500823180769937E-3</v>
      </c>
    </row>
    <row r="4356" spans="2:5" x14ac:dyDescent="0.3">
      <c r="B4356" s="4">
        <v>39433</v>
      </c>
      <c r="C4356" s="7">
        <v>83.83</v>
      </c>
      <c r="D4356" s="6">
        <f t="shared" si="70"/>
        <v>-0.90834545116604526</v>
      </c>
      <c r="E4356" s="6">
        <v>-6.7535545023697553E-3</v>
      </c>
    </row>
    <row r="4357" spans="2:5" x14ac:dyDescent="0.3">
      <c r="B4357" s="4">
        <v>42531</v>
      </c>
      <c r="C4357" s="7">
        <v>914.63</v>
      </c>
      <c r="D4357" s="6">
        <f t="shared" si="70"/>
        <v>-0.60788575642212839</v>
      </c>
      <c r="E4357" s="6">
        <v>-6.7546288754954959E-3</v>
      </c>
    </row>
    <row r="4358" spans="2:5" x14ac:dyDescent="0.3">
      <c r="B4358" s="4">
        <v>45863</v>
      </c>
      <c r="C4358" s="5">
        <v>2332.56</v>
      </c>
      <c r="D4358" s="6">
        <f t="shared" si="70"/>
        <v>21.707943925233646</v>
      </c>
      <c r="E4358" s="6">
        <v>-6.7619355827698846E-3</v>
      </c>
    </row>
    <row r="4359" spans="2:5" x14ac:dyDescent="0.3">
      <c r="B4359" s="4">
        <v>39562</v>
      </c>
      <c r="C4359" s="7">
        <v>102.72</v>
      </c>
      <c r="D4359" s="6">
        <f t="shared" si="70"/>
        <v>-0.87244980318627141</v>
      </c>
      <c r="E4359" s="6">
        <v>-6.7685167279056546E-3</v>
      </c>
    </row>
    <row r="4360" spans="2:5" x14ac:dyDescent="0.3">
      <c r="B4360" s="4">
        <v>42359</v>
      </c>
      <c r="C4360" s="7">
        <v>805.33</v>
      </c>
      <c r="D4360" s="6">
        <f t="shared" ref="D4360:D4423" si="71">((C4360-C4361)/C4361)</f>
        <v>48.958436724565757</v>
      </c>
      <c r="E4360" s="6">
        <v>-6.7709232628696981E-3</v>
      </c>
    </row>
    <row r="4361" spans="2:5" x14ac:dyDescent="0.3">
      <c r="B4361" s="4">
        <v>37666</v>
      </c>
      <c r="C4361" s="7">
        <v>16.12</v>
      </c>
      <c r="D4361" s="6">
        <f t="shared" si="71"/>
        <v>-0.98640694830930109</v>
      </c>
      <c r="E4361" s="6">
        <v>-6.7775723967960213E-3</v>
      </c>
    </row>
    <row r="4362" spans="2:5" x14ac:dyDescent="0.3">
      <c r="B4362" s="4">
        <v>43390</v>
      </c>
      <c r="C4362" s="5">
        <v>1185.9000000000001</v>
      </c>
      <c r="D4362" s="6">
        <f t="shared" si="71"/>
        <v>5.6533886894075405</v>
      </c>
      <c r="E4362" s="6">
        <v>-6.783919597989874E-3</v>
      </c>
    </row>
    <row r="4363" spans="2:5" x14ac:dyDescent="0.3">
      <c r="B4363" s="4">
        <v>40310</v>
      </c>
      <c r="C4363" s="7">
        <v>178.24</v>
      </c>
      <c r="D4363" s="6">
        <f t="shared" si="71"/>
        <v>-0.57622444127437</v>
      </c>
      <c r="E4363" s="6">
        <v>-6.7981722946617567E-3</v>
      </c>
    </row>
    <row r="4364" spans="2:5" x14ac:dyDescent="0.3">
      <c r="B4364" s="4">
        <v>41397</v>
      </c>
      <c r="C4364" s="7">
        <v>420.6</v>
      </c>
      <c r="D4364" s="6">
        <f t="shared" si="71"/>
        <v>4.5393125246937966</v>
      </c>
      <c r="E4364" s="6">
        <v>-6.8007934258996769E-3</v>
      </c>
    </row>
    <row r="4365" spans="2:5" x14ac:dyDescent="0.3">
      <c r="B4365" s="4">
        <v>39939</v>
      </c>
      <c r="C4365" s="7">
        <v>75.930000000000007</v>
      </c>
      <c r="D4365" s="6">
        <f t="shared" si="71"/>
        <v>-0.80577582237683532</v>
      </c>
      <c r="E4365" s="6">
        <v>-6.8018312622628646E-3</v>
      </c>
    </row>
    <row r="4366" spans="2:5" x14ac:dyDescent="0.3">
      <c r="B4366" s="4">
        <v>41283</v>
      </c>
      <c r="C4366" s="7">
        <v>390.94</v>
      </c>
      <c r="D4366" s="6">
        <f t="shared" si="71"/>
        <v>-0.80520205291743485</v>
      </c>
      <c r="E4366" s="6">
        <v>-6.8085971241298891E-3</v>
      </c>
    </row>
    <row r="4367" spans="2:5" x14ac:dyDescent="0.3">
      <c r="B4367" s="4">
        <v>44126</v>
      </c>
      <c r="C4367" s="5">
        <v>2006.9</v>
      </c>
      <c r="D4367" s="6">
        <f t="shared" si="71"/>
        <v>4.9319579096713175</v>
      </c>
      <c r="E4367" s="6">
        <v>-6.8096562509279103E-3</v>
      </c>
    </row>
    <row r="4368" spans="2:5" x14ac:dyDescent="0.3">
      <c r="B4368" s="4">
        <v>41059</v>
      </c>
      <c r="C4368" s="7">
        <v>338.32</v>
      </c>
      <c r="D4368" s="6">
        <f t="shared" si="71"/>
        <v>0.40673596673596668</v>
      </c>
      <c r="E4368" s="6">
        <v>-6.8107092531704827E-3</v>
      </c>
    </row>
    <row r="4369" spans="2:5" x14ac:dyDescent="0.3">
      <c r="B4369" s="4">
        <v>40415</v>
      </c>
      <c r="C4369" s="7">
        <v>240.5</v>
      </c>
      <c r="D4369" s="6">
        <f t="shared" si="71"/>
        <v>1.0393453743746288</v>
      </c>
      <c r="E4369" s="6">
        <v>-6.8139582903159433E-3</v>
      </c>
    </row>
    <row r="4370" spans="2:5" x14ac:dyDescent="0.3">
      <c r="B4370" s="4">
        <v>40065</v>
      </c>
      <c r="C4370" s="7">
        <v>117.93</v>
      </c>
      <c r="D4370" s="6">
        <f t="shared" si="71"/>
        <v>-0.49036300777873809</v>
      </c>
      <c r="E4370" s="6">
        <v>-6.8216270843859533E-3</v>
      </c>
    </row>
    <row r="4371" spans="2:5" x14ac:dyDescent="0.3">
      <c r="B4371" s="4">
        <v>40455</v>
      </c>
      <c r="C4371" s="7">
        <v>231.4</v>
      </c>
      <c r="D4371" s="6">
        <f t="shared" si="71"/>
        <v>-0.90410675065268742</v>
      </c>
      <c r="E4371" s="6">
        <v>-6.8243272243444066E-3</v>
      </c>
    </row>
    <row r="4372" spans="2:5" x14ac:dyDescent="0.3">
      <c r="B4372" s="4">
        <v>46077</v>
      </c>
      <c r="C4372" s="5">
        <v>2413.1</v>
      </c>
      <c r="D4372" s="6">
        <f t="shared" si="71"/>
        <v>22.720633048265015</v>
      </c>
      <c r="E4372" s="6">
        <v>-6.8321191916697168E-3</v>
      </c>
    </row>
    <row r="4373" spans="2:5" x14ac:dyDescent="0.3">
      <c r="B4373" s="4">
        <v>39707</v>
      </c>
      <c r="C4373" s="7">
        <v>101.73</v>
      </c>
      <c r="D4373" s="6">
        <f t="shared" si="71"/>
        <v>-0.64761508884963104</v>
      </c>
      <c r="E4373" s="6">
        <v>-6.8339353704969519E-3</v>
      </c>
    </row>
    <row r="4374" spans="2:5" x14ac:dyDescent="0.3">
      <c r="B4374" s="4">
        <v>41009</v>
      </c>
      <c r="C4374" s="7">
        <v>288.69</v>
      </c>
      <c r="D4374" s="6">
        <f t="shared" si="71"/>
        <v>10.725832656376928</v>
      </c>
      <c r="E4374" s="6">
        <v>-6.8460162377872889E-3</v>
      </c>
    </row>
    <row r="4375" spans="2:5" x14ac:dyDescent="0.3">
      <c r="B4375" s="4">
        <v>38240</v>
      </c>
      <c r="C4375" s="7">
        <v>24.62</v>
      </c>
      <c r="D4375" s="6">
        <f t="shared" si="71"/>
        <v>-0.97509836247964476</v>
      </c>
      <c r="E4375" s="6">
        <v>-6.8576038725291716E-3</v>
      </c>
    </row>
    <row r="4376" spans="2:5" x14ac:dyDescent="0.3">
      <c r="B4376" s="4">
        <v>42809</v>
      </c>
      <c r="C4376" s="7">
        <v>988.69</v>
      </c>
      <c r="D4376" s="6">
        <f t="shared" si="71"/>
        <v>61.181761006289314</v>
      </c>
      <c r="E4376" s="6">
        <v>-6.8607360977177029E-3</v>
      </c>
    </row>
    <row r="4377" spans="2:5" x14ac:dyDescent="0.3">
      <c r="B4377" s="4">
        <v>37572</v>
      </c>
      <c r="C4377" s="7">
        <v>15.9</v>
      </c>
      <c r="D4377" s="6">
        <f t="shared" si="71"/>
        <v>-0.99331564852923249</v>
      </c>
      <c r="E4377" s="6">
        <v>-6.8707058088695316E-3</v>
      </c>
    </row>
    <row r="4378" spans="2:5" x14ac:dyDescent="0.3">
      <c r="B4378" s="4">
        <v>45856</v>
      </c>
      <c r="C4378" s="5">
        <v>2378.69</v>
      </c>
      <c r="D4378" s="6">
        <f t="shared" si="71"/>
        <v>4.7243346007604563</v>
      </c>
      <c r="E4378" s="6">
        <v>-6.8763673408038717E-3</v>
      </c>
    </row>
    <row r="4379" spans="2:5" x14ac:dyDescent="0.3">
      <c r="B4379" s="4">
        <v>41404</v>
      </c>
      <c r="C4379" s="7">
        <v>415.54</v>
      </c>
      <c r="D4379" s="6">
        <f t="shared" si="71"/>
        <v>-0.8461475804361509</v>
      </c>
      <c r="E4379" s="6">
        <v>-6.8830361837388162E-3</v>
      </c>
    </row>
    <row r="4380" spans="2:5" x14ac:dyDescent="0.3">
      <c r="B4380" s="4">
        <v>45013</v>
      </c>
      <c r="C4380" s="5">
        <v>2700.9</v>
      </c>
      <c r="D4380" s="6">
        <f t="shared" si="71"/>
        <v>1.463201094391245</v>
      </c>
      <c r="E4380" s="6">
        <v>-6.8833145807134085E-3</v>
      </c>
    </row>
    <row r="4381" spans="2:5" x14ac:dyDescent="0.3">
      <c r="B4381" s="4">
        <v>42639</v>
      </c>
      <c r="C4381" s="5">
        <v>1096.5</v>
      </c>
      <c r="D4381" s="6">
        <f t="shared" si="71"/>
        <v>-0.27191235059760954</v>
      </c>
      <c r="E4381" s="6">
        <v>-6.8834344715151792E-3</v>
      </c>
    </row>
    <row r="4382" spans="2:5" x14ac:dyDescent="0.3">
      <c r="B4382" s="4">
        <v>43696</v>
      </c>
      <c r="C4382" s="5">
        <v>1506</v>
      </c>
      <c r="D4382" s="6">
        <f t="shared" si="71"/>
        <v>64.279583875162544</v>
      </c>
      <c r="E4382" s="6">
        <v>-6.8845453826066674E-3</v>
      </c>
    </row>
    <row r="4383" spans="2:5" x14ac:dyDescent="0.3">
      <c r="B4383" s="4">
        <v>38043</v>
      </c>
      <c r="C4383" s="7">
        <v>23.07</v>
      </c>
      <c r="D4383" s="6">
        <f t="shared" si="71"/>
        <v>-0.94498628830332665</v>
      </c>
      <c r="E4383" s="6">
        <v>-6.8876452862677634E-3</v>
      </c>
    </row>
    <row r="4384" spans="2:5" x14ac:dyDescent="0.3">
      <c r="B4384" s="4">
        <v>41394</v>
      </c>
      <c r="C4384" s="7">
        <v>419.35</v>
      </c>
      <c r="D4384" s="6">
        <f t="shared" si="71"/>
        <v>1.3660009027307605</v>
      </c>
      <c r="E4384" s="6">
        <v>-6.891488656278047E-3</v>
      </c>
    </row>
    <row r="4385" spans="2:5" x14ac:dyDescent="0.3">
      <c r="B4385" s="4">
        <v>40274</v>
      </c>
      <c r="C4385" s="7">
        <v>177.24</v>
      </c>
      <c r="D4385" s="6">
        <f t="shared" si="71"/>
        <v>-1.5552099533436919E-2</v>
      </c>
      <c r="E4385" s="6">
        <v>-6.8919146074970013E-3</v>
      </c>
    </row>
    <row r="4386" spans="2:5" x14ac:dyDescent="0.3">
      <c r="B4386" s="4">
        <v>40297</v>
      </c>
      <c r="C4386" s="7">
        <v>180.04</v>
      </c>
      <c r="D4386" s="6">
        <f t="shared" si="71"/>
        <v>-0.82805023637839648</v>
      </c>
      <c r="E4386" s="6">
        <v>-6.8950300623310716E-3</v>
      </c>
    </row>
    <row r="4387" spans="2:5" x14ac:dyDescent="0.3">
      <c r="B4387" s="4">
        <v>42598</v>
      </c>
      <c r="C4387" s="5">
        <v>1047.05</v>
      </c>
      <c r="D4387" s="6">
        <f t="shared" si="71"/>
        <v>-0.67997640435358009</v>
      </c>
      <c r="E4387" s="6">
        <v>-6.8954397146976081E-3</v>
      </c>
    </row>
    <row r="4388" spans="2:5" x14ac:dyDescent="0.3">
      <c r="B4388" s="4">
        <v>45552</v>
      </c>
      <c r="C4388" s="5">
        <v>3271.79</v>
      </c>
      <c r="D4388" s="6">
        <f t="shared" si="71"/>
        <v>2.5313056523944693</v>
      </c>
      <c r="E4388" s="6">
        <v>-6.896321455998086E-3</v>
      </c>
    </row>
    <row r="4389" spans="2:5" x14ac:dyDescent="0.3">
      <c r="B4389" s="4">
        <v>42538</v>
      </c>
      <c r="C4389" s="7">
        <v>926.51</v>
      </c>
      <c r="D4389" s="6">
        <f t="shared" si="71"/>
        <v>-0.26189793349584944</v>
      </c>
      <c r="E4389" s="6">
        <v>-6.9028350929846768E-3</v>
      </c>
    </row>
    <row r="4390" spans="2:5" x14ac:dyDescent="0.3">
      <c r="B4390" s="4">
        <v>43438</v>
      </c>
      <c r="C4390" s="5">
        <v>1255.26</v>
      </c>
      <c r="D4390" s="6">
        <f t="shared" si="71"/>
        <v>2.6397007654836466</v>
      </c>
      <c r="E4390" s="6">
        <v>-6.906700211235863E-3</v>
      </c>
    </row>
    <row r="4391" spans="2:5" x14ac:dyDescent="0.3">
      <c r="B4391" s="4">
        <v>41233</v>
      </c>
      <c r="C4391" s="7">
        <v>344.88</v>
      </c>
      <c r="D4391" s="6">
        <f t="shared" si="71"/>
        <v>13.140221402214022</v>
      </c>
      <c r="E4391" s="6">
        <v>-6.9108500345541855E-3</v>
      </c>
    </row>
    <row r="4392" spans="2:5" x14ac:dyDescent="0.3">
      <c r="B4392" s="4">
        <v>38250</v>
      </c>
      <c r="C4392" s="7">
        <v>24.39</v>
      </c>
      <c r="D4392" s="6">
        <f t="shared" si="71"/>
        <v>-0.98031365775306101</v>
      </c>
      <c r="E4392" s="6">
        <v>-6.9218241042344527E-3</v>
      </c>
    </row>
    <row r="4393" spans="2:5" x14ac:dyDescent="0.3">
      <c r="B4393" s="4">
        <v>43423</v>
      </c>
      <c r="C4393" s="5">
        <v>1238.93</v>
      </c>
      <c r="D4393" s="6">
        <f t="shared" si="71"/>
        <v>-0.60001485097370733</v>
      </c>
      <c r="E4393" s="6">
        <v>-6.9254631002668172E-3</v>
      </c>
    </row>
    <row r="4394" spans="2:5" x14ac:dyDescent="0.3">
      <c r="B4394" s="4">
        <v>44603</v>
      </c>
      <c r="C4394" s="5">
        <v>3097.44</v>
      </c>
      <c r="D4394" s="6">
        <f t="shared" si="71"/>
        <v>30.814297452752669</v>
      </c>
      <c r="E4394" s="6">
        <v>-6.9315755387840856E-3</v>
      </c>
    </row>
    <row r="4395" spans="2:5" x14ac:dyDescent="0.3">
      <c r="B4395" s="4">
        <v>39519</v>
      </c>
      <c r="C4395" s="7">
        <v>97.36</v>
      </c>
      <c r="D4395" s="6">
        <f t="shared" si="71"/>
        <v>-0.96947254221982526</v>
      </c>
      <c r="E4395" s="6">
        <v>-6.9359445124439695E-3</v>
      </c>
    </row>
    <row r="4396" spans="2:5" x14ac:dyDescent="0.3">
      <c r="B4396" s="4">
        <v>44445</v>
      </c>
      <c r="C4396" s="5">
        <v>3189.26</v>
      </c>
      <c r="D4396" s="6">
        <f t="shared" si="71"/>
        <v>0.11149989718854238</v>
      </c>
      <c r="E4396" s="6">
        <v>-6.9622184442741271E-3</v>
      </c>
    </row>
    <row r="4397" spans="2:5" x14ac:dyDescent="0.3">
      <c r="B4397" s="4">
        <v>44375</v>
      </c>
      <c r="C4397" s="5">
        <v>2869.33</v>
      </c>
      <c r="D4397" s="6">
        <f t="shared" si="71"/>
        <v>33.170894367035849</v>
      </c>
      <c r="E4397" s="6">
        <v>-6.9735730996581015E-3</v>
      </c>
    </row>
    <row r="4398" spans="2:5" x14ac:dyDescent="0.3">
      <c r="B4398" s="4">
        <v>39400</v>
      </c>
      <c r="C4398" s="7">
        <v>83.97</v>
      </c>
      <c r="D4398" s="6">
        <f t="shared" si="71"/>
        <v>-0.90980569071633421</v>
      </c>
      <c r="E4398" s="6">
        <v>-6.9772942289498983E-3</v>
      </c>
    </row>
    <row r="4399" spans="2:5" x14ac:dyDescent="0.3">
      <c r="B4399" s="4">
        <v>42793</v>
      </c>
      <c r="C4399" s="7">
        <v>930.99</v>
      </c>
      <c r="D4399" s="6">
        <f t="shared" si="71"/>
        <v>-0.152181039978144</v>
      </c>
      <c r="E4399" s="6">
        <v>-6.9863685816071363E-3</v>
      </c>
    </row>
    <row r="4400" spans="2:5" x14ac:dyDescent="0.3">
      <c r="B4400" s="4">
        <v>43056</v>
      </c>
      <c r="C4400" s="5">
        <v>1098.0999999999999</v>
      </c>
      <c r="D4400" s="6">
        <f t="shared" si="71"/>
        <v>8.3024301720056759E-2</v>
      </c>
      <c r="E4400" s="6">
        <v>-6.9902245372254496E-3</v>
      </c>
    </row>
    <row r="4401" spans="2:5" x14ac:dyDescent="0.3">
      <c r="B4401" s="4">
        <v>42879</v>
      </c>
      <c r="C4401" s="5">
        <v>1013.92</v>
      </c>
      <c r="D4401" s="6">
        <f t="shared" si="71"/>
        <v>38.87101848210775</v>
      </c>
      <c r="E4401" s="6">
        <v>-7.0024582056079313E-3</v>
      </c>
    </row>
    <row r="4402" spans="2:5" x14ac:dyDescent="0.3">
      <c r="B4402" s="4">
        <v>38357</v>
      </c>
      <c r="C4402" s="7">
        <v>25.43</v>
      </c>
      <c r="D4402" s="6">
        <f t="shared" si="71"/>
        <v>-0.89151486711317773</v>
      </c>
      <c r="E4402" s="6">
        <v>-7.0285044904334132E-3</v>
      </c>
    </row>
    <row r="4403" spans="2:5" x14ac:dyDescent="0.3">
      <c r="B4403" s="4">
        <v>40674</v>
      </c>
      <c r="C4403" s="7">
        <v>234.41</v>
      </c>
      <c r="D4403" s="6">
        <f t="shared" si="71"/>
        <v>6.9192567567567567</v>
      </c>
      <c r="E4403" s="6">
        <v>-7.0318125979582187E-3</v>
      </c>
    </row>
    <row r="4404" spans="2:5" x14ac:dyDescent="0.3">
      <c r="B4404" s="4">
        <v>38477</v>
      </c>
      <c r="C4404" s="7">
        <v>29.6</v>
      </c>
      <c r="D4404" s="6">
        <f t="shared" si="71"/>
        <v>-0.89267585206671507</v>
      </c>
      <c r="E4404" s="6">
        <v>-7.0446159007043711E-3</v>
      </c>
    </row>
    <row r="4405" spans="2:5" x14ac:dyDescent="0.3">
      <c r="B4405" s="4">
        <v>40752</v>
      </c>
      <c r="C4405" s="7">
        <v>275.8</v>
      </c>
      <c r="D4405" s="6">
        <f t="shared" si="71"/>
        <v>15.358244365361804</v>
      </c>
      <c r="E4405" s="6">
        <v>-7.0564516129031528E-3</v>
      </c>
    </row>
    <row r="4406" spans="2:5" x14ac:dyDescent="0.3">
      <c r="B4406" s="4">
        <v>37747</v>
      </c>
      <c r="C4406" s="7">
        <v>16.86</v>
      </c>
      <c r="D4406" s="6">
        <f t="shared" si="71"/>
        <v>-0.53795560427514388</v>
      </c>
      <c r="E4406" s="6">
        <v>-7.0671378091873372E-3</v>
      </c>
    </row>
    <row r="4407" spans="2:5" x14ac:dyDescent="0.3">
      <c r="B4407" s="4">
        <v>38562</v>
      </c>
      <c r="C4407" s="7">
        <v>36.49</v>
      </c>
      <c r="D4407" s="6">
        <f t="shared" si="71"/>
        <v>-0.51783826638477803</v>
      </c>
      <c r="E4407" s="6">
        <v>-7.0748299319727346E-3</v>
      </c>
    </row>
    <row r="4408" spans="2:5" x14ac:dyDescent="0.3">
      <c r="B4408" s="4">
        <v>39937</v>
      </c>
      <c r="C4408" s="7">
        <v>75.680000000000007</v>
      </c>
      <c r="D4408" s="6">
        <f t="shared" si="71"/>
        <v>-0.93506983767459417</v>
      </c>
      <c r="E4408" s="6">
        <v>-7.0847546575700873E-3</v>
      </c>
    </row>
    <row r="4409" spans="2:5" x14ac:dyDescent="0.3">
      <c r="B4409" s="4">
        <v>42992</v>
      </c>
      <c r="C4409" s="5">
        <v>1165.56</v>
      </c>
      <c r="D4409" s="6">
        <f t="shared" si="71"/>
        <v>13.354187192118225</v>
      </c>
      <c r="E4409" s="6">
        <v>-7.0876069104168762E-3</v>
      </c>
    </row>
    <row r="4410" spans="2:5" x14ac:dyDescent="0.3">
      <c r="B4410" s="4">
        <v>39764</v>
      </c>
      <c r="C4410" s="7">
        <v>81.2</v>
      </c>
      <c r="D4410" s="6">
        <f t="shared" si="71"/>
        <v>-0.89929806285189862</v>
      </c>
      <c r="E4410" s="6">
        <v>-7.0921985815602627E-3</v>
      </c>
    </row>
    <row r="4411" spans="2:5" x14ac:dyDescent="0.3">
      <c r="B4411" s="4">
        <v>42730</v>
      </c>
      <c r="C4411" s="7">
        <v>806.34</v>
      </c>
      <c r="D4411" s="6">
        <f t="shared" si="71"/>
        <v>-0.67011144386076882</v>
      </c>
      <c r="E4411" s="6">
        <v>-7.0927225711119209E-3</v>
      </c>
    </row>
    <row r="4412" spans="2:5" x14ac:dyDescent="0.3">
      <c r="B4412" s="4">
        <v>44306</v>
      </c>
      <c r="C4412" s="5">
        <v>2444.2800000000002</v>
      </c>
      <c r="D4412" s="6">
        <f t="shared" si="71"/>
        <v>1.2850785756354763</v>
      </c>
      <c r="E4412" s="6">
        <v>-7.0965776378591654E-3</v>
      </c>
    </row>
    <row r="4413" spans="2:5" x14ac:dyDescent="0.3">
      <c r="B4413" s="4">
        <v>42886</v>
      </c>
      <c r="C4413" s="5">
        <v>1069.67</v>
      </c>
      <c r="D4413" s="6">
        <f t="shared" si="71"/>
        <v>1.4276474059280106</v>
      </c>
      <c r="E4413" s="6">
        <v>-7.1193866374587838E-3</v>
      </c>
    </row>
    <row r="4414" spans="2:5" x14ac:dyDescent="0.3">
      <c r="B4414" s="4">
        <v>41680</v>
      </c>
      <c r="C4414" s="7">
        <v>440.62</v>
      </c>
      <c r="D4414" s="6">
        <f t="shared" si="71"/>
        <v>3.1075790062459219</v>
      </c>
      <c r="E4414" s="6">
        <v>-7.1206453648203355E-3</v>
      </c>
    </row>
    <row r="4415" spans="2:5" x14ac:dyDescent="0.3">
      <c r="B4415" s="4">
        <v>39575</v>
      </c>
      <c r="C4415" s="7">
        <v>107.27</v>
      </c>
      <c r="D4415" s="6">
        <f t="shared" si="71"/>
        <v>5.5183946488294312E-2</v>
      </c>
      <c r="E4415" s="6">
        <v>-7.126990003702427E-3</v>
      </c>
    </row>
    <row r="4416" spans="2:5" x14ac:dyDescent="0.3">
      <c r="B4416" s="4">
        <v>39484</v>
      </c>
      <c r="C4416" s="7">
        <v>101.66</v>
      </c>
      <c r="D4416" s="6">
        <f t="shared" si="71"/>
        <v>-0.92408900836320185</v>
      </c>
      <c r="E4416" s="6">
        <v>-7.1296025002442033E-3</v>
      </c>
    </row>
    <row r="4417" spans="2:5" x14ac:dyDescent="0.3">
      <c r="B4417" s="4">
        <v>43623</v>
      </c>
      <c r="C4417" s="5">
        <v>1339.2</v>
      </c>
      <c r="D4417" s="6">
        <f t="shared" si="71"/>
        <v>23.699372925119881</v>
      </c>
      <c r="E4417" s="6">
        <v>-7.1395209181289582E-3</v>
      </c>
    </row>
    <row r="4418" spans="2:5" x14ac:dyDescent="0.3">
      <c r="B4418" s="4">
        <v>38762</v>
      </c>
      <c r="C4418" s="7">
        <v>54.22</v>
      </c>
      <c r="D4418" s="6">
        <f t="shared" si="71"/>
        <v>-0.98192425656754245</v>
      </c>
      <c r="E4418" s="6">
        <v>-7.1415491668192742E-3</v>
      </c>
    </row>
    <row r="4419" spans="2:5" x14ac:dyDescent="0.3">
      <c r="B4419" s="4">
        <v>45576</v>
      </c>
      <c r="C4419" s="5">
        <v>2999.6</v>
      </c>
      <c r="D4419" s="6">
        <f t="shared" si="71"/>
        <v>11.737154989384289</v>
      </c>
      <c r="E4419" s="6">
        <v>-7.1593357672206717E-3</v>
      </c>
    </row>
    <row r="4420" spans="2:5" x14ac:dyDescent="0.3">
      <c r="B4420" s="4">
        <v>40918</v>
      </c>
      <c r="C4420" s="7">
        <v>235.5</v>
      </c>
      <c r="D4420" s="6">
        <f t="shared" si="71"/>
        <v>-0.85698583218456414</v>
      </c>
      <c r="E4420" s="6">
        <v>-7.1669477234400873E-3</v>
      </c>
    </row>
    <row r="4421" spans="2:5" x14ac:dyDescent="0.3">
      <c r="B4421" s="4">
        <v>43815</v>
      </c>
      <c r="C4421" s="5">
        <v>1646.69</v>
      </c>
      <c r="D4421" s="6">
        <f t="shared" si="71"/>
        <v>3.9151990925914877</v>
      </c>
      <c r="E4421" s="6">
        <v>-7.1687829347995714E-3</v>
      </c>
    </row>
    <row r="4422" spans="2:5" x14ac:dyDescent="0.3">
      <c r="B4422" s="4">
        <v>41088</v>
      </c>
      <c r="C4422" s="7">
        <v>335.02</v>
      </c>
      <c r="D4422" s="6">
        <f t="shared" si="71"/>
        <v>-0.80031827962116386</v>
      </c>
      <c r="E4422" s="6">
        <v>-7.1716453295401139E-3</v>
      </c>
    </row>
    <row r="4423" spans="2:5" x14ac:dyDescent="0.3">
      <c r="B4423" s="4">
        <v>43761</v>
      </c>
      <c r="C4423" s="5">
        <v>1677.77</v>
      </c>
      <c r="D4423" s="6">
        <f t="shared" si="71"/>
        <v>30.220133978414587</v>
      </c>
      <c r="E4423" s="6">
        <v>-7.195564313314801E-3</v>
      </c>
    </row>
    <row r="4424" spans="2:5" x14ac:dyDescent="0.3">
      <c r="B4424" s="4">
        <v>38799</v>
      </c>
      <c r="C4424" s="7">
        <v>53.74</v>
      </c>
      <c r="D4424" s="6">
        <f t="shared" ref="D4424:D4487" si="72">((C4424-C4425)/C4425)</f>
        <v>-0.86352785819493116</v>
      </c>
      <c r="E4424" s="6">
        <v>-7.2048771476076216E-3</v>
      </c>
    </row>
    <row r="4425" spans="2:5" x14ac:dyDescent="0.3">
      <c r="B4425" s="4">
        <v>41450</v>
      </c>
      <c r="C4425" s="7">
        <v>393.78</v>
      </c>
      <c r="D4425" s="6">
        <f t="shared" si="72"/>
        <v>3.0296766270978299</v>
      </c>
      <c r="E4425" s="6">
        <v>-7.2105687777329914E-3</v>
      </c>
    </row>
    <row r="4426" spans="2:5" x14ac:dyDescent="0.3">
      <c r="B4426" s="4">
        <v>39713</v>
      </c>
      <c r="C4426" s="7">
        <v>97.72</v>
      </c>
      <c r="D4426" s="6">
        <f t="shared" si="72"/>
        <v>3.4377838328792008</v>
      </c>
      <c r="E4426" s="6">
        <v>-7.2132479934979973E-3</v>
      </c>
    </row>
    <row r="4427" spans="2:5" x14ac:dyDescent="0.3">
      <c r="B4427" s="4">
        <v>37854</v>
      </c>
      <c r="C4427" s="7">
        <v>22.02</v>
      </c>
      <c r="D4427" s="6">
        <f t="shared" si="72"/>
        <v>-0.99329120788724845</v>
      </c>
      <c r="E4427" s="6">
        <v>-7.2137060414788163E-3</v>
      </c>
    </row>
    <row r="4428" spans="2:5" x14ac:dyDescent="0.3">
      <c r="B4428" s="4">
        <v>45296</v>
      </c>
      <c r="C4428" s="5">
        <v>3282.26</v>
      </c>
      <c r="D4428" s="6">
        <f t="shared" si="72"/>
        <v>2.1176481762917936</v>
      </c>
      <c r="E4428" s="6">
        <v>-7.2169189261126858E-3</v>
      </c>
    </row>
    <row r="4429" spans="2:5" x14ac:dyDescent="0.3">
      <c r="B4429" s="4">
        <v>42929</v>
      </c>
      <c r="C4429" s="5">
        <v>1052.8</v>
      </c>
      <c r="D4429" s="6">
        <f t="shared" si="72"/>
        <v>17.265093684941011</v>
      </c>
      <c r="E4429" s="6">
        <v>-7.232642130376222E-3</v>
      </c>
    </row>
    <row r="4430" spans="2:5" x14ac:dyDescent="0.3">
      <c r="B4430" s="4">
        <v>39030</v>
      </c>
      <c r="C4430" s="7">
        <v>57.64</v>
      </c>
      <c r="D4430" s="6">
        <f t="shared" si="72"/>
        <v>-0.95619794516383971</v>
      </c>
      <c r="E4430" s="6">
        <v>-7.2338959696865599E-3</v>
      </c>
    </row>
    <row r="4431" spans="2:5" x14ac:dyDescent="0.3">
      <c r="B4431" s="4">
        <v>43530</v>
      </c>
      <c r="C4431" s="5">
        <v>1315.92</v>
      </c>
      <c r="D4431" s="6">
        <f t="shared" si="72"/>
        <v>0.2281330496136186</v>
      </c>
      <c r="E4431" s="6">
        <v>-7.2349510754350539E-3</v>
      </c>
    </row>
    <row r="4432" spans="2:5" x14ac:dyDescent="0.3">
      <c r="B4432" s="4">
        <v>42892</v>
      </c>
      <c r="C4432" s="5">
        <v>1071.48</v>
      </c>
      <c r="D4432" s="6">
        <f t="shared" si="72"/>
        <v>-0.56084725478302211</v>
      </c>
      <c r="E4432" s="6">
        <v>-7.2362386383640594E-3</v>
      </c>
    </row>
    <row r="4433" spans="2:5" x14ac:dyDescent="0.3">
      <c r="B4433" s="4">
        <v>44322</v>
      </c>
      <c r="C4433" s="5">
        <v>2439.88</v>
      </c>
      <c r="D4433" s="6">
        <f t="shared" si="72"/>
        <v>1.3344336328061464</v>
      </c>
      <c r="E4433" s="6">
        <v>-7.2426027798573158E-3</v>
      </c>
    </row>
    <row r="4434" spans="2:5" x14ac:dyDescent="0.3">
      <c r="B4434" s="4">
        <v>42930</v>
      </c>
      <c r="C4434" s="5">
        <v>1045.17</v>
      </c>
      <c r="D4434" s="6">
        <f t="shared" si="72"/>
        <v>0.34572399763088107</v>
      </c>
      <c r="E4434" s="6">
        <v>-7.2473404255318031E-3</v>
      </c>
    </row>
    <row r="4435" spans="2:5" x14ac:dyDescent="0.3">
      <c r="B4435" s="4">
        <v>42341</v>
      </c>
      <c r="C4435" s="7">
        <v>776.66</v>
      </c>
      <c r="D4435" s="6">
        <f t="shared" si="72"/>
        <v>-0.67202135117102058</v>
      </c>
      <c r="E4435" s="6">
        <v>-7.2475809441029651E-3</v>
      </c>
    </row>
    <row r="4436" spans="2:5" x14ac:dyDescent="0.3">
      <c r="B4436" s="4">
        <v>45758</v>
      </c>
      <c r="C4436" s="5">
        <v>2368.02</v>
      </c>
      <c r="D4436" s="6">
        <f t="shared" si="72"/>
        <v>31.196057104010876</v>
      </c>
      <c r="E4436" s="6">
        <v>-7.277666451466905E-3</v>
      </c>
    </row>
    <row r="4437" spans="2:5" x14ac:dyDescent="0.3">
      <c r="B4437" s="4">
        <v>39281</v>
      </c>
      <c r="C4437" s="7">
        <v>73.55</v>
      </c>
      <c r="D4437" s="6">
        <f t="shared" si="72"/>
        <v>0.80004894762604006</v>
      </c>
      <c r="E4437" s="6">
        <v>-7.2884329869078992E-3</v>
      </c>
    </row>
    <row r="4438" spans="2:5" x14ac:dyDescent="0.3">
      <c r="B4438" s="4">
        <v>38679</v>
      </c>
      <c r="C4438" s="7">
        <v>40.86</v>
      </c>
      <c r="D4438" s="6">
        <f t="shared" si="72"/>
        <v>-0.96275194399117581</v>
      </c>
      <c r="E4438" s="6">
        <v>-7.2886297376092606E-3</v>
      </c>
    </row>
    <row r="4439" spans="2:5" x14ac:dyDescent="0.3">
      <c r="B4439" s="4">
        <v>43214</v>
      </c>
      <c r="C4439" s="5">
        <v>1096.97</v>
      </c>
      <c r="D4439" s="6">
        <f t="shared" si="72"/>
        <v>-0.62746383209943624</v>
      </c>
      <c r="E4439" s="6">
        <v>-7.3029030623325275E-3</v>
      </c>
    </row>
    <row r="4440" spans="2:5" x14ac:dyDescent="0.3">
      <c r="B4440" s="4">
        <v>44403</v>
      </c>
      <c r="C4440" s="5">
        <v>2944.6</v>
      </c>
      <c r="D4440" s="6">
        <f t="shared" si="72"/>
        <v>-4.5652836205946644E-2</v>
      </c>
      <c r="E4440" s="6">
        <v>-7.3121643534516364E-3</v>
      </c>
    </row>
    <row r="4441" spans="2:5" x14ac:dyDescent="0.3">
      <c r="B4441" s="4">
        <v>44848</v>
      </c>
      <c r="C4441" s="5">
        <v>3085.46</v>
      </c>
      <c r="D4441" s="6">
        <f t="shared" si="72"/>
        <v>2.9217794725135051</v>
      </c>
      <c r="E4441" s="6">
        <v>-7.3225189980116482E-3</v>
      </c>
    </row>
    <row r="4442" spans="2:5" x14ac:dyDescent="0.3">
      <c r="B4442" s="4">
        <v>42451</v>
      </c>
      <c r="C4442" s="7">
        <v>786.75</v>
      </c>
      <c r="D4442" s="6">
        <f t="shared" si="72"/>
        <v>12.216025533344533</v>
      </c>
      <c r="E4442" s="6">
        <v>-7.3306752801049081E-3</v>
      </c>
    </row>
    <row r="4443" spans="2:5" x14ac:dyDescent="0.3">
      <c r="B4443" s="4">
        <v>39057</v>
      </c>
      <c r="C4443" s="7">
        <v>59.53</v>
      </c>
      <c r="D4443" s="6">
        <f t="shared" si="72"/>
        <v>-0.95293475854653553</v>
      </c>
      <c r="E4443" s="6">
        <v>-7.3370018342504206E-3</v>
      </c>
    </row>
    <row r="4444" spans="2:5" x14ac:dyDescent="0.3">
      <c r="B4444" s="4">
        <v>43431</v>
      </c>
      <c r="C4444" s="5">
        <v>1264.8399999999999</v>
      </c>
      <c r="D4444" s="6">
        <f t="shared" si="72"/>
        <v>-0.54572750258590974</v>
      </c>
      <c r="E4444" s="6">
        <v>-7.3379951184675257E-3</v>
      </c>
    </row>
    <row r="4445" spans="2:5" x14ac:dyDescent="0.3">
      <c r="B4445" s="4">
        <v>45369</v>
      </c>
      <c r="C4445" s="5">
        <v>2784.32</v>
      </c>
      <c r="D4445" s="6">
        <f t="shared" si="72"/>
        <v>-2.4230232770040536E-2</v>
      </c>
      <c r="E4445" s="6">
        <v>-7.3406989885592376E-3</v>
      </c>
    </row>
    <row r="4446" spans="2:5" x14ac:dyDescent="0.3">
      <c r="B4446" s="4">
        <v>44414</v>
      </c>
      <c r="C4446" s="5">
        <v>2853.46</v>
      </c>
      <c r="D4446" s="6">
        <f t="shared" si="72"/>
        <v>123.33376906318084</v>
      </c>
      <c r="E4446" s="6">
        <v>-7.3437070587949243E-3</v>
      </c>
    </row>
    <row r="4447" spans="2:5" x14ac:dyDescent="0.3">
      <c r="B4447" s="4">
        <v>38316</v>
      </c>
      <c r="C4447" s="7">
        <v>22.95</v>
      </c>
      <c r="D4447" s="6">
        <f t="shared" si="72"/>
        <v>-0.93970997740766038</v>
      </c>
      <c r="E4447" s="6">
        <v>-7.3529411764706619E-3</v>
      </c>
    </row>
    <row r="4448" spans="2:5" x14ac:dyDescent="0.3">
      <c r="B4448" s="4">
        <v>41260</v>
      </c>
      <c r="C4448" s="7">
        <v>380.66</v>
      </c>
      <c r="D4448" s="6">
        <f t="shared" si="72"/>
        <v>-0.11472359822321446</v>
      </c>
      <c r="E4448" s="6">
        <v>-7.3537081464482975E-3</v>
      </c>
    </row>
    <row r="4449" spans="2:5" x14ac:dyDescent="0.3">
      <c r="B4449" s="4">
        <v>41417</v>
      </c>
      <c r="C4449" s="7">
        <v>429.99</v>
      </c>
      <c r="D4449" s="6">
        <f t="shared" si="72"/>
        <v>-0.86389965056213913</v>
      </c>
      <c r="E4449" s="6">
        <v>-7.3641442356526098E-3</v>
      </c>
    </row>
    <row r="4450" spans="2:5" x14ac:dyDescent="0.3">
      <c r="B4450" s="4">
        <v>45173</v>
      </c>
      <c r="C4450" s="5">
        <v>3159.36</v>
      </c>
      <c r="D4450" s="6">
        <f t="shared" si="72"/>
        <v>9.3366833127420321E-2</v>
      </c>
      <c r="E4450" s="6">
        <v>-7.364584642453203E-3</v>
      </c>
    </row>
    <row r="4451" spans="2:5" x14ac:dyDescent="0.3">
      <c r="B4451" s="4">
        <v>45321</v>
      </c>
      <c r="C4451" s="5">
        <v>2889.57</v>
      </c>
      <c r="D4451" s="6">
        <f t="shared" si="72"/>
        <v>92.453104786545921</v>
      </c>
      <c r="E4451" s="6">
        <v>-7.3753710014289736E-3</v>
      </c>
    </row>
    <row r="4452" spans="2:5" x14ac:dyDescent="0.3">
      <c r="B4452" s="4">
        <v>38520</v>
      </c>
      <c r="C4452" s="7">
        <v>30.92</v>
      </c>
      <c r="D4452" s="6">
        <f t="shared" si="72"/>
        <v>-0.97655124296613116</v>
      </c>
      <c r="E4452" s="6">
        <v>-7.3836276083466094E-3</v>
      </c>
    </row>
    <row r="4453" spans="2:5" x14ac:dyDescent="0.3">
      <c r="B4453" s="4">
        <v>43488</v>
      </c>
      <c r="C4453" s="5">
        <v>1318.62</v>
      </c>
      <c r="D4453" s="6">
        <f t="shared" si="72"/>
        <v>-0.45735802469135806</v>
      </c>
      <c r="E4453" s="6">
        <v>-7.3921291138479448E-3</v>
      </c>
    </row>
    <row r="4454" spans="2:5" x14ac:dyDescent="0.3">
      <c r="B4454" s="4">
        <v>46147</v>
      </c>
      <c r="C4454" s="5">
        <v>2430</v>
      </c>
      <c r="D4454" s="6">
        <f t="shared" si="72"/>
        <v>0.95801941904032883</v>
      </c>
      <c r="E4454" s="6">
        <v>-7.393488828070712E-3</v>
      </c>
    </row>
    <row r="4455" spans="2:5" x14ac:dyDescent="0.3">
      <c r="B4455" s="4">
        <v>43426</v>
      </c>
      <c r="C4455" s="5">
        <v>1241.05</v>
      </c>
      <c r="D4455" s="6">
        <f t="shared" si="72"/>
        <v>-0.58161541858685428</v>
      </c>
      <c r="E4455" s="6">
        <v>-7.3982244261377268E-3</v>
      </c>
    </row>
    <row r="4456" spans="2:5" x14ac:dyDescent="0.3">
      <c r="B4456" s="4">
        <v>44400</v>
      </c>
      <c r="C4456" s="5">
        <v>2966.29</v>
      </c>
      <c r="D4456" s="6">
        <f t="shared" si="72"/>
        <v>11.023387783227271</v>
      </c>
      <c r="E4456" s="6">
        <v>-7.4019294541243976E-3</v>
      </c>
    </row>
    <row r="4457" spans="2:5" x14ac:dyDescent="0.3">
      <c r="B4457" s="4">
        <v>40891</v>
      </c>
      <c r="C4457" s="7">
        <v>246.71</v>
      </c>
      <c r="D4457" s="6">
        <f t="shared" si="72"/>
        <v>-0.41582212540253832</v>
      </c>
      <c r="E4457" s="6">
        <v>-7.4029370348018637E-3</v>
      </c>
    </row>
    <row r="4458" spans="2:5" x14ac:dyDescent="0.3">
      <c r="B4458" s="4">
        <v>41457</v>
      </c>
      <c r="C4458" s="7">
        <v>422.32</v>
      </c>
      <c r="D4458" s="6">
        <f t="shared" si="72"/>
        <v>-5.5297065139584885E-2</v>
      </c>
      <c r="E4458" s="6">
        <v>-7.4035772204856607E-3</v>
      </c>
    </row>
    <row r="4459" spans="2:5" x14ac:dyDescent="0.3">
      <c r="B4459" s="4">
        <v>41621</v>
      </c>
      <c r="C4459" s="7">
        <v>447.04</v>
      </c>
      <c r="D4459" s="6">
        <f t="shared" si="72"/>
        <v>8.3055786844296424</v>
      </c>
      <c r="E4459" s="6">
        <v>-7.4379981793555941E-3</v>
      </c>
    </row>
    <row r="4460" spans="2:5" x14ac:dyDescent="0.3">
      <c r="B4460" s="4">
        <v>38926</v>
      </c>
      <c r="C4460" s="7">
        <v>48.04</v>
      </c>
      <c r="D4460" s="6">
        <f t="shared" si="72"/>
        <v>-0.8968478914369149</v>
      </c>
      <c r="E4460" s="6">
        <v>-7.4380165289256086E-3</v>
      </c>
    </row>
    <row r="4461" spans="2:5" x14ac:dyDescent="0.3">
      <c r="B4461" s="4">
        <v>41765</v>
      </c>
      <c r="C4461" s="7">
        <v>465.72</v>
      </c>
      <c r="D4461" s="6">
        <f t="shared" si="72"/>
        <v>-0.65897308221786122</v>
      </c>
      <c r="E4461" s="6">
        <v>-7.43803414249473E-3</v>
      </c>
    </row>
    <row r="4462" spans="2:5" x14ac:dyDescent="0.3">
      <c r="B4462" s="4">
        <v>43500</v>
      </c>
      <c r="C4462" s="5">
        <v>1365.64</v>
      </c>
      <c r="D4462" s="6">
        <f t="shared" si="72"/>
        <v>-0.5088014617548251</v>
      </c>
      <c r="E4462" s="6">
        <v>-7.4425095211791787E-3</v>
      </c>
    </row>
    <row r="4463" spans="2:5" x14ac:dyDescent="0.3">
      <c r="B4463" s="4">
        <v>44715</v>
      </c>
      <c r="C4463" s="5">
        <v>2780.22</v>
      </c>
      <c r="D4463" s="6">
        <f t="shared" si="72"/>
        <v>-0.16169553261289085</v>
      </c>
      <c r="E4463" s="6">
        <v>-7.443584058949031E-3</v>
      </c>
    </row>
    <row r="4464" spans="2:5" x14ac:dyDescent="0.3">
      <c r="B4464" s="4">
        <v>45548</v>
      </c>
      <c r="C4464" s="5">
        <v>3316.48</v>
      </c>
      <c r="D4464" s="6">
        <f t="shared" si="72"/>
        <v>2.3065603190428714</v>
      </c>
      <c r="E4464" s="6">
        <v>-7.4490403636831223E-3</v>
      </c>
    </row>
    <row r="4465" spans="2:5" x14ac:dyDescent="0.3">
      <c r="B4465" s="4">
        <v>42811</v>
      </c>
      <c r="C4465" s="5">
        <v>1003</v>
      </c>
      <c r="D4465" s="6">
        <f t="shared" si="72"/>
        <v>-2.9361100896123173E-2</v>
      </c>
      <c r="E4465" s="6">
        <v>-7.4515353329440721E-3</v>
      </c>
    </row>
    <row r="4466" spans="2:5" x14ac:dyDescent="0.3">
      <c r="B4466" s="4">
        <v>42857</v>
      </c>
      <c r="C4466" s="5">
        <v>1033.3399999999999</v>
      </c>
      <c r="D4466" s="6">
        <f t="shared" si="72"/>
        <v>63.705072010018775</v>
      </c>
      <c r="E4466" s="6">
        <v>-7.4536547882047754E-3</v>
      </c>
    </row>
    <row r="4467" spans="2:5" x14ac:dyDescent="0.3">
      <c r="B4467" s="4">
        <v>37580</v>
      </c>
      <c r="C4467" s="7">
        <v>15.97</v>
      </c>
      <c r="D4467" s="6">
        <f t="shared" si="72"/>
        <v>-0.99316776829450903</v>
      </c>
      <c r="E4467" s="6">
        <v>-7.4580484773150539E-3</v>
      </c>
    </row>
    <row r="4468" spans="2:5" x14ac:dyDescent="0.3">
      <c r="B4468" s="4">
        <v>45838</v>
      </c>
      <c r="C4468" s="5">
        <v>2337.4499999999998</v>
      </c>
      <c r="D4468" s="6">
        <f t="shared" si="72"/>
        <v>31.573160535117051</v>
      </c>
      <c r="E4468" s="6">
        <v>-7.4606585082080679E-3</v>
      </c>
    </row>
    <row r="4469" spans="2:5" x14ac:dyDescent="0.3">
      <c r="B4469" s="4">
        <v>39246</v>
      </c>
      <c r="C4469" s="7">
        <v>71.760000000000005</v>
      </c>
      <c r="D4469" s="6">
        <f t="shared" si="72"/>
        <v>1.3527868852459017</v>
      </c>
      <c r="E4469" s="6">
        <v>-7.4688796680496827E-3</v>
      </c>
    </row>
    <row r="4470" spans="2:5" x14ac:dyDescent="0.3">
      <c r="B4470" s="4">
        <v>38505</v>
      </c>
      <c r="C4470" s="7">
        <v>30.5</v>
      </c>
      <c r="D4470" s="6">
        <f t="shared" si="72"/>
        <v>-0.98788783740315234</v>
      </c>
      <c r="E4470" s="6">
        <v>-7.4845427920598902E-3</v>
      </c>
    </row>
    <row r="4471" spans="2:5" x14ac:dyDescent="0.3">
      <c r="B4471" s="4">
        <v>44295</v>
      </c>
      <c r="C4471" s="5">
        <v>2518.13</v>
      </c>
      <c r="D4471" s="6">
        <f t="shared" si="72"/>
        <v>2.1501038304686131</v>
      </c>
      <c r="E4471" s="6">
        <v>-7.4887766886206067E-3</v>
      </c>
    </row>
    <row r="4472" spans="2:5" x14ac:dyDescent="0.3">
      <c r="B4472" s="4">
        <v>42495</v>
      </c>
      <c r="C4472" s="7">
        <v>799.38</v>
      </c>
      <c r="D4472" s="6">
        <f t="shared" si="72"/>
        <v>5.7870606214977078</v>
      </c>
      <c r="E4472" s="6">
        <v>-7.4991929676441653E-3</v>
      </c>
    </row>
    <row r="4473" spans="2:5" x14ac:dyDescent="0.3">
      <c r="B4473" s="4">
        <v>40073</v>
      </c>
      <c r="C4473" s="7">
        <v>117.78</v>
      </c>
      <c r="D4473" s="6">
        <f t="shared" si="72"/>
        <v>-0.49131899455817568</v>
      </c>
      <c r="E4473" s="6">
        <v>-7.4997893317603481E-3</v>
      </c>
    </row>
    <row r="4474" spans="2:5" x14ac:dyDescent="0.3">
      <c r="B4474" s="4">
        <v>40505</v>
      </c>
      <c r="C4474" s="7">
        <v>231.54</v>
      </c>
      <c r="D4474" s="6">
        <f t="shared" si="72"/>
        <v>-0.77897419742833418</v>
      </c>
      <c r="E4474" s="6">
        <v>-7.5013931158643748E-3</v>
      </c>
    </row>
    <row r="4475" spans="2:5" x14ac:dyDescent="0.3">
      <c r="B4475" s="4">
        <v>43081</v>
      </c>
      <c r="C4475" s="5">
        <v>1047.57</v>
      </c>
      <c r="D4475" s="6">
        <f t="shared" si="72"/>
        <v>-0.61373499751110794</v>
      </c>
      <c r="E4475" s="6">
        <v>-7.5036239092744345E-3</v>
      </c>
    </row>
    <row r="4476" spans="2:5" x14ac:dyDescent="0.3">
      <c r="B4476" s="4">
        <v>44979</v>
      </c>
      <c r="C4476" s="5">
        <v>2712.05</v>
      </c>
      <c r="D4476" s="6">
        <f t="shared" si="72"/>
        <v>2.4073976354704567</v>
      </c>
      <c r="E4476" s="6">
        <v>-7.5094142144574447E-3</v>
      </c>
    </row>
    <row r="4477" spans="2:5" x14ac:dyDescent="0.3">
      <c r="B4477" s="4">
        <v>42466</v>
      </c>
      <c r="C4477" s="7">
        <v>795.93</v>
      </c>
      <c r="D4477" s="6">
        <f t="shared" si="72"/>
        <v>17.305657773689052</v>
      </c>
      <c r="E4477" s="6">
        <v>-7.519078258267353E-3</v>
      </c>
    </row>
    <row r="4478" spans="2:5" x14ac:dyDescent="0.3">
      <c r="B4478" s="4">
        <v>38692</v>
      </c>
      <c r="C4478" s="7">
        <v>43.48</v>
      </c>
      <c r="D4478" s="6">
        <f t="shared" si="72"/>
        <v>-0.98600980086167789</v>
      </c>
      <c r="E4478" s="6">
        <v>-7.532526820360771E-3</v>
      </c>
    </row>
    <row r="4479" spans="2:5" x14ac:dyDescent="0.3">
      <c r="B4479" s="4">
        <v>44614</v>
      </c>
      <c r="C4479" s="5">
        <v>3107.89</v>
      </c>
      <c r="D4479" s="6">
        <f t="shared" si="72"/>
        <v>0.26456251424107291</v>
      </c>
      <c r="E4479" s="6">
        <v>-7.5363485114114722E-3</v>
      </c>
    </row>
    <row r="4480" spans="2:5" x14ac:dyDescent="0.3">
      <c r="B4480" s="4">
        <v>44321</v>
      </c>
      <c r="C4480" s="5">
        <v>2457.6799999999998</v>
      </c>
      <c r="D4480" s="6">
        <f t="shared" si="72"/>
        <v>32.410549211528</v>
      </c>
      <c r="E4480" s="6">
        <v>-7.5393219859874712E-3</v>
      </c>
    </row>
    <row r="4481" spans="2:5" x14ac:dyDescent="0.3">
      <c r="B4481" s="4">
        <v>39283</v>
      </c>
      <c r="C4481" s="7">
        <v>73.56</v>
      </c>
      <c r="D4481" s="6">
        <f t="shared" si="72"/>
        <v>-0.83943071684274861</v>
      </c>
      <c r="E4481" s="6">
        <v>-7.5553157042633871E-3</v>
      </c>
    </row>
    <row r="4482" spans="2:5" x14ac:dyDescent="0.3">
      <c r="B4482" s="4">
        <v>41788</v>
      </c>
      <c r="C4482" s="7">
        <v>458.12</v>
      </c>
      <c r="D4482" s="6">
        <f t="shared" si="72"/>
        <v>-0.84533527795220831</v>
      </c>
      <c r="E4482" s="6">
        <v>-7.5604947899742397E-3</v>
      </c>
    </row>
    <row r="4483" spans="2:5" x14ac:dyDescent="0.3">
      <c r="B4483" s="4">
        <v>45485</v>
      </c>
      <c r="C4483" s="5">
        <v>2962.02</v>
      </c>
      <c r="D4483" s="6">
        <f t="shared" si="72"/>
        <v>0.28695629505076958</v>
      </c>
      <c r="E4483" s="6">
        <v>-7.578803473785747E-3</v>
      </c>
    </row>
    <row r="4484" spans="2:5" x14ac:dyDescent="0.3">
      <c r="B4484" s="4">
        <v>44273</v>
      </c>
      <c r="C4484" s="5">
        <v>2301.5700000000002</v>
      </c>
      <c r="D4484" s="6">
        <f t="shared" si="72"/>
        <v>145.87747287811104</v>
      </c>
      <c r="E4484" s="6">
        <v>-7.5932010451968688E-3</v>
      </c>
    </row>
    <row r="4485" spans="2:5" x14ac:dyDescent="0.3">
      <c r="B4485" s="4">
        <v>37683</v>
      </c>
      <c r="C4485" s="7">
        <v>15.67</v>
      </c>
      <c r="D4485" s="6">
        <f t="shared" si="72"/>
        <v>-0.98822565859669687</v>
      </c>
      <c r="E4485" s="6">
        <v>-7.5997466751107808E-3</v>
      </c>
    </row>
    <row r="4486" spans="2:5" x14ac:dyDescent="0.3">
      <c r="B4486" s="4">
        <v>43633</v>
      </c>
      <c r="C4486" s="5">
        <v>1330.86</v>
      </c>
      <c r="D4486" s="6">
        <f t="shared" si="72"/>
        <v>55.94736842105263</v>
      </c>
      <c r="E4486" s="6">
        <v>-7.6429226536227461E-3</v>
      </c>
    </row>
    <row r="4487" spans="2:5" x14ac:dyDescent="0.3">
      <c r="B4487" s="4">
        <v>38105</v>
      </c>
      <c r="C4487" s="7">
        <v>23.37</v>
      </c>
      <c r="D4487" s="6">
        <f t="shared" si="72"/>
        <v>-5.1926977687626677E-2</v>
      </c>
      <c r="E4487" s="6">
        <v>-7.6433121019108159E-3</v>
      </c>
    </row>
    <row r="4488" spans="2:5" x14ac:dyDescent="0.3">
      <c r="B4488" s="4">
        <v>37978</v>
      </c>
      <c r="C4488" s="7">
        <v>24.65</v>
      </c>
      <c r="D4488" s="6">
        <f t="shared" ref="D4488:D4551" si="73">((C4488-C4489)/C4489)</f>
        <v>-0.98487061769616024</v>
      </c>
      <c r="E4488" s="6">
        <v>-7.6489533011272655E-3</v>
      </c>
    </row>
    <row r="4489" spans="2:5" x14ac:dyDescent="0.3">
      <c r="B4489" s="4">
        <v>43809</v>
      </c>
      <c r="C4489" s="5">
        <v>1629.28</v>
      </c>
      <c r="D4489" s="6">
        <f t="shared" si="73"/>
        <v>0.50980882748139689</v>
      </c>
      <c r="E4489" s="6">
        <v>-7.6499537104711456E-3</v>
      </c>
    </row>
    <row r="4490" spans="2:5" x14ac:dyDescent="0.3">
      <c r="B4490" s="4">
        <v>42909</v>
      </c>
      <c r="C4490" s="5">
        <v>1079.1300000000001</v>
      </c>
      <c r="D4490" s="6">
        <f t="shared" si="73"/>
        <v>42.992254382388914</v>
      </c>
      <c r="E4490" s="6">
        <v>-7.6509264793783033E-3</v>
      </c>
    </row>
    <row r="4491" spans="2:5" x14ac:dyDescent="0.3">
      <c r="B4491" s="4">
        <v>38020</v>
      </c>
      <c r="C4491" s="7">
        <v>24.53</v>
      </c>
      <c r="D4491" s="6">
        <f t="shared" si="73"/>
        <v>-0.86691623263888884</v>
      </c>
      <c r="E4491" s="6">
        <v>-7.6860841423947307E-3</v>
      </c>
    </row>
    <row r="4492" spans="2:5" x14ac:dyDescent="0.3">
      <c r="B4492" s="4">
        <v>40315</v>
      </c>
      <c r="C4492" s="7">
        <v>184.32</v>
      </c>
      <c r="D4492" s="6">
        <f t="shared" si="73"/>
        <v>-0.5595383181590079</v>
      </c>
      <c r="E4492" s="6">
        <v>-7.6985195154778297E-3</v>
      </c>
    </row>
    <row r="4493" spans="2:5" x14ac:dyDescent="0.3">
      <c r="B4493" s="4">
        <v>41554</v>
      </c>
      <c r="C4493" s="7">
        <v>418.47</v>
      </c>
      <c r="D4493" s="6">
        <f t="shared" si="73"/>
        <v>24.028110047846891</v>
      </c>
      <c r="E4493" s="6">
        <v>-7.7065351418002465E-3</v>
      </c>
    </row>
    <row r="4494" spans="2:5" x14ac:dyDescent="0.3">
      <c r="B4494" s="4">
        <v>37510</v>
      </c>
      <c r="C4494" s="7">
        <v>16.72</v>
      </c>
      <c r="D4494" s="6">
        <f t="shared" si="73"/>
        <v>-0.99424186905073497</v>
      </c>
      <c r="E4494" s="6">
        <v>-7.7151335311574209E-3</v>
      </c>
    </row>
    <row r="4495" spans="2:5" x14ac:dyDescent="0.3">
      <c r="B4495" s="4">
        <v>44363</v>
      </c>
      <c r="C4495" s="5">
        <v>2903.72</v>
      </c>
      <c r="D4495" s="6">
        <f t="shared" si="73"/>
        <v>8.5734156437072565E-2</v>
      </c>
      <c r="E4495" s="6">
        <v>-7.7230104704886556E-3</v>
      </c>
    </row>
    <row r="4496" spans="2:5" x14ac:dyDescent="0.3">
      <c r="B4496" s="4">
        <v>44336</v>
      </c>
      <c r="C4496" s="5">
        <v>2674.43</v>
      </c>
      <c r="D4496" s="6">
        <f t="shared" si="73"/>
        <v>108.6077868852459</v>
      </c>
      <c r="E4496" s="6">
        <v>-7.7247008626287594E-3</v>
      </c>
    </row>
    <row r="4497" spans="2:5" x14ac:dyDescent="0.3">
      <c r="B4497" s="4">
        <v>38219</v>
      </c>
      <c r="C4497" s="7">
        <v>24.4</v>
      </c>
      <c r="D4497" s="6">
        <f t="shared" si="73"/>
        <v>-0.9662307106774618</v>
      </c>
      <c r="E4497" s="6">
        <v>-7.7267181781212396E-3</v>
      </c>
    </row>
    <row r="4498" spans="2:5" x14ac:dyDescent="0.3">
      <c r="B4498" s="4">
        <v>42139</v>
      </c>
      <c r="C4498" s="7">
        <v>722.55</v>
      </c>
      <c r="D4498" s="6">
        <f t="shared" si="73"/>
        <v>-0.77222360577392912</v>
      </c>
      <c r="E4498" s="6">
        <v>-7.7316048229833225E-3</v>
      </c>
    </row>
    <row r="4499" spans="2:5" x14ac:dyDescent="0.3">
      <c r="B4499" s="4">
        <v>44483</v>
      </c>
      <c r="C4499" s="5">
        <v>3172.19</v>
      </c>
      <c r="D4499" s="6">
        <f t="shared" si="73"/>
        <v>0.33306578361250966</v>
      </c>
      <c r="E4499" s="6">
        <v>-7.7324666631215146E-3</v>
      </c>
    </row>
    <row r="4500" spans="2:5" x14ac:dyDescent="0.3">
      <c r="B4500" s="4">
        <v>44239</v>
      </c>
      <c r="C4500" s="5">
        <v>2379.62</v>
      </c>
      <c r="D4500" s="6">
        <f t="shared" si="73"/>
        <v>4.9003719315645915</v>
      </c>
      <c r="E4500" s="6">
        <v>-7.7433397687423277E-3</v>
      </c>
    </row>
    <row r="4501" spans="2:5" x14ac:dyDescent="0.3">
      <c r="B4501" s="4">
        <v>41330</v>
      </c>
      <c r="C4501" s="7">
        <v>403.3</v>
      </c>
      <c r="D4501" s="6">
        <f t="shared" si="73"/>
        <v>-0.8314075981539697</v>
      </c>
      <c r="E4501" s="6">
        <v>-7.7500307540902379E-3</v>
      </c>
    </row>
    <row r="4502" spans="2:5" x14ac:dyDescent="0.3">
      <c r="B4502" s="4">
        <v>45783</v>
      </c>
      <c r="C4502" s="5">
        <v>2392.16</v>
      </c>
      <c r="D4502" s="6">
        <f t="shared" si="73"/>
        <v>0.19838689477243682</v>
      </c>
      <c r="E4502" s="6">
        <v>-7.7565681955817723E-3</v>
      </c>
    </row>
    <row r="4503" spans="2:5" x14ac:dyDescent="0.3">
      <c r="B4503" s="4">
        <v>44112</v>
      </c>
      <c r="C4503" s="5">
        <v>1996.15</v>
      </c>
      <c r="D4503" s="6">
        <f t="shared" si="73"/>
        <v>0.55846944192873449</v>
      </c>
      <c r="E4503" s="6">
        <v>-7.7643070529930811E-3</v>
      </c>
    </row>
    <row r="4504" spans="2:5" x14ac:dyDescent="0.3">
      <c r="B4504" s="4">
        <v>43292</v>
      </c>
      <c r="C4504" s="5">
        <v>1280.8399999999999</v>
      </c>
      <c r="D4504" s="6">
        <f t="shared" si="73"/>
        <v>0.20318635279087677</v>
      </c>
      <c r="E4504" s="6">
        <v>-7.7699535971863729E-3</v>
      </c>
    </row>
    <row r="4505" spans="2:5" x14ac:dyDescent="0.3">
      <c r="B4505" s="4">
        <v>43077</v>
      </c>
      <c r="C4505" s="5">
        <v>1064.54</v>
      </c>
      <c r="D4505" s="6">
        <f t="shared" si="73"/>
        <v>-0.62953966508442494</v>
      </c>
      <c r="E4505" s="6">
        <v>-7.7734695399300432E-3</v>
      </c>
    </row>
    <row r="4506" spans="2:5" x14ac:dyDescent="0.3">
      <c r="B4506" s="4">
        <v>44370</v>
      </c>
      <c r="C4506" s="5">
        <v>2873.56</v>
      </c>
      <c r="D4506" s="6">
        <f t="shared" si="73"/>
        <v>2.4113205755259033</v>
      </c>
      <c r="E4506" s="6">
        <v>-7.7897324696490295E-3</v>
      </c>
    </row>
    <row r="4507" spans="2:5" x14ac:dyDescent="0.3">
      <c r="B4507" s="4">
        <v>42222</v>
      </c>
      <c r="C4507" s="7">
        <v>842.36</v>
      </c>
      <c r="D4507" s="6">
        <f t="shared" si="73"/>
        <v>-0.64550122043599012</v>
      </c>
      <c r="E4507" s="6">
        <v>-7.7975924050036564E-3</v>
      </c>
    </row>
    <row r="4508" spans="2:5" x14ac:dyDescent="0.3">
      <c r="B4508" s="4">
        <v>46080</v>
      </c>
      <c r="C4508" s="5">
        <v>2376.1999999999998</v>
      </c>
      <c r="D4508" s="6">
        <f t="shared" si="73"/>
        <v>2.0266593638945847</v>
      </c>
      <c r="E4508" s="6">
        <v>-7.8082592175039763E-3</v>
      </c>
    </row>
    <row r="4509" spans="2:5" x14ac:dyDescent="0.3">
      <c r="B4509" s="4">
        <v>42468</v>
      </c>
      <c r="C4509" s="7">
        <v>785.09</v>
      </c>
      <c r="D4509" s="6">
        <f t="shared" si="73"/>
        <v>1.6608710388069818</v>
      </c>
      <c r="E4509" s="6">
        <v>-7.8102291253301023E-3</v>
      </c>
    </row>
    <row r="4510" spans="2:5" x14ac:dyDescent="0.3">
      <c r="B4510" s="4">
        <v>41016</v>
      </c>
      <c r="C4510" s="7">
        <v>295.05</v>
      </c>
      <c r="D4510" s="6">
        <f t="shared" si="73"/>
        <v>-0.90041716449646625</v>
      </c>
      <c r="E4510" s="6">
        <v>-7.8350931468154691E-3</v>
      </c>
    </row>
    <row r="4511" spans="2:5" x14ac:dyDescent="0.3">
      <c r="B4511" s="4">
        <v>44686</v>
      </c>
      <c r="C4511" s="5">
        <v>2962.86</v>
      </c>
      <c r="D4511" s="6">
        <f t="shared" si="73"/>
        <v>2.7098353471483128</v>
      </c>
      <c r="E4511" s="6">
        <v>-7.8358883687288071E-3</v>
      </c>
    </row>
    <row r="4512" spans="2:5" x14ac:dyDescent="0.3">
      <c r="B4512" s="4">
        <v>42489</v>
      </c>
      <c r="C4512" s="7">
        <v>798.65</v>
      </c>
      <c r="D4512" s="6">
        <f t="shared" si="73"/>
        <v>-0.39253225021297311</v>
      </c>
      <c r="E4512" s="6">
        <v>-7.8388988272709934E-3</v>
      </c>
    </row>
    <row r="4513" spans="2:5" x14ac:dyDescent="0.3">
      <c r="B4513" s="4">
        <v>43664</v>
      </c>
      <c r="C4513" s="5">
        <v>1314.72</v>
      </c>
      <c r="D4513" s="6">
        <f t="shared" si="73"/>
        <v>56.815303430079162</v>
      </c>
      <c r="E4513" s="6">
        <v>-7.8408584947663763E-3</v>
      </c>
    </row>
    <row r="4514" spans="2:5" x14ac:dyDescent="0.3">
      <c r="B4514" s="4">
        <v>37866</v>
      </c>
      <c r="C4514" s="7">
        <v>22.74</v>
      </c>
      <c r="D4514" s="6">
        <f t="shared" si="73"/>
        <v>-0.94607796642321917</v>
      </c>
      <c r="E4514" s="6">
        <v>-7.8534031413613984E-3</v>
      </c>
    </row>
    <row r="4515" spans="2:5" x14ac:dyDescent="0.3">
      <c r="B4515" s="4">
        <v>41551</v>
      </c>
      <c r="C4515" s="7">
        <v>421.72</v>
      </c>
      <c r="D4515" s="6">
        <f t="shared" si="73"/>
        <v>-0.40532460939703302</v>
      </c>
      <c r="E4515" s="6">
        <v>-7.8577142050533458E-3</v>
      </c>
    </row>
    <row r="4516" spans="2:5" x14ac:dyDescent="0.3">
      <c r="B4516" s="4">
        <v>41983</v>
      </c>
      <c r="C4516" s="7">
        <v>709.16</v>
      </c>
      <c r="D4516" s="6">
        <f t="shared" si="73"/>
        <v>0.57454650414085573</v>
      </c>
      <c r="E4516" s="6">
        <v>-7.8625591090965112E-3</v>
      </c>
    </row>
    <row r="4517" spans="2:5" x14ac:dyDescent="0.3">
      <c r="B4517" s="4">
        <v>41620</v>
      </c>
      <c r="C4517" s="7">
        <v>450.39</v>
      </c>
      <c r="D4517" s="6">
        <f t="shared" si="73"/>
        <v>17.813283208020049</v>
      </c>
      <c r="E4517" s="6">
        <v>-7.8641289981496026E-3</v>
      </c>
    </row>
    <row r="4518" spans="2:5" x14ac:dyDescent="0.3">
      <c r="B4518" s="4">
        <v>38056</v>
      </c>
      <c r="C4518" s="7">
        <v>23.94</v>
      </c>
      <c r="D4518" s="6">
        <f t="shared" si="73"/>
        <v>-0.99091723070385773</v>
      </c>
      <c r="E4518" s="6">
        <v>-7.8740157480314023E-3</v>
      </c>
    </row>
    <row r="4519" spans="2:5" x14ac:dyDescent="0.3">
      <c r="B4519" s="4">
        <v>44200</v>
      </c>
      <c r="C4519" s="5">
        <v>2635.76</v>
      </c>
      <c r="D4519" s="6">
        <f t="shared" si="73"/>
        <v>160.01160659743434</v>
      </c>
      <c r="E4519" s="6">
        <v>-7.8744899649184769E-3</v>
      </c>
    </row>
    <row r="4520" spans="2:5" x14ac:dyDescent="0.3">
      <c r="B4520" s="4">
        <v>37610</v>
      </c>
      <c r="C4520" s="7">
        <v>16.37</v>
      </c>
      <c r="D4520" s="6">
        <f t="shared" si="73"/>
        <v>-0.99403940474153163</v>
      </c>
      <c r="E4520" s="6">
        <v>-7.8787878787878185E-3</v>
      </c>
    </row>
    <row r="4521" spans="2:5" x14ac:dyDescent="0.3">
      <c r="B4521" s="4">
        <v>45400</v>
      </c>
      <c r="C4521" s="5">
        <v>2746.37</v>
      </c>
      <c r="D4521" s="6">
        <f t="shared" si="73"/>
        <v>166.87102689486551</v>
      </c>
      <c r="E4521" s="6">
        <v>-7.8788229089148641E-3</v>
      </c>
    </row>
    <row r="4522" spans="2:5" x14ac:dyDescent="0.3">
      <c r="B4522" s="4">
        <v>37480</v>
      </c>
      <c r="C4522" s="7">
        <v>16.36</v>
      </c>
      <c r="D4522" s="6">
        <f t="shared" si="73"/>
        <v>-0.94321613272708338</v>
      </c>
      <c r="E4522" s="6">
        <v>-7.8835657974529426E-3</v>
      </c>
    </row>
    <row r="4523" spans="2:5" x14ac:dyDescent="0.3">
      <c r="B4523" s="4">
        <v>40788</v>
      </c>
      <c r="C4523" s="7">
        <v>288.11</v>
      </c>
      <c r="D4523" s="6">
        <f t="shared" si="73"/>
        <v>-0.91156274652448432</v>
      </c>
      <c r="E4523" s="6">
        <v>-7.8856749311293512E-3</v>
      </c>
    </row>
    <row r="4524" spans="2:5" x14ac:dyDescent="0.3">
      <c r="B4524" s="4">
        <v>45141</v>
      </c>
      <c r="C4524" s="5">
        <v>3257.79</v>
      </c>
      <c r="D4524" s="6">
        <f t="shared" si="73"/>
        <v>1.5401079108643785</v>
      </c>
      <c r="E4524" s="6">
        <v>-7.8935106936970905E-3</v>
      </c>
    </row>
    <row r="4525" spans="2:5" x14ac:dyDescent="0.3">
      <c r="B4525" s="4">
        <v>43346</v>
      </c>
      <c r="C4525" s="5">
        <v>1282.54</v>
      </c>
      <c r="D4525" s="6">
        <f t="shared" si="73"/>
        <v>-0.16269626244491597</v>
      </c>
      <c r="E4525" s="6">
        <v>-7.9055663850985704E-3</v>
      </c>
    </row>
    <row r="4526" spans="2:5" x14ac:dyDescent="0.3">
      <c r="B4526" s="4">
        <v>43917</v>
      </c>
      <c r="C4526" s="5">
        <v>1531.75</v>
      </c>
      <c r="D4526" s="6">
        <f t="shared" si="73"/>
        <v>-0.48803264825912718</v>
      </c>
      <c r="E4526" s="6">
        <v>-7.9146615543048294E-3</v>
      </c>
    </row>
    <row r="4527" spans="2:5" x14ac:dyDescent="0.3">
      <c r="B4527" s="4">
        <v>45065</v>
      </c>
      <c r="C4527" s="5">
        <v>2991.89</v>
      </c>
      <c r="D4527" s="6">
        <f t="shared" si="73"/>
        <v>3.2526224521704523</v>
      </c>
      <c r="E4527" s="6">
        <v>-7.9150860811206276E-3</v>
      </c>
    </row>
    <row r="4528" spans="2:5" x14ac:dyDescent="0.3">
      <c r="B4528" s="4">
        <v>41984</v>
      </c>
      <c r="C4528" s="7">
        <v>703.54</v>
      </c>
      <c r="D4528" s="6">
        <f t="shared" si="73"/>
        <v>14.61687014428413</v>
      </c>
      <c r="E4528" s="6">
        <v>-7.9248688589316999E-3</v>
      </c>
    </row>
    <row r="4529" spans="2:5" x14ac:dyDescent="0.3">
      <c r="B4529" s="4">
        <v>38707</v>
      </c>
      <c r="C4529" s="7">
        <v>45.05</v>
      </c>
      <c r="D4529" s="6">
        <f t="shared" si="73"/>
        <v>-0.46176821983273603</v>
      </c>
      <c r="E4529" s="6">
        <v>-7.9277692138295403E-3</v>
      </c>
    </row>
    <row r="4530" spans="2:5" x14ac:dyDescent="0.3">
      <c r="B4530" s="4">
        <v>39422</v>
      </c>
      <c r="C4530" s="7">
        <v>83.7</v>
      </c>
      <c r="D4530" s="6">
        <f t="shared" si="73"/>
        <v>-0.96995153473344109</v>
      </c>
      <c r="E4530" s="6">
        <v>-7.941211331041859E-3</v>
      </c>
    </row>
    <row r="4531" spans="2:5" x14ac:dyDescent="0.3">
      <c r="B4531" s="4">
        <v>46015</v>
      </c>
      <c r="C4531" s="5">
        <v>2785.5</v>
      </c>
      <c r="D4531" s="6">
        <f t="shared" si="73"/>
        <v>0.665182120887858</v>
      </c>
      <c r="E4531" s="6">
        <v>-7.9421611225871432E-3</v>
      </c>
    </row>
    <row r="4532" spans="2:5" x14ac:dyDescent="0.3">
      <c r="B4532" s="4">
        <v>43738</v>
      </c>
      <c r="C4532" s="5">
        <v>1672.79</v>
      </c>
      <c r="D4532" s="6">
        <f t="shared" si="73"/>
        <v>29.53650967506389</v>
      </c>
      <c r="E4532" s="6">
        <v>-7.9645597846070282E-3</v>
      </c>
    </row>
    <row r="4533" spans="2:5" x14ac:dyDescent="0.3">
      <c r="B4533" s="4">
        <v>39020</v>
      </c>
      <c r="C4533" s="7">
        <v>54.78</v>
      </c>
      <c r="D4533" s="6">
        <f t="shared" si="73"/>
        <v>-0.9809229954867108</v>
      </c>
      <c r="E4533" s="6">
        <v>-7.9681274900397989E-3</v>
      </c>
    </row>
    <row r="4534" spans="2:5" x14ac:dyDescent="0.3">
      <c r="B4534" s="4">
        <v>44936</v>
      </c>
      <c r="C4534" s="5">
        <v>2871.52</v>
      </c>
      <c r="D4534" s="6">
        <f t="shared" si="73"/>
        <v>5.8930817610062896</v>
      </c>
      <c r="E4534" s="6">
        <v>-7.9734678366613441E-3</v>
      </c>
    </row>
    <row r="4535" spans="2:5" x14ac:dyDescent="0.3">
      <c r="B4535" s="4">
        <v>41381</v>
      </c>
      <c r="C4535" s="7">
        <v>416.58</v>
      </c>
      <c r="D4535" s="6">
        <f t="shared" si="73"/>
        <v>-0.74949638297744403</v>
      </c>
      <c r="E4535" s="6">
        <v>-7.9775200628676747E-3</v>
      </c>
    </row>
    <row r="4536" spans="2:5" x14ac:dyDescent="0.3">
      <c r="B4536" s="4">
        <v>43733</v>
      </c>
      <c r="C4536" s="5">
        <v>1662.97</v>
      </c>
      <c r="D4536" s="6">
        <f t="shared" si="73"/>
        <v>4.9806156944544346</v>
      </c>
      <c r="E4536" s="6">
        <v>-7.9816267485906187E-3</v>
      </c>
    </row>
    <row r="4537" spans="2:5" x14ac:dyDescent="0.3">
      <c r="B4537" s="4">
        <v>40830</v>
      </c>
      <c r="C4537" s="7">
        <v>278.06</v>
      </c>
      <c r="D4537" s="6">
        <f t="shared" si="73"/>
        <v>0.19791487161812854</v>
      </c>
      <c r="E4537" s="6">
        <v>-7.9914377452729533E-3</v>
      </c>
    </row>
    <row r="4538" spans="2:5" x14ac:dyDescent="0.3">
      <c r="B4538" s="4">
        <v>40403</v>
      </c>
      <c r="C4538" s="7">
        <v>232.12</v>
      </c>
      <c r="D4538" s="6">
        <f t="shared" si="73"/>
        <v>1.7912457912457913</v>
      </c>
      <c r="E4538" s="6">
        <v>-7.9917945211334003E-3</v>
      </c>
    </row>
    <row r="4539" spans="2:5" x14ac:dyDescent="0.3">
      <c r="B4539" s="4">
        <v>39434</v>
      </c>
      <c r="C4539" s="7">
        <v>83.16</v>
      </c>
      <c r="D4539" s="6">
        <f t="shared" si="73"/>
        <v>-0.79860993388709944</v>
      </c>
      <c r="E4539" s="6">
        <v>-7.9923655016104229E-3</v>
      </c>
    </row>
    <row r="4540" spans="2:5" x14ac:dyDescent="0.3">
      <c r="B4540" s="4">
        <v>41445</v>
      </c>
      <c r="C4540" s="7">
        <v>412.93</v>
      </c>
      <c r="D4540" s="6">
        <f t="shared" si="73"/>
        <v>16.526740237691001</v>
      </c>
      <c r="E4540" s="6">
        <v>-7.9998078124248889E-3</v>
      </c>
    </row>
    <row r="4541" spans="2:5" x14ac:dyDescent="0.3">
      <c r="B4541" s="4">
        <v>38322</v>
      </c>
      <c r="C4541" s="7">
        <v>23.56</v>
      </c>
      <c r="D4541" s="6">
        <f t="shared" si="73"/>
        <v>-0.98551597791739931</v>
      </c>
      <c r="E4541" s="6">
        <v>-8.0000000000000539E-3</v>
      </c>
    </row>
    <row r="4542" spans="2:5" x14ac:dyDescent="0.3">
      <c r="B4542" s="4">
        <v>44022</v>
      </c>
      <c r="C4542" s="5">
        <v>1626.62</v>
      </c>
      <c r="D4542" s="6">
        <f t="shared" si="73"/>
        <v>24.258074534161487</v>
      </c>
      <c r="E4542" s="6">
        <v>-8.0012684937856727E-3</v>
      </c>
    </row>
    <row r="4543" spans="2:5" x14ac:dyDescent="0.3">
      <c r="B4543" s="4">
        <v>39127</v>
      </c>
      <c r="C4543" s="7">
        <v>64.400000000000006</v>
      </c>
      <c r="D4543" s="6">
        <f t="shared" si="73"/>
        <v>-0.81559430747644823</v>
      </c>
      <c r="E4543" s="6">
        <v>-8.0098582871225513E-3</v>
      </c>
    </row>
    <row r="4544" spans="2:5" x14ac:dyDescent="0.3">
      <c r="B4544" s="4">
        <v>41185</v>
      </c>
      <c r="C4544" s="7">
        <v>349.23</v>
      </c>
      <c r="D4544" s="6">
        <f t="shared" si="73"/>
        <v>16.628975265017669</v>
      </c>
      <c r="E4544" s="6">
        <v>-8.0102258201959747E-3</v>
      </c>
    </row>
    <row r="4545" spans="2:5" x14ac:dyDescent="0.3">
      <c r="B4545" s="4">
        <v>37811</v>
      </c>
      <c r="C4545" s="7">
        <v>19.809999999999999</v>
      </c>
      <c r="D4545" s="6">
        <f t="shared" si="73"/>
        <v>-0.98410788348455314</v>
      </c>
      <c r="E4545" s="6">
        <v>-8.0120180270405687E-3</v>
      </c>
    </row>
    <row r="4546" spans="2:5" x14ac:dyDescent="0.3">
      <c r="B4546" s="4">
        <v>43447</v>
      </c>
      <c r="C4546" s="5">
        <v>1246.53</v>
      </c>
      <c r="D4546" s="6">
        <f t="shared" si="73"/>
        <v>76.762320648783529</v>
      </c>
      <c r="E4546" s="6">
        <v>-8.0373697906306035E-3</v>
      </c>
    </row>
    <row r="4547" spans="2:5" x14ac:dyDescent="0.3">
      <c r="B4547" s="4">
        <v>37614</v>
      </c>
      <c r="C4547" s="7">
        <v>16.03</v>
      </c>
      <c r="D4547" s="6">
        <f t="shared" si="73"/>
        <v>-0.9297145613188933</v>
      </c>
      <c r="E4547" s="6">
        <v>-8.0445544554454823E-3</v>
      </c>
    </row>
    <row r="4548" spans="2:5" x14ac:dyDescent="0.3">
      <c r="B4548" s="4">
        <v>40568</v>
      </c>
      <c r="C4548" s="7">
        <v>228.07</v>
      </c>
      <c r="D4548" s="6">
        <f t="shared" si="73"/>
        <v>-0.93075295196397823</v>
      </c>
      <c r="E4548" s="6">
        <v>-8.0462769659011592E-3</v>
      </c>
    </row>
    <row r="4549" spans="2:5" x14ac:dyDescent="0.3">
      <c r="B4549" s="4">
        <v>45133</v>
      </c>
      <c r="C4549" s="5">
        <v>3293.57</v>
      </c>
      <c r="D4549" s="6">
        <f t="shared" si="73"/>
        <v>13.55721546961326</v>
      </c>
      <c r="E4549" s="6">
        <v>-8.0594398749521175E-3</v>
      </c>
    </row>
    <row r="4550" spans="2:5" x14ac:dyDescent="0.3">
      <c r="B4550" s="4">
        <v>40571</v>
      </c>
      <c r="C4550" s="7">
        <v>226.25</v>
      </c>
      <c r="D4550" s="6">
        <f t="shared" si="73"/>
        <v>-0.40965427266797128</v>
      </c>
      <c r="E4550" s="6">
        <v>-8.0669911000043996E-3</v>
      </c>
    </row>
    <row r="4551" spans="2:5" x14ac:dyDescent="0.3">
      <c r="B4551" s="4">
        <v>41290</v>
      </c>
      <c r="C4551" s="7">
        <v>383.25</v>
      </c>
      <c r="D4551" s="6">
        <f t="shared" si="73"/>
        <v>-0.71755472031837275</v>
      </c>
      <c r="E4551" s="6">
        <v>-8.0751611149934115E-3</v>
      </c>
    </row>
    <row r="4552" spans="2:5" x14ac:dyDescent="0.3">
      <c r="B4552" s="4">
        <v>43507</v>
      </c>
      <c r="C4552" s="5">
        <v>1356.9</v>
      </c>
      <c r="D4552" s="6">
        <f t="shared" ref="D4552:D4615" si="74">((C4552-C4553)/C4553)</f>
        <v>47.048866855524082</v>
      </c>
      <c r="E4552" s="6">
        <v>-8.0777806206366858E-3</v>
      </c>
    </row>
    <row r="4553" spans="2:5" x14ac:dyDescent="0.3">
      <c r="B4553" s="4">
        <v>38406</v>
      </c>
      <c r="C4553" s="7">
        <v>28.24</v>
      </c>
      <c r="D4553" s="6">
        <f t="shared" si="74"/>
        <v>-0.97305909064890961</v>
      </c>
      <c r="E4553" s="6">
        <v>-8.0786793115560397E-3</v>
      </c>
    </row>
    <row r="4554" spans="2:5" x14ac:dyDescent="0.3">
      <c r="B4554" s="4">
        <v>43153</v>
      </c>
      <c r="C4554" s="5">
        <v>1048.22</v>
      </c>
      <c r="D4554" s="6">
        <f t="shared" si="74"/>
        <v>43.949399656946831</v>
      </c>
      <c r="E4554" s="6">
        <v>-8.0813051213141709E-3</v>
      </c>
    </row>
    <row r="4555" spans="2:5" x14ac:dyDescent="0.3">
      <c r="B4555" s="4">
        <v>37935</v>
      </c>
      <c r="C4555" s="7">
        <v>23.32</v>
      </c>
      <c r="D4555" s="6">
        <f t="shared" si="74"/>
        <v>-0.72014880595223807</v>
      </c>
      <c r="E4555" s="6">
        <v>-8.0816673755849111E-3</v>
      </c>
    </row>
    <row r="4556" spans="2:5" x14ac:dyDescent="0.3">
      <c r="B4556" s="4">
        <v>39416</v>
      </c>
      <c r="C4556" s="7">
        <v>83.33</v>
      </c>
      <c r="D4556" s="6">
        <f t="shared" si="74"/>
        <v>-0.90932535364526657</v>
      </c>
      <c r="E4556" s="6">
        <v>-8.0942744911320884E-3</v>
      </c>
    </row>
    <row r="4557" spans="2:5" x14ac:dyDescent="0.3">
      <c r="B4557" s="4">
        <v>42541</v>
      </c>
      <c r="C4557" s="7">
        <v>919</v>
      </c>
      <c r="D4557" s="6">
        <f t="shared" si="74"/>
        <v>-0.68197060564009038</v>
      </c>
      <c r="E4557" s="6">
        <v>-8.1056869326828537E-3</v>
      </c>
    </row>
    <row r="4558" spans="2:5" x14ac:dyDescent="0.3">
      <c r="B4558" s="4">
        <v>44405</v>
      </c>
      <c r="C4558" s="5">
        <v>2889.67</v>
      </c>
      <c r="D4558" s="6">
        <f t="shared" si="74"/>
        <v>8.1799361328556391E-2</v>
      </c>
      <c r="E4558" s="6">
        <v>-8.1076720820789875E-3</v>
      </c>
    </row>
    <row r="4559" spans="2:5" x14ac:dyDescent="0.3">
      <c r="B4559" s="4">
        <v>45027</v>
      </c>
      <c r="C4559" s="5">
        <v>2671.17</v>
      </c>
      <c r="D4559" s="6">
        <f t="shared" si="74"/>
        <v>0.10415426587301599</v>
      </c>
      <c r="E4559" s="6">
        <v>-8.1209339631048514E-3</v>
      </c>
    </row>
    <row r="4560" spans="2:5" x14ac:dyDescent="0.3">
      <c r="B4560" s="4">
        <v>44180</v>
      </c>
      <c r="C4560" s="5">
        <v>2419.1999999999998</v>
      </c>
      <c r="D4560" s="6">
        <f t="shared" si="74"/>
        <v>1.1577266808184232</v>
      </c>
      <c r="E4560" s="6">
        <v>-8.1262146271863962E-3</v>
      </c>
    </row>
    <row r="4561" spans="2:5" x14ac:dyDescent="0.3">
      <c r="B4561" s="4">
        <v>43399</v>
      </c>
      <c r="C4561" s="5">
        <v>1121.18</v>
      </c>
      <c r="D4561" s="6">
        <f t="shared" si="74"/>
        <v>3.4647180630774135</v>
      </c>
      <c r="E4561" s="6">
        <v>-8.1300813008128563E-3</v>
      </c>
    </row>
    <row r="4562" spans="2:5" x14ac:dyDescent="0.3">
      <c r="B4562" s="4">
        <v>40885</v>
      </c>
      <c r="C4562" s="7">
        <v>251.12</v>
      </c>
      <c r="D4562" s="6">
        <f t="shared" si="74"/>
        <v>0.59735385789708029</v>
      </c>
      <c r="E4562" s="6">
        <v>-8.1365036732759383E-3</v>
      </c>
    </row>
    <row r="4563" spans="2:5" x14ac:dyDescent="0.3">
      <c r="B4563" s="4">
        <v>40199</v>
      </c>
      <c r="C4563" s="7">
        <v>157.21</v>
      </c>
      <c r="D4563" s="6">
        <f t="shared" si="74"/>
        <v>-0.63236050699218926</v>
      </c>
      <c r="E4563" s="6">
        <v>-8.1388012618296025E-3</v>
      </c>
    </row>
    <row r="4564" spans="2:5" x14ac:dyDescent="0.3">
      <c r="B4564" s="4">
        <v>41414</v>
      </c>
      <c r="C4564" s="7">
        <v>427.62</v>
      </c>
      <c r="D4564" s="6">
        <f t="shared" si="74"/>
        <v>7.1684813753581658</v>
      </c>
      <c r="E4564" s="6">
        <v>-8.1413958666759229E-3</v>
      </c>
    </row>
    <row r="4565" spans="2:5" x14ac:dyDescent="0.3">
      <c r="B4565" s="4">
        <v>38965</v>
      </c>
      <c r="C4565" s="7">
        <v>52.35</v>
      </c>
      <c r="D4565" s="6">
        <f t="shared" si="74"/>
        <v>-0.98121299120760819</v>
      </c>
      <c r="E4565" s="6">
        <v>-8.1470253884046925E-3</v>
      </c>
    </row>
    <row r="4566" spans="2:5" x14ac:dyDescent="0.3">
      <c r="B4566" s="4">
        <v>46030</v>
      </c>
      <c r="C4566" s="5">
        <v>2786.5</v>
      </c>
      <c r="D4566" s="6">
        <f t="shared" si="74"/>
        <v>3.7325067934782608</v>
      </c>
      <c r="E4566" s="6">
        <v>-8.1512066633445193E-3</v>
      </c>
    </row>
    <row r="4567" spans="2:5" x14ac:dyDescent="0.3">
      <c r="B4567" s="4">
        <v>41955</v>
      </c>
      <c r="C4567" s="7">
        <v>588.79999999999995</v>
      </c>
      <c r="D4567" s="6">
        <f t="shared" si="74"/>
        <v>-0.75388422359417651</v>
      </c>
      <c r="E4567" s="6">
        <v>-8.1530894144599964E-3</v>
      </c>
    </row>
    <row r="4568" spans="2:5" x14ac:dyDescent="0.3">
      <c r="B4568" s="4">
        <v>45869</v>
      </c>
      <c r="C4568" s="5">
        <v>2392.37</v>
      </c>
      <c r="D4568" s="6">
        <f t="shared" si="74"/>
        <v>43.842924086223057</v>
      </c>
      <c r="E4568" s="6">
        <v>-8.1549228039336299E-3</v>
      </c>
    </row>
    <row r="4569" spans="2:5" x14ac:dyDescent="0.3">
      <c r="B4569" s="4">
        <v>39009</v>
      </c>
      <c r="C4569" s="7">
        <v>53.35</v>
      </c>
      <c r="D4569" s="6">
        <f t="shared" si="74"/>
        <v>-0.83700467446763005</v>
      </c>
      <c r="E4569" s="6">
        <v>-8.1799591002044564E-3</v>
      </c>
    </row>
    <row r="4570" spans="2:5" x14ac:dyDescent="0.3">
      <c r="B4570" s="4">
        <v>41107</v>
      </c>
      <c r="C4570" s="7">
        <v>327.31</v>
      </c>
      <c r="D4570" s="6">
        <f t="shared" si="74"/>
        <v>-0.88077311157008242</v>
      </c>
      <c r="E4570" s="6">
        <v>-8.1815702554467705E-3</v>
      </c>
    </row>
    <row r="4571" spans="2:5" x14ac:dyDescent="0.3">
      <c r="B4571" s="4">
        <v>44995</v>
      </c>
      <c r="C4571" s="5">
        <v>2745.27</v>
      </c>
      <c r="D4571" s="6">
        <f t="shared" si="74"/>
        <v>5.1728914172644069</v>
      </c>
      <c r="E4571" s="6">
        <v>-8.1830399722535654E-3</v>
      </c>
    </row>
    <row r="4572" spans="2:5" x14ac:dyDescent="0.3">
      <c r="B4572" s="4">
        <v>41656</v>
      </c>
      <c r="C4572" s="7">
        <v>444.73</v>
      </c>
      <c r="D4572" s="6">
        <f t="shared" si="74"/>
        <v>8.4182549767047856</v>
      </c>
      <c r="E4572" s="6">
        <v>-8.184656556645761E-3</v>
      </c>
    </row>
    <row r="4573" spans="2:5" x14ac:dyDescent="0.3">
      <c r="B4573" s="4">
        <v>38897</v>
      </c>
      <c r="C4573" s="7">
        <v>47.22</v>
      </c>
      <c r="D4573" s="6">
        <f t="shared" si="74"/>
        <v>1.7858407079646019</v>
      </c>
      <c r="E4573" s="6">
        <v>-8.1915563957151976E-3</v>
      </c>
    </row>
    <row r="4574" spans="2:5" x14ac:dyDescent="0.3">
      <c r="B4574" s="4">
        <v>37749</v>
      </c>
      <c r="C4574" s="7">
        <v>16.95</v>
      </c>
      <c r="D4574" s="6">
        <f t="shared" si="74"/>
        <v>-0.95916056283731688</v>
      </c>
      <c r="E4574" s="6">
        <v>-8.1919251023990971E-3</v>
      </c>
    </row>
    <row r="4575" spans="2:5" x14ac:dyDescent="0.3">
      <c r="B4575" s="4">
        <v>41555</v>
      </c>
      <c r="C4575" s="7">
        <v>415.04</v>
      </c>
      <c r="D4575" s="6">
        <f t="shared" si="74"/>
        <v>-0.80125080210318644</v>
      </c>
      <c r="E4575" s="6">
        <v>-8.1965254379047642E-3</v>
      </c>
    </row>
    <row r="4576" spans="2:5" x14ac:dyDescent="0.3">
      <c r="B4576" s="4">
        <v>44146</v>
      </c>
      <c r="C4576" s="5">
        <v>2088.2600000000002</v>
      </c>
      <c r="D4576" s="6">
        <f t="shared" si="74"/>
        <v>5.5004202334630357</v>
      </c>
      <c r="E4576" s="6">
        <v>-8.2069207899160054E-3</v>
      </c>
    </row>
    <row r="4577" spans="2:5" x14ac:dyDescent="0.3">
      <c r="B4577" s="4">
        <v>41040</v>
      </c>
      <c r="C4577" s="7">
        <v>321.25</v>
      </c>
      <c r="D4577" s="6">
        <f t="shared" si="74"/>
        <v>13.022261021388038</v>
      </c>
      <c r="E4577" s="6">
        <v>-8.2121576981260998E-3</v>
      </c>
    </row>
    <row r="4578" spans="2:5" x14ac:dyDescent="0.3">
      <c r="B4578" s="4">
        <v>37889</v>
      </c>
      <c r="C4578" s="7">
        <v>22.91</v>
      </c>
      <c r="D4578" s="6">
        <f t="shared" si="74"/>
        <v>-0.43985330073349632</v>
      </c>
      <c r="E4578" s="6">
        <v>-8.2251082251082793E-3</v>
      </c>
    </row>
    <row r="4579" spans="2:5" x14ac:dyDescent="0.3">
      <c r="B4579" s="4">
        <v>38667</v>
      </c>
      <c r="C4579" s="7">
        <v>40.9</v>
      </c>
      <c r="D4579" s="6">
        <f t="shared" si="74"/>
        <v>-0.71870701513067392</v>
      </c>
      <c r="E4579" s="6">
        <v>-8.244422890397755E-3</v>
      </c>
    </row>
    <row r="4580" spans="2:5" x14ac:dyDescent="0.3">
      <c r="B4580" s="4">
        <v>40127</v>
      </c>
      <c r="C4580" s="7">
        <v>145.4</v>
      </c>
      <c r="D4580" s="6">
        <f t="shared" si="74"/>
        <v>0.73074633972146175</v>
      </c>
      <c r="E4580" s="6">
        <v>-8.2531887320101485E-3</v>
      </c>
    </row>
    <row r="4581" spans="2:5" x14ac:dyDescent="0.3">
      <c r="B4581" s="4">
        <v>39415</v>
      </c>
      <c r="C4581" s="7">
        <v>84.01</v>
      </c>
      <c r="D4581" s="6">
        <f t="shared" si="74"/>
        <v>2.6895037329819944</v>
      </c>
      <c r="E4581" s="6">
        <v>-8.2634871915947192E-3</v>
      </c>
    </row>
    <row r="4582" spans="2:5" x14ac:dyDescent="0.3">
      <c r="B4582" s="4">
        <v>38120</v>
      </c>
      <c r="C4582" s="7">
        <v>22.77</v>
      </c>
      <c r="D4582" s="6">
        <f t="shared" si="74"/>
        <v>-0.97472611634644202</v>
      </c>
      <c r="E4582" s="6">
        <v>-8.275261324041867E-3</v>
      </c>
    </row>
    <row r="4583" spans="2:5" x14ac:dyDescent="0.3">
      <c r="B4583" s="4">
        <v>42762</v>
      </c>
      <c r="C4583" s="7">
        <v>900.93</v>
      </c>
      <c r="D4583" s="6">
        <f t="shared" si="74"/>
        <v>0.29760910269336022</v>
      </c>
      <c r="E4583" s="6">
        <v>-8.2887523941616425E-3</v>
      </c>
    </row>
    <row r="4584" spans="2:5" x14ac:dyDescent="0.3">
      <c r="B4584" s="4">
        <v>42132</v>
      </c>
      <c r="C4584" s="7">
        <v>694.3</v>
      </c>
      <c r="D4584" s="6">
        <f t="shared" si="74"/>
        <v>-0.75452986618112383</v>
      </c>
      <c r="E4584" s="6">
        <v>-8.2986959192127788E-3</v>
      </c>
    </row>
    <row r="4585" spans="2:5" x14ac:dyDescent="0.3">
      <c r="B4585" s="4">
        <v>44938</v>
      </c>
      <c r="C4585" s="5">
        <v>2828.45</v>
      </c>
      <c r="D4585" s="6">
        <f t="shared" si="74"/>
        <v>0.28601566798066735</v>
      </c>
      <c r="E4585" s="6">
        <v>-8.316474824432013E-3</v>
      </c>
    </row>
    <row r="4586" spans="2:5" x14ac:dyDescent="0.3">
      <c r="B4586" s="4">
        <v>45686</v>
      </c>
      <c r="C4586" s="5">
        <v>2199.39</v>
      </c>
      <c r="D4586" s="6">
        <f t="shared" si="74"/>
        <v>5.68182646737149</v>
      </c>
      <c r="E4586" s="6">
        <v>-8.3189048804243187E-3</v>
      </c>
    </row>
    <row r="4587" spans="2:5" x14ac:dyDescent="0.3">
      <c r="B4587" s="4">
        <v>41099</v>
      </c>
      <c r="C4587" s="7">
        <v>329.16</v>
      </c>
      <c r="D4587" s="6">
        <f t="shared" si="74"/>
        <v>-0.88567697389214406</v>
      </c>
      <c r="E4587" s="6">
        <v>-8.3451330099719272E-3</v>
      </c>
    </row>
    <row r="4588" spans="2:5" x14ac:dyDescent="0.3">
      <c r="B4588" s="4">
        <v>45600</v>
      </c>
      <c r="C4588" s="5">
        <v>2879.21</v>
      </c>
      <c r="D4588" s="6">
        <f t="shared" si="74"/>
        <v>4.9018345803013226</v>
      </c>
      <c r="E4588" s="6">
        <v>-8.3521040413851062E-3</v>
      </c>
    </row>
    <row r="4589" spans="2:5" x14ac:dyDescent="0.3">
      <c r="B4589" s="4">
        <v>41750</v>
      </c>
      <c r="C4589" s="7">
        <v>487.85</v>
      </c>
      <c r="D4589" s="6">
        <f t="shared" si="74"/>
        <v>6.7547289779049446</v>
      </c>
      <c r="E4589" s="6">
        <v>-8.3543377510365818E-3</v>
      </c>
    </row>
    <row r="4590" spans="2:5" x14ac:dyDescent="0.3">
      <c r="B4590" s="4">
        <v>39876</v>
      </c>
      <c r="C4590" s="7">
        <v>62.91</v>
      </c>
      <c r="D4590" s="6">
        <f t="shared" si="74"/>
        <v>-0.77350135013501353</v>
      </c>
      <c r="E4590" s="6">
        <v>-8.3543505674653403E-3</v>
      </c>
    </row>
    <row r="4591" spans="2:5" x14ac:dyDescent="0.3">
      <c r="B4591" s="4">
        <v>40848</v>
      </c>
      <c r="C4591" s="7">
        <v>277.75</v>
      </c>
      <c r="D4591" s="6">
        <f t="shared" si="74"/>
        <v>-0.69645140490267865</v>
      </c>
      <c r="E4591" s="6">
        <v>-8.3544574958048321E-3</v>
      </c>
    </row>
    <row r="4592" spans="2:5" x14ac:dyDescent="0.3">
      <c r="B4592" s="4">
        <v>42779</v>
      </c>
      <c r="C4592" s="7">
        <v>915.01</v>
      </c>
      <c r="D4592" s="6">
        <f t="shared" si="74"/>
        <v>-0.5563308232761337</v>
      </c>
      <c r="E4592" s="6">
        <v>-8.3557308826079802E-3</v>
      </c>
    </row>
    <row r="4593" spans="2:5" x14ac:dyDescent="0.3">
      <c r="B4593" s="4">
        <v>44138</v>
      </c>
      <c r="C4593" s="5">
        <v>2062.37</v>
      </c>
      <c r="D4593" s="6">
        <f t="shared" si="74"/>
        <v>33.843216759587769</v>
      </c>
      <c r="E4593" s="6">
        <v>-8.375845638261591E-3</v>
      </c>
    </row>
    <row r="4594" spans="2:5" x14ac:dyDescent="0.3">
      <c r="B4594" s="4">
        <v>39069</v>
      </c>
      <c r="C4594" s="7">
        <v>59.19</v>
      </c>
      <c r="D4594" s="6">
        <f t="shared" si="74"/>
        <v>-0.97566300727766131</v>
      </c>
      <c r="E4594" s="6">
        <v>-8.3766124979058471E-3</v>
      </c>
    </row>
    <row r="4595" spans="2:5" x14ac:dyDescent="0.3">
      <c r="B4595" s="4">
        <v>46058</v>
      </c>
      <c r="C4595" s="5">
        <v>2432.1</v>
      </c>
      <c r="D4595" s="6">
        <f t="shared" si="74"/>
        <v>5.1633004738856076</v>
      </c>
      <c r="E4595" s="6">
        <v>-8.398907326619607E-3</v>
      </c>
    </row>
    <row r="4596" spans="2:5" x14ac:dyDescent="0.3">
      <c r="B4596" s="4">
        <v>41298</v>
      </c>
      <c r="C4596" s="7">
        <v>394.61</v>
      </c>
      <c r="D4596" s="6">
        <f t="shared" si="74"/>
        <v>-2.1983741449390314E-2</v>
      </c>
      <c r="E4596" s="6">
        <v>-8.4179314503969403E-3</v>
      </c>
    </row>
    <row r="4597" spans="2:5" x14ac:dyDescent="0.3">
      <c r="B4597" s="4">
        <v>41323</v>
      </c>
      <c r="C4597" s="7">
        <v>403.48</v>
      </c>
      <c r="D4597" s="6">
        <f t="shared" si="74"/>
        <v>-0.66207988207803958</v>
      </c>
      <c r="E4597" s="6">
        <v>-8.4293824187166855E-3</v>
      </c>
    </row>
    <row r="4598" spans="2:5" x14ac:dyDescent="0.3">
      <c r="B4598" s="4">
        <v>43256</v>
      </c>
      <c r="C4598" s="5">
        <v>1194.01</v>
      </c>
      <c r="D4598" s="6">
        <f t="shared" si="74"/>
        <v>66.802952867688816</v>
      </c>
      <c r="E4598" s="6">
        <v>-8.4455812253982562E-3</v>
      </c>
    </row>
    <row r="4599" spans="2:5" x14ac:dyDescent="0.3">
      <c r="B4599" s="4">
        <v>37446</v>
      </c>
      <c r="C4599" s="7">
        <v>17.61</v>
      </c>
      <c r="D4599" s="6">
        <f t="shared" si="74"/>
        <v>-0.98063792591615262</v>
      </c>
      <c r="E4599" s="6">
        <v>-8.4459459459460644E-3</v>
      </c>
    </row>
    <row r="4600" spans="2:5" x14ac:dyDescent="0.3">
      <c r="B4600" s="4">
        <v>42535</v>
      </c>
      <c r="C4600" s="7">
        <v>909.51</v>
      </c>
      <c r="D4600" s="6">
        <f t="shared" si="74"/>
        <v>0.34566787003610105</v>
      </c>
      <c r="E4600" s="6">
        <v>-8.4490765976931292E-3</v>
      </c>
    </row>
    <row r="4601" spans="2:5" x14ac:dyDescent="0.3">
      <c r="B4601" s="4">
        <v>41996</v>
      </c>
      <c r="C4601" s="7">
        <v>675.88</v>
      </c>
      <c r="D4601" s="6">
        <f t="shared" si="74"/>
        <v>-0.76327025256823822</v>
      </c>
      <c r="E4601" s="6">
        <v>-8.4502083211079031E-3</v>
      </c>
    </row>
    <row r="4602" spans="2:5" x14ac:dyDescent="0.3">
      <c r="B4602" s="4">
        <v>45464</v>
      </c>
      <c r="C4602" s="5">
        <v>2855.07</v>
      </c>
      <c r="D4602" s="6">
        <f t="shared" si="74"/>
        <v>7.5458110090095492</v>
      </c>
      <c r="E4602" s="6">
        <v>-8.4531206045681904E-3</v>
      </c>
    </row>
    <row r="4603" spans="2:5" x14ac:dyDescent="0.3">
      <c r="B4603" s="4">
        <v>41162</v>
      </c>
      <c r="C4603" s="7">
        <v>334.09</v>
      </c>
      <c r="D4603" s="6">
        <f t="shared" si="74"/>
        <v>0.37113190511368294</v>
      </c>
      <c r="E4603" s="6">
        <v>-8.458479254466739E-3</v>
      </c>
    </row>
    <row r="4604" spans="2:5" x14ac:dyDescent="0.3">
      <c r="B4604" s="4">
        <v>40924</v>
      </c>
      <c r="C4604" s="7">
        <v>243.66</v>
      </c>
      <c r="D4604" s="6">
        <f t="shared" si="74"/>
        <v>2.3029686864579095</v>
      </c>
      <c r="E4604" s="6">
        <v>-8.4642304875071715E-3</v>
      </c>
    </row>
    <row r="4605" spans="2:5" x14ac:dyDescent="0.3">
      <c r="B4605" s="4">
        <v>39785</v>
      </c>
      <c r="C4605" s="7">
        <v>73.77</v>
      </c>
      <c r="D4605" s="6">
        <f t="shared" si="74"/>
        <v>-0.93768794134540667</v>
      </c>
      <c r="E4605" s="6">
        <v>-8.4677419354840001E-3</v>
      </c>
    </row>
    <row r="4606" spans="2:5" x14ac:dyDescent="0.3">
      <c r="B4606" s="4">
        <v>43257</v>
      </c>
      <c r="C4606" s="5">
        <v>1183.8800000000001</v>
      </c>
      <c r="D4606" s="6">
        <f t="shared" si="74"/>
        <v>16.180089972427805</v>
      </c>
      <c r="E4606" s="6">
        <v>-8.4840160467666778E-3</v>
      </c>
    </row>
    <row r="4607" spans="2:5" x14ac:dyDescent="0.3">
      <c r="B4607" s="4">
        <v>39232</v>
      </c>
      <c r="C4607" s="7">
        <v>68.91</v>
      </c>
      <c r="D4607" s="6">
        <f t="shared" si="74"/>
        <v>-0.97428462675204874</v>
      </c>
      <c r="E4607" s="6">
        <v>-8.4892086330935739E-3</v>
      </c>
    </row>
    <row r="4608" spans="2:5" x14ac:dyDescent="0.3">
      <c r="B4608" s="4">
        <v>44747</v>
      </c>
      <c r="C4608" s="5">
        <v>2679.72</v>
      </c>
      <c r="D4608" s="6">
        <f t="shared" si="74"/>
        <v>8.6535177780179389</v>
      </c>
      <c r="E4608" s="6">
        <v>-8.4916027483933568E-3</v>
      </c>
    </row>
    <row r="4609" spans="2:5" x14ac:dyDescent="0.3">
      <c r="B4609" s="4">
        <v>40743</v>
      </c>
      <c r="C4609" s="7">
        <v>277.58999999999997</v>
      </c>
      <c r="D4609" s="6">
        <f t="shared" si="74"/>
        <v>-0.73700366654350125</v>
      </c>
      <c r="E4609" s="6">
        <v>-8.500910811872887E-3</v>
      </c>
    </row>
    <row r="4610" spans="2:5" x14ac:dyDescent="0.3">
      <c r="B4610" s="4">
        <v>43080</v>
      </c>
      <c r="C4610" s="5">
        <v>1055.49</v>
      </c>
      <c r="D4610" s="6">
        <f t="shared" si="74"/>
        <v>1.635299111155498</v>
      </c>
      <c r="E4610" s="6">
        <v>-8.5013245157532415E-3</v>
      </c>
    </row>
    <row r="4611" spans="2:5" x14ac:dyDescent="0.3">
      <c r="B4611" s="4">
        <v>41318</v>
      </c>
      <c r="C4611" s="7">
        <v>400.52</v>
      </c>
      <c r="D4611" s="6">
        <f t="shared" si="74"/>
        <v>16.204467353951891</v>
      </c>
      <c r="E4611" s="6">
        <v>-8.5156946232300169E-3</v>
      </c>
    </row>
    <row r="4612" spans="2:5" x14ac:dyDescent="0.3">
      <c r="B4612" s="4">
        <v>38274</v>
      </c>
      <c r="C4612" s="7">
        <v>23.28</v>
      </c>
      <c r="D4612" s="6">
        <f t="shared" si="74"/>
        <v>-0.99228633342390038</v>
      </c>
      <c r="E4612" s="6">
        <v>-8.5178875638841269E-3</v>
      </c>
    </row>
    <row r="4613" spans="2:5" x14ac:dyDescent="0.3">
      <c r="B4613" s="4">
        <v>45582</v>
      </c>
      <c r="C4613" s="5">
        <v>3018.02</v>
      </c>
      <c r="D4613" s="6">
        <f t="shared" si="74"/>
        <v>7.5977482343462049E-2</v>
      </c>
      <c r="E4613" s="6">
        <v>-8.5185367696577925E-3</v>
      </c>
    </row>
    <row r="4614" spans="2:5" x14ac:dyDescent="0.3">
      <c r="B4614" s="4">
        <v>45366</v>
      </c>
      <c r="C4614" s="5">
        <v>2804.91</v>
      </c>
      <c r="D4614" s="6">
        <f t="shared" si="74"/>
        <v>27.783068240123139</v>
      </c>
      <c r="E4614" s="6">
        <v>-8.5399088746479605E-3</v>
      </c>
    </row>
    <row r="4615" spans="2:5" x14ac:dyDescent="0.3">
      <c r="B4615" s="4">
        <v>39532</v>
      </c>
      <c r="C4615" s="7">
        <v>97.45</v>
      </c>
      <c r="D4615" s="6">
        <f t="shared" si="74"/>
        <v>-0.77593580428584574</v>
      </c>
      <c r="E4615" s="6">
        <v>-8.5461389764981514E-3</v>
      </c>
    </row>
    <row r="4616" spans="2:5" x14ac:dyDescent="0.3">
      <c r="B4616" s="4">
        <v>41709</v>
      </c>
      <c r="C4616" s="7">
        <v>434.92</v>
      </c>
      <c r="D4616" s="6">
        <f t="shared" ref="D4616:D4679" si="75">((C4616-C4617)/C4617)</f>
        <v>22.445822102425875</v>
      </c>
      <c r="E4616" s="6">
        <v>-8.5485672601272027E-3</v>
      </c>
    </row>
    <row r="4617" spans="2:5" x14ac:dyDescent="0.3">
      <c r="B4617" s="4">
        <v>37788</v>
      </c>
      <c r="C4617" s="7">
        <v>18.55</v>
      </c>
      <c r="D4617" s="6">
        <f t="shared" si="75"/>
        <v>-0.98627085276137194</v>
      </c>
      <c r="E4617" s="6">
        <v>-8.5515766969535088E-3</v>
      </c>
    </row>
    <row r="4618" spans="2:5" x14ac:dyDescent="0.3">
      <c r="B4618" s="4">
        <v>43578</v>
      </c>
      <c r="C4618" s="5">
        <v>1351.14</v>
      </c>
      <c r="D4618" s="6">
        <f t="shared" si="75"/>
        <v>52.006669282071407</v>
      </c>
      <c r="E4618" s="6">
        <v>-8.5559142941002749E-3</v>
      </c>
    </row>
    <row r="4619" spans="2:5" x14ac:dyDescent="0.3">
      <c r="B4619" s="4">
        <v>38015</v>
      </c>
      <c r="C4619" s="7">
        <v>25.49</v>
      </c>
      <c r="D4619" s="6">
        <f t="shared" si="75"/>
        <v>-0.74103423752920861</v>
      </c>
      <c r="E4619" s="6">
        <v>-8.5569817191755125E-3</v>
      </c>
    </row>
    <row r="4620" spans="2:5" x14ac:dyDescent="0.3">
      <c r="B4620" s="4">
        <v>39710</v>
      </c>
      <c r="C4620" s="7">
        <v>98.43</v>
      </c>
      <c r="D4620" s="6">
        <f t="shared" si="75"/>
        <v>0.5189814814814816</v>
      </c>
      <c r="E4620" s="6">
        <v>-8.5616438356163806E-3</v>
      </c>
    </row>
    <row r="4621" spans="2:5" x14ac:dyDescent="0.3">
      <c r="B4621" s="4">
        <v>39213</v>
      </c>
      <c r="C4621" s="7">
        <v>64.8</v>
      </c>
      <c r="D4621" s="6">
        <f t="shared" si="75"/>
        <v>-0.77204770112920806</v>
      </c>
      <c r="E4621" s="6">
        <v>-8.5679314565483833E-3</v>
      </c>
    </row>
    <row r="4622" spans="2:5" x14ac:dyDescent="0.3">
      <c r="B4622" s="4">
        <v>40773</v>
      </c>
      <c r="C4622" s="7">
        <v>284.27</v>
      </c>
      <c r="D4622" s="6">
        <f t="shared" si="75"/>
        <v>4.1293756766510281</v>
      </c>
      <c r="E4622" s="6">
        <v>-8.5794998779340718E-3</v>
      </c>
    </row>
    <row r="4623" spans="2:5" x14ac:dyDescent="0.3">
      <c r="B4623" s="4">
        <v>38996</v>
      </c>
      <c r="C4623" s="7">
        <v>55.42</v>
      </c>
      <c r="D4623" s="6">
        <f t="shared" si="75"/>
        <v>-0.92685083748003649</v>
      </c>
      <c r="E4623" s="6">
        <v>-8.586762075134112E-3</v>
      </c>
    </row>
    <row r="4624" spans="2:5" x14ac:dyDescent="0.3">
      <c r="B4624" s="4">
        <v>42263</v>
      </c>
      <c r="C4624" s="7">
        <v>757.63</v>
      </c>
      <c r="D4624" s="6">
        <f t="shared" si="75"/>
        <v>15.869962146515254</v>
      </c>
      <c r="E4624" s="6">
        <v>-8.5972258571055341E-3</v>
      </c>
    </row>
    <row r="4625" spans="2:5" x14ac:dyDescent="0.3">
      <c r="B4625" s="4">
        <v>38709</v>
      </c>
      <c r="C4625" s="7">
        <v>44.91</v>
      </c>
      <c r="D4625" s="6">
        <f t="shared" si="75"/>
        <v>1.7859801488833742</v>
      </c>
      <c r="E4625" s="6">
        <v>-8.6092715231788214E-3</v>
      </c>
    </row>
    <row r="4626" spans="2:5" x14ac:dyDescent="0.3">
      <c r="B4626" s="4">
        <v>37736</v>
      </c>
      <c r="C4626" s="7">
        <v>16.12</v>
      </c>
      <c r="D4626" s="6">
        <f t="shared" si="75"/>
        <v>-0.985207073441558</v>
      </c>
      <c r="E4626" s="6">
        <v>-8.6100861008610429E-3</v>
      </c>
    </row>
    <row r="4627" spans="2:5" x14ac:dyDescent="0.3">
      <c r="B4627" s="4">
        <v>43045</v>
      </c>
      <c r="C4627" s="5">
        <v>1089.71</v>
      </c>
      <c r="D4627" s="6">
        <f t="shared" si="75"/>
        <v>4.4808872346846398</v>
      </c>
      <c r="E4627" s="6">
        <v>-8.6155133827034939E-3</v>
      </c>
    </row>
    <row r="4628" spans="2:5" x14ac:dyDescent="0.3">
      <c r="B4628" s="4">
        <v>40340</v>
      </c>
      <c r="C4628" s="7">
        <v>198.82</v>
      </c>
      <c r="D4628" s="6">
        <f t="shared" si="75"/>
        <v>-0.93954303020719931</v>
      </c>
      <c r="E4628" s="6">
        <v>-8.6262777362254711E-3</v>
      </c>
    </row>
    <row r="4629" spans="2:5" x14ac:dyDescent="0.3">
      <c r="B4629" s="4">
        <v>44810</v>
      </c>
      <c r="C4629" s="5">
        <v>3288.62</v>
      </c>
      <c r="D4629" s="6">
        <f t="shared" si="75"/>
        <v>0.13831285933340937</v>
      </c>
      <c r="E4629" s="6">
        <v>-8.630642851759773E-3</v>
      </c>
    </row>
    <row r="4630" spans="2:5" x14ac:dyDescent="0.3">
      <c r="B4630" s="4">
        <v>44932</v>
      </c>
      <c r="C4630" s="5">
        <v>2889.03</v>
      </c>
      <c r="D4630" s="6">
        <f t="shared" si="75"/>
        <v>6.0524350054924945</v>
      </c>
      <c r="E4630" s="6">
        <v>-8.6370187358450409E-3</v>
      </c>
    </row>
    <row r="4631" spans="2:5" x14ac:dyDescent="0.3">
      <c r="B4631" s="4">
        <v>41435</v>
      </c>
      <c r="C4631" s="7">
        <v>409.65</v>
      </c>
      <c r="D4631" s="6">
        <f t="shared" si="75"/>
        <v>-0.65216099176360709</v>
      </c>
      <c r="E4631" s="6">
        <v>-8.6394656599391353E-3</v>
      </c>
    </row>
    <row r="4632" spans="2:5" x14ac:dyDescent="0.3">
      <c r="B4632" s="4">
        <v>43388</v>
      </c>
      <c r="C4632" s="5">
        <v>1177.7</v>
      </c>
      <c r="D4632" s="6">
        <f t="shared" si="75"/>
        <v>-0.18016581854633795</v>
      </c>
      <c r="E4632" s="6">
        <v>-8.6449994528481205E-3</v>
      </c>
    </row>
    <row r="4633" spans="2:5" x14ac:dyDescent="0.3">
      <c r="B4633" s="4">
        <v>43675</v>
      </c>
      <c r="C4633" s="5">
        <v>1436.51</v>
      </c>
      <c r="D4633" s="6">
        <f t="shared" si="75"/>
        <v>0.77755091939515431</v>
      </c>
      <c r="E4633" s="6">
        <v>-8.6471042897366349E-3</v>
      </c>
    </row>
    <row r="4634" spans="2:5" x14ac:dyDescent="0.3">
      <c r="B4634" s="4">
        <v>42410</v>
      </c>
      <c r="C4634" s="7">
        <v>808.14</v>
      </c>
      <c r="D4634" s="6">
        <f t="shared" si="75"/>
        <v>3.6084625912408756</v>
      </c>
      <c r="E4634" s="6">
        <v>-8.6482905825636565E-3</v>
      </c>
    </row>
    <row r="4635" spans="2:5" x14ac:dyDescent="0.3">
      <c r="B4635" s="4">
        <v>40269</v>
      </c>
      <c r="C4635" s="7">
        <v>175.36</v>
      </c>
      <c r="D4635" s="6">
        <f t="shared" si="75"/>
        <v>-0.26777736022380888</v>
      </c>
      <c r="E4635" s="6">
        <v>-8.6494431567639366E-3</v>
      </c>
    </row>
    <row r="4636" spans="2:5" x14ac:dyDescent="0.3">
      <c r="B4636" s="4">
        <v>40422</v>
      </c>
      <c r="C4636" s="7">
        <v>239.49</v>
      </c>
      <c r="D4636" s="6">
        <f t="shared" si="75"/>
        <v>-3.6451418225709117E-2</v>
      </c>
      <c r="E4636" s="6">
        <v>-8.6513784253663528E-3</v>
      </c>
    </row>
    <row r="4637" spans="2:5" x14ac:dyDescent="0.3">
      <c r="B4637" s="4">
        <v>40890</v>
      </c>
      <c r="C4637" s="7">
        <v>248.55</v>
      </c>
      <c r="D4637" s="6">
        <f t="shared" si="75"/>
        <v>9.3390183028286202</v>
      </c>
      <c r="E4637" s="6">
        <v>-8.6550733886406658E-3</v>
      </c>
    </row>
    <row r="4638" spans="2:5" x14ac:dyDescent="0.3">
      <c r="B4638" s="4">
        <v>38054</v>
      </c>
      <c r="C4638" s="7">
        <v>24.04</v>
      </c>
      <c r="D4638" s="6">
        <f t="shared" si="75"/>
        <v>0.50156152404747012</v>
      </c>
      <c r="E4638" s="6">
        <v>-8.6597938144330252E-3</v>
      </c>
    </row>
    <row r="4639" spans="2:5" x14ac:dyDescent="0.3">
      <c r="B4639" s="4">
        <v>37571</v>
      </c>
      <c r="C4639" s="7">
        <v>16.010000000000002</v>
      </c>
      <c r="D4639" s="6">
        <f t="shared" si="75"/>
        <v>-0.99353661441322871</v>
      </c>
      <c r="E4639" s="6">
        <v>-8.6687306501546154E-3</v>
      </c>
    </row>
    <row r="4640" spans="2:5" x14ac:dyDescent="0.3">
      <c r="B4640" s="4">
        <v>45916</v>
      </c>
      <c r="C4640" s="5">
        <v>2477.0300000000002</v>
      </c>
      <c r="D4640" s="6">
        <f t="shared" si="75"/>
        <v>4.788129454375512</v>
      </c>
      <c r="E4640" s="6">
        <v>-8.6725097050464727E-3</v>
      </c>
    </row>
    <row r="4641" spans="2:5" x14ac:dyDescent="0.3">
      <c r="B4641" s="4">
        <v>41698</v>
      </c>
      <c r="C4641" s="7">
        <v>427.95</v>
      </c>
      <c r="D4641" s="6">
        <f t="shared" si="75"/>
        <v>0.23617088881827897</v>
      </c>
      <c r="E4641" s="6">
        <v>-8.6865879082696322E-3</v>
      </c>
    </row>
    <row r="4642" spans="2:5" x14ac:dyDescent="0.3">
      <c r="B4642" s="4">
        <v>41186</v>
      </c>
      <c r="C4642" s="7">
        <v>346.19</v>
      </c>
      <c r="D4642" s="6">
        <f t="shared" si="75"/>
        <v>-0.88604374045399481</v>
      </c>
      <c r="E4642" s="6">
        <v>-8.7048649886894598E-3</v>
      </c>
    </row>
    <row r="4643" spans="2:5" x14ac:dyDescent="0.3">
      <c r="B4643" s="4">
        <v>44867</v>
      </c>
      <c r="C4643" s="5">
        <v>3037.92</v>
      </c>
      <c r="D4643" s="6">
        <f t="shared" si="75"/>
        <v>52.559943582510584</v>
      </c>
      <c r="E4643" s="6">
        <v>-8.7058669973242298E-3</v>
      </c>
    </row>
    <row r="4644" spans="2:5" x14ac:dyDescent="0.3">
      <c r="B4644" s="4">
        <v>39157</v>
      </c>
      <c r="C4644" s="7">
        <v>56.72</v>
      </c>
      <c r="D4644" s="6">
        <f t="shared" si="75"/>
        <v>-0.98106328708217039</v>
      </c>
      <c r="E4644" s="6">
        <v>-8.7382034253757433E-3</v>
      </c>
    </row>
    <row r="4645" spans="2:5" x14ac:dyDescent="0.3">
      <c r="B4645" s="4">
        <v>44925</v>
      </c>
      <c r="C4645" s="5">
        <v>2995.24</v>
      </c>
      <c r="D4645" s="6">
        <f t="shared" si="75"/>
        <v>1.155003957119217</v>
      </c>
      <c r="E4645" s="6">
        <v>-8.7468188121139264E-3</v>
      </c>
    </row>
    <row r="4646" spans="2:5" x14ac:dyDescent="0.3">
      <c r="B4646" s="4">
        <v>43551</v>
      </c>
      <c r="C4646" s="5">
        <v>1389.9</v>
      </c>
      <c r="D4646" s="6">
        <f t="shared" si="75"/>
        <v>0.24743091517756979</v>
      </c>
      <c r="E4646" s="6">
        <v>-8.7577914390448951E-3</v>
      </c>
    </row>
    <row r="4647" spans="2:5" x14ac:dyDescent="0.3">
      <c r="B4647" s="4">
        <v>43034</v>
      </c>
      <c r="C4647" s="5">
        <v>1114.21</v>
      </c>
      <c r="D4647" s="6">
        <f t="shared" si="75"/>
        <v>3.8345120840022564</v>
      </c>
      <c r="E4647" s="6">
        <v>-8.7716957129003528E-3</v>
      </c>
    </row>
    <row r="4648" spans="2:5" x14ac:dyDescent="0.3">
      <c r="B4648" s="4">
        <v>40470</v>
      </c>
      <c r="C4648" s="7">
        <v>230.47</v>
      </c>
      <c r="D4648" s="6">
        <f t="shared" si="75"/>
        <v>5.1837939361416678</v>
      </c>
      <c r="E4648" s="6">
        <v>-8.7738161799492155E-3</v>
      </c>
    </row>
    <row r="4649" spans="2:5" x14ac:dyDescent="0.3">
      <c r="B4649" s="4">
        <v>38583</v>
      </c>
      <c r="C4649" s="7">
        <v>37.270000000000003</v>
      </c>
      <c r="D4649" s="6">
        <f t="shared" si="75"/>
        <v>-0.2494965767217075</v>
      </c>
      <c r="E4649" s="6">
        <v>-8.7765957446808048E-3</v>
      </c>
    </row>
    <row r="4650" spans="2:5" x14ac:dyDescent="0.3">
      <c r="B4650" s="4">
        <v>38930</v>
      </c>
      <c r="C4650" s="7">
        <v>49.66</v>
      </c>
      <c r="D4650" s="6">
        <f t="shared" si="75"/>
        <v>-0.77169915410077239</v>
      </c>
      <c r="E4650" s="6">
        <v>-8.7824351297406157E-3</v>
      </c>
    </row>
    <row r="4651" spans="2:5" x14ac:dyDescent="0.3">
      <c r="B4651" s="4">
        <v>40582</v>
      </c>
      <c r="C4651" s="7">
        <v>217.52</v>
      </c>
      <c r="D4651" s="6">
        <f t="shared" si="75"/>
        <v>3.1134644478063542</v>
      </c>
      <c r="E4651" s="6">
        <v>-8.7947140578718552E-3</v>
      </c>
    </row>
    <row r="4652" spans="2:5" x14ac:dyDescent="0.3">
      <c r="B4652" s="4">
        <v>38947</v>
      </c>
      <c r="C4652" s="7">
        <v>52.88</v>
      </c>
      <c r="D4652" s="6">
        <f t="shared" si="75"/>
        <v>-0.9070976809557274</v>
      </c>
      <c r="E4652" s="6">
        <v>-8.8097469540768299E-3</v>
      </c>
    </row>
    <row r="4653" spans="2:5" x14ac:dyDescent="0.3">
      <c r="B4653" s="4">
        <v>41884</v>
      </c>
      <c r="C4653" s="7">
        <v>569.20000000000005</v>
      </c>
      <c r="D4653" s="6">
        <f t="shared" si="75"/>
        <v>21.036391792489354</v>
      </c>
      <c r="E4653" s="6">
        <v>-8.8113398112352349E-3</v>
      </c>
    </row>
    <row r="4654" spans="2:5" x14ac:dyDescent="0.3">
      <c r="B4654" s="4">
        <v>38005</v>
      </c>
      <c r="C4654" s="7">
        <v>25.83</v>
      </c>
      <c r="D4654" s="6">
        <f t="shared" si="75"/>
        <v>0.53384798099762465</v>
      </c>
      <c r="E4654" s="6">
        <v>-8.8257866462010913E-3</v>
      </c>
    </row>
    <row r="4655" spans="2:5" x14ac:dyDescent="0.3">
      <c r="B4655" s="4">
        <v>37706</v>
      </c>
      <c r="C4655" s="7">
        <v>16.84</v>
      </c>
      <c r="D4655" s="6">
        <f t="shared" si="75"/>
        <v>-0.99246936767730964</v>
      </c>
      <c r="E4655" s="6">
        <v>-8.8287227781046855E-3</v>
      </c>
    </row>
    <row r="4656" spans="2:5" x14ac:dyDescent="0.3">
      <c r="B4656" s="4">
        <v>45678</v>
      </c>
      <c r="C4656" s="5">
        <v>2236.1999999999998</v>
      </c>
      <c r="D4656" s="6">
        <f t="shared" si="75"/>
        <v>-0.30297145742615</v>
      </c>
      <c r="E4656" s="6">
        <v>-8.85567640879718E-3</v>
      </c>
    </row>
    <row r="4657" spans="2:5" x14ac:dyDescent="0.3">
      <c r="B4657" s="4">
        <v>45559</v>
      </c>
      <c r="C4657" s="5">
        <v>3208.19</v>
      </c>
      <c r="D4657" s="6">
        <f t="shared" si="75"/>
        <v>13.491124260355031</v>
      </c>
      <c r="E4657" s="6">
        <v>-8.8634734682781109E-3</v>
      </c>
    </row>
    <row r="4658" spans="2:5" x14ac:dyDescent="0.3">
      <c r="B4658" s="4">
        <v>40623</v>
      </c>
      <c r="C4658" s="7">
        <v>221.39</v>
      </c>
      <c r="D4658" s="6">
        <f t="shared" si="75"/>
        <v>10.003479125248507</v>
      </c>
      <c r="E4658" s="6">
        <v>-8.8642163226933697E-3</v>
      </c>
    </row>
    <row r="4659" spans="2:5" x14ac:dyDescent="0.3">
      <c r="B4659" s="4">
        <v>37823</v>
      </c>
      <c r="C4659" s="7">
        <v>20.12</v>
      </c>
      <c r="D4659" s="6">
        <f t="shared" si="75"/>
        <v>-0.99088545205802148</v>
      </c>
      <c r="E4659" s="6">
        <v>-8.8669950738916106E-3</v>
      </c>
    </row>
    <row r="4660" spans="2:5" x14ac:dyDescent="0.3">
      <c r="B4660" s="4">
        <v>45729</v>
      </c>
      <c r="C4660" s="5">
        <v>2207.46</v>
      </c>
      <c r="D4660" s="6">
        <f t="shared" si="75"/>
        <v>0.82097604434765392</v>
      </c>
      <c r="E4660" s="6">
        <v>-8.8809468220756391E-3</v>
      </c>
    </row>
    <row r="4661" spans="2:5" x14ac:dyDescent="0.3">
      <c r="B4661" s="4">
        <v>43252</v>
      </c>
      <c r="C4661" s="5">
        <v>1212.24</v>
      </c>
      <c r="D4661" s="6">
        <f t="shared" si="75"/>
        <v>0.6897921632584787</v>
      </c>
      <c r="E4661" s="6">
        <v>-8.8871810385001276E-3</v>
      </c>
    </row>
    <row r="4662" spans="2:5" x14ac:dyDescent="0.3">
      <c r="B4662" s="4">
        <v>41978</v>
      </c>
      <c r="C4662" s="7">
        <v>717.39</v>
      </c>
      <c r="D4662" s="6">
        <f t="shared" si="75"/>
        <v>-0.70045095828635862</v>
      </c>
      <c r="E4662" s="6">
        <v>-8.8971167263032121E-3</v>
      </c>
    </row>
    <row r="4663" spans="2:5" x14ac:dyDescent="0.3">
      <c r="B4663" s="4">
        <v>46079</v>
      </c>
      <c r="C4663" s="5">
        <v>2394.9</v>
      </c>
      <c r="D4663" s="6">
        <f t="shared" si="75"/>
        <v>35.440961655508225</v>
      </c>
      <c r="E4663" s="6">
        <v>-8.8975335209402415E-3</v>
      </c>
    </row>
    <row r="4664" spans="2:5" x14ac:dyDescent="0.3">
      <c r="B4664" s="4">
        <v>39847</v>
      </c>
      <c r="C4664" s="7">
        <v>65.72</v>
      </c>
      <c r="D4664" s="6">
        <f t="shared" si="75"/>
        <v>-0.92111391189533065</v>
      </c>
      <c r="E4664" s="6">
        <v>-8.8976021716182085E-3</v>
      </c>
    </row>
    <row r="4665" spans="2:5" x14ac:dyDescent="0.3">
      <c r="B4665" s="4">
        <v>42738</v>
      </c>
      <c r="C4665" s="7">
        <v>833.1</v>
      </c>
      <c r="D4665" s="6">
        <f t="shared" si="75"/>
        <v>2.1044119839022208</v>
      </c>
      <c r="E4665" s="6">
        <v>-8.898617621166359E-3</v>
      </c>
    </row>
    <row r="4666" spans="2:5" x14ac:dyDescent="0.3">
      <c r="B4666" s="4">
        <v>40953</v>
      </c>
      <c r="C4666" s="7">
        <v>268.36</v>
      </c>
      <c r="D4666" s="6">
        <f t="shared" si="75"/>
        <v>-0.84803216490174971</v>
      </c>
      <c r="E4666" s="6">
        <v>-8.9005428961848373E-3</v>
      </c>
    </row>
    <row r="4667" spans="2:5" x14ac:dyDescent="0.3">
      <c r="B4667" s="4">
        <v>43867</v>
      </c>
      <c r="C4667" s="5">
        <v>1765.9</v>
      </c>
      <c r="D4667" s="6">
        <f t="shared" si="75"/>
        <v>-0.45444378537356961</v>
      </c>
      <c r="E4667" s="6">
        <v>-8.9124358787279478E-3</v>
      </c>
    </row>
    <row r="4668" spans="2:5" x14ac:dyDescent="0.3">
      <c r="B4668" s="4">
        <v>45558</v>
      </c>
      <c r="C4668" s="5">
        <v>3236.88</v>
      </c>
      <c r="D4668" s="6">
        <f t="shared" si="75"/>
        <v>1.8963295692478395</v>
      </c>
      <c r="E4668" s="6">
        <v>-8.9191398679122555E-3</v>
      </c>
    </row>
    <row r="4669" spans="2:5" x14ac:dyDescent="0.3">
      <c r="B4669" s="4">
        <v>42657</v>
      </c>
      <c r="C4669" s="5">
        <v>1117.58</v>
      </c>
      <c r="D4669" s="6">
        <f t="shared" si="75"/>
        <v>3.0411498824805641</v>
      </c>
      <c r="E4669" s="6">
        <v>-8.9212869355469581E-3</v>
      </c>
    </row>
    <row r="4670" spans="2:5" x14ac:dyDescent="0.3">
      <c r="B4670" s="4">
        <v>40819</v>
      </c>
      <c r="C4670" s="7">
        <v>276.55</v>
      </c>
      <c r="D4670" s="6">
        <f t="shared" si="75"/>
        <v>16.80746941403735</v>
      </c>
      <c r="E4670" s="6">
        <v>-8.9234518348624177E-3</v>
      </c>
    </row>
    <row r="4671" spans="2:5" x14ac:dyDescent="0.3">
      <c r="B4671" s="4">
        <v>37684</v>
      </c>
      <c r="C4671" s="7">
        <v>15.53</v>
      </c>
      <c r="D4671" s="6">
        <f t="shared" si="75"/>
        <v>-0.77026627218934907</v>
      </c>
      <c r="E4671" s="6">
        <v>-8.9342693044033548E-3</v>
      </c>
    </row>
    <row r="4672" spans="2:5" x14ac:dyDescent="0.3">
      <c r="B4672" s="4">
        <v>39868</v>
      </c>
      <c r="C4672" s="7">
        <v>67.599999999999994</v>
      </c>
      <c r="D4672" s="6">
        <f t="shared" si="75"/>
        <v>-0.97567820392890559</v>
      </c>
      <c r="E4672" s="6">
        <v>-8.9429702389678851E-3</v>
      </c>
    </row>
    <row r="4673" spans="2:5" x14ac:dyDescent="0.3">
      <c r="B4673" s="4">
        <v>46002</v>
      </c>
      <c r="C4673" s="5">
        <v>2779.4</v>
      </c>
      <c r="D4673" s="6">
        <f t="shared" si="75"/>
        <v>-8.5822920538230998E-2</v>
      </c>
      <c r="E4673" s="6">
        <v>-8.9499019433053693E-3</v>
      </c>
    </row>
    <row r="4674" spans="2:5" x14ac:dyDescent="0.3">
      <c r="B4674" s="4">
        <v>44524</v>
      </c>
      <c r="C4674" s="5">
        <v>3040.33</v>
      </c>
      <c r="D4674" s="6">
        <f t="shared" si="75"/>
        <v>-1.0231919160351164E-2</v>
      </c>
      <c r="E4674" s="6">
        <v>-8.9639908339119185E-3</v>
      </c>
    </row>
    <row r="4675" spans="2:5" x14ac:dyDescent="0.3">
      <c r="B4675" s="4">
        <v>45250</v>
      </c>
      <c r="C4675" s="5">
        <v>3071.76</v>
      </c>
      <c r="D4675" s="6">
        <f t="shared" si="75"/>
        <v>8.3446093940131405</v>
      </c>
      <c r="E4675" s="6">
        <v>-9.0073814071128695E-3</v>
      </c>
    </row>
    <row r="4676" spans="2:5" x14ac:dyDescent="0.3">
      <c r="B4676" s="4">
        <v>41138</v>
      </c>
      <c r="C4676" s="7">
        <v>328.72</v>
      </c>
      <c r="D4676" s="6">
        <f t="shared" si="75"/>
        <v>18.958712811171829</v>
      </c>
      <c r="E4676" s="6">
        <v>-9.013897681709784E-3</v>
      </c>
    </row>
    <row r="4677" spans="2:5" x14ac:dyDescent="0.3">
      <c r="B4677" s="4">
        <v>37648</v>
      </c>
      <c r="C4677" s="7">
        <v>16.47</v>
      </c>
      <c r="D4677" s="6">
        <f t="shared" si="75"/>
        <v>-0.98030516824910907</v>
      </c>
      <c r="E4677" s="6">
        <v>-9.0252707581228719E-3</v>
      </c>
    </row>
    <row r="4678" spans="2:5" x14ac:dyDescent="0.3">
      <c r="B4678" s="4">
        <v>42695</v>
      </c>
      <c r="C4678" s="7">
        <v>836.26</v>
      </c>
      <c r="D4678" s="6">
        <f t="shared" si="75"/>
        <v>2.7172067386762677</v>
      </c>
      <c r="E4678" s="6">
        <v>-9.0297198653837094E-3</v>
      </c>
    </row>
    <row r="4679" spans="2:5" x14ac:dyDescent="0.3">
      <c r="B4679" s="4">
        <v>40590</v>
      </c>
      <c r="C4679" s="7">
        <v>224.97</v>
      </c>
      <c r="D4679" s="6">
        <f t="shared" si="75"/>
        <v>-0.9262816416810028</v>
      </c>
      <c r="E4679" s="6">
        <v>-9.0300414060435694E-3</v>
      </c>
    </row>
    <row r="4680" spans="2:5" x14ac:dyDescent="0.3">
      <c r="B4680" s="4">
        <v>45260</v>
      </c>
      <c r="C4680" s="5">
        <v>3051.75</v>
      </c>
      <c r="D4680" s="6">
        <f t="shared" ref="D4680:D4743" si="76">((C4680-C4681)/C4681)</f>
        <v>185.19585112873705</v>
      </c>
      <c r="E4680" s="6">
        <v>-9.0369465966138006E-3</v>
      </c>
    </row>
    <row r="4681" spans="2:5" x14ac:dyDescent="0.3">
      <c r="B4681" s="4">
        <v>37650</v>
      </c>
      <c r="C4681" s="7">
        <v>16.39</v>
      </c>
      <c r="D4681" s="6">
        <f t="shared" si="76"/>
        <v>-0.28490401396160564</v>
      </c>
      <c r="E4681" s="6">
        <v>-9.0689238210398173E-3</v>
      </c>
    </row>
    <row r="4682" spans="2:5" x14ac:dyDescent="0.3">
      <c r="B4682" s="4">
        <v>37910</v>
      </c>
      <c r="C4682" s="7">
        <v>22.92</v>
      </c>
      <c r="D4682" s="6">
        <f t="shared" si="76"/>
        <v>-0.41590214067278286</v>
      </c>
      <c r="E4682" s="6">
        <v>-9.0791180285342554E-3</v>
      </c>
    </row>
    <row r="4683" spans="2:5" x14ac:dyDescent="0.3">
      <c r="B4683" s="4">
        <v>38652</v>
      </c>
      <c r="C4683" s="7">
        <v>39.24</v>
      </c>
      <c r="D4683" s="6">
        <f t="shared" si="76"/>
        <v>-0.61698389458272329</v>
      </c>
      <c r="E4683" s="6">
        <v>-9.0909090909090766E-3</v>
      </c>
    </row>
    <row r="4684" spans="2:5" x14ac:dyDescent="0.3">
      <c r="B4684" s="4">
        <v>39583</v>
      </c>
      <c r="C4684" s="7">
        <v>102.45</v>
      </c>
      <c r="D4684" s="6">
        <f t="shared" si="76"/>
        <v>-0.95839762852269961</v>
      </c>
      <c r="E4684" s="6">
        <v>-9.0917883741173967E-3</v>
      </c>
    </row>
    <row r="4685" spans="2:5" x14ac:dyDescent="0.3">
      <c r="B4685" s="4">
        <v>46140</v>
      </c>
      <c r="C4685" s="5">
        <v>2462.6</v>
      </c>
      <c r="D4685" s="6">
        <f t="shared" si="76"/>
        <v>1.9732927653820147</v>
      </c>
      <c r="E4685" s="6">
        <v>-9.0938355061966486E-3</v>
      </c>
    </row>
    <row r="4686" spans="2:5" x14ac:dyDescent="0.3">
      <c r="B4686" s="4">
        <v>42500</v>
      </c>
      <c r="C4686" s="7">
        <v>828.24</v>
      </c>
      <c r="D4686" s="6">
        <f t="shared" si="76"/>
        <v>0.18070365512915548</v>
      </c>
      <c r="E4686" s="6">
        <v>-9.1045043967219151E-3</v>
      </c>
    </row>
    <row r="4687" spans="2:5" x14ac:dyDescent="0.3">
      <c r="B4687" s="4">
        <v>41988</v>
      </c>
      <c r="C4687" s="7">
        <v>701.48</v>
      </c>
      <c r="D4687" s="6">
        <f t="shared" si="76"/>
        <v>-0.57128276587032389</v>
      </c>
      <c r="E4687" s="6">
        <v>-9.1110703035609912E-3</v>
      </c>
    </row>
    <row r="4688" spans="2:5" x14ac:dyDescent="0.3">
      <c r="B4688" s="4">
        <v>44036</v>
      </c>
      <c r="C4688" s="5">
        <v>1636.23</v>
      </c>
      <c r="D4688" s="6">
        <f t="shared" si="76"/>
        <v>20.503876987777634</v>
      </c>
      <c r="E4688" s="6">
        <v>-9.1141417566978078E-3</v>
      </c>
    </row>
    <row r="4689" spans="2:5" x14ac:dyDescent="0.3">
      <c r="B4689" s="4">
        <v>39927</v>
      </c>
      <c r="C4689" s="7">
        <v>76.09</v>
      </c>
      <c r="D4689" s="6">
        <f t="shared" si="76"/>
        <v>-0.97474635167920665</v>
      </c>
      <c r="E4689" s="6">
        <v>-9.1157702825889145E-3</v>
      </c>
    </row>
    <row r="4690" spans="2:5" x14ac:dyDescent="0.3">
      <c r="B4690" s="4">
        <v>44663</v>
      </c>
      <c r="C4690" s="5">
        <v>3013.03</v>
      </c>
      <c r="D4690" s="6">
        <f t="shared" si="76"/>
        <v>2.915263267321587</v>
      </c>
      <c r="E4690" s="6">
        <v>-9.1226893188237797E-3</v>
      </c>
    </row>
    <row r="4691" spans="2:5" x14ac:dyDescent="0.3">
      <c r="B4691" s="4">
        <v>42342</v>
      </c>
      <c r="C4691" s="7">
        <v>769.56</v>
      </c>
      <c r="D4691" s="6">
        <f t="shared" si="76"/>
        <v>-0.41462746738675699</v>
      </c>
      <c r="E4691" s="6">
        <v>-9.1417093708959177E-3</v>
      </c>
    </row>
    <row r="4692" spans="2:5" x14ac:dyDescent="0.3">
      <c r="B4692" s="4">
        <v>43525</v>
      </c>
      <c r="C4692" s="5">
        <v>1314.65</v>
      </c>
      <c r="D4692" s="6">
        <f t="shared" si="76"/>
        <v>-0.1442919164502417</v>
      </c>
      <c r="E4692" s="6">
        <v>-9.1424350683609046E-3</v>
      </c>
    </row>
    <row r="4693" spans="2:5" x14ac:dyDescent="0.3">
      <c r="B4693" s="4">
        <v>43929</v>
      </c>
      <c r="C4693" s="5">
        <v>1536.33</v>
      </c>
      <c r="D4693" s="6">
        <f t="shared" si="76"/>
        <v>16.51002963300661</v>
      </c>
      <c r="E4693" s="6">
        <v>-9.1453779724091199E-3</v>
      </c>
    </row>
    <row r="4694" spans="2:5" x14ac:dyDescent="0.3">
      <c r="B4694" s="4">
        <v>39392</v>
      </c>
      <c r="C4694" s="7">
        <v>87.74</v>
      </c>
      <c r="D4694" s="6">
        <f t="shared" si="76"/>
        <v>-0.14732750242954334</v>
      </c>
      <c r="E4694" s="6">
        <v>-9.1473743647656949E-3</v>
      </c>
    </row>
    <row r="4695" spans="2:5" x14ac:dyDescent="0.3">
      <c r="B4695" s="4">
        <v>39577</v>
      </c>
      <c r="C4695" s="7">
        <v>102.9</v>
      </c>
      <c r="D4695" s="6">
        <f t="shared" si="76"/>
        <v>-0.62998921251348439</v>
      </c>
      <c r="E4695" s="6">
        <v>-9.1478093403946914E-3</v>
      </c>
    </row>
    <row r="4696" spans="2:5" x14ac:dyDescent="0.3">
      <c r="B4696" s="4">
        <v>40799</v>
      </c>
      <c r="C4696" s="7">
        <v>278.10000000000002</v>
      </c>
      <c r="D4696" s="6">
        <f t="shared" si="76"/>
        <v>-0.40367956085427564</v>
      </c>
      <c r="E4696" s="6">
        <v>-9.1566608472583213E-3</v>
      </c>
    </row>
    <row r="4697" spans="2:5" x14ac:dyDescent="0.3">
      <c r="B4697" s="4">
        <v>41474</v>
      </c>
      <c r="C4697" s="7">
        <v>466.36</v>
      </c>
      <c r="D4697" s="6">
        <f t="shared" si="76"/>
        <v>-0.85495418721969607</v>
      </c>
      <c r="E4697" s="6">
        <v>-9.1571589436335483E-3</v>
      </c>
    </row>
    <row r="4698" spans="2:5" x14ac:dyDescent="0.3">
      <c r="B4698" s="4">
        <v>45195</v>
      </c>
      <c r="C4698" s="5">
        <v>3215.26</v>
      </c>
      <c r="D4698" s="6">
        <f t="shared" si="76"/>
        <v>4.8322480001451149</v>
      </c>
      <c r="E4698" s="6">
        <v>-9.1648690292757424E-3</v>
      </c>
    </row>
    <row r="4699" spans="2:5" x14ac:dyDescent="0.3">
      <c r="B4699" s="4">
        <v>41876</v>
      </c>
      <c r="C4699" s="7">
        <v>551.29</v>
      </c>
      <c r="D4699" s="6">
        <f t="shared" si="76"/>
        <v>-0.7706532320467272</v>
      </c>
      <c r="E4699" s="6">
        <v>-9.1662323190568173E-3</v>
      </c>
    </row>
    <row r="4700" spans="2:5" x14ac:dyDescent="0.3">
      <c r="B4700" s="4">
        <v>45632</v>
      </c>
      <c r="C4700" s="5">
        <v>2403.7399999999998</v>
      </c>
      <c r="D4700" s="6">
        <f t="shared" si="76"/>
        <v>1.2132459233751047</v>
      </c>
      <c r="E4700" s="6">
        <v>-9.175597691673627E-3</v>
      </c>
    </row>
    <row r="4701" spans="2:5" x14ac:dyDescent="0.3">
      <c r="B4701" s="4">
        <v>42622</v>
      </c>
      <c r="C4701" s="5">
        <v>1086.07</v>
      </c>
      <c r="D4701" s="6">
        <f t="shared" si="76"/>
        <v>-0.61971007388213872</v>
      </c>
      <c r="E4701" s="6">
        <v>-9.1777435158240106E-3</v>
      </c>
    </row>
    <row r="4702" spans="2:5" x14ac:dyDescent="0.3">
      <c r="B4702" s="4">
        <v>45462</v>
      </c>
      <c r="C4702" s="5">
        <v>2855.9</v>
      </c>
      <c r="D4702" s="6">
        <f t="shared" si="76"/>
        <v>11.205744080690659</v>
      </c>
      <c r="E4702" s="6">
        <v>-9.1834150369313455E-3</v>
      </c>
    </row>
    <row r="4703" spans="2:5" x14ac:dyDescent="0.3">
      <c r="B4703" s="4">
        <v>40459</v>
      </c>
      <c r="C4703" s="7">
        <v>233.98</v>
      </c>
      <c r="D4703" s="6">
        <f t="shared" si="76"/>
        <v>-0.42131427299483099</v>
      </c>
      <c r="E4703" s="6">
        <v>-9.189074740631022E-3</v>
      </c>
    </row>
    <row r="4704" spans="2:5" x14ac:dyDescent="0.3">
      <c r="B4704" s="4">
        <v>41326</v>
      </c>
      <c r="C4704" s="7">
        <v>404.33</v>
      </c>
      <c r="D4704" s="6">
        <f t="shared" si="76"/>
        <v>24.004947433518858</v>
      </c>
      <c r="E4704" s="6">
        <v>-9.1893746324250153E-3</v>
      </c>
    </row>
    <row r="4705" spans="2:5" x14ac:dyDescent="0.3">
      <c r="B4705" s="4">
        <v>37662</v>
      </c>
      <c r="C4705" s="7">
        <v>16.170000000000002</v>
      </c>
      <c r="D4705" s="6">
        <f t="shared" si="76"/>
        <v>-0.98702840594591557</v>
      </c>
      <c r="E4705" s="6">
        <v>-9.1911764705881489E-3</v>
      </c>
    </row>
    <row r="4706" spans="2:5" x14ac:dyDescent="0.3">
      <c r="B4706" s="4">
        <v>43599</v>
      </c>
      <c r="C4706" s="5">
        <v>1246.57</v>
      </c>
      <c r="D4706" s="6">
        <f t="shared" si="76"/>
        <v>11.35083721391063</v>
      </c>
      <c r="E4706" s="6">
        <v>-9.1961148997728101E-3</v>
      </c>
    </row>
    <row r="4707" spans="2:5" x14ac:dyDescent="0.3">
      <c r="B4707" s="4">
        <v>39717</v>
      </c>
      <c r="C4707" s="7">
        <v>100.93</v>
      </c>
      <c r="D4707" s="6">
        <f t="shared" si="76"/>
        <v>-0.89734435866922968</v>
      </c>
      <c r="E4707" s="6">
        <v>-9.2274467458525345E-3</v>
      </c>
    </row>
    <row r="4708" spans="2:5" x14ac:dyDescent="0.3">
      <c r="B4708" s="4">
        <v>42577</v>
      </c>
      <c r="C4708" s="7">
        <v>983.19</v>
      </c>
      <c r="D4708" s="6">
        <f t="shared" si="76"/>
        <v>-0.17994378320669263</v>
      </c>
      <c r="E4708" s="6">
        <v>-9.2405981700189026E-3</v>
      </c>
    </row>
    <row r="4709" spans="2:5" x14ac:dyDescent="0.3">
      <c r="B4709" s="4">
        <v>43259</v>
      </c>
      <c r="C4709" s="5">
        <v>1198.93</v>
      </c>
      <c r="D4709" s="6">
        <f t="shared" si="76"/>
        <v>-0.50434293699123967</v>
      </c>
      <c r="E4709" s="6">
        <v>-9.2552039863486105E-3</v>
      </c>
    </row>
    <row r="4710" spans="2:5" x14ac:dyDescent="0.3">
      <c r="B4710" s="4">
        <v>45768</v>
      </c>
      <c r="C4710" s="5">
        <v>2418.87</v>
      </c>
      <c r="D4710" s="6">
        <f t="shared" si="76"/>
        <v>150.08494690818236</v>
      </c>
      <c r="E4710" s="6">
        <v>-9.2810655613489515E-3</v>
      </c>
    </row>
    <row r="4711" spans="2:5" x14ac:dyDescent="0.3">
      <c r="B4711" s="4">
        <v>37676</v>
      </c>
      <c r="C4711" s="7">
        <v>16.010000000000002</v>
      </c>
      <c r="D4711" s="6">
        <f t="shared" si="76"/>
        <v>-0.93325551340309343</v>
      </c>
      <c r="E4711" s="6">
        <v>-9.282178217821695E-3</v>
      </c>
    </row>
    <row r="4712" spans="2:5" x14ac:dyDescent="0.3">
      <c r="B4712" s="4">
        <v>40444</v>
      </c>
      <c r="C4712" s="7">
        <v>239.87</v>
      </c>
      <c r="D4712" s="6">
        <f t="shared" si="76"/>
        <v>-0.85338736492103084</v>
      </c>
      <c r="E4712" s="6">
        <v>-9.2929126053196767E-3</v>
      </c>
    </row>
    <row r="4713" spans="2:5" x14ac:dyDescent="0.3">
      <c r="B4713" s="4">
        <v>43803</v>
      </c>
      <c r="C4713" s="5">
        <v>1636.08</v>
      </c>
      <c r="D4713" s="6">
        <f t="shared" si="76"/>
        <v>68.85824081981211</v>
      </c>
      <c r="E4713" s="6">
        <v>-9.3009736956838444E-3</v>
      </c>
    </row>
    <row r="4714" spans="2:5" x14ac:dyDescent="0.3">
      <c r="B4714" s="4">
        <v>38110</v>
      </c>
      <c r="C4714" s="7">
        <v>23.42</v>
      </c>
      <c r="D4714" s="6">
        <f t="shared" si="76"/>
        <v>-0.99157353904164292</v>
      </c>
      <c r="E4714" s="6">
        <v>-9.3062605752960593E-3</v>
      </c>
    </row>
    <row r="4715" spans="2:5" x14ac:dyDescent="0.3">
      <c r="B4715" s="4">
        <v>44349</v>
      </c>
      <c r="C4715" s="5">
        <v>2779.34</v>
      </c>
      <c r="D4715" s="6">
        <f t="shared" si="76"/>
        <v>1.0195609681661957</v>
      </c>
      <c r="E4715" s="6">
        <v>-9.3139473956234276E-3</v>
      </c>
    </row>
    <row r="4716" spans="2:5" x14ac:dyDescent="0.3">
      <c r="B4716" s="4">
        <v>43549</v>
      </c>
      <c r="C4716" s="5">
        <v>1376.21</v>
      </c>
      <c r="D4716" s="6">
        <f t="shared" si="76"/>
        <v>20.567309199185082</v>
      </c>
      <c r="E4716" s="6">
        <v>-9.3150487708311223E-3</v>
      </c>
    </row>
    <row r="4717" spans="2:5" x14ac:dyDescent="0.3">
      <c r="B4717" s="4">
        <v>39119</v>
      </c>
      <c r="C4717" s="7">
        <v>63.81</v>
      </c>
      <c r="D4717" s="6">
        <f t="shared" si="76"/>
        <v>-0.86043917588906871</v>
      </c>
      <c r="E4717" s="6">
        <v>-9.3153237074987474E-3</v>
      </c>
    </row>
    <row r="4718" spans="2:5" x14ac:dyDescent="0.3">
      <c r="B4718" s="4">
        <v>41796</v>
      </c>
      <c r="C4718" s="7">
        <v>457.22</v>
      </c>
      <c r="D4718" s="6">
        <f t="shared" si="76"/>
        <v>3.5763186868181371</v>
      </c>
      <c r="E4718" s="6">
        <v>-9.3170393482404981E-3</v>
      </c>
    </row>
    <row r="4719" spans="2:5" x14ac:dyDescent="0.3">
      <c r="B4719" s="4">
        <v>39540</v>
      </c>
      <c r="C4719" s="7">
        <v>99.91</v>
      </c>
      <c r="D4719" s="6">
        <f t="shared" si="76"/>
        <v>3.0879705400981994</v>
      </c>
      <c r="E4719" s="6">
        <v>-9.3207734258799971E-3</v>
      </c>
    </row>
    <row r="4720" spans="2:5" x14ac:dyDescent="0.3">
      <c r="B4720" s="4">
        <v>38245</v>
      </c>
      <c r="C4720" s="7">
        <v>24.44</v>
      </c>
      <c r="D4720" s="6">
        <f t="shared" si="76"/>
        <v>-0.99114396492372359</v>
      </c>
      <c r="E4720" s="6">
        <v>-9.3230644507499155E-3</v>
      </c>
    </row>
    <row r="4721" spans="2:5" x14ac:dyDescent="0.3">
      <c r="B4721" s="4">
        <v>46009</v>
      </c>
      <c r="C4721" s="5">
        <v>2759.7</v>
      </c>
      <c r="D4721" s="6">
        <f t="shared" si="76"/>
        <v>5.6785247567881498</v>
      </c>
      <c r="E4721" s="6">
        <v>-9.3333811968266504E-3</v>
      </c>
    </row>
    <row r="4722" spans="2:5" x14ac:dyDescent="0.3">
      <c r="B4722" s="4">
        <v>41432</v>
      </c>
      <c r="C4722" s="7">
        <v>413.22</v>
      </c>
      <c r="D4722" s="6">
        <f t="shared" si="76"/>
        <v>-0.87071239280004242</v>
      </c>
      <c r="E4722" s="6">
        <v>-9.349827387802016E-3</v>
      </c>
    </row>
    <row r="4723" spans="2:5" x14ac:dyDescent="0.3">
      <c r="B4723" s="4">
        <v>45300</v>
      </c>
      <c r="C4723" s="5">
        <v>3196.13</v>
      </c>
      <c r="D4723" s="6">
        <f t="shared" si="76"/>
        <v>2.5800551099959677</v>
      </c>
      <c r="E4723" s="6">
        <v>-9.3666217242394031E-3</v>
      </c>
    </row>
    <row r="4724" spans="2:5" x14ac:dyDescent="0.3">
      <c r="B4724" s="4">
        <v>42783</v>
      </c>
      <c r="C4724" s="7">
        <v>892.76</v>
      </c>
      <c r="D4724" s="6">
        <f t="shared" si="76"/>
        <v>-0.3160027888232545</v>
      </c>
      <c r="E4724" s="6">
        <v>-9.3762829973036751E-3</v>
      </c>
    </row>
    <row r="4725" spans="2:5" x14ac:dyDescent="0.3">
      <c r="B4725" s="4">
        <v>43532</v>
      </c>
      <c r="C4725" s="5">
        <v>1305.21</v>
      </c>
      <c r="D4725" s="6">
        <f t="shared" si="76"/>
        <v>52.912019826517962</v>
      </c>
      <c r="E4725" s="6">
        <v>-9.3884242323045968E-3</v>
      </c>
    </row>
    <row r="4726" spans="2:5" x14ac:dyDescent="0.3">
      <c r="B4726" s="4">
        <v>38169</v>
      </c>
      <c r="C4726" s="7">
        <v>24.21</v>
      </c>
      <c r="D4726" s="6">
        <f t="shared" si="76"/>
        <v>-0.98641246394055382</v>
      </c>
      <c r="E4726" s="6">
        <v>-9.41080196399347E-3</v>
      </c>
    </row>
    <row r="4727" spans="2:5" x14ac:dyDescent="0.3">
      <c r="B4727" s="4">
        <v>43866</v>
      </c>
      <c r="C4727" s="5">
        <v>1781.78</v>
      </c>
      <c r="D4727" s="6">
        <f t="shared" si="76"/>
        <v>57.38073394495413</v>
      </c>
      <c r="E4727" s="6">
        <v>-9.4123010379661334E-3</v>
      </c>
    </row>
    <row r="4728" spans="2:5" x14ac:dyDescent="0.3">
      <c r="B4728" s="4">
        <v>38468</v>
      </c>
      <c r="C4728" s="7">
        <v>30.52</v>
      </c>
      <c r="D4728" s="6">
        <f t="shared" si="76"/>
        <v>-0.55334406556417393</v>
      </c>
      <c r="E4728" s="6">
        <v>-9.4125283998701455E-3</v>
      </c>
    </row>
    <row r="4729" spans="2:5" x14ac:dyDescent="0.3">
      <c r="B4729" s="4">
        <v>39861</v>
      </c>
      <c r="C4729" s="7">
        <v>68.33</v>
      </c>
      <c r="D4729" s="6">
        <f t="shared" si="76"/>
        <v>4.848856835967464E-2</v>
      </c>
      <c r="E4729" s="6">
        <v>-9.4230211655553144E-3</v>
      </c>
    </row>
    <row r="4730" spans="2:5" x14ac:dyDescent="0.3">
      <c r="B4730" s="4">
        <v>39115</v>
      </c>
      <c r="C4730" s="7">
        <v>65.17</v>
      </c>
      <c r="D4730" s="6">
        <f t="shared" si="76"/>
        <v>-0.97174494578341974</v>
      </c>
      <c r="E4730" s="6">
        <v>-9.4239246086031993E-3</v>
      </c>
    </row>
    <row r="4731" spans="2:5" x14ac:dyDescent="0.3">
      <c r="B4731" s="4">
        <v>45796</v>
      </c>
      <c r="C4731" s="5">
        <v>2306.4899999999998</v>
      </c>
      <c r="D4731" s="6">
        <f t="shared" si="76"/>
        <v>0.3013224856411007</v>
      </c>
      <c r="E4731" s="6">
        <v>-9.4311666559299262E-3</v>
      </c>
    </row>
    <row r="4732" spans="2:5" x14ac:dyDescent="0.3">
      <c r="B4732" s="4">
        <v>43879</v>
      </c>
      <c r="C4732" s="5">
        <v>1772.42</v>
      </c>
      <c r="D4732" s="6">
        <f t="shared" si="76"/>
        <v>0.71453722334004033</v>
      </c>
      <c r="E4732" s="6">
        <v>-9.4338568155143809E-3</v>
      </c>
    </row>
    <row r="4733" spans="2:5" x14ac:dyDescent="0.3">
      <c r="B4733" s="4">
        <v>42877</v>
      </c>
      <c r="C4733" s="5">
        <v>1033.76</v>
      </c>
      <c r="D4733" s="6">
        <f t="shared" si="76"/>
        <v>60.606674612634087</v>
      </c>
      <c r="E4733" s="6">
        <v>-9.43839173637653E-3</v>
      </c>
    </row>
    <row r="4734" spans="2:5" x14ac:dyDescent="0.3">
      <c r="B4734" s="4">
        <v>37519</v>
      </c>
      <c r="C4734" s="7">
        <v>16.78</v>
      </c>
      <c r="D4734" s="6">
        <f t="shared" si="76"/>
        <v>-0.76113879003558715</v>
      </c>
      <c r="E4734" s="6">
        <v>-9.4451003541912715E-3</v>
      </c>
    </row>
    <row r="4735" spans="2:5" x14ac:dyDescent="0.3">
      <c r="B4735" s="4">
        <v>39239</v>
      </c>
      <c r="C4735" s="7">
        <v>70.25</v>
      </c>
      <c r="D4735" s="6">
        <f t="shared" si="76"/>
        <v>-0.97448395849148439</v>
      </c>
      <c r="E4735" s="6">
        <v>-9.4472645234066795E-3</v>
      </c>
    </row>
    <row r="4736" spans="2:5" x14ac:dyDescent="0.3">
      <c r="B4736" s="4">
        <v>45377</v>
      </c>
      <c r="C4736" s="5">
        <v>2753.17</v>
      </c>
      <c r="D4736" s="6">
        <f t="shared" si="76"/>
        <v>0.2179096422583684</v>
      </c>
      <c r="E4736" s="6">
        <v>-9.447980341292914E-3</v>
      </c>
    </row>
    <row r="4737" spans="2:5" x14ac:dyDescent="0.3">
      <c r="B4737" s="4">
        <v>45831</v>
      </c>
      <c r="C4737" s="5">
        <v>2260.5700000000002</v>
      </c>
      <c r="D4737" s="6">
        <f t="shared" si="76"/>
        <v>9.9856135679246751E-3</v>
      </c>
      <c r="E4737" s="6">
        <v>-9.4516550255460702E-3</v>
      </c>
    </row>
    <row r="4738" spans="2:5" x14ac:dyDescent="0.3">
      <c r="B4738" s="4">
        <v>45652</v>
      </c>
      <c r="C4738" s="5">
        <v>2238.2199999999998</v>
      </c>
      <c r="D4738" s="6">
        <f t="shared" si="76"/>
        <v>1.1308669243511869</v>
      </c>
      <c r="E4738" s="6">
        <v>-9.457467947725182E-3</v>
      </c>
    </row>
    <row r="4739" spans="2:5" x14ac:dyDescent="0.3">
      <c r="B4739" s="4">
        <v>43187</v>
      </c>
      <c r="C4739" s="5">
        <v>1050.3800000000001</v>
      </c>
      <c r="D4739" s="6">
        <f t="shared" si="76"/>
        <v>1.4158884953309725</v>
      </c>
      <c r="E4739" s="6">
        <v>-9.4586056336699691E-3</v>
      </c>
    </row>
    <row r="4740" spans="2:5" x14ac:dyDescent="0.3">
      <c r="B4740" s="4">
        <v>41402</v>
      </c>
      <c r="C4740" s="7">
        <v>434.78</v>
      </c>
      <c r="D4740" s="6">
        <f t="shared" si="76"/>
        <v>-0.66399789795823738</v>
      </c>
      <c r="E4740" s="6">
        <v>-9.477377318084533E-3</v>
      </c>
    </row>
    <row r="4741" spans="2:5" x14ac:dyDescent="0.3">
      <c r="B4741" s="4">
        <v>43641</v>
      </c>
      <c r="C4741" s="5">
        <v>1293.98</v>
      </c>
      <c r="D4741" s="6">
        <f t="shared" si="76"/>
        <v>3.8432833027660287</v>
      </c>
      <c r="E4741" s="6">
        <v>-9.4842961794896347E-3</v>
      </c>
    </row>
    <row r="4742" spans="2:5" x14ac:dyDescent="0.3">
      <c r="B4742" s="4">
        <v>40758</v>
      </c>
      <c r="C4742" s="7">
        <v>267.17</v>
      </c>
      <c r="D4742" s="6">
        <f t="shared" si="76"/>
        <v>-0.88308681953439516</v>
      </c>
      <c r="E4742" s="6">
        <v>-9.4909724539354243E-3</v>
      </c>
    </row>
    <row r="4743" spans="2:5" x14ac:dyDescent="0.3">
      <c r="B4743" s="4">
        <v>46085</v>
      </c>
      <c r="C4743" s="5">
        <v>2285.1999999999998</v>
      </c>
      <c r="D4743" s="6">
        <f t="shared" si="76"/>
        <v>86.689946277820411</v>
      </c>
      <c r="E4743" s="6">
        <v>-9.4924363920073224E-3</v>
      </c>
    </row>
    <row r="4744" spans="2:5" x14ac:dyDescent="0.3">
      <c r="B4744" s="4">
        <v>38002</v>
      </c>
      <c r="C4744" s="7">
        <v>26.06</v>
      </c>
      <c r="D4744" s="6">
        <f t="shared" ref="D4744:D4807" si="77">((C4744-C4745)/C4745)</f>
        <v>-0.98979096151435375</v>
      </c>
      <c r="E4744" s="6">
        <v>-9.5020904599011791E-3</v>
      </c>
    </row>
    <row r="4745" spans="2:5" x14ac:dyDescent="0.3">
      <c r="B4745" s="4">
        <v>44726</v>
      </c>
      <c r="C4745" s="5">
        <v>2552.64</v>
      </c>
      <c r="D4745" s="6">
        <f t="shared" si="77"/>
        <v>1.8043592898576197</v>
      </c>
      <c r="E4745" s="6">
        <v>-9.5258789611942386E-3</v>
      </c>
    </row>
    <row r="4746" spans="2:5" x14ac:dyDescent="0.3">
      <c r="B4746" s="4">
        <v>42542</v>
      </c>
      <c r="C4746" s="7">
        <v>910.24</v>
      </c>
      <c r="D4746" s="6">
        <f t="shared" si="77"/>
        <v>-0.71075393874684611</v>
      </c>
      <c r="E4746" s="6">
        <v>-9.5321001088139179E-3</v>
      </c>
    </row>
    <row r="4747" spans="2:5" x14ac:dyDescent="0.3">
      <c r="B4747" s="4">
        <v>44459</v>
      </c>
      <c r="C4747" s="5">
        <v>3146.94</v>
      </c>
      <c r="D4747" s="6">
        <f t="shared" si="77"/>
        <v>7.0608094262295085</v>
      </c>
      <c r="E4747" s="6">
        <v>-9.5365789175509974E-3</v>
      </c>
    </row>
    <row r="4748" spans="2:5" x14ac:dyDescent="0.3">
      <c r="B4748" s="4">
        <v>41332</v>
      </c>
      <c r="C4748" s="7">
        <v>390.4</v>
      </c>
      <c r="D4748" s="6">
        <f t="shared" si="77"/>
        <v>5.837127845884412</v>
      </c>
      <c r="E4748" s="6">
        <v>-9.5392733915162561E-3</v>
      </c>
    </row>
    <row r="4749" spans="2:5" x14ac:dyDescent="0.3">
      <c r="B4749" s="4">
        <v>39155</v>
      </c>
      <c r="C4749" s="7">
        <v>57.1</v>
      </c>
      <c r="D4749" s="6">
        <f t="shared" si="77"/>
        <v>-0.98189502921844241</v>
      </c>
      <c r="E4749" s="6">
        <v>-9.5403295750216329E-3</v>
      </c>
    </row>
    <row r="4750" spans="2:5" x14ac:dyDescent="0.3">
      <c r="B4750" s="4">
        <v>44582</v>
      </c>
      <c r="C4750" s="5">
        <v>3153.83</v>
      </c>
      <c r="D4750" s="6">
        <f t="shared" si="77"/>
        <v>12.881294014084508</v>
      </c>
      <c r="E4750" s="6">
        <v>-9.5408280232773934E-3</v>
      </c>
    </row>
    <row r="4751" spans="2:5" x14ac:dyDescent="0.3">
      <c r="B4751" s="4">
        <v>40393</v>
      </c>
      <c r="C4751" s="7">
        <v>227.2</v>
      </c>
      <c r="D4751" s="6">
        <f t="shared" si="77"/>
        <v>-0.89677325554980047</v>
      </c>
      <c r="E4751" s="6">
        <v>-9.5470595928331577E-3</v>
      </c>
    </row>
    <row r="4752" spans="2:5" x14ac:dyDescent="0.3">
      <c r="B4752" s="4">
        <v>45713</v>
      </c>
      <c r="C4752" s="5">
        <v>2200.98</v>
      </c>
      <c r="D4752" s="6">
        <f t="shared" si="77"/>
        <v>7.9206014671908571</v>
      </c>
      <c r="E4752" s="6">
        <v>-9.5490954909548207E-3</v>
      </c>
    </row>
    <row r="4753" spans="2:5" x14ac:dyDescent="0.3">
      <c r="B4753" s="4">
        <v>40540</v>
      </c>
      <c r="C4753" s="7">
        <v>246.73</v>
      </c>
      <c r="D4753" s="6">
        <f t="shared" si="77"/>
        <v>-0.76168950962495041</v>
      </c>
      <c r="E4753" s="6">
        <v>-9.5540122837301737E-3</v>
      </c>
    </row>
    <row r="4754" spans="2:5" x14ac:dyDescent="0.3">
      <c r="B4754" s="4">
        <v>43075</v>
      </c>
      <c r="C4754" s="5">
        <v>1035.33</v>
      </c>
      <c r="D4754" s="6">
        <f t="shared" si="77"/>
        <v>0.3937268627582956</v>
      </c>
      <c r="E4754" s="6">
        <v>-9.5568821030880581E-3</v>
      </c>
    </row>
    <row r="4755" spans="2:5" x14ac:dyDescent="0.3">
      <c r="B4755" s="4">
        <v>42013</v>
      </c>
      <c r="C4755" s="7">
        <v>742.85</v>
      </c>
      <c r="D4755" s="6">
        <f t="shared" si="77"/>
        <v>-0.75252851660359266</v>
      </c>
      <c r="E4755" s="6">
        <v>-9.5729504153166545E-3</v>
      </c>
    </row>
    <row r="4756" spans="2:5" x14ac:dyDescent="0.3">
      <c r="B4756" s="4">
        <v>44588</v>
      </c>
      <c r="C4756" s="5">
        <v>3001.76</v>
      </c>
      <c r="D4756" s="6">
        <f t="shared" si="77"/>
        <v>1.2860798440284529</v>
      </c>
      <c r="E4756" s="6">
        <v>-9.5816286129074713E-3</v>
      </c>
    </row>
    <row r="4757" spans="2:5" x14ac:dyDescent="0.3">
      <c r="B4757" s="4">
        <v>43341</v>
      </c>
      <c r="C4757" s="5">
        <v>1313.06</v>
      </c>
      <c r="D4757" s="6">
        <f t="shared" si="77"/>
        <v>4.3461178290786195</v>
      </c>
      <c r="E4757" s="6">
        <v>-9.5868815857954523E-3</v>
      </c>
    </row>
    <row r="4758" spans="2:5" x14ac:dyDescent="0.3">
      <c r="B4758" s="4">
        <v>40430</v>
      </c>
      <c r="C4758" s="7">
        <v>245.61</v>
      </c>
      <c r="D4758" s="6">
        <f t="shared" si="77"/>
        <v>-0.6679195792377064</v>
      </c>
      <c r="E4758" s="6">
        <v>-9.597161175853847E-3</v>
      </c>
    </row>
    <row r="4759" spans="2:5" x14ac:dyDescent="0.3">
      <c r="B4759" s="4">
        <v>42114</v>
      </c>
      <c r="C4759" s="7">
        <v>739.61</v>
      </c>
      <c r="D4759" s="6">
        <f t="shared" si="77"/>
        <v>-0.74062969041507098</v>
      </c>
      <c r="E4759" s="6">
        <v>-9.6012212432041028E-3</v>
      </c>
    </row>
    <row r="4760" spans="2:5" x14ac:dyDescent="0.3">
      <c r="B4760" s="4">
        <v>45601</v>
      </c>
      <c r="C4760" s="5">
        <v>2851.56</v>
      </c>
      <c r="D4760" s="6">
        <f t="shared" si="77"/>
        <v>0.67978934594744256</v>
      </c>
      <c r="E4760" s="6">
        <v>-9.6033286908562034E-3</v>
      </c>
    </row>
    <row r="4761" spans="2:5" x14ac:dyDescent="0.3">
      <c r="B4761" s="4">
        <v>43830</v>
      </c>
      <c r="C4761" s="5">
        <v>1697.57</v>
      </c>
      <c r="D4761" s="6">
        <f t="shared" si="77"/>
        <v>-0.40755437362146474</v>
      </c>
      <c r="E4761" s="6">
        <v>-9.6262112982550309E-3</v>
      </c>
    </row>
    <row r="4762" spans="2:5" x14ac:dyDescent="0.3">
      <c r="B4762" s="4">
        <v>45323</v>
      </c>
      <c r="C4762" s="5">
        <v>2865.36</v>
      </c>
      <c r="D4762" s="6">
        <f t="shared" si="77"/>
        <v>173.71707317073174</v>
      </c>
      <c r="E4762" s="6">
        <v>-9.6362555474138537E-3</v>
      </c>
    </row>
    <row r="4763" spans="2:5" x14ac:dyDescent="0.3">
      <c r="B4763" s="4">
        <v>37711</v>
      </c>
      <c r="C4763" s="7">
        <v>16.399999999999999</v>
      </c>
      <c r="D4763" s="6">
        <f t="shared" si="77"/>
        <v>-0.89652996845425859</v>
      </c>
      <c r="E4763" s="6">
        <v>-9.6618357487922805E-3</v>
      </c>
    </row>
    <row r="4764" spans="2:5" x14ac:dyDescent="0.3">
      <c r="B4764" s="4">
        <v>40198</v>
      </c>
      <c r="C4764" s="7">
        <v>158.5</v>
      </c>
      <c r="D4764" s="6">
        <f t="shared" si="77"/>
        <v>-0.6388699020277967</v>
      </c>
      <c r="E4764" s="6">
        <v>-9.6844736019994458E-3</v>
      </c>
    </row>
    <row r="4765" spans="2:5" x14ac:dyDescent="0.3">
      <c r="B4765" s="4">
        <v>41635</v>
      </c>
      <c r="C4765" s="7">
        <v>438.9</v>
      </c>
      <c r="D4765" s="6">
        <f t="shared" si="77"/>
        <v>-0.73564381482418428</v>
      </c>
      <c r="E4765" s="6">
        <v>-9.7021660649819746E-3</v>
      </c>
    </row>
    <row r="4766" spans="2:5" x14ac:dyDescent="0.3">
      <c r="B4766" s="4">
        <v>43741</v>
      </c>
      <c r="C4766" s="5">
        <v>1660.26</v>
      </c>
      <c r="D4766" s="6">
        <f t="shared" si="77"/>
        <v>-0.44400760853549087</v>
      </c>
      <c r="E4766" s="6">
        <v>-9.7104751452395839E-3</v>
      </c>
    </row>
    <row r="4767" spans="2:5" x14ac:dyDescent="0.3">
      <c r="B4767" s="4">
        <v>45517</v>
      </c>
      <c r="C4767" s="5">
        <v>2986.12</v>
      </c>
      <c r="D4767" s="6">
        <f t="shared" si="77"/>
        <v>1.3583133919334074</v>
      </c>
      <c r="E4767" s="6">
        <v>-9.713438636868606E-3</v>
      </c>
    </row>
    <row r="4768" spans="2:5" x14ac:dyDescent="0.3">
      <c r="B4768" s="4">
        <v>43595</v>
      </c>
      <c r="C4768" s="5">
        <v>1266.21</v>
      </c>
      <c r="D4768" s="6">
        <f t="shared" si="77"/>
        <v>1.9871897706898181</v>
      </c>
      <c r="E4768" s="6">
        <v>-9.7135215034842536E-3</v>
      </c>
    </row>
    <row r="4769" spans="2:5" x14ac:dyDescent="0.3">
      <c r="B4769" s="4">
        <v>41689</v>
      </c>
      <c r="C4769" s="7">
        <v>423.88</v>
      </c>
      <c r="D4769" s="6">
        <f t="shared" si="77"/>
        <v>-0.67469916502946958</v>
      </c>
      <c r="E4769" s="6">
        <v>-9.7187178768339995E-3</v>
      </c>
    </row>
    <row r="4770" spans="2:5" x14ac:dyDescent="0.3">
      <c r="B4770" s="4">
        <v>43514</v>
      </c>
      <c r="C4770" s="5">
        <v>1303.04</v>
      </c>
      <c r="D4770" s="6">
        <f t="shared" si="77"/>
        <v>2.9267116682738674</v>
      </c>
      <c r="E4770" s="6">
        <v>-9.7201006209008487E-3</v>
      </c>
    </row>
    <row r="4771" spans="2:5" x14ac:dyDescent="0.3">
      <c r="B4771" s="4">
        <v>41131</v>
      </c>
      <c r="C4771" s="7">
        <v>331.84</v>
      </c>
      <c r="D4771" s="6">
        <f t="shared" si="77"/>
        <v>-0.64036760880873944</v>
      </c>
      <c r="E4771" s="6">
        <v>-9.7579899137597761E-3</v>
      </c>
    </row>
    <row r="4772" spans="2:5" x14ac:dyDescent="0.3">
      <c r="B4772" s="4">
        <v>42776</v>
      </c>
      <c r="C4772" s="7">
        <v>922.72</v>
      </c>
      <c r="D4772" s="6">
        <f t="shared" si="77"/>
        <v>-0.31839704524469065</v>
      </c>
      <c r="E4772" s="6">
        <v>-9.7764613717094464E-3</v>
      </c>
    </row>
    <row r="4773" spans="2:5" x14ac:dyDescent="0.3">
      <c r="B4773" s="4">
        <v>43313</v>
      </c>
      <c r="C4773" s="5">
        <v>1353.75</v>
      </c>
      <c r="D4773" s="6">
        <f t="shared" si="77"/>
        <v>3.5947459525506567</v>
      </c>
      <c r="E4773" s="6">
        <v>-9.7796828369125545E-3</v>
      </c>
    </row>
    <row r="4774" spans="2:5" x14ac:dyDescent="0.3">
      <c r="B4774" s="4">
        <v>41003</v>
      </c>
      <c r="C4774" s="7">
        <v>294.63</v>
      </c>
      <c r="D4774" s="6">
        <f t="shared" si="77"/>
        <v>-0.32390196888338146</v>
      </c>
      <c r="E4774" s="6">
        <v>-9.7801976204880854E-3</v>
      </c>
    </row>
    <row r="4775" spans="2:5" x14ac:dyDescent="0.3">
      <c r="B4775" s="4">
        <v>41467</v>
      </c>
      <c r="C4775" s="7">
        <v>435.78</v>
      </c>
      <c r="D4775" s="6">
        <f t="shared" si="77"/>
        <v>-0.81443852089046342</v>
      </c>
      <c r="E4775" s="6">
        <v>-9.793451339498745E-3</v>
      </c>
    </row>
    <row r="4776" spans="2:5" x14ac:dyDescent="0.3">
      <c r="B4776" s="4">
        <v>45862</v>
      </c>
      <c r="C4776" s="5">
        <v>2348.44</v>
      </c>
      <c r="D4776" s="6">
        <f t="shared" si="77"/>
        <v>1.6909432578604822</v>
      </c>
      <c r="E4776" s="6">
        <v>-9.8073112113672752E-3</v>
      </c>
    </row>
    <row r="4777" spans="2:5" x14ac:dyDescent="0.3">
      <c r="B4777" s="4">
        <v>42513</v>
      </c>
      <c r="C4777" s="7">
        <v>872.72</v>
      </c>
      <c r="D4777" s="6">
        <f t="shared" si="77"/>
        <v>-0.63539438502673795</v>
      </c>
      <c r="E4777" s="6">
        <v>-9.836735156967924E-3</v>
      </c>
    </row>
    <row r="4778" spans="2:5" x14ac:dyDescent="0.3">
      <c r="B4778" s="4">
        <v>46063</v>
      </c>
      <c r="C4778" s="5">
        <v>2393.6</v>
      </c>
      <c r="D4778" s="6">
        <f t="shared" si="77"/>
        <v>73.474175482265096</v>
      </c>
      <c r="E4778" s="6">
        <v>-9.8452883263010597E-3</v>
      </c>
    </row>
    <row r="4779" spans="2:5" x14ac:dyDescent="0.3">
      <c r="B4779" s="4">
        <v>38531</v>
      </c>
      <c r="C4779" s="7">
        <v>32.14</v>
      </c>
      <c r="D4779" s="6">
        <f t="shared" si="77"/>
        <v>-0.80930342945294875</v>
      </c>
      <c r="E4779" s="6">
        <v>-9.8582871226124552E-3</v>
      </c>
    </row>
    <row r="4780" spans="2:5" x14ac:dyDescent="0.3">
      <c r="B4780" s="4">
        <v>40245</v>
      </c>
      <c r="C4780" s="7">
        <v>168.54</v>
      </c>
      <c r="D4780" s="6">
        <f t="shared" si="77"/>
        <v>-0.80623131754426303</v>
      </c>
      <c r="E4780" s="6">
        <v>-9.8695805428269702E-3</v>
      </c>
    </row>
    <row r="4781" spans="2:5" x14ac:dyDescent="0.3">
      <c r="B4781" s="4">
        <v>42702</v>
      </c>
      <c r="C4781" s="7">
        <v>869.8</v>
      </c>
      <c r="D4781" s="6">
        <f t="shared" si="77"/>
        <v>1.7288699253309905</v>
      </c>
      <c r="E4781" s="6">
        <v>-9.8919737276463634E-3</v>
      </c>
    </row>
    <row r="4782" spans="2:5" x14ac:dyDescent="0.3">
      <c r="B4782" s="4">
        <v>41114</v>
      </c>
      <c r="C4782" s="7">
        <v>318.74</v>
      </c>
      <c r="D4782" s="6">
        <f t="shared" si="77"/>
        <v>-0.89254047347731391</v>
      </c>
      <c r="E4782" s="6">
        <v>-9.9089864256204693E-3</v>
      </c>
    </row>
    <row r="4783" spans="2:5" x14ac:dyDescent="0.3">
      <c r="B4783" s="4">
        <v>44918</v>
      </c>
      <c r="C4783" s="5">
        <v>2966.14</v>
      </c>
      <c r="D4783" s="6">
        <f t="shared" si="77"/>
        <v>0.85825084575867672</v>
      </c>
      <c r="E4783" s="6">
        <v>-9.9236615741003509E-3</v>
      </c>
    </row>
    <row r="4784" spans="2:5" x14ac:dyDescent="0.3">
      <c r="B4784" s="4">
        <v>44027</v>
      </c>
      <c r="C4784" s="5">
        <v>1596.2</v>
      </c>
      <c r="D4784" s="6">
        <f t="shared" si="77"/>
        <v>99.01253132832079</v>
      </c>
      <c r="E4784" s="6">
        <v>-9.9243270065748658E-3</v>
      </c>
    </row>
    <row r="4785" spans="2:5" x14ac:dyDescent="0.3">
      <c r="B4785" s="4">
        <v>37469</v>
      </c>
      <c r="C4785" s="7">
        <v>15.96</v>
      </c>
      <c r="D4785" s="6">
        <f t="shared" si="77"/>
        <v>-0.98941054698903896</v>
      </c>
      <c r="E4785" s="6">
        <v>-9.9255583126550955E-3</v>
      </c>
    </row>
    <row r="4786" spans="2:5" x14ac:dyDescent="0.3">
      <c r="B4786" s="4">
        <v>43959</v>
      </c>
      <c r="C4786" s="5">
        <v>1507.16</v>
      </c>
      <c r="D4786" s="6">
        <f t="shared" si="77"/>
        <v>59.797095603065756</v>
      </c>
      <c r="E4786" s="6">
        <v>-9.9714912568807483E-3</v>
      </c>
    </row>
    <row r="4787" spans="2:5" x14ac:dyDescent="0.3">
      <c r="B4787" s="4">
        <v>37985</v>
      </c>
      <c r="C4787" s="7">
        <v>24.79</v>
      </c>
      <c r="D4787" s="6">
        <f t="shared" si="77"/>
        <v>-0.99118408512212119</v>
      </c>
      <c r="E4787" s="6">
        <v>-9.9840255591054309E-3</v>
      </c>
    </row>
    <row r="4788" spans="2:5" x14ac:dyDescent="0.3">
      <c r="B4788" s="4">
        <v>45436</v>
      </c>
      <c r="C4788" s="5">
        <v>2811.96</v>
      </c>
      <c r="D4788" s="6">
        <f t="shared" si="77"/>
        <v>-2.1780648931840285E-2</v>
      </c>
      <c r="E4788" s="6">
        <v>-9.9847904461469565E-3</v>
      </c>
    </row>
    <row r="4789" spans="2:5" x14ac:dyDescent="0.3">
      <c r="B4789" s="4">
        <v>44413</v>
      </c>
      <c r="C4789" s="5">
        <v>2874.57</v>
      </c>
      <c r="D4789" s="6">
        <f t="shared" si="77"/>
        <v>5.6675248764873709</v>
      </c>
      <c r="E4789" s="6">
        <v>-1.0004752688023821E-2</v>
      </c>
    </row>
    <row r="4790" spans="2:5" x14ac:dyDescent="0.3">
      <c r="B4790" s="4">
        <v>41411</v>
      </c>
      <c r="C4790" s="7">
        <v>431.13</v>
      </c>
      <c r="D4790" s="6">
        <f t="shared" si="77"/>
        <v>-0.77842818818160331</v>
      </c>
      <c r="E4790" s="6">
        <v>-1.0011710946290416E-2</v>
      </c>
    </row>
    <row r="4791" spans="2:5" x14ac:dyDescent="0.3">
      <c r="B4791" s="4">
        <v>44085</v>
      </c>
      <c r="C4791" s="5">
        <v>1945.78</v>
      </c>
      <c r="D4791" s="6">
        <f t="shared" si="77"/>
        <v>-0.37547181923225059</v>
      </c>
      <c r="E4791" s="6">
        <v>-1.0017960080794952E-2</v>
      </c>
    </row>
    <row r="4792" spans="2:5" x14ac:dyDescent="0.3">
      <c r="B4792" s="4">
        <v>45527</v>
      </c>
      <c r="C4792" s="5">
        <v>3115.6</v>
      </c>
      <c r="D4792" s="6">
        <f t="shared" si="77"/>
        <v>1.6061062317022166</v>
      </c>
      <c r="E4792" s="6">
        <v>-1.0024943202580169E-2</v>
      </c>
    </row>
    <row r="4793" spans="2:5" x14ac:dyDescent="0.3">
      <c r="B4793" s="4">
        <v>43270</v>
      </c>
      <c r="C4793" s="5">
        <v>1195.5</v>
      </c>
      <c r="D4793" s="6">
        <f t="shared" si="77"/>
        <v>-0.17133390634097656</v>
      </c>
      <c r="E4793" s="6">
        <v>-1.0028071976879872E-2</v>
      </c>
    </row>
    <row r="4794" spans="2:5" x14ac:dyDescent="0.3">
      <c r="B4794" s="4">
        <v>43713</v>
      </c>
      <c r="C4794" s="5">
        <v>1442.68</v>
      </c>
      <c r="D4794" s="6">
        <f t="shared" si="77"/>
        <v>1.104074905930053</v>
      </c>
      <c r="E4794" s="6">
        <v>-1.0032251423865979E-2</v>
      </c>
    </row>
    <row r="4795" spans="2:5" x14ac:dyDescent="0.3">
      <c r="B4795" s="4">
        <v>42003</v>
      </c>
      <c r="C4795" s="7">
        <v>685.66</v>
      </c>
      <c r="D4795" s="6">
        <f t="shared" si="77"/>
        <v>-0.76197815778328581</v>
      </c>
      <c r="E4795" s="6">
        <v>-1.0034507154098331E-2</v>
      </c>
    </row>
    <row r="4796" spans="2:5" x14ac:dyDescent="0.3">
      <c r="B4796" s="4">
        <v>44670</v>
      </c>
      <c r="C4796" s="5">
        <v>2880.66</v>
      </c>
      <c r="D4796" s="6">
        <f t="shared" si="77"/>
        <v>36.016962220508866</v>
      </c>
      <c r="E4796" s="6">
        <v>-1.0045053249435552E-2</v>
      </c>
    </row>
    <row r="4797" spans="2:5" x14ac:dyDescent="0.3">
      <c r="B4797" s="4">
        <v>39322</v>
      </c>
      <c r="C4797" s="7">
        <v>77.819999999999993</v>
      </c>
      <c r="D4797" s="6">
        <f t="shared" si="77"/>
        <v>0.12946298984034812</v>
      </c>
      <c r="E4797" s="6">
        <v>-1.0049612008650378E-2</v>
      </c>
    </row>
    <row r="4798" spans="2:5" x14ac:dyDescent="0.3">
      <c r="B4798" s="4">
        <v>39259</v>
      </c>
      <c r="C4798" s="7">
        <v>68.900000000000006</v>
      </c>
      <c r="D4798" s="6">
        <f t="shared" si="77"/>
        <v>-0.89211956096262546</v>
      </c>
      <c r="E4798" s="6">
        <v>-1.0057471264367653E-2</v>
      </c>
    </row>
    <row r="4799" spans="2:5" x14ac:dyDescent="0.3">
      <c r="B4799" s="4">
        <v>42170</v>
      </c>
      <c r="C4799" s="7">
        <v>638.66999999999996</v>
      </c>
      <c r="D4799" s="6">
        <f t="shared" si="77"/>
        <v>-0.15398982673660785</v>
      </c>
      <c r="E4799" s="6">
        <v>-1.0059520119040252E-2</v>
      </c>
    </row>
    <row r="4800" spans="2:5" x14ac:dyDescent="0.3">
      <c r="B4800" s="4">
        <v>42055</v>
      </c>
      <c r="C4800" s="7">
        <v>754.92</v>
      </c>
      <c r="D4800" s="6">
        <f t="shared" si="77"/>
        <v>0.95413129012217845</v>
      </c>
      <c r="E4800" s="6">
        <v>-1.0070810385523293E-2</v>
      </c>
    </row>
    <row r="4801" spans="2:5" x14ac:dyDescent="0.3">
      <c r="B4801" s="4">
        <v>41250</v>
      </c>
      <c r="C4801" s="7">
        <v>386.32</v>
      </c>
      <c r="D4801" s="6">
        <f t="shared" si="77"/>
        <v>-0.76037712442624994</v>
      </c>
      <c r="E4801" s="6">
        <v>-1.0095833546866186E-2</v>
      </c>
    </row>
    <row r="4802" spans="2:5" x14ac:dyDescent="0.3">
      <c r="B4802" s="4">
        <v>44026</v>
      </c>
      <c r="C4802" s="5">
        <v>1612.2</v>
      </c>
      <c r="D4802" s="6">
        <f t="shared" si="77"/>
        <v>0.64019818298352893</v>
      </c>
      <c r="E4802" s="6">
        <v>-1.0112545819595146E-2</v>
      </c>
    </row>
    <row r="4803" spans="2:5" x14ac:dyDescent="0.3">
      <c r="B4803" s="4">
        <v>42816</v>
      </c>
      <c r="C4803" s="7">
        <v>982.93</v>
      </c>
      <c r="D4803" s="6">
        <f t="shared" si="77"/>
        <v>-0.39958340459843134</v>
      </c>
      <c r="E4803" s="6">
        <v>-1.0150955176685069E-2</v>
      </c>
    </row>
    <row r="4804" spans="2:5" x14ac:dyDescent="0.3">
      <c r="B4804" s="4">
        <v>43788</v>
      </c>
      <c r="C4804" s="5">
        <v>1637.08</v>
      </c>
      <c r="D4804" s="6">
        <f t="shared" si="77"/>
        <v>-0.34063685647771491</v>
      </c>
      <c r="E4804" s="6">
        <v>-1.0151946646350659E-2</v>
      </c>
    </row>
    <row r="4805" spans="2:5" x14ac:dyDescent="0.3">
      <c r="B4805" s="4">
        <v>45965</v>
      </c>
      <c r="C4805" s="5">
        <v>2482.8200000000002</v>
      </c>
      <c r="D4805" s="6">
        <f t="shared" si="77"/>
        <v>0.63092344679900703</v>
      </c>
      <c r="E4805" s="6">
        <v>-1.0154328247531107E-2</v>
      </c>
    </row>
    <row r="4806" spans="2:5" x14ac:dyDescent="0.3">
      <c r="B4806" s="4">
        <v>43958</v>
      </c>
      <c r="C4806" s="5">
        <v>1522.34</v>
      </c>
      <c r="D4806" s="6">
        <f t="shared" si="77"/>
        <v>8.9097773727379224</v>
      </c>
      <c r="E4806" s="6">
        <v>-1.015631095737218E-2</v>
      </c>
    </row>
    <row r="4807" spans="2:5" x14ac:dyDescent="0.3">
      <c r="B4807" s="4">
        <v>40185</v>
      </c>
      <c r="C4807" s="7">
        <v>153.62</v>
      </c>
      <c r="D4807" s="6">
        <f t="shared" si="77"/>
        <v>-0.95293836524999775</v>
      </c>
      <c r="E4807" s="6">
        <v>-1.0180412371133919E-2</v>
      </c>
    </row>
    <row r="4808" spans="2:5" x14ac:dyDescent="0.3">
      <c r="B4808" s="4">
        <v>45139</v>
      </c>
      <c r="C4808" s="5">
        <v>3264.23</v>
      </c>
      <c r="D4808" s="6">
        <f t="shared" ref="D4808:D4871" si="78">((C4808-C4809)/C4809)</f>
        <v>2.2872075809911281</v>
      </c>
      <c r="E4808" s="6">
        <v>-1.0185516492713412E-2</v>
      </c>
    </row>
    <row r="4809" spans="2:5" x14ac:dyDescent="0.3">
      <c r="B4809" s="4">
        <v>42815</v>
      </c>
      <c r="C4809" s="7">
        <v>993.01</v>
      </c>
      <c r="D4809" s="6">
        <f t="shared" si="78"/>
        <v>-3.6427150550676787E-2</v>
      </c>
      <c r="E4809" s="6">
        <v>-1.0187095680950557E-2</v>
      </c>
    </row>
    <row r="4810" spans="2:5" x14ac:dyDescent="0.3">
      <c r="B4810" s="4">
        <v>42611</v>
      </c>
      <c r="C4810" s="5">
        <v>1030.55</v>
      </c>
      <c r="D4810" s="6">
        <f t="shared" si="78"/>
        <v>41.531985142385466</v>
      </c>
      <c r="E4810" s="6">
        <v>-1.0190556686772568E-2</v>
      </c>
    </row>
    <row r="4811" spans="2:5" x14ac:dyDescent="0.3">
      <c r="B4811" s="4">
        <v>38258</v>
      </c>
      <c r="C4811" s="7">
        <v>24.23</v>
      </c>
      <c r="D4811" s="6">
        <f t="shared" si="78"/>
        <v>-0.98159178277847836</v>
      </c>
      <c r="E4811" s="6">
        <v>-1.0212418300653595E-2</v>
      </c>
    </row>
    <row r="4812" spans="2:5" x14ac:dyDescent="0.3">
      <c r="B4812" s="4">
        <v>43318</v>
      </c>
      <c r="C4812" s="5">
        <v>1316.26</v>
      </c>
      <c r="D4812" s="6">
        <f t="shared" si="78"/>
        <v>-0.5507537722744229</v>
      </c>
      <c r="E4812" s="6">
        <v>-1.0234083030672097E-2</v>
      </c>
    </row>
    <row r="4813" spans="2:5" x14ac:dyDescent="0.3">
      <c r="B4813" s="4">
        <v>44432</v>
      </c>
      <c r="C4813" s="5">
        <v>2929.93</v>
      </c>
      <c r="D4813" s="6">
        <f t="shared" si="78"/>
        <v>-3.985515557667426E-2</v>
      </c>
      <c r="E4813" s="6">
        <v>-1.0235691145620503E-2</v>
      </c>
    </row>
    <row r="4814" spans="2:5" x14ac:dyDescent="0.3">
      <c r="B4814" s="4">
        <v>44909</v>
      </c>
      <c r="C4814" s="5">
        <v>3051.55</v>
      </c>
      <c r="D4814" s="6">
        <f t="shared" si="78"/>
        <v>1.6538909761358105</v>
      </c>
      <c r="E4814" s="6">
        <v>-1.0239627390435569E-2</v>
      </c>
    </row>
    <row r="4815" spans="2:5" x14ac:dyDescent="0.3">
      <c r="B4815" s="4">
        <v>43405</v>
      </c>
      <c r="C4815" s="5">
        <v>1149.8399999999999</v>
      </c>
      <c r="D4815" s="6">
        <f t="shared" si="78"/>
        <v>3.7828293332224114</v>
      </c>
      <c r="E4815" s="6">
        <v>-1.0243255805946332E-2</v>
      </c>
    </row>
    <row r="4816" spans="2:5" x14ac:dyDescent="0.3">
      <c r="B4816" s="4">
        <v>40450</v>
      </c>
      <c r="C4816" s="7">
        <v>240.41</v>
      </c>
      <c r="D4816" s="6">
        <f t="shared" si="78"/>
        <v>1.0605982686208966</v>
      </c>
      <c r="E4816" s="6">
        <v>-1.0251132153149482E-2</v>
      </c>
    </row>
    <row r="4817" spans="2:5" x14ac:dyDescent="0.3">
      <c r="B4817" s="4">
        <v>40042</v>
      </c>
      <c r="C4817" s="7">
        <v>116.67</v>
      </c>
      <c r="D4817" s="6">
        <f t="shared" si="78"/>
        <v>-0.73218712698558441</v>
      </c>
      <c r="E4817" s="6">
        <v>-1.0264675941635508E-2</v>
      </c>
    </row>
    <row r="4818" spans="2:5" x14ac:dyDescent="0.3">
      <c r="B4818" s="4">
        <v>41425</v>
      </c>
      <c r="C4818" s="7">
        <v>435.64</v>
      </c>
      <c r="D4818" s="6">
        <f t="shared" si="78"/>
        <v>-0.81261747968703635</v>
      </c>
      <c r="E4818" s="6">
        <v>-1.0268993093420662E-2</v>
      </c>
    </row>
    <row r="4819" spans="2:5" x14ac:dyDescent="0.3">
      <c r="B4819" s="4">
        <v>45938</v>
      </c>
      <c r="C4819" s="5">
        <v>2324.87</v>
      </c>
      <c r="D4819" s="6">
        <f t="shared" si="78"/>
        <v>36.341310632830066</v>
      </c>
      <c r="E4819" s="6">
        <v>-1.0327227526786605E-2</v>
      </c>
    </row>
    <row r="4820" spans="2:5" x14ac:dyDescent="0.3">
      <c r="B4820" s="4">
        <v>39877</v>
      </c>
      <c r="C4820" s="7">
        <v>62.26</v>
      </c>
      <c r="D4820" s="6">
        <f t="shared" si="78"/>
        <v>-0.97405595512922005</v>
      </c>
      <c r="E4820" s="6">
        <v>-1.0332220632649795E-2</v>
      </c>
    </row>
    <row r="4821" spans="2:5" x14ac:dyDescent="0.3">
      <c r="B4821" s="4">
        <v>45777</v>
      </c>
      <c r="C4821" s="5">
        <v>2399.7800000000002</v>
      </c>
      <c r="D4821" s="6">
        <f t="shared" si="78"/>
        <v>0.34644366019379358</v>
      </c>
      <c r="E4821" s="6">
        <v>-1.036327121418925E-2</v>
      </c>
    </row>
    <row r="4822" spans="2:5" x14ac:dyDescent="0.3">
      <c r="B4822" s="4">
        <v>43874</v>
      </c>
      <c r="C4822" s="5">
        <v>1782.31</v>
      </c>
      <c r="D4822" s="6">
        <f t="shared" si="78"/>
        <v>5.9813762100706373E-2</v>
      </c>
      <c r="E4822" s="6">
        <v>-1.0377568017767937E-2</v>
      </c>
    </row>
    <row r="4823" spans="2:5" x14ac:dyDescent="0.3">
      <c r="B4823" s="4">
        <v>44040</v>
      </c>
      <c r="C4823" s="5">
        <v>1681.72</v>
      </c>
      <c r="D4823" s="6">
        <f t="shared" si="78"/>
        <v>7.151027530050408</v>
      </c>
      <c r="E4823" s="6">
        <v>-1.0403671884194459E-2</v>
      </c>
    </row>
    <row r="4824" spans="2:5" x14ac:dyDescent="0.3">
      <c r="B4824" s="4">
        <v>40371</v>
      </c>
      <c r="C4824" s="7">
        <v>206.32</v>
      </c>
      <c r="D4824" s="6">
        <f t="shared" si="78"/>
        <v>-0.9108572514895289</v>
      </c>
      <c r="E4824" s="6">
        <v>-1.0408173053863571E-2</v>
      </c>
    </row>
    <row r="4825" spans="2:5" x14ac:dyDescent="0.3">
      <c r="B4825" s="4">
        <v>45944</v>
      </c>
      <c r="C4825" s="5">
        <v>2314.4899999999998</v>
      </c>
      <c r="D4825" s="6">
        <f t="shared" si="78"/>
        <v>-0.20756454721935963</v>
      </c>
      <c r="E4825" s="6">
        <v>-1.0415375077495405E-2</v>
      </c>
    </row>
    <row r="4826" spans="2:5" x14ac:dyDescent="0.3">
      <c r="B4826" s="4">
        <v>45345</v>
      </c>
      <c r="C4826" s="5">
        <v>2920.73</v>
      </c>
      <c r="D4826" s="6">
        <f t="shared" si="78"/>
        <v>0.28385993599887471</v>
      </c>
      <c r="E4826" s="6">
        <v>-1.0421854724223956E-2</v>
      </c>
    </row>
    <row r="4827" spans="2:5" x14ac:dyDescent="0.3">
      <c r="B4827" s="4">
        <v>44232</v>
      </c>
      <c r="C4827" s="5">
        <v>2274.96</v>
      </c>
      <c r="D4827" s="6">
        <f t="shared" si="78"/>
        <v>0.88716621456834976</v>
      </c>
      <c r="E4827" s="6">
        <v>-1.042658976132366E-2</v>
      </c>
    </row>
    <row r="4828" spans="2:5" x14ac:dyDescent="0.3">
      <c r="B4828" s="4">
        <v>43374</v>
      </c>
      <c r="C4828" s="5">
        <v>1205.49</v>
      </c>
      <c r="D4828" s="6">
        <f t="shared" si="78"/>
        <v>0.16254556676374712</v>
      </c>
      <c r="E4828" s="6">
        <v>-1.0433426366770675E-2</v>
      </c>
    </row>
    <row r="4829" spans="2:5" x14ac:dyDescent="0.3">
      <c r="B4829" s="4">
        <v>42920</v>
      </c>
      <c r="C4829" s="5">
        <v>1036.94</v>
      </c>
      <c r="D4829" s="6">
        <f t="shared" si="78"/>
        <v>63.486318407960205</v>
      </c>
      <c r="E4829" s="6">
        <v>-1.0449570088463526E-2</v>
      </c>
    </row>
    <row r="4830" spans="2:5" x14ac:dyDescent="0.3">
      <c r="B4830" s="4">
        <v>37721</v>
      </c>
      <c r="C4830" s="7">
        <v>16.079999999999998</v>
      </c>
      <c r="D4830" s="6">
        <f t="shared" si="78"/>
        <v>-0.99294300422629789</v>
      </c>
      <c r="E4830" s="6">
        <v>-1.0461538461538567E-2</v>
      </c>
    </row>
    <row r="4831" spans="2:5" x14ac:dyDescent="0.3">
      <c r="B4831" s="4">
        <v>45805</v>
      </c>
      <c r="C4831" s="5">
        <v>2278.59</v>
      </c>
      <c r="D4831" s="6">
        <f t="shared" si="78"/>
        <v>4.6212902429998772</v>
      </c>
      <c r="E4831" s="6">
        <v>-1.0483209060549814E-2</v>
      </c>
    </row>
    <row r="4832" spans="2:5" x14ac:dyDescent="0.3">
      <c r="B4832" s="4">
        <v>41436</v>
      </c>
      <c r="C4832" s="7">
        <v>405.35</v>
      </c>
      <c r="D4832" s="6">
        <f t="shared" si="78"/>
        <v>6.4212742585133658</v>
      </c>
      <c r="E4832" s="6">
        <v>-1.0496765531551214E-2</v>
      </c>
    </row>
    <row r="4833" spans="2:5" x14ac:dyDescent="0.3">
      <c r="B4833" s="4">
        <v>38778</v>
      </c>
      <c r="C4833" s="7">
        <v>54.62</v>
      </c>
      <c r="D4833" s="6">
        <f t="shared" si="78"/>
        <v>-0.96427566991294578</v>
      </c>
      <c r="E4833" s="6">
        <v>-1.0507246376811691E-2</v>
      </c>
    </row>
    <row r="4834" spans="2:5" x14ac:dyDescent="0.3">
      <c r="B4834" s="4">
        <v>43909</v>
      </c>
      <c r="C4834" s="5">
        <v>1528.93</v>
      </c>
      <c r="D4834" s="6">
        <f t="shared" si="78"/>
        <v>0.43004255717158485</v>
      </c>
      <c r="E4834" s="6">
        <v>-1.0510170401962249E-2</v>
      </c>
    </row>
    <row r="4835" spans="2:5" x14ac:dyDescent="0.3">
      <c r="B4835" s="4">
        <v>42664</v>
      </c>
      <c r="C4835" s="5">
        <v>1069.1500000000001</v>
      </c>
      <c r="D4835" s="6">
        <f t="shared" si="78"/>
        <v>-0.59084681678325957</v>
      </c>
      <c r="E4835" s="6">
        <v>-1.0513553784786722E-2</v>
      </c>
    </row>
    <row r="4836" spans="2:5" x14ac:dyDescent="0.3">
      <c r="B4836" s="4">
        <v>44741</v>
      </c>
      <c r="C4836" s="5">
        <v>2613.08</v>
      </c>
      <c r="D4836" s="6">
        <f t="shared" si="78"/>
        <v>0.14046044735406435</v>
      </c>
      <c r="E4836" s="6">
        <v>-1.0526794098936787E-2</v>
      </c>
    </row>
    <row r="4837" spans="2:5" x14ac:dyDescent="0.3">
      <c r="B4837" s="4">
        <v>45748</v>
      </c>
      <c r="C4837" s="5">
        <v>2291.25</v>
      </c>
      <c r="D4837" s="6">
        <f t="shared" si="78"/>
        <v>73.126496279521191</v>
      </c>
      <c r="E4837" s="6">
        <v>-1.0532725294087109E-2</v>
      </c>
    </row>
    <row r="4838" spans="2:5" x14ac:dyDescent="0.3">
      <c r="B4838" s="4">
        <v>38453</v>
      </c>
      <c r="C4838" s="7">
        <v>30.91</v>
      </c>
      <c r="D4838" s="6">
        <f t="shared" si="78"/>
        <v>-0.70790020790020791</v>
      </c>
      <c r="E4838" s="6">
        <v>-1.0563380281690087E-2</v>
      </c>
    </row>
    <row r="4839" spans="2:5" x14ac:dyDescent="0.3">
      <c r="B4839" s="4">
        <v>39622</v>
      </c>
      <c r="C4839" s="7">
        <v>105.82</v>
      </c>
      <c r="D4839" s="6">
        <f t="shared" si="78"/>
        <v>0.61507936507936511</v>
      </c>
      <c r="E4839" s="6">
        <v>-1.0565684899485832E-2</v>
      </c>
    </row>
    <row r="4840" spans="2:5" x14ac:dyDescent="0.3">
      <c r="B4840" s="4">
        <v>39122</v>
      </c>
      <c r="C4840" s="7">
        <v>65.52</v>
      </c>
      <c r="D4840" s="6">
        <f t="shared" si="78"/>
        <v>-0.97640406950571712</v>
      </c>
      <c r="E4840" s="6">
        <v>-1.057082452431294E-2</v>
      </c>
    </row>
    <row r="4841" spans="2:5" x14ac:dyDescent="0.3">
      <c r="B4841" s="4">
        <v>45002</v>
      </c>
      <c r="C4841" s="5">
        <v>2776.75</v>
      </c>
      <c r="D4841" s="6">
        <f t="shared" si="78"/>
        <v>-5.5784140369967414E-2</v>
      </c>
      <c r="E4841" s="6">
        <v>-1.0575713629058925E-2</v>
      </c>
    </row>
    <row r="4842" spans="2:5" x14ac:dyDescent="0.3">
      <c r="B4842" s="4">
        <v>44692</v>
      </c>
      <c r="C4842" s="5">
        <v>2940.8</v>
      </c>
      <c r="D4842" s="6">
        <f t="shared" si="78"/>
        <v>120.17016893283891</v>
      </c>
      <c r="E4842" s="6">
        <v>-1.0597853514113648E-2</v>
      </c>
    </row>
    <row r="4843" spans="2:5" x14ac:dyDescent="0.3">
      <c r="B4843" s="4">
        <v>38100</v>
      </c>
      <c r="C4843" s="7">
        <v>24.27</v>
      </c>
      <c r="D4843" s="6">
        <f t="shared" si="78"/>
        <v>-0.91021751997632427</v>
      </c>
      <c r="E4843" s="6">
        <v>-1.0599266204647434E-2</v>
      </c>
    </row>
    <row r="4844" spans="2:5" x14ac:dyDescent="0.3">
      <c r="B4844" s="4">
        <v>40760</v>
      </c>
      <c r="C4844" s="7">
        <v>270.32</v>
      </c>
      <c r="D4844" s="6">
        <f t="shared" si="78"/>
        <v>-0.90721143449502106</v>
      </c>
      <c r="E4844" s="6">
        <v>-1.0614157089525048E-2</v>
      </c>
    </row>
    <row r="4845" spans="2:5" x14ac:dyDescent="0.3">
      <c r="B4845" s="4">
        <v>44404</v>
      </c>
      <c r="C4845" s="5">
        <v>2913.29</v>
      </c>
      <c r="D4845" s="6">
        <f t="shared" si="78"/>
        <v>1.1930158682364276</v>
      </c>
      <c r="E4845" s="6">
        <v>-1.063302316104053E-2</v>
      </c>
    </row>
    <row r="4846" spans="2:5" x14ac:dyDescent="0.3">
      <c r="B4846" s="4">
        <v>43487</v>
      </c>
      <c r="C4846" s="5">
        <v>1328.44</v>
      </c>
      <c r="D4846" s="6">
        <f t="shared" si="78"/>
        <v>1.8784018027387765</v>
      </c>
      <c r="E4846" s="6">
        <v>-1.0649865201006862E-2</v>
      </c>
    </row>
    <row r="4847" spans="2:5" x14ac:dyDescent="0.3">
      <c r="B4847" s="4">
        <v>41719</v>
      </c>
      <c r="C4847" s="7">
        <v>461.52</v>
      </c>
      <c r="D4847" s="6">
        <f t="shared" si="78"/>
        <v>0.12508227493235174</v>
      </c>
      <c r="E4847" s="6">
        <v>-1.0654033312611262E-2</v>
      </c>
    </row>
    <row r="4848" spans="2:5" x14ac:dyDescent="0.3">
      <c r="B4848" s="4">
        <v>41548</v>
      </c>
      <c r="C4848" s="7">
        <v>410.21</v>
      </c>
      <c r="D4848" s="6">
        <f t="shared" si="78"/>
        <v>3.3362579281183935</v>
      </c>
      <c r="E4848" s="6">
        <v>-1.0660106601066048E-2</v>
      </c>
    </row>
    <row r="4849" spans="2:5" x14ac:dyDescent="0.3">
      <c r="B4849" s="4">
        <v>39514</v>
      </c>
      <c r="C4849" s="7">
        <v>94.6</v>
      </c>
      <c r="D4849" s="6">
        <f t="shared" si="78"/>
        <v>2.7779552715654954</v>
      </c>
      <c r="E4849" s="6">
        <v>-1.0667224430035665E-2</v>
      </c>
    </row>
    <row r="4850" spans="2:5" x14ac:dyDescent="0.3">
      <c r="B4850" s="4">
        <v>38364</v>
      </c>
      <c r="C4850" s="7">
        <v>25.04</v>
      </c>
      <c r="D4850" s="6">
        <f t="shared" si="78"/>
        <v>-0.1814318404707421</v>
      </c>
      <c r="E4850" s="6">
        <v>-1.0667720268668494E-2</v>
      </c>
    </row>
    <row r="4851" spans="2:5" x14ac:dyDescent="0.3">
      <c r="B4851" s="4">
        <v>38523</v>
      </c>
      <c r="C4851" s="7">
        <v>30.59</v>
      </c>
      <c r="D4851" s="6">
        <f t="shared" si="78"/>
        <v>-0.86850363237759531</v>
      </c>
      <c r="E4851" s="6">
        <v>-1.0672703751617135E-2</v>
      </c>
    </row>
    <row r="4852" spans="2:5" x14ac:dyDescent="0.3">
      <c r="B4852" s="4">
        <v>40514</v>
      </c>
      <c r="C4852" s="7">
        <v>232.63</v>
      </c>
      <c r="D4852" s="6">
        <f t="shared" si="78"/>
        <v>-0.92284015111562201</v>
      </c>
      <c r="E4852" s="6">
        <v>-1.0674491792123804E-2</v>
      </c>
    </row>
    <row r="4853" spans="2:5" x14ac:dyDescent="0.3">
      <c r="B4853" s="4">
        <v>44676</v>
      </c>
      <c r="C4853" s="5">
        <v>3014.91</v>
      </c>
      <c r="D4853" s="6">
        <f t="shared" si="78"/>
        <v>7.6915071494464939</v>
      </c>
      <c r="E4853" s="6">
        <v>-1.06810261660531E-2</v>
      </c>
    </row>
    <row r="4854" spans="2:5" x14ac:dyDescent="0.3">
      <c r="B4854" s="4">
        <v>41201</v>
      </c>
      <c r="C4854" s="7">
        <v>346.88</v>
      </c>
      <c r="D4854" s="6">
        <f t="shared" si="78"/>
        <v>14.016450216450215</v>
      </c>
      <c r="E4854" s="6">
        <v>-1.0695034651912272E-2</v>
      </c>
    </row>
    <row r="4855" spans="2:5" x14ac:dyDescent="0.3">
      <c r="B4855" s="4">
        <v>38118</v>
      </c>
      <c r="C4855" s="7">
        <v>23.1</v>
      </c>
      <c r="D4855" s="6">
        <f t="shared" si="78"/>
        <v>-0.71894391045139305</v>
      </c>
      <c r="E4855" s="6">
        <v>-1.0706638115631691E-2</v>
      </c>
    </row>
    <row r="4856" spans="2:5" x14ac:dyDescent="0.3">
      <c r="B4856" s="4">
        <v>39770</v>
      </c>
      <c r="C4856" s="7">
        <v>82.19</v>
      </c>
      <c r="D4856" s="6">
        <f t="shared" si="78"/>
        <v>-0.43666895133653189</v>
      </c>
      <c r="E4856" s="6">
        <v>-1.0712566201251812E-2</v>
      </c>
    </row>
    <row r="4857" spans="2:5" x14ac:dyDescent="0.3">
      <c r="B4857" s="4">
        <v>40142</v>
      </c>
      <c r="C4857" s="7">
        <v>145.9</v>
      </c>
      <c r="D4857" s="6">
        <f t="shared" si="78"/>
        <v>-0.46796484702621888</v>
      </c>
      <c r="E4857" s="6">
        <v>-1.0713317059940223E-2</v>
      </c>
    </row>
    <row r="4858" spans="2:5" x14ac:dyDescent="0.3">
      <c r="B4858" s="4">
        <v>40834</v>
      </c>
      <c r="C4858" s="7">
        <v>274.23</v>
      </c>
      <c r="D4858" s="6">
        <f t="shared" si="78"/>
        <v>-0.79084134817063401</v>
      </c>
      <c r="E4858" s="6">
        <v>-1.0714285714285609E-2</v>
      </c>
    </row>
    <row r="4859" spans="2:5" x14ac:dyDescent="0.3">
      <c r="B4859" s="4">
        <v>43479</v>
      </c>
      <c r="C4859" s="5">
        <v>1311.11</v>
      </c>
      <c r="D4859" s="6">
        <f t="shared" si="78"/>
        <v>23.105717962860815</v>
      </c>
      <c r="E4859" s="6">
        <v>-1.0721938852503575E-2</v>
      </c>
    </row>
    <row r="4860" spans="2:5" x14ac:dyDescent="0.3">
      <c r="B4860" s="4">
        <v>38782</v>
      </c>
      <c r="C4860" s="7">
        <v>54.39</v>
      </c>
      <c r="D4860" s="6">
        <f t="shared" si="78"/>
        <v>-0.9418711525307798</v>
      </c>
      <c r="E4860" s="6">
        <v>-1.0731174972717285E-2</v>
      </c>
    </row>
    <row r="4861" spans="2:5" x14ac:dyDescent="0.3">
      <c r="B4861" s="4">
        <v>42564</v>
      </c>
      <c r="C4861" s="7">
        <v>935.68</v>
      </c>
      <c r="D4861" s="6">
        <f t="shared" si="78"/>
        <v>52.436893203883486</v>
      </c>
      <c r="E4861" s="6">
        <v>-1.0731315352653321E-2</v>
      </c>
    </row>
    <row r="4862" spans="2:5" x14ac:dyDescent="0.3">
      <c r="B4862" s="4">
        <v>37449</v>
      </c>
      <c r="C4862" s="7">
        <v>17.510000000000002</v>
      </c>
      <c r="D4862" s="6">
        <f t="shared" si="78"/>
        <v>-0.23902651021295088</v>
      </c>
      <c r="E4862" s="6">
        <v>-1.0734463276836029E-2</v>
      </c>
    </row>
    <row r="4863" spans="2:5" x14ac:dyDescent="0.3">
      <c r="B4863" s="4">
        <v>38286</v>
      </c>
      <c r="C4863" s="7">
        <v>23.01</v>
      </c>
      <c r="D4863" s="6">
        <f t="shared" si="78"/>
        <v>-0.98125641485150128</v>
      </c>
      <c r="E4863" s="6">
        <v>-1.0748065348237317E-2</v>
      </c>
    </row>
    <row r="4864" spans="2:5" x14ac:dyDescent="0.3">
      <c r="B4864" s="4">
        <v>43237</v>
      </c>
      <c r="C4864" s="5">
        <v>1227.6199999999999</v>
      </c>
      <c r="D4864" s="6">
        <f t="shared" si="78"/>
        <v>3.9110693283193978</v>
      </c>
      <c r="E4864" s="6">
        <v>-1.0757713723941865E-2</v>
      </c>
    </row>
    <row r="4865" spans="2:5" x14ac:dyDescent="0.3">
      <c r="B4865" s="4">
        <v>40549</v>
      </c>
      <c r="C4865" s="7">
        <v>249.97</v>
      </c>
      <c r="D4865" s="6">
        <f t="shared" si="78"/>
        <v>-0.82499999999999996</v>
      </c>
      <c r="E4865" s="6">
        <v>-1.0764177450631204E-2</v>
      </c>
    </row>
    <row r="4866" spans="2:5" x14ac:dyDescent="0.3">
      <c r="B4866" s="4">
        <v>43678</v>
      </c>
      <c r="C4866" s="5">
        <v>1428.4</v>
      </c>
      <c r="D4866" s="6">
        <f t="shared" si="78"/>
        <v>3.5302886140183953</v>
      </c>
      <c r="E4866" s="6">
        <v>-1.077592177068613E-2</v>
      </c>
    </row>
    <row r="4867" spans="2:5" x14ac:dyDescent="0.3">
      <c r="B4867" s="4">
        <v>41115</v>
      </c>
      <c r="C4867" s="7">
        <v>315.3</v>
      </c>
      <c r="D4867" s="6">
        <f t="shared" si="78"/>
        <v>0.91543648624020402</v>
      </c>
      <c r="E4867" s="6">
        <v>-1.0792495450837667E-2</v>
      </c>
    </row>
    <row r="4868" spans="2:5" x14ac:dyDescent="0.3">
      <c r="B4868" s="4">
        <v>40252</v>
      </c>
      <c r="C4868" s="7">
        <v>164.61</v>
      </c>
      <c r="D4868" s="6">
        <f t="shared" si="78"/>
        <v>2.2738663484486876</v>
      </c>
      <c r="E4868" s="6">
        <v>-1.0816657652785187E-2</v>
      </c>
    </row>
    <row r="4869" spans="2:5" x14ac:dyDescent="0.3">
      <c r="B4869" s="4">
        <v>38827</v>
      </c>
      <c r="C4869" s="7">
        <v>50.28</v>
      </c>
      <c r="D4869" s="6">
        <f t="shared" si="78"/>
        <v>-0.95922372614693407</v>
      </c>
      <c r="E4869" s="6">
        <v>-1.0820381664371378E-2</v>
      </c>
    </row>
    <row r="4870" spans="2:5" x14ac:dyDescent="0.3">
      <c r="B4870" s="4">
        <v>43600</v>
      </c>
      <c r="C4870" s="5">
        <v>1233.07</v>
      </c>
      <c r="D4870" s="6">
        <f t="shared" si="78"/>
        <v>-0.4866486261448793</v>
      </c>
      <c r="E4870" s="6">
        <v>-1.0829716742742084E-2</v>
      </c>
    </row>
    <row r="4871" spans="2:5" x14ac:dyDescent="0.3">
      <c r="B4871" s="4">
        <v>46055</v>
      </c>
      <c r="C4871" s="5">
        <v>2402</v>
      </c>
      <c r="D4871" s="6">
        <f t="shared" si="78"/>
        <v>-7.911484611019956E-2</v>
      </c>
      <c r="E4871" s="6">
        <v>-1.0830622246015805E-2</v>
      </c>
    </row>
    <row r="4872" spans="2:5" x14ac:dyDescent="0.3">
      <c r="B4872" s="4">
        <v>44627</v>
      </c>
      <c r="C4872" s="5">
        <v>2608.36</v>
      </c>
      <c r="D4872" s="6">
        <f t="shared" ref="D4872:D4935" si="79">((C4872-C4873)/C4873)</f>
        <v>9.9668684830137906</v>
      </c>
      <c r="E4872" s="6">
        <v>-1.0845822462229199E-2</v>
      </c>
    </row>
    <row r="4873" spans="2:5" x14ac:dyDescent="0.3">
      <c r="B4873" s="4">
        <v>40527</v>
      </c>
      <c r="C4873" s="7">
        <v>237.84</v>
      </c>
      <c r="D4873" s="6">
        <f t="shared" si="79"/>
        <v>-0.90451068955133995</v>
      </c>
      <c r="E4873" s="6">
        <v>-1.0854647535870182E-2</v>
      </c>
    </row>
    <row r="4874" spans="2:5" x14ac:dyDescent="0.3">
      <c r="B4874" s="4">
        <v>44298</v>
      </c>
      <c r="C4874" s="5">
        <v>2490.75</v>
      </c>
      <c r="D4874" s="6">
        <f t="shared" si="79"/>
        <v>61.253186703324168</v>
      </c>
      <c r="E4874" s="6">
        <v>-1.087314793120296E-2</v>
      </c>
    </row>
    <row r="4875" spans="2:5" x14ac:dyDescent="0.3">
      <c r="B4875" s="4">
        <v>38649</v>
      </c>
      <c r="C4875" s="7">
        <v>40.01</v>
      </c>
      <c r="D4875" s="6">
        <f t="shared" si="79"/>
        <v>-0.94764459565558756</v>
      </c>
      <c r="E4875" s="6">
        <v>-1.087762669962929E-2</v>
      </c>
    </row>
    <row r="4876" spans="2:5" x14ac:dyDescent="0.3">
      <c r="B4876" s="4">
        <v>42262</v>
      </c>
      <c r="C4876" s="7">
        <v>764.2</v>
      </c>
      <c r="D4876" s="6">
        <f t="shared" si="79"/>
        <v>9.659785186218441</v>
      </c>
      <c r="E4876" s="6">
        <v>-1.0885181398118025E-2</v>
      </c>
    </row>
    <row r="4877" spans="2:5" x14ac:dyDescent="0.3">
      <c r="B4877" s="4">
        <v>39293</v>
      </c>
      <c r="C4877" s="7">
        <v>71.69</v>
      </c>
      <c r="D4877" s="6">
        <f t="shared" si="79"/>
        <v>-0.97610062473747028</v>
      </c>
      <c r="E4877" s="6">
        <v>-1.0899558498896332E-2</v>
      </c>
    </row>
    <row r="4878" spans="2:5" x14ac:dyDescent="0.3">
      <c r="B4878" s="4">
        <v>45222</v>
      </c>
      <c r="C4878" s="5">
        <v>2999.66</v>
      </c>
      <c r="D4878" s="6">
        <f t="shared" si="79"/>
        <v>182.69014084507043</v>
      </c>
      <c r="E4878" s="6">
        <v>-1.0901105278429907E-2</v>
      </c>
    </row>
    <row r="4879" spans="2:5" x14ac:dyDescent="0.3">
      <c r="B4879" s="4">
        <v>37575</v>
      </c>
      <c r="C4879" s="7">
        <v>16.329999999999998</v>
      </c>
      <c r="D4879" s="6">
        <f t="shared" si="79"/>
        <v>-0.95357762174147886</v>
      </c>
      <c r="E4879" s="6">
        <v>-1.0902483343428422E-2</v>
      </c>
    </row>
    <row r="4880" spans="2:5" x14ac:dyDescent="0.3">
      <c r="B4880" s="4">
        <v>41177</v>
      </c>
      <c r="C4880" s="7">
        <v>351.77</v>
      </c>
      <c r="D4880" s="6">
        <f t="shared" si="79"/>
        <v>4.3177626606198034</v>
      </c>
      <c r="E4880" s="6">
        <v>-1.0909602136932366E-2</v>
      </c>
    </row>
    <row r="4881" spans="2:5" x14ac:dyDescent="0.3">
      <c r="B4881" s="4">
        <v>39101</v>
      </c>
      <c r="C4881" s="7">
        <v>66.150000000000006</v>
      </c>
      <c r="D4881" s="6">
        <f t="shared" si="79"/>
        <v>-0.70667789996452646</v>
      </c>
      <c r="E4881" s="6">
        <v>-1.0915071770334775E-2</v>
      </c>
    </row>
    <row r="4882" spans="2:5" x14ac:dyDescent="0.3">
      <c r="B4882" s="4">
        <v>40595</v>
      </c>
      <c r="C4882" s="7">
        <v>225.52</v>
      </c>
      <c r="D4882" s="6">
        <f t="shared" si="79"/>
        <v>3.2287642977686106</v>
      </c>
      <c r="E4882" s="6">
        <v>-1.0920573659049958E-2</v>
      </c>
    </row>
    <row r="4883" spans="2:5" x14ac:dyDescent="0.3">
      <c r="B4883" s="4">
        <v>38770</v>
      </c>
      <c r="C4883" s="7">
        <v>53.33</v>
      </c>
      <c r="D4883" s="6">
        <f t="shared" si="79"/>
        <v>-0.97147686004781497</v>
      </c>
      <c r="E4883" s="6">
        <v>-1.0942136498516383E-2</v>
      </c>
    </row>
    <row r="4884" spans="2:5" x14ac:dyDescent="0.3">
      <c r="B4884" s="4">
        <v>44078</v>
      </c>
      <c r="C4884" s="5">
        <v>1869.71</v>
      </c>
      <c r="D4884" s="6">
        <f t="shared" si="79"/>
        <v>1.6948832516575385</v>
      </c>
      <c r="E4884" s="6">
        <v>-1.0944773592890422E-2</v>
      </c>
    </row>
    <row r="4885" spans="2:5" x14ac:dyDescent="0.3">
      <c r="B4885" s="4">
        <v>41989</v>
      </c>
      <c r="C4885" s="7">
        <v>693.8</v>
      </c>
      <c r="D4885" s="6">
        <f t="shared" si="79"/>
        <v>-0.78656576377032295</v>
      </c>
      <c r="E4885" s="6">
        <v>-1.0948280777784205E-2</v>
      </c>
    </row>
    <row r="4886" spans="2:5" x14ac:dyDescent="0.3">
      <c r="B4886" s="4">
        <v>44825</v>
      </c>
      <c r="C4886" s="5">
        <v>3250.65</v>
      </c>
      <c r="D4886" s="6">
        <f t="shared" si="79"/>
        <v>13.342157511581734</v>
      </c>
      <c r="E4886" s="6">
        <v>-1.0950393106637715E-2</v>
      </c>
    </row>
    <row r="4887" spans="2:5" x14ac:dyDescent="0.3">
      <c r="B4887" s="4">
        <v>40477</v>
      </c>
      <c r="C4887" s="7">
        <v>226.65</v>
      </c>
      <c r="D4887" s="6">
        <f t="shared" si="79"/>
        <v>1.9928694044632247</v>
      </c>
      <c r="E4887" s="6">
        <v>-1.0953045906789976E-2</v>
      </c>
    </row>
    <row r="4888" spans="2:5" x14ac:dyDescent="0.3">
      <c r="B4888" s="4">
        <v>39787</v>
      </c>
      <c r="C4888" s="7">
        <v>75.73</v>
      </c>
      <c r="D4888" s="6">
        <f t="shared" si="79"/>
        <v>-0.94168559658106499</v>
      </c>
      <c r="E4888" s="6">
        <v>-1.0970353924513378E-2</v>
      </c>
    </row>
    <row r="4889" spans="2:5" x14ac:dyDescent="0.3">
      <c r="B4889" s="4">
        <v>43342</v>
      </c>
      <c r="C4889" s="5">
        <v>1298.6500000000001</v>
      </c>
      <c r="D4889" s="6">
        <f t="shared" si="79"/>
        <v>-0.30684323176036671</v>
      </c>
      <c r="E4889" s="6">
        <v>-1.0974365223218934E-2</v>
      </c>
    </row>
    <row r="4890" spans="2:5" x14ac:dyDescent="0.3">
      <c r="B4890" s="4">
        <v>44082</v>
      </c>
      <c r="C4890" s="5">
        <v>1873.53</v>
      </c>
      <c r="D4890" s="6">
        <f t="shared" si="79"/>
        <v>-0.14715495265841233</v>
      </c>
      <c r="E4890" s="6">
        <v>-1.0974914481185842E-2</v>
      </c>
    </row>
    <row r="4891" spans="2:5" x14ac:dyDescent="0.3">
      <c r="B4891" s="4">
        <v>46094</v>
      </c>
      <c r="C4891" s="5">
        <v>2196.8000000000002</v>
      </c>
      <c r="D4891" s="6">
        <f t="shared" si="79"/>
        <v>92.880341880341888</v>
      </c>
      <c r="E4891" s="6">
        <v>-1.0985053124437079E-2</v>
      </c>
    </row>
    <row r="4892" spans="2:5" x14ac:dyDescent="0.3">
      <c r="B4892" s="4">
        <v>37908</v>
      </c>
      <c r="C4892" s="7">
        <v>23.4</v>
      </c>
      <c r="D4892" s="6">
        <f t="shared" si="79"/>
        <v>-0.93273929290025881</v>
      </c>
      <c r="E4892" s="6">
        <v>-1.0989010989011056E-2</v>
      </c>
    </row>
    <row r="4893" spans="2:5" x14ac:dyDescent="0.3">
      <c r="B4893" s="4">
        <v>41178</v>
      </c>
      <c r="C4893" s="7">
        <v>347.9</v>
      </c>
      <c r="D4893" s="6">
        <f t="shared" si="79"/>
        <v>3.4488491048593346</v>
      </c>
      <c r="E4893" s="6">
        <v>-1.1001506666287644E-2</v>
      </c>
    </row>
    <row r="4894" spans="2:5" x14ac:dyDescent="0.3">
      <c r="B4894" s="4">
        <v>39343</v>
      </c>
      <c r="C4894" s="7">
        <v>78.2</v>
      </c>
      <c r="D4894" s="6">
        <f t="shared" si="79"/>
        <v>-0.92675022012401875</v>
      </c>
      <c r="E4894" s="6">
        <v>-1.1002908814973952E-2</v>
      </c>
    </row>
    <row r="4895" spans="2:5" x14ac:dyDescent="0.3">
      <c r="B4895" s="4">
        <v>42963</v>
      </c>
      <c r="C4895" s="5">
        <v>1067.58</v>
      </c>
      <c r="D4895" s="6">
        <f t="shared" si="79"/>
        <v>44.720770877944325</v>
      </c>
      <c r="E4895" s="6">
        <v>-1.1005502751375788E-2</v>
      </c>
    </row>
    <row r="4896" spans="2:5" x14ac:dyDescent="0.3">
      <c r="B4896" s="4">
        <v>38075</v>
      </c>
      <c r="C4896" s="7">
        <v>23.35</v>
      </c>
      <c r="D4896" s="6">
        <f t="shared" si="79"/>
        <v>-0.99152022254422378</v>
      </c>
      <c r="E4896" s="6">
        <v>-1.1012282930961372E-2</v>
      </c>
    </row>
    <row r="4897" spans="2:5" x14ac:dyDescent="0.3">
      <c r="B4897" s="4">
        <v>45370</v>
      </c>
      <c r="C4897" s="5">
        <v>2753.61</v>
      </c>
      <c r="D4897" s="6">
        <f t="shared" si="79"/>
        <v>1.9370586854960858</v>
      </c>
      <c r="E4897" s="6">
        <v>-1.1029623031835434E-2</v>
      </c>
    </row>
    <row r="4898" spans="2:5" x14ac:dyDescent="0.3">
      <c r="B4898" s="4">
        <v>42789</v>
      </c>
      <c r="C4898" s="7">
        <v>937.54</v>
      </c>
      <c r="D4898" s="6">
        <f t="shared" si="79"/>
        <v>-0.43626283762657236</v>
      </c>
      <c r="E4898" s="6">
        <v>-1.1075482047171006E-2</v>
      </c>
    </row>
    <row r="4899" spans="2:5" x14ac:dyDescent="0.3">
      <c r="B4899" s="4">
        <v>44041</v>
      </c>
      <c r="C4899" s="5">
        <v>1663.08</v>
      </c>
      <c r="D4899" s="6">
        <f t="shared" si="79"/>
        <v>3.7751234638796372</v>
      </c>
      <c r="E4899" s="6">
        <v>-1.1083890302785303E-2</v>
      </c>
    </row>
    <row r="4900" spans="2:5" x14ac:dyDescent="0.3">
      <c r="B4900" s="4">
        <v>41212</v>
      </c>
      <c r="C4900" s="7">
        <v>348.28</v>
      </c>
      <c r="D4900" s="6">
        <f t="shared" si="79"/>
        <v>-0.58728729203204255</v>
      </c>
      <c r="E4900" s="6">
        <v>-1.1101962009142863E-2</v>
      </c>
    </row>
    <row r="4901" spans="2:5" x14ac:dyDescent="0.3">
      <c r="B4901" s="4">
        <v>42692</v>
      </c>
      <c r="C4901" s="7">
        <v>843.88</v>
      </c>
      <c r="D4901" s="6">
        <f t="shared" si="79"/>
        <v>12.222814164838608</v>
      </c>
      <c r="E4901" s="6">
        <v>-1.1155378486055755E-2</v>
      </c>
    </row>
    <row r="4902" spans="2:5" x14ac:dyDescent="0.3">
      <c r="B4902" s="4">
        <v>39891</v>
      </c>
      <c r="C4902" s="7">
        <v>63.82</v>
      </c>
      <c r="D4902" s="6">
        <f t="shared" si="79"/>
        <v>3.0113136392206159</v>
      </c>
      <c r="E4902" s="6">
        <v>-1.1155872327239013E-2</v>
      </c>
    </row>
    <row r="4903" spans="2:5" x14ac:dyDescent="0.3">
      <c r="B4903" s="4">
        <v>37678</v>
      </c>
      <c r="C4903" s="7">
        <v>15.91</v>
      </c>
      <c r="D4903" s="6">
        <f t="shared" si="79"/>
        <v>-0.9631730012499421</v>
      </c>
      <c r="E4903" s="6">
        <v>-1.1187072715972636E-2</v>
      </c>
    </row>
    <row r="4904" spans="2:5" x14ac:dyDescent="0.3">
      <c r="B4904" s="4">
        <v>41669</v>
      </c>
      <c r="C4904" s="7">
        <v>432.02</v>
      </c>
      <c r="D4904" s="6">
        <f t="shared" si="79"/>
        <v>-0.45623662680931404</v>
      </c>
      <c r="E4904" s="6">
        <v>-1.1192236387356762E-2</v>
      </c>
    </row>
    <row r="4905" spans="2:5" x14ac:dyDescent="0.3">
      <c r="B4905" s="4">
        <v>42485</v>
      </c>
      <c r="C4905" s="7">
        <v>794.5</v>
      </c>
      <c r="D4905" s="6">
        <f t="shared" si="79"/>
        <v>2.3948639063367945</v>
      </c>
      <c r="E4905" s="6">
        <v>-1.1237912710166357E-2</v>
      </c>
    </row>
    <row r="4906" spans="2:5" x14ac:dyDescent="0.3">
      <c r="B4906" s="4">
        <v>40668</v>
      </c>
      <c r="C4906" s="7">
        <v>234.03</v>
      </c>
      <c r="D4906" s="6">
        <f t="shared" si="79"/>
        <v>-0.8017820390117476</v>
      </c>
      <c r="E4906" s="6">
        <v>-1.12383286154886E-2</v>
      </c>
    </row>
    <row r="4907" spans="2:5" x14ac:dyDescent="0.3">
      <c r="B4907" s="4">
        <v>43276</v>
      </c>
      <c r="C4907" s="5">
        <v>1180.67</v>
      </c>
      <c r="D4907" s="6">
        <f t="shared" si="79"/>
        <v>-0.12581168230180872</v>
      </c>
      <c r="E4907" s="6">
        <v>-1.1238683851300862E-2</v>
      </c>
    </row>
    <row r="4908" spans="2:5" x14ac:dyDescent="0.3">
      <c r="B4908" s="4">
        <v>43307</v>
      </c>
      <c r="C4908" s="5">
        <v>1350.59</v>
      </c>
      <c r="D4908" s="6">
        <f t="shared" si="79"/>
        <v>79.873652694610769</v>
      </c>
      <c r="E4908" s="6">
        <v>-1.1244921117171293E-2</v>
      </c>
    </row>
    <row r="4909" spans="2:5" x14ac:dyDescent="0.3">
      <c r="B4909" s="4">
        <v>37543</v>
      </c>
      <c r="C4909" s="7">
        <v>16.7</v>
      </c>
      <c r="D4909" s="6">
        <f t="shared" si="79"/>
        <v>-0.98410946390850096</v>
      </c>
      <c r="E4909" s="6">
        <v>-1.1249259917110791E-2</v>
      </c>
    </row>
    <row r="4910" spans="2:5" x14ac:dyDescent="0.3">
      <c r="B4910" s="4">
        <v>43073</v>
      </c>
      <c r="C4910" s="5">
        <v>1050.94</v>
      </c>
      <c r="D4910" s="6">
        <f t="shared" si="79"/>
        <v>0.34685821937997424</v>
      </c>
      <c r="E4910" s="6">
        <v>-1.1252234452911878E-2</v>
      </c>
    </row>
    <row r="4911" spans="2:5" x14ac:dyDescent="0.3">
      <c r="B4911" s="4">
        <v>42247</v>
      </c>
      <c r="C4911" s="7">
        <v>780.29</v>
      </c>
      <c r="D4911" s="6">
        <f t="shared" si="79"/>
        <v>-0.73142717497556209</v>
      </c>
      <c r="E4911" s="6">
        <v>-1.1252328395656191E-2</v>
      </c>
    </row>
    <row r="4912" spans="2:5" x14ac:dyDescent="0.3">
      <c r="B4912" s="4">
        <v>44643</v>
      </c>
      <c r="C4912" s="5">
        <v>2905.32</v>
      </c>
      <c r="D4912" s="6">
        <f t="shared" si="79"/>
        <v>182.99746675110831</v>
      </c>
      <c r="E4912" s="6">
        <v>-1.1257827389055243E-2</v>
      </c>
    </row>
    <row r="4913" spans="2:5" x14ac:dyDescent="0.3">
      <c r="B4913" s="4">
        <v>37680</v>
      </c>
      <c r="C4913" s="7">
        <v>15.79</v>
      </c>
      <c r="D4913" s="6">
        <f t="shared" si="79"/>
        <v>-0.99482145668258382</v>
      </c>
      <c r="E4913" s="6">
        <v>-1.1271133375078365E-2</v>
      </c>
    </row>
    <row r="4914" spans="2:5" x14ac:dyDescent="0.3">
      <c r="B4914" s="4">
        <v>44897</v>
      </c>
      <c r="C4914" s="5">
        <v>3049.12</v>
      </c>
      <c r="D4914" s="6">
        <f t="shared" si="79"/>
        <v>40.484625850340137</v>
      </c>
      <c r="E4914" s="6">
        <v>-1.1293957424731247E-2</v>
      </c>
    </row>
    <row r="4915" spans="2:5" x14ac:dyDescent="0.3">
      <c r="B4915" s="4">
        <v>39794</v>
      </c>
      <c r="C4915" s="7">
        <v>73.5</v>
      </c>
      <c r="D4915" s="6">
        <f t="shared" si="79"/>
        <v>-0.84997856836690955</v>
      </c>
      <c r="E4915" s="6">
        <v>-1.1299435028248633E-2</v>
      </c>
    </row>
    <row r="4916" spans="2:5" x14ac:dyDescent="0.3">
      <c r="B4916" s="4">
        <v>41739</v>
      </c>
      <c r="C4916" s="7">
        <v>489.93</v>
      </c>
      <c r="D4916" s="6">
        <f t="shared" si="79"/>
        <v>-0.53906294101044305</v>
      </c>
      <c r="E4916" s="6">
        <v>-1.1320983169875315E-2</v>
      </c>
    </row>
    <row r="4917" spans="2:5" x14ac:dyDescent="0.3">
      <c r="B4917" s="4">
        <v>43070</v>
      </c>
      <c r="C4917" s="5">
        <v>1062.9000000000001</v>
      </c>
      <c r="D4917" s="6">
        <f t="shared" si="79"/>
        <v>2.2575316436299002</v>
      </c>
      <c r="E4917" s="6">
        <v>-1.132938944078565E-2</v>
      </c>
    </row>
    <row r="4918" spans="2:5" x14ac:dyDescent="0.3">
      <c r="B4918" s="4">
        <v>41157</v>
      </c>
      <c r="C4918" s="7">
        <v>326.29000000000002</v>
      </c>
      <c r="D4918" s="6">
        <f t="shared" si="79"/>
        <v>0.35592586436170232</v>
      </c>
      <c r="E4918" s="6">
        <v>-1.1332303123958285E-2</v>
      </c>
    </row>
    <row r="4919" spans="2:5" x14ac:dyDescent="0.3">
      <c r="B4919" s="4">
        <v>40665</v>
      </c>
      <c r="C4919" s="7">
        <v>240.64</v>
      </c>
      <c r="D4919" s="6">
        <f t="shared" si="79"/>
        <v>-0.15467032001967199</v>
      </c>
      <c r="E4919" s="6">
        <v>-1.1339359079704269E-2</v>
      </c>
    </row>
    <row r="4920" spans="2:5" x14ac:dyDescent="0.3">
      <c r="B4920" s="4">
        <v>40793</v>
      </c>
      <c r="C4920" s="7">
        <v>284.67</v>
      </c>
      <c r="D4920" s="6">
        <f t="shared" si="79"/>
        <v>-0.90383517496951249</v>
      </c>
      <c r="E4920" s="6">
        <v>-1.1390866469873147E-2</v>
      </c>
    </row>
    <row r="4921" spans="2:5" x14ac:dyDescent="0.3">
      <c r="B4921" s="4">
        <v>44431</v>
      </c>
      <c r="C4921" s="5">
        <v>2960.23</v>
      </c>
      <c r="D4921" s="6">
        <f t="shared" si="79"/>
        <v>120.97074577667902</v>
      </c>
      <c r="E4921" s="6">
        <v>-1.1404698134505337E-2</v>
      </c>
    </row>
    <row r="4922" spans="2:5" x14ac:dyDescent="0.3">
      <c r="B4922" s="4">
        <v>38267</v>
      </c>
      <c r="C4922" s="7">
        <v>24.27</v>
      </c>
      <c r="D4922" s="6">
        <f t="shared" si="79"/>
        <v>-0.97988279469177653</v>
      </c>
      <c r="E4922" s="6">
        <v>-1.1405295315682327E-2</v>
      </c>
    </row>
    <row r="4923" spans="2:5" x14ac:dyDescent="0.3">
      <c r="B4923" s="4">
        <v>43242</v>
      </c>
      <c r="C4923" s="5">
        <v>1206.43</v>
      </c>
      <c r="D4923" s="6">
        <f t="shared" si="79"/>
        <v>0.48826221580745849</v>
      </c>
      <c r="E4923" s="6">
        <v>-1.1406563690744333E-2</v>
      </c>
    </row>
    <row r="4924" spans="2:5" x14ac:dyDescent="0.3">
      <c r="B4924" s="4">
        <v>42384</v>
      </c>
      <c r="C4924" s="7">
        <v>810.63</v>
      </c>
      <c r="D4924" s="6">
        <f t="shared" si="79"/>
        <v>-0.61500137731888249</v>
      </c>
      <c r="E4924" s="6">
        <v>-1.141477335089454E-2</v>
      </c>
    </row>
    <row r="4925" spans="2:5" x14ac:dyDescent="0.3">
      <c r="B4925" s="4">
        <v>44145</v>
      </c>
      <c r="C4925" s="5">
        <v>2105.54</v>
      </c>
      <c r="D4925" s="6">
        <f t="shared" si="79"/>
        <v>-0.33452172126613883</v>
      </c>
      <c r="E4925" s="6">
        <v>-1.1437156674022314E-2</v>
      </c>
    </row>
    <row r="4926" spans="2:5" x14ac:dyDescent="0.3">
      <c r="B4926" s="4">
        <v>45183</v>
      </c>
      <c r="C4926" s="5">
        <v>3163.95</v>
      </c>
      <c r="D4926" s="6">
        <f t="shared" si="79"/>
        <v>1.4344256618987894</v>
      </c>
      <c r="E4926" s="6">
        <v>-1.1441711945059893E-2</v>
      </c>
    </row>
    <row r="4927" spans="2:5" x14ac:dyDescent="0.3">
      <c r="B4927" s="4">
        <v>43665</v>
      </c>
      <c r="C4927" s="5">
        <v>1299.67</v>
      </c>
      <c r="D4927" s="6">
        <f t="shared" si="79"/>
        <v>78.248170731707319</v>
      </c>
      <c r="E4927" s="6">
        <v>-1.1447304368991081E-2</v>
      </c>
    </row>
    <row r="4928" spans="2:5" x14ac:dyDescent="0.3">
      <c r="B4928" s="4">
        <v>37606</v>
      </c>
      <c r="C4928" s="7">
        <v>16.399999999999999</v>
      </c>
      <c r="D4928" s="6">
        <f t="shared" si="79"/>
        <v>-0.98688367257167986</v>
      </c>
      <c r="E4928" s="6">
        <v>-1.1452682338758366E-2</v>
      </c>
    </row>
    <row r="4929" spans="2:5" x14ac:dyDescent="0.3">
      <c r="B4929" s="4">
        <v>43432</v>
      </c>
      <c r="C4929" s="5">
        <v>1250.3499999999999</v>
      </c>
      <c r="D4929" s="6">
        <f t="shared" si="79"/>
        <v>1.0858286762865956</v>
      </c>
      <c r="E4929" s="6">
        <v>-1.1455994434078626E-2</v>
      </c>
    </row>
    <row r="4930" spans="2:5" x14ac:dyDescent="0.3">
      <c r="B4930" s="4">
        <v>41925</v>
      </c>
      <c r="C4930" s="7">
        <v>599.45000000000005</v>
      </c>
      <c r="D4930" s="6">
        <f t="shared" si="79"/>
        <v>0.9759048058540446</v>
      </c>
      <c r="E4930" s="6">
        <v>-1.1461081794195138E-2</v>
      </c>
    </row>
    <row r="4931" spans="2:5" x14ac:dyDescent="0.3">
      <c r="B4931" s="4">
        <v>41024</v>
      </c>
      <c r="C4931" s="7">
        <v>303.38</v>
      </c>
      <c r="D4931" s="6">
        <f t="shared" si="79"/>
        <v>2.9140756031479809</v>
      </c>
      <c r="E4931" s="6">
        <v>-1.1469534050179152E-2</v>
      </c>
    </row>
    <row r="4932" spans="2:5" x14ac:dyDescent="0.3">
      <c r="B4932" s="4">
        <v>39316</v>
      </c>
      <c r="C4932" s="7">
        <v>77.510000000000005</v>
      </c>
      <c r="D4932" s="6">
        <f t="shared" si="79"/>
        <v>-0.96721262933477714</v>
      </c>
      <c r="E4932" s="6">
        <v>-1.1478127789822618E-2</v>
      </c>
    </row>
    <row r="4933" spans="2:5" x14ac:dyDescent="0.3">
      <c r="B4933" s="4">
        <v>45638</v>
      </c>
      <c r="C4933" s="5">
        <v>2364.02</v>
      </c>
      <c r="D4933" s="6">
        <f t="shared" si="79"/>
        <v>-0.23289689299910765</v>
      </c>
      <c r="E4933" s="6">
        <v>-1.1478295776237971E-2</v>
      </c>
    </row>
    <row r="4934" spans="2:5" x14ac:dyDescent="0.3">
      <c r="B4934" s="4">
        <v>44683</v>
      </c>
      <c r="C4934" s="5">
        <v>3081.75</v>
      </c>
      <c r="D4934" s="6">
        <f t="shared" si="79"/>
        <v>10.376808919078558</v>
      </c>
      <c r="E4934" s="6">
        <v>-1.1489717953406069E-2</v>
      </c>
    </row>
    <row r="4935" spans="2:5" x14ac:dyDescent="0.3">
      <c r="B4935" s="4">
        <v>40707</v>
      </c>
      <c r="C4935" s="7">
        <v>270.88</v>
      </c>
      <c r="D4935" s="6">
        <f t="shared" si="79"/>
        <v>4.2557237097400078</v>
      </c>
      <c r="E4935" s="6">
        <v>-1.1495091778272371E-2</v>
      </c>
    </row>
    <row r="4936" spans="2:5" x14ac:dyDescent="0.3">
      <c r="B4936" s="4">
        <v>38811</v>
      </c>
      <c r="C4936" s="7">
        <v>51.54</v>
      </c>
      <c r="D4936" s="6">
        <f t="shared" ref="D4936:D4999" si="80">((C4936-C4937)/C4937)</f>
        <v>-0.98406362183104468</v>
      </c>
      <c r="E4936" s="6">
        <v>-1.1507479861910268E-2</v>
      </c>
    </row>
    <row r="4937" spans="2:5" x14ac:dyDescent="0.3">
      <c r="B4937" s="4">
        <v>45553</v>
      </c>
      <c r="C4937" s="5">
        <v>3234.11</v>
      </c>
      <c r="D4937" s="6">
        <f t="shared" si="80"/>
        <v>1.4646471574455113</v>
      </c>
      <c r="E4937" s="6">
        <v>-1.1516631568651972E-2</v>
      </c>
    </row>
    <row r="4938" spans="2:5" x14ac:dyDescent="0.3">
      <c r="B4938" s="4">
        <v>43481</v>
      </c>
      <c r="C4938" s="5">
        <v>1312.2</v>
      </c>
      <c r="D4938" s="6">
        <f t="shared" si="80"/>
        <v>2.2702803738317758</v>
      </c>
      <c r="E4938" s="6">
        <v>-1.151797753655392E-2</v>
      </c>
    </row>
    <row r="4939" spans="2:5" x14ac:dyDescent="0.3">
      <c r="B4939" s="4">
        <v>41438</v>
      </c>
      <c r="C4939" s="7">
        <v>401.25</v>
      </c>
      <c r="D4939" s="6">
        <f t="shared" si="80"/>
        <v>17.009425493716339</v>
      </c>
      <c r="E4939" s="6">
        <v>-1.1529081368708907E-2</v>
      </c>
    </row>
    <row r="4940" spans="2:5" x14ac:dyDescent="0.3">
      <c r="B4940" s="4">
        <v>38142</v>
      </c>
      <c r="C4940" s="7">
        <v>22.28</v>
      </c>
      <c r="D4940" s="6">
        <f t="shared" si="80"/>
        <v>-3.6748811067877127E-2</v>
      </c>
      <c r="E4940" s="6">
        <v>-1.1535048802129459E-2</v>
      </c>
    </row>
    <row r="4941" spans="2:5" x14ac:dyDescent="0.3">
      <c r="B4941" s="4">
        <v>37909</v>
      </c>
      <c r="C4941" s="7">
        <v>23.13</v>
      </c>
      <c r="D4941" s="6">
        <f t="shared" si="80"/>
        <v>-0.47010309278350515</v>
      </c>
      <c r="E4941" s="6">
        <v>-1.1538461538461522E-2</v>
      </c>
    </row>
    <row r="4942" spans="2:5" x14ac:dyDescent="0.3">
      <c r="B4942" s="4">
        <v>38882</v>
      </c>
      <c r="C4942" s="7">
        <v>43.65</v>
      </c>
      <c r="D4942" s="6">
        <f t="shared" si="80"/>
        <v>-0.88854560310489228</v>
      </c>
      <c r="E4942" s="6">
        <v>-1.1548913043478217E-2</v>
      </c>
    </row>
    <row r="4943" spans="2:5" x14ac:dyDescent="0.3">
      <c r="B4943" s="4">
        <v>41276</v>
      </c>
      <c r="C4943" s="7">
        <v>391.64</v>
      </c>
      <c r="D4943" s="6">
        <f t="shared" si="80"/>
        <v>0.49304258320308025</v>
      </c>
      <c r="E4943" s="6">
        <v>-1.1559234768563022E-2</v>
      </c>
    </row>
    <row r="4944" spans="2:5" x14ac:dyDescent="0.3">
      <c r="B4944" s="4">
        <v>40946</v>
      </c>
      <c r="C4944" s="7">
        <v>262.31</v>
      </c>
      <c r="D4944" s="6">
        <f t="shared" si="80"/>
        <v>-0.74700770618134127</v>
      </c>
      <c r="E4944" s="6">
        <v>-1.1568317130152963E-2</v>
      </c>
    </row>
    <row r="4945" spans="2:5" x14ac:dyDescent="0.3">
      <c r="B4945" s="4">
        <v>43164</v>
      </c>
      <c r="C4945" s="5">
        <v>1036.83</v>
      </c>
      <c r="D4945" s="6">
        <f t="shared" si="80"/>
        <v>1.1511858189516361E-2</v>
      </c>
      <c r="E4945" s="6">
        <v>-1.1573257576479879E-2</v>
      </c>
    </row>
    <row r="4946" spans="2:5" x14ac:dyDescent="0.3">
      <c r="B4946" s="4">
        <v>42607</v>
      </c>
      <c r="C4946" s="5">
        <v>1025.03</v>
      </c>
      <c r="D4946" s="6">
        <f t="shared" si="80"/>
        <v>-0.66974359965718788</v>
      </c>
      <c r="E4946" s="6">
        <v>-1.1581038339890449E-2</v>
      </c>
    </row>
    <row r="4947" spans="2:5" x14ac:dyDescent="0.3">
      <c r="B4947" s="4">
        <v>45082</v>
      </c>
      <c r="C4947" s="5">
        <v>3103.74</v>
      </c>
      <c r="D4947" s="6">
        <f t="shared" si="80"/>
        <v>-3.5857068747534394E-2</v>
      </c>
      <c r="E4947" s="6">
        <v>-1.1582396795016844E-2</v>
      </c>
    </row>
    <row r="4948" spans="2:5" x14ac:dyDescent="0.3">
      <c r="B4948" s="4">
        <v>44799</v>
      </c>
      <c r="C4948" s="5">
        <v>3219.17</v>
      </c>
      <c r="D4948" s="6">
        <f t="shared" si="80"/>
        <v>82.898097471983334</v>
      </c>
      <c r="E4948" s="6">
        <v>-1.1584635696521238E-2</v>
      </c>
    </row>
    <row r="4949" spans="2:5" x14ac:dyDescent="0.3">
      <c r="B4949" s="4">
        <v>38596</v>
      </c>
      <c r="C4949" s="7">
        <v>38.369999999999997</v>
      </c>
      <c r="D4949" s="6">
        <f t="shared" si="80"/>
        <v>1.3714462299134733</v>
      </c>
      <c r="E4949" s="6">
        <v>-1.1591962905718775E-2</v>
      </c>
    </row>
    <row r="4950" spans="2:5" x14ac:dyDescent="0.3">
      <c r="B4950" s="4">
        <v>37734</v>
      </c>
      <c r="C4950" s="7">
        <v>16.18</v>
      </c>
      <c r="D4950" s="6">
        <f t="shared" si="80"/>
        <v>-0.90245960935616099</v>
      </c>
      <c r="E4950" s="6">
        <v>-1.1606597434331171E-2</v>
      </c>
    </row>
    <row r="4951" spans="2:5" x14ac:dyDescent="0.3">
      <c r="B4951" s="4">
        <v>40225</v>
      </c>
      <c r="C4951" s="7">
        <v>165.88</v>
      </c>
      <c r="D4951" s="6">
        <f t="shared" si="80"/>
        <v>1.4684523809523808</v>
      </c>
      <c r="E4951" s="6">
        <v>-1.1618900077459434E-2</v>
      </c>
    </row>
    <row r="4952" spans="2:5" x14ac:dyDescent="0.3">
      <c r="B4952" s="4">
        <v>39903</v>
      </c>
      <c r="C4952" s="7">
        <v>67.2</v>
      </c>
      <c r="D4952" s="6">
        <f t="shared" si="80"/>
        <v>-0.93743191530962822</v>
      </c>
      <c r="E4952" s="6">
        <v>-1.161935578761571E-2</v>
      </c>
    </row>
    <row r="4953" spans="2:5" x14ac:dyDescent="0.3">
      <c r="B4953" s="4">
        <v>42948</v>
      </c>
      <c r="C4953" s="5">
        <v>1074.03</v>
      </c>
      <c r="D4953" s="6">
        <f t="shared" si="80"/>
        <v>5.5509606587374201</v>
      </c>
      <c r="E4953" s="6">
        <v>-1.1622770691844834E-2</v>
      </c>
    </row>
    <row r="4954" spans="2:5" x14ac:dyDescent="0.3">
      <c r="B4954" s="4">
        <v>40226</v>
      </c>
      <c r="C4954" s="7">
        <v>163.95</v>
      </c>
      <c r="D4954" s="6">
        <f t="shared" si="80"/>
        <v>-0.9028219855255436</v>
      </c>
      <c r="E4954" s="6">
        <v>-1.1634916807330642E-2</v>
      </c>
    </row>
    <row r="4955" spans="2:5" x14ac:dyDescent="0.3">
      <c r="B4955" s="4">
        <v>43780</v>
      </c>
      <c r="C4955" s="5">
        <v>1687.11</v>
      </c>
      <c r="D4955" s="6">
        <f t="shared" si="80"/>
        <v>18.123894808433462</v>
      </c>
      <c r="E4955" s="6">
        <v>-1.1640441012782879E-2</v>
      </c>
    </row>
    <row r="4956" spans="2:5" x14ac:dyDescent="0.3">
      <c r="B4956" s="4">
        <v>39644</v>
      </c>
      <c r="C4956" s="7">
        <v>88.22</v>
      </c>
      <c r="D4956" s="6">
        <f t="shared" si="80"/>
        <v>-0.97264606387959562</v>
      </c>
      <c r="E4956" s="6">
        <v>-1.1651355590410107E-2</v>
      </c>
    </row>
    <row r="4957" spans="2:5" x14ac:dyDescent="0.3">
      <c r="B4957" s="4">
        <v>45280</v>
      </c>
      <c r="C4957" s="5">
        <v>3225.13</v>
      </c>
      <c r="D4957" s="6">
        <f t="shared" si="80"/>
        <v>49.071883247942871</v>
      </c>
      <c r="E4957" s="6">
        <v>-1.1660404881128142E-2</v>
      </c>
    </row>
    <row r="4958" spans="2:5" x14ac:dyDescent="0.3">
      <c r="B4958" s="4">
        <v>39118</v>
      </c>
      <c r="C4958" s="7">
        <v>64.41</v>
      </c>
      <c r="D4958" s="6">
        <f t="shared" si="80"/>
        <v>1.8163533012680364</v>
      </c>
      <c r="E4958" s="6">
        <v>-1.1661807580175005E-2</v>
      </c>
    </row>
    <row r="4959" spans="2:5" x14ac:dyDescent="0.3">
      <c r="B4959" s="4">
        <v>37893</v>
      </c>
      <c r="C4959" s="7">
        <v>22.87</v>
      </c>
      <c r="D4959" s="6">
        <f t="shared" si="80"/>
        <v>-0.99247392859610961</v>
      </c>
      <c r="E4959" s="6">
        <v>-1.1668107173725132E-2</v>
      </c>
    </row>
    <row r="4960" spans="2:5" x14ac:dyDescent="0.3">
      <c r="B4960" s="4">
        <v>45215</v>
      </c>
      <c r="C4960" s="5">
        <v>3038.77</v>
      </c>
      <c r="D4960" s="6">
        <f t="shared" si="80"/>
        <v>17.986379256482348</v>
      </c>
      <c r="E4960" s="6">
        <v>-1.1669620932463893E-2</v>
      </c>
    </row>
    <row r="4961" spans="2:5" x14ac:dyDescent="0.3">
      <c r="B4961" s="4">
        <v>40197</v>
      </c>
      <c r="C4961" s="7">
        <v>160.05000000000001</v>
      </c>
      <c r="D4961" s="6">
        <f t="shared" si="80"/>
        <v>-0.27263224868205771</v>
      </c>
      <c r="E4961" s="6">
        <v>-1.167098925527965E-2</v>
      </c>
    </row>
    <row r="4962" spans="2:5" x14ac:dyDescent="0.3">
      <c r="B4962" s="4">
        <v>40606</v>
      </c>
      <c r="C4962" s="7">
        <v>220.04</v>
      </c>
      <c r="D4962" s="6">
        <f t="shared" si="80"/>
        <v>-0.80041904381819673</v>
      </c>
      <c r="E4962" s="6">
        <v>-1.1678045274883194E-2</v>
      </c>
    </row>
    <row r="4963" spans="2:5" x14ac:dyDescent="0.3">
      <c r="B4963" s="4">
        <v>43122</v>
      </c>
      <c r="C4963" s="5">
        <v>1102.51</v>
      </c>
      <c r="D4963" s="6">
        <f t="shared" si="80"/>
        <v>-0.17791232635652551</v>
      </c>
      <c r="E4963" s="6">
        <v>-1.1680441759148012E-2</v>
      </c>
    </row>
    <row r="4964" spans="2:5" x14ac:dyDescent="0.3">
      <c r="B4964" s="4">
        <v>43630</v>
      </c>
      <c r="C4964" s="5">
        <v>1341.11</v>
      </c>
      <c r="D4964" s="6">
        <f t="shared" si="80"/>
        <v>-0.57790094547468873</v>
      </c>
      <c r="E4964" s="6">
        <v>-1.1680521164957063E-2</v>
      </c>
    </row>
    <row r="4965" spans="2:5" x14ac:dyDescent="0.3">
      <c r="B4965" s="4">
        <v>44456</v>
      </c>
      <c r="C4965" s="5">
        <v>3177.24</v>
      </c>
      <c r="D4965" s="6">
        <f t="shared" si="80"/>
        <v>1.0562397664981844</v>
      </c>
      <c r="E4965" s="6">
        <v>-1.1683463979096802E-2</v>
      </c>
    </row>
    <row r="4966" spans="2:5" x14ac:dyDescent="0.3">
      <c r="B4966" s="4">
        <v>43997</v>
      </c>
      <c r="C4966" s="5">
        <v>1545.17</v>
      </c>
      <c r="D4966" s="6">
        <f t="shared" si="80"/>
        <v>-0.45969298552346322</v>
      </c>
      <c r="E4966" s="6">
        <v>-1.1692091208545186E-2</v>
      </c>
    </row>
    <row r="4967" spans="2:5" x14ac:dyDescent="0.3">
      <c r="B4967" s="4">
        <v>45981</v>
      </c>
      <c r="C4967" s="5">
        <v>2859.8</v>
      </c>
      <c r="D4967" s="6">
        <f t="shared" si="80"/>
        <v>-0.10053059825188781</v>
      </c>
      <c r="E4967" s="6">
        <v>-1.1715105228599938E-2</v>
      </c>
    </row>
    <row r="4968" spans="2:5" x14ac:dyDescent="0.3">
      <c r="B4968" s="4">
        <v>45169</v>
      </c>
      <c r="C4968" s="5">
        <v>3179.43</v>
      </c>
      <c r="D4968" s="6">
        <f t="shared" si="80"/>
        <v>6.2136078010843754E-2</v>
      </c>
      <c r="E4968" s="6">
        <v>-1.1715447356641984E-2</v>
      </c>
    </row>
    <row r="4969" spans="2:5" x14ac:dyDescent="0.3">
      <c r="B4969" s="4">
        <v>44510</v>
      </c>
      <c r="C4969" s="5">
        <v>2993.43</v>
      </c>
      <c r="D4969" s="6">
        <f t="shared" si="80"/>
        <v>34.879539733908665</v>
      </c>
      <c r="E4969" s="6">
        <v>-1.1717047660552354E-2</v>
      </c>
    </row>
    <row r="4970" spans="2:5" x14ac:dyDescent="0.3">
      <c r="B4970" s="4">
        <v>39409</v>
      </c>
      <c r="C4970" s="7">
        <v>83.43</v>
      </c>
      <c r="D4970" s="6">
        <f t="shared" si="80"/>
        <v>-0.96710225390766713</v>
      </c>
      <c r="E4970" s="6">
        <v>-1.1727078891257936E-2</v>
      </c>
    </row>
    <row r="4971" spans="2:5" x14ac:dyDescent="0.3">
      <c r="B4971" s="4">
        <v>45902</v>
      </c>
      <c r="C4971" s="5">
        <v>2536.04</v>
      </c>
      <c r="D4971" s="6">
        <f t="shared" si="80"/>
        <v>-0.15126404776407121</v>
      </c>
      <c r="E4971" s="6">
        <v>-1.1752786220871272E-2</v>
      </c>
    </row>
    <row r="4972" spans="2:5" x14ac:dyDescent="0.3">
      <c r="B4972" s="4">
        <v>44859</v>
      </c>
      <c r="C4972" s="5">
        <v>2988.02</v>
      </c>
      <c r="D4972" s="6">
        <f t="shared" si="80"/>
        <v>1.330785191656656</v>
      </c>
      <c r="E4972" s="6">
        <v>-1.1773966305289657E-2</v>
      </c>
    </row>
    <row r="4973" spans="2:5" x14ac:dyDescent="0.3">
      <c r="B4973" s="4">
        <v>43606</v>
      </c>
      <c r="C4973" s="5">
        <v>1281.98</v>
      </c>
      <c r="D4973" s="6">
        <f t="shared" si="80"/>
        <v>4.4874582655594564</v>
      </c>
      <c r="E4973" s="6">
        <v>-1.1793907252096661E-2</v>
      </c>
    </row>
    <row r="4974" spans="2:5" x14ac:dyDescent="0.3">
      <c r="B4974" s="4">
        <v>40486</v>
      </c>
      <c r="C4974" s="7">
        <v>233.62</v>
      </c>
      <c r="D4974" s="6">
        <f t="shared" si="80"/>
        <v>-0.90065191598661298</v>
      </c>
      <c r="E4974" s="6">
        <v>-1.1801531238103262E-2</v>
      </c>
    </row>
    <row r="4975" spans="2:5" x14ac:dyDescent="0.3">
      <c r="B4975" s="4">
        <v>44242</v>
      </c>
      <c r="C4975" s="5">
        <v>2351.5300000000002</v>
      </c>
      <c r="D4975" s="6">
        <f t="shared" si="80"/>
        <v>7.3125243027325126</v>
      </c>
      <c r="E4975" s="6">
        <v>-1.1804405745455028E-2</v>
      </c>
    </row>
    <row r="4976" spans="2:5" x14ac:dyDescent="0.3">
      <c r="B4976" s="4">
        <v>40731</v>
      </c>
      <c r="C4976" s="7">
        <v>282.89</v>
      </c>
      <c r="D4976" s="6">
        <f t="shared" si="80"/>
        <v>-0.27927950880232355</v>
      </c>
      <c r="E4976" s="6">
        <v>-1.1807035316309762E-2</v>
      </c>
    </row>
    <row r="4977" spans="2:5" x14ac:dyDescent="0.3">
      <c r="B4977" s="4">
        <v>41500</v>
      </c>
      <c r="C4977" s="7">
        <v>392.51</v>
      </c>
      <c r="D4977" s="6">
        <f t="shared" si="80"/>
        <v>-0.87730880197051109</v>
      </c>
      <c r="E4977" s="6">
        <v>-1.1832531910072729E-2</v>
      </c>
    </row>
    <row r="4978" spans="2:5" x14ac:dyDescent="0.3">
      <c r="B4978" s="4">
        <v>44837</v>
      </c>
      <c r="C4978" s="5">
        <v>3199.17</v>
      </c>
      <c r="D4978" s="6">
        <f t="shared" si="80"/>
        <v>105.46156405990016</v>
      </c>
      <c r="E4978" s="6">
        <v>-1.1833277734534251E-2</v>
      </c>
    </row>
    <row r="4979" spans="2:5" x14ac:dyDescent="0.3">
      <c r="B4979" s="4">
        <v>38484</v>
      </c>
      <c r="C4979" s="7">
        <v>30.05</v>
      </c>
      <c r="D4979" s="6">
        <f t="shared" si="80"/>
        <v>-0.199733688415446</v>
      </c>
      <c r="E4979" s="6">
        <v>-1.1838211114764862E-2</v>
      </c>
    </row>
    <row r="4980" spans="2:5" x14ac:dyDescent="0.3">
      <c r="B4980" s="4">
        <v>38589</v>
      </c>
      <c r="C4980" s="7">
        <v>37.549999999999997</v>
      </c>
      <c r="D4980" s="6">
        <f t="shared" si="80"/>
        <v>-0.95416539517851695</v>
      </c>
      <c r="E4980" s="6">
        <v>-1.184210526315797E-2</v>
      </c>
    </row>
    <row r="4981" spans="2:5" x14ac:dyDescent="0.3">
      <c r="B4981" s="4">
        <v>42408</v>
      </c>
      <c r="C4981" s="7">
        <v>819.25</v>
      </c>
      <c r="D4981" s="6">
        <f t="shared" si="80"/>
        <v>10.553377520801016</v>
      </c>
      <c r="E4981" s="6">
        <v>-1.1844596958037379E-2</v>
      </c>
    </row>
    <row r="4982" spans="2:5" x14ac:dyDescent="0.3">
      <c r="B4982" s="4">
        <v>39247</v>
      </c>
      <c r="C4982" s="7">
        <v>70.91</v>
      </c>
      <c r="D4982" s="6">
        <f t="shared" si="80"/>
        <v>-0.68863616404672001</v>
      </c>
      <c r="E4982" s="6">
        <v>-1.184503901895218E-2</v>
      </c>
    </row>
    <row r="4983" spans="2:5" x14ac:dyDescent="0.3">
      <c r="B4983" s="4">
        <v>40471</v>
      </c>
      <c r="C4983" s="7">
        <v>227.74</v>
      </c>
      <c r="D4983" s="6">
        <f t="shared" si="80"/>
        <v>-0.93074906799812696</v>
      </c>
      <c r="E4983" s="6">
        <v>-1.1845359482795982E-2</v>
      </c>
    </row>
    <row r="4984" spans="2:5" x14ac:dyDescent="0.3">
      <c r="B4984" s="4">
        <v>44827</v>
      </c>
      <c r="C4984" s="5">
        <v>3288.62</v>
      </c>
      <c r="D4984" s="6">
        <f t="shared" si="80"/>
        <v>5.1916255601159769</v>
      </c>
      <c r="E4984" s="6">
        <v>-1.1859655237688961E-2</v>
      </c>
    </row>
    <row r="4985" spans="2:5" x14ac:dyDescent="0.3">
      <c r="B4985" s="4">
        <v>41835</v>
      </c>
      <c r="C4985" s="7">
        <v>531.14</v>
      </c>
      <c r="D4985" s="6">
        <f t="shared" si="80"/>
        <v>21.03900414937759</v>
      </c>
      <c r="E4985" s="6">
        <v>-1.1869325792528642E-2</v>
      </c>
    </row>
    <row r="4986" spans="2:5" x14ac:dyDescent="0.3">
      <c r="B4986" s="4">
        <v>38251</v>
      </c>
      <c r="C4986" s="7">
        <v>24.1</v>
      </c>
      <c r="D4986" s="6">
        <f t="shared" si="80"/>
        <v>-0.97778945137180096</v>
      </c>
      <c r="E4986" s="6">
        <v>-1.1890118901188977E-2</v>
      </c>
    </row>
    <row r="4987" spans="2:5" x14ac:dyDescent="0.3">
      <c r="B4987" s="4">
        <v>43005</v>
      </c>
      <c r="C4987" s="5">
        <v>1085.07</v>
      </c>
      <c r="D4987" s="6">
        <f t="shared" si="80"/>
        <v>-0.59708359326263261</v>
      </c>
      <c r="E4987" s="6">
        <v>-1.1919938806731391E-2</v>
      </c>
    </row>
    <row r="4988" spans="2:5" x14ac:dyDescent="0.3">
      <c r="B4988" s="4">
        <v>45026</v>
      </c>
      <c r="C4988" s="5">
        <v>2693.04</v>
      </c>
      <c r="D4988" s="6">
        <f t="shared" si="80"/>
        <v>0.80671823530595688</v>
      </c>
      <c r="E4988" s="6">
        <v>-1.1924242535424174E-2</v>
      </c>
    </row>
    <row r="4989" spans="2:5" x14ac:dyDescent="0.3">
      <c r="B4989" s="4">
        <v>43699</v>
      </c>
      <c r="C4989" s="5">
        <v>1490.57</v>
      </c>
      <c r="D4989" s="6">
        <f t="shared" si="80"/>
        <v>24.013760698103706</v>
      </c>
      <c r="E4989" s="6">
        <v>-1.1925279736967711E-2</v>
      </c>
    </row>
    <row r="4990" spans="2:5" x14ac:dyDescent="0.3">
      <c r="B4990" s="4">
        <v>39091</v>
      </c>
      <c r="C4990" s="7">
        <v>59.59</v>
      </c>
      <c r="D4990" s="6">
        <f t="shared" si="80"/>
        <v>-0.9788723156069733</v>
      </c>
      <c r="E4990" s="6">
        <v>-1.1938318686784926E-2</v>
      </c>
    </row>
    <row r="4991" spans="2:5" x14ac:dyDescent="0.3">
      <c r="B4991" s="4">
        <v>45387</v>
      </c>
      <c r="C4991" s="5">
        <v>2820.47</v>
      </c>
      <c r="D4991" s="6">
        <f t="shared" si="80"/>
        <v>0.99629826237746399</v>
      </c>
      <c r="E4991" s="6">
        <v>-1.1942295835435284E-2</v>
      </c>
    </row>
    <row r="4992" spans="2:5" x14ac:dyDescent="0.3">
      <c r="B4992" s="4">
        <v>43563</v>
      </c>
      <c r="C4992" s="5">
        <v>1412.85</v>
      </c>
      <c r="D4992" s="6">
        <f t="shared" si="80"/>
        <v>57.967028380634382</v>
      </c>
      <c r="E4992" s="6">
        <v>-1.1951550414702816E-2</v>
      </c>
    </row>
    <row r="4993" spans="2:5" x14ac:dyDescent="0.3">
      <c r="B4993" s="4">
        <v>38041</v>
      </c>
      <c r="C4993" s="7">
        <v>23.96</v>
      </c>
      <c r="D4993" s="6">
        <f t="shared" si="80"/>
        <v>-0.98245909440316259</v>
      </c>
      <c r="E4993" s="6">
        <v>-1.1958762886597902E-2</v>
      </c>
    </row>
    <row r="4994" spans="2:5" x14ac:dyDescent="0.3">
      <c r="B4994" s="4">
        <v>43306</v>
      </c>
      <c r="C4994" s="5">
        <v>1365.95</v>
      </c>
      <c r="D4994" s="6">
        <f t="shared" si="80"/>
        <v>0.51568446865880313</v>
      </c>
      <c r="E4994" s="6">
        <v>-1.1985360067123757E-2</v>
      </c>
    </row>
    <row r="4995" spans="2:5" x14ac:dyDescent="0.3">
      <c r="B4995" s="4">
        <v>42782</v>
      </c>
      <c r="C4995" s="7">
        <v>901.21</v>
      </c>
      <c r="D4995" s="6">
        <f t="shared" si="80"/>
        <v>1.3325051116805136</v>
      </c>
      <c r="E4995" s="6">
        <v>-1.2015304164793759E-2</v>
      </c>
    </row>
    <row r="4996" spans="2:5" x14ac:dyDescent="0.3">
      <c r="B4996" s="4">
        <v>41289</v>
      </c>
      <c r="C4996" s="7">
        <v>386.37</v>
      </c>
      <c r="D4996" s="6">
        <f t="shared" si="80"/>
        <v>-0.86175100367118229</v>
      </c>
      <c r="E4996" s="6">
        <v>-1.201830874268031E-2</v>
      </c>
    </row>
    <row r="4997" spans="2:5" x14ac:dyDescent="0.3">
      <c r="B4997" s="4">
        <v>45391</v>
      </c>
      <c r="C4997" s="5">
        <v>2794.74</v>
      </c>
      <c r="D4997" s="6">
        <f t="shared" si="80"/>
        <v>-0.10085515182323003</v>
      </c>
      <c r="E4997" s="6">
        <v>-1.2050918577645226E-2</v>
      </c>
    </row>
    <row r="4998" spans="2:5" x14ac:dyDescent="0.3">
      <c r="B4998" s="4">
        <v>44847</v>
      </c>
      <c r="C4998" s="5">
        <v>3108.22</v>
      </c>
      <c r="D4998" s="6">
        <f t="shared" si="80"/>
        <v>134.67088607594937</v>
      </c>
      <c r="E4998" s="6">
        <v>-1.2068565471252611E-2</v>
      </c>
    </row>
    <row r="4999" spans="2:5" x14ac:dyDescent="0.3">
      <c r="B4999" s="4">
        <v>37852</v>
      </c>
      <c r="C4999" s="7">
        <v>22.91</v>
      </c>
      <c r="D4999" s="6">
        <f t="shared" si="80"/>
        <v>-0.99068926278143543</v>
      </c>
      <c r="E4999" s="6">
        <v>-1.2074169900819366E-2</v>
      </c>
    </row>
    <row r="5000" spans="2:5" x14ac:dyDescent="0.3">
      <c r="B5000" s="4">
        <v>44299</v>
      </c>
      <c r="C5000" s="5">
        <v>2460.6</v>
      </c>
      <c r="D5000" s="6">
        <f t="shared" ref="D5000:D5063" si="81">((C5000-C5001)/C5001)</f>
        <v>106.87373958790005</v>
      </c>
      <c r="E5000" s="6">
        <v>-1.2104787714543848E-2</v>
      </c>
    </row>
    <row r="5001" spans="2:5" x14ac:dyDescent="0.3">
      <c r="B5001" s="4">
        <v>37869</v>
      </c>
      <c r="C5001" s="7">
        <v>22.81</v>
      </c>
      <c r="D5001" s="6">
        <f t="shared" si="81"/>
        <v>-0.61573450134770891</v>
      </c>
      <c r="E5001" s="6">
        <v>-1.2126461671719409E-2</v>
      </c>
    </row>
    <row r="5002" spans="2:5" x14ac:dyDescent="0.3">
      <c r="B5002" s="4">
        <v>39071</v>
      </c>
      <c r="C5002" s="7">
        <v>59.36</v>
      </c>
      <c r="D5002" s="6">
        <f t="shared" si="81"/>
        <v>-0.86090868617756633</v>
      </c>
      <c r="E5002" s="6">
        <v>-1.2148444000665734E-2</v>
      </c>
    </row>
    <row r="5003" spans="2:5" x14ac:dyDescent="0.3">
      <c r="B5003" s="4">
        <v>41670</v>
      </c>
      <c r="C5003" s="7">
        <v>426.77</v>
      </c>
      <c r="D5003" s="6">
        <f t="shared" si="81"/>
        <v>-0.81321504538650746</v>
      </c>
      <c r="E5003" s="6">
        <v>-1.215221517522337E-2</v>
      </c>
    </row>
    <row r="5004" spans="2:5" x14ac:dyDescent="0.3">
      <c r="B5004" s="4">
        <v>44249</v>
      </c>
      <c r="C5004" s="5">
        <v>2284.8200000000002</v>
      </c>
      <c r="D5004" s="6">
        <f t="shared" si="81"/>
        <v>23.989828283933065</v>
      </c>
      <c r="E5004" s="6">
        <v>-1.2166228555616989E-2</v>
      </c>
    </row>
    <row r="5005" spans="2:5" x14ac:dyDescent="0.3">
      <c r="B5005" s="4">
        <v>39463</v>
      </c>
      <c r="C5005" s="7">
        <v>91.43</v>
      </c>
      <c r="D5005" s="6">
        <f t="shared" si="81"/>
        <v>-0.67483462550679274</v>
      </c>
      <c r="E5005" s="6">
        <v>-1.2208297320656822E-2</v>
      </c>
    </row>
    <row r="5006" spans="2:5" x14ac:dyDescent="0.3">
      <c r="B5006" s="4">
        <v>40794</v>
      </c>
      <c r="C5006" s="7">
        <v>281.18</v>
      </c>
      <c r="D5006" s="6">
        <f t="shared" si="81"/>
        <v>-0.72462221003457161</v>
      </c>
      <c r="E5006" s="6">
        <v>-1.2259809604103028E-2</v>
      </c>
    </row>
    <row r="5007" spans="2:5" x14ac:dyDescent="0.3">
      <c r="B5007" s="4">
        <v>42878</v>
      </c>
      <c r="C5007" s="5">
        <v>1021.07</v>
      </c>
      <c r="D5007" s="6">
        <f t="shared" si="81"/>
        <v>-1.1242592090483028E-2</v>
      </c>
      <c r="E5007" s="6">
        <v>-1.227557653613986E-2</v>
      </c>
    </row>
    <row r="5008" spans="2:5" x14ac:dyDescent="0.3">
      <c r="B5008" s="4">
        <v>42580</v>
      </c>
      <c r="C5008" s="5">
        <v>1032.68</v>
      </c>
      <c r="D5008" s="6">
        <f t="shared" si="81"/>
        <v>0.3013092732840203</v>
      </c>
      <c r="E5008" s="6">
        <v>-1.2280970234906954E-2</v>
      </c>
    </row>
    <row r="5009" spans="2:5" x14ac:dyDescent="0.3">
      <c r="B5009" s="4">
        <v>42346</v>
      </c>
      <c r="C5009" s="7">
        <v>793.57</v>
      </c>
      <c r="D5009" s="6">
        <f t="shared" si="81"/>
        <v>3.7687638964004573</v>
      </c>
      <c r="E5009" s="6">
        <v>-1.2284675893657278E-2</v>
      </c>
    </row>
    <row r="5010" spans="2:5" x14ac:dyDescent="0.3">
      <c r="B5010" s="4">
        <v>40249</v>
      </c>
      <c r="C5010" s="7">
        <v>166.41</v>
      </c>
      <c r="D5010" s="6">
        <f t="shared" si="81"/>
        <v>3.9306666666666668</v>
      </c>
      <c r="E5010" s="6">
        <v>-1.2286324786324746E-2</v>
      </c>
    </row>
    <row r="5011" spans="2:5" x14ac:dyDescent="0.3">
      <c r="B5011" s="4">
        <v>38540</v>
      </c>
      <c r="C5011" s="7">
        <v>33.75</v>
      </c>
      <c r="D5011" s="6">
        <f t="shared" si="81"/>
        <v>-0.98196518077568429</v>
      </c>
      <c r="E5011" s="6">
        <v>-1.2291483757682227E-2</v>
      </c>
    </row>
    <row r="5012" spans="2:5" x14ac:dyDescent="0.3">
      <c r="B5012" s="4">
        <v>44071</v>
      </c>
      <c r="C5012" s="5">
        <v>1871.38</v>
      </c>
      <c r="D5012" s="6">
        <f t="shared" si="81"/>
        <v>65.644586894586908</v>
      </c>
      <c r="E5012" s="6">
        <v>-1.2308017100332472E-2</v>
      </c>
    </row>
    <row r="5013" spans="2:5" x14ac:dyDescent="0.3">
      <c r="B5013" s="4">
        <v>38384</v>
      </c>
      <c r="C5013" s="7">
        <v>28.08</v>
      </c>
      <c r="D5013" s="6">
        <f t="shared" si="81"/>
        <v>-0.98302164015309546</v>
      </c>
      <c r="E5013" s="6">
        <v>-1.2310939148786544E-2</v>
      </c>
    </row>
    <row r="5014" spans="2:5" x14ac:dyDescent="0.3">
      <c r="B5014" s="4">
        <v>43787</v>
      </c>
      <c r="C5014" s="5">
        <v>1653.87</v>
      </c>
      <c r="D5014" s="6">
        <f t="shared" si="81"/>
        <v>-0.33088836204455158</v>
      </c>
      <c r="E5014" s="6">
        <v>-1.2325993872834501E-2</v>
      </c>
    </row>
    <row r="5015" spans="2:5" x14ac:dyDescent="0.3">
      <c r="B5015" s="4">
        <v>45877</v>
      </c>
      <c r="C5015" s="5">
        <v>2471.7399999999998</v>
      </c>
      <c r="D5015" s="6">
        <f t="shared" si="81"/>
        <v>58.516975680231148</v>
      </c>
      <c r="E5015" s="6">
        <v>-1.2327228990765712E-2</v>
      </c>
    </row>
    <row r="5016" spans="2:5" x14ac:dyDescent="0.3">
      <c r="B5016" s="4">
        <v>38632</v>
      </c>
      <c r="C5016" s="7">
        <v>41.53</v>
      </c>
      <c r="D5016" s="6">
        <f t="shared" si="81"/>
        <v>-0.59663947163947162</v>
      </c>
      <c r="E5016" s="6">
        <v>-1.2366230677764472E-2</v>
      </c>
    </row>
    <row r="5017" spans="2:5" x14ac:dyDescent="0.3">
      <c r="B5017" s="4">
        <v>40002</v>
      </c>
      <c r="C5017" s="7">
        <v>102.96</v>
      </c>
      <c r="D5017" s="6">
        <f t="shared" si="81"/>
        <v>-0.87728979202669677</v>
      </c>
      <c r="E5017" s="6">
        <v>-1.2374100719424521E-2</v>
      </c>
    </row>
    <row r="5018" spans="2:5" x14ac:dyDescent="0.3">
      <c r="B5018" s="4">
        <v>42719</v>
      </c>
      <c r="C5018" s="7">
        <v>839.05</v>
      </c>
      <c r="D5018" s="6">
        <f t="shared" si="81"/>
        <v>-0.26351962221422492</v>
      </c>
      <c r="E5018" s="6">
        <v>-1.240598406290102E-2</v>
      </c>
    </row>
    <row r="5019" spans="2:5" x14ac:dyDescent="0.3">
      <c r="B5019" s="4">
        <v>43378</v>
      </c>
      <c r="C5019" s="5">
        <v>1139.27</v>
      </c>
      <c r="D5019" s="6">
        <f t="shared" si="81"/>
        <v>-0.50138301690256737</v>
      </c>
      <c r="E5019" s="6">
        <v>-1.2413422446449725E-2</v>
      </c>
    </row>
    <row r="5020" spans="2:5" x14ac:dyDescent="0.3">
      <c r="B5020" s="4">
        <v>44260</v>
      </c>
      <c r="C5020" s="5">
        <v>2284.86</v>
      </c>
      <c r="D5020" s="6">
        <f t="shared" si="81"/>
        <v>2.1256207165428656</v>
      </c>
      <c r="E5020" s="6">
        <v>-1.2413661943827229E-2</v>
      </c>
    </row>
    <row r="5021" spans="2:5" x14ac:dyDescent="0.3">
      <c r="B5021" s="4">
        <v>42059</v>
      </c>
      <c r="C5021" s="7">
        <v>731.01</v>
      </c>
      <c r="D5021" s="6">
        <f t="shared" si="81"/>
        <v>6.2377227722772277</v>
      </c>
      <c r="E5021" s="6">
        <v>-1.2415563361253788E-2</v>
      </c>
    </row>
    <row r="5022" spans="2:5" x14ac:dyDescent="0.3">
      <c r="B5022" s="4">
        <v>39549</v>
      </c>
      <c r="C5022" s="7">
        <v>101</v>
      </c>
      <c r="D5022" s="6">
        <f t="shared" si="81"/>
        <v>5.0551558752997598</v>
      </c>
      <c r="E5022" s="6">
        <v>-1.2418108927349136E-2</v>
      </c>
    </row>
    <row r="5023" spans="2:5" x14ac:dyDescent="0.3">
      <c r="B5023" s="4">
        <v>37547</v>
      </c>
      <c r="C5023" s="7">
        <v>16.68</v>
      </c>
      <c r="D5023" s="6">
        <f t="shared" si="81"/>
        <v>-0.27509778357235992</v>
      </c>
      <c r="E5023" s="6">
        <v>-1.2433392539964526E-2</v>
      </c>
    </row>
    <row r="5024" spans="2:5" x14ac:dyDescent="0.3">
      <c r="B5024" s="4">
        <v>37882</v>
      </c>
      <c r="C5024" s="7">
        <v>23.01</v>
      </c>
      <c r="D5024" s="6">
        <f t="shared" si="81"/>
        <v>-0.8040034071550255</v>
      </c>
      <c r="E5024" s="6">
        <v>-1.2446351931330436E-2</v>
      </c>
    </row>
    <row r="5025" spans="2:5" x14ac:dyDescent="0.3">
      <c r="B5025" s="4">
        <v>40067</v>
      </c>
      <c r="C5025" s="7">
        <v>117.4</v>
      </c>
      <c r="D5025" s="6">
        <f t="shared" si="81"/>
        <v>1.9066600643723695</v>
      </c>
      <c r="E5025" s="6">
        <v>-1.2449528936742848E-2</v>
      </c>
    </row>
    <row r="5026" spans="2:5" x14ac:dyDescent="0.3">
      <c r="B5026" s="4">
        <v>38670</v>
      </c>
      <c r="C5026" s="7">
        <v>40.39</v>
      </c>
      <c r="D5026" s="6">
        <f t="shared" si="81"/>
        <v>-0.87511208682477359</v>
      </c>
      <c r="E5026" s="6">
        <v>-1.2469437652811688E-2</v>
      </c>
    </row>
    <row r="5027" spans="2:5" x14ac:dyDescent="0.3">
      <c r="B5027" s="4">
        <v>41109</v>
      </c>
      <c r="C5027" s="7">
        <v>323.41000000000003</v>
      </c>
      <c r="D5027" s="6">
        <f t="shared" si="81"/>
        <v>11.788058521154607</v>
      </c>
      <c r="E5027" s="6">
        <v>-1.2488549618320533E-2</v>
      </c>
    </row>
    <row r="5028" spans="2:5" x14ac:dyDescent="0.3">
      <c r="B5028" s="4">
        <v>38352</v>
      </c>
      <c r="C5028" s="7">
        <v>25.29</v>
      </c>
      <c r="D5028" s="6">
        <f t="shared" si="81"/>
        <v>-0.99218836873123539</v>
      </c>
      <c r="E5028" s="6">
        <v>-1.2495119094103876E-2</v>
      </c>
    </row>
    <row r="5029" spans="2:5" x14ac:dyDescent="0.3">
      <c r="B5029" s="4">
        <v>44834</v>
      </c>
      <c r="C5029" s="5">
        <v>3237.48</v>
      </c>
      <c r="D5029" s="6">
        <f t="shared" si="81"/>
        <v>1.9780063101928929</v>
      </c>
      <c r="E5029" s="6">
        <v>-1.2511819429617198E-2</v>
      </c>
    </row>
    <row r="5030" spans="2:5" x14ac:dyDescent="0.3">
      <c r="B5030" s="4">
        <v>43062</v>
      </c>
      <c r="C5030" s="5">
        <v>1087.1300000000001</v>
      </c>
      <c r="D5030" s="6">
        <f t="shared" si="81"/>
        <v>-0.52650101265271443</v>
      </c>
      <c r="E5030" s="6">
        <v>-1.251691782252861E-2</v>
      </c>
    </row>
    <row r="5031" spans="2:5" x14ac:dyDescent="0.3">
      <c r="B5031" s="4">
        <v>45667</v>
      </c>
      <c r="C5031" s="5">
        <v>2295.9499999999998</v>
      </c>
      <c r="D5031" s="6">
        <f t="shared" si="81"/>
        <v>30.001215230893866</v>
      </c>
      <c r="E5031" s="6">
        <v>-1.253284819082286E-2</v>
      </c>
    </row>
    <row r="5032" spans="2:5" x14ac:dyDescent="0.3">
      <c r="B5032" s="4">
        <v>39300</v>
      </c>
      <c r="C5032" s="7">
        <v>74.06</v>
      </c>
      <c r="D5032" s="6">
        <f t="shared" si="81"/>
        <v>-0.96777898629541004</v>
      </c>
      <c r="E5032" s="6">
        <v>-1.2533333333333303E-2</v>
      </c>
    </row>
    <row r="5033" spans="2:5" x14ac:dyDescent="0.3">
      <c r="B5033" s="4">
        <v>44267</v>
      </c>
      <c r="C5033" s="5">
        <v>2298.5</v>
      </c>
      <c r="D5033" s="6">
        <f t="shared" si="81"/>
        <v>0.88855201426376473</v>
      </c>
      <c r="E5033" s="6">
        <v>-1.2582750162170971E-2</v>
      </c>
    </row>
    <row r="5034" spans="2:5" x14ac:dyDescent="0.3">
      <c r="B5034" s="4">
        <v>43361</v>
      </c>
      <c r="C5034" s="5">
        <v>1217.07</v>
      </c>
      <c r="D5034" s="6">
        <f t="shared" si="81"/>
        <v>-0.29645066188797048</v>
      </c>
      <c r="E5034" s="6">
        <v>-1.2647445362062649E-2</v>
      </c>
    </row>
    <row r="5035" spans="2:5" x14ac:dyDescent="0.3">
      <c r="B5035" s="4">
        <v>43885</v>
      </c>
      <c r="C5035" s="5">
        <v>1729.9</v>
      </c>
      <c r="D5035" s="6">
        <f t="shared" si="81"/>
        <v>34.756510954940055</v>
      </c>
      <c r="E5035" s="6">
        <v>-1.2647968676871714E-2</v>
      </c>
    </row>
    <row r="5036" spans="2:5" x14ac:dyDescent="0.3">
      <c r="B5036" s="4">
        <v>38747</v>
      </c>
      <c r="C5036" s="7">
        <v>48.38</v>
      </c>
      <c r="D5036" s="6">
        <f t="shared" si="81"/>
        <v>-0.98528933309413547</v>
      </c>
      <c r="E5036" s="6">
        <v>-1.2653061224489743E-2</v>
      </c>
    </row>
    <row r="5037" spans="2:5" x14ac:dyDescent="0.3">
      <c r="B5037" s="4">
        <v>44819</v>
      </c>
      <c r="C5037" s="5">
        <v>3288.77</v>
      </c>
      <c r="D5037" s="6">
        <f t="shared" si="81"/>
        <v>0.22180530736738083</v>
      </c>
      <c r="E5037" s="6">
        <v>-1.2663054083669776E-2</v>
      </c>
    </row>
    <row r="5038" spans="2:5" x14ac:dyDescent="0.3">
      <c r="B5038" s="4">
        <v>44951</v>
      </c>
      <c r="C5038" s="5">
        <v>2691.73</v>
      </c>
      <c r="D5038" s="6">
        <f t="shared" si="81"/>
        <v>4.6176016361966772</v>
      </c>
      <c r="E5038" s="6">
        <v>-1.2665703197787518E-2</v>
      </c>
    </row>
    <row r="5039" spans="2:5" x14ac:dyDescent="0.3">
      <c r="B5039" s="4">
        <v>41752</v>
      </c>
      <c r="C5039" s="7">
        <v>479.16</v>
      </c>
      <c r="D5039" s="6">
        <f t="shared" si="81"/>
        <v>-0.83253414603458642</v>
      </c>
      <c r="E5039" s="6">
        <v>-1.2672312542498562E-2</v>
      </c>
    </row>
    <row r="5040" spans="2:5" x14ac:dyDescent="0.3">
      <c r="B5040" s="4">
        <v>45496</v>
      </c>
      <c r="C5040" s="5">
        <v>2861.24</v>
      </c>
      <c r="D5040" s="6">
        <f t="shared" si="81"/>
        <v>1.5673779229402578</v>
      </c>
      <c r="E5040" s="6">
        <v>-1.2677796258083298E-2</v>
      </c>
    </row>
    <row r="5041" spans="2:5" x14ac:dyDescent="0.3">
      <c r="B5041" s="4">
        <v>43116</v>
      </c>
      <c r="C5041" s="5">
        <v>1114.46</v>
      </c>
      <c r="D5041" s="6">
        <f t="shared" si="81"/>
        <v>16.082464745554876</v>
      </c>
      <c r="E5041" s="6">
        <v>-1.270375620127562E-2</v>
      </c>
    </row>
    <row r="5042" spans="2:5" x14ac:dyDescent="0.3">
      <c r="B5042" s="4">
        <v>39105</v>
      </c>
      <c r="C5042" s="7">
        <v>65.239999999999995</v>
      </c>
      <c r="D5042" s="6">
        <f t="shared" si="81"/>
        <v>-0.94233335985079503</v>
      </c>
      <c r="E5042" s="6">
        <v>-1.2711864406779712E-2</v>
      </c>
    </row>
    <row r="5043" spans="2:5" x14ac:dyDescent="0.3">
      <c r="B5043" s="4">
        <v>43223</v>
      </c>
      <c r="C5043" s="5">
        <v>1131.33</v>
      </c>
      <c r="D5043" s="6">
        <f t="shared" si="81"/>
        <v>-0.52882845362542175</v>
      </c>
      <c r="E5043" s="6">
        <v>-1.2723512317721421E-2</v>
      </c>
    </row>
    <row r="5044" spans="2:5" x14ac:dyDescent="0.3">
      <c r="B5044" s="4">
        <v>46059</v>
      </c>
      <c r="C5044" s="5">
        <v>2401.1</v>
      </c>
      <c r="D5044" s="6">
        <f t="shared" si="81"/>
        <v>30.963525026624065</v>
      </c>
      <c r="E5044" s="6">
        <v>-1.2746186423255623E-2</v>
      </c>
    </row>
    <row r="5045" spans="2:5" x14ac:dyDescent="0.3">
      <c r="B5045" s="4">
        <v>39930</v>
      </c>
      <c r="C5045" s="7">
        <v>75.12</v>
      </c>
      <c r="D5045" s="6">
        <f t="shared" si="81"/>
        <v>-0.94179316116134726</v>
      </c>
      <c r="E5045" s="6">
        <v>-1.2748061506111168E-2</v>
      </c>
    </row>
    <row r="5046" spans="2:5" x14ac:dyDescent="0.3">
      <c r="B5046" s="4">
        <v>43612</v>
      </c>
      <c r="C5046" s="5">
        <v>1290.57</v>
      </c>
      <c r="D5046" s="6">
        <f t="shared" si="81"/>
        <v>14.582830234242937</v>
      </c>
      <c r="E5046" s="6">
        <v>-1.2752057770570112E-2</v>
      </c>
    </row>
    <row r="5047" spans="2:5" x14ac:dyDescent="0.3">
      <c r="B5047" s="4">
        <v>39429</v>
      </c>
      <c r="C5047" s="7">
        <v>82.82</v>
      </c>
      <c r="D5047" s="6">
        <f t="shared" si="81"/>
        <v>-0.92844182550242793</v>
      </c>
      <c r="E5047" s="6">
        <v>-1.2754797949696119E-2</v>
      </c>
    </row>
    <row r="5048" spans="2:5" x14ac:dyDescent="0.3">
      <c r="B5048" s="4">
        <v>42998</v>
      </c>
      <c r="C5048" s="5">
        <v>1157.3800000000001</v>
      </c>
      <c r="D5048" s="6">
        <f t="shared" si="81"/>
        <v>4.3239799438796638</v>
      </c>
      <c r="E5048" s="6">
        <v>-1.2760803179964695E-2</v>
      </c>
    </row>
    <row r="5049" spans="2:5" x14ac:dyDescent="0.3">
      <c r="B5049" s="4">
        <v>40597</v>
      </c>
      <c r="C5049" s="7">
        <v>217.39</v>
      </c>
      <c r="D5049" s="6">
        <f t="shared" si="81"/>
        <v>-2.6771724045306075E-2</v>
      </c>
      <c r="E5049" s="6">
        <v>-1.276112624886468E-2</v>
      </c>
    </row>
    <row r="5050" spans="2:5" x14ac:dyDescent="0.3">
      <c r="B5050" s="4">
        <v>40620</v>
      </c>
      <c r="C5050" s="7">
        <v>223.37</v>
      </c>
      <c r="D5050" s="6">
        <f t="shared" si="81"/>
        <v>7.7699254024342368</v>
      </c>
      <c r="E5050" s="6">
        <v>-1.2772916114204837E-2</v>
      </c>
    </row>
    <row r="5051" spans="2:5" x14ac:dyDescent="0.3">
      <c r="B5051" s="4">
        <v>38329</v>
      </c>
      <c r="C5051" s="7">
        <v>25.47</v>
      </c>
      <c r="D5051" s="6">
        <f t="shared" si="81"/>
        <v>-0.99093400726133696</v>
      </c>
      <c r="E5051" s="6">
        <v>-1.2790697674418676E-2</v>
      </c>
    </row>
    <row r="5052" spans="2:5" x14ac:dyDescent="0.3">
      <c r="B5052" s="4">
        <v>46029</v>
      </c>
      <c r="C5052" s="5">
        <v>2809.4</v>
      </c>
      <c r="D5052" s="6">
        <f t="shared" si="81"/>
        <v>0.94012637685162814</v>
      </c>
      <c r="E5052" s="6">
        <v>-1.2790779394194984E-2</v>
      </c>
    </row>
    <row r="5053" spans="2:5" x14ac:dyDescent="0.3">
      <c r="B5053" s="4">
        <v>43682</v>
      </c>
      <c r="C5053" s="5">
        <v>1448.05</v>
      </c>
      <c r="D5053" s="6">
        <f t="shared" si="81"/>
        <v>29.809574468085106</v>
      </c>
      <c r="E5053" s="6">
        <v>-1.2809849745030109E-2</v>
      </c>
    </row>
    <row r="5054" spans="2:5" x14ac:dyDescent="0.3">
      <c r="B5054" s="4">
        <v>38912</v>
      </c>
      <c r="C5054" s="7">
        <v>47</v>
      </c>
      <c r="D5054" s="6">
        <f t="shared" si="81"/>
        <v>-0.95616407692738159</v>
      </c>
      <c r="E5054" s="6">
        <v>-1.2812434362528869E-2</v>
      </c>
    </row>
    <row r="5055" spans="2:5" x14ac:dyDescent="0.3">
      <c r="B5055" s="4">
        <v>43101</v>
      </c>
      <c r="C5055" s="5">
        <v>1072.18</v>
      </c>
      <c r="D5055" s="6">
        <f t="shared" si="81"/>
        <v>65.347772277227719</v>
      </c>
      <c r="E5055" s="6">
        <v>-1.2816499401528262E-2</v>
      </c>
    </row>
    <row r="5056" spans="2:5" x14ac:dyDescent="0.3">
      <c r="B5056" s="4">
        <v>37613</v>
      </c>
      <c r="C5056" s="7">
        <v>16.16</v>
      </c>
      <c r="D5056" s="6">
        <f t="shared" si="81"/>
        <v>-0.69979565298160884</v>
      </c>
      <c r="E5056" s="6">
        <v>-1.2828344532681786E-2</v>
      </c>
    </row>
    <row r="5057" spans="2:5" x14ac:dyDescent="0.3">
      <c r="B5057" s="4">
        <v>38765</v>
      </c>
      <c r="C5057" s="7">
        <v>53.83</v>
      </c>
      <c r="D5057" s="6">
        <f t="shared" si="81"/>
        <v>-0.80817475589765531</v>
      </c>
      <c r="E5057" s="6">
        <v>-1.2836970474967959E-2</v>
      </c>
    </row>
    <row r="5058" spans="2:5" x14ac:dyDescent="0.3">
      <c r="B5058" s="4">
        <v>40774</v>
      </c>
      <c r="C5058" s="7">
        <v>280.62</v>
      </c>
      <c r="D5058" s="6">
        <f t="shared" si="81"/>
        <v>-0.47571183020700997</v>
      </c>
      <c r="E5058" s="6">
        <v>-1.2839905723431869E-2</v>
      </c>
    </row>
    <row r="5059" spans="2:5" x14ac:dyDescent="0.3">
      <c r="B5059" s="4">
        <v>41830</v>
      </c>
      <c r="C5059" s="7">
        <v>535.24</v>
      </c>
      <c r="D5059" s="6">
        <f t="shared" si="81"/>
        <v>-0.82660416416948235</v>
      </c>
      <c r="E5059" s="6">
        <v>-1.2854797956511364E-2</v>
      </c>
    </row>
    <row r="5060" spans="2:5" x14ac:dyDescent="0.3">
      <c r="B5060" s="4">
        <v>45532</v>
      </c>
      <c r="C5060" s="5">
        <v>3086.81</v>
      </c>
      <c r="D5060" s="6">
        <f t="shared" si="81"/>
        <v>7.8448224660846097E-2</v>
      </c>
      <c r="E5060" s="6">
        <v>-1.2855731193696301E-2</v>
      </c>
    </row>
    <row r="5061" spans="2:5" x14ac:dyDescent="0.3">
      <c r="B5061" s="4">
        <v>45481</v>
      </c>
      <c r="C5061" s="5">
        <v>2862.27</v>
      </c>
      <c r="D5061" s="6">
        <f t="shared" si="81"/>
        <v>0.1922150949683438</v>
      </c>
      <c r="E5061" s="6">
        <v>-1.2860571948847399E-2</v>
      </c>
    </row>
    <row r="5062" spans="2:5" x14ac:dyDescent="0.3">
      <c r="B5062" s="4">
        <v>46072</v>
      </c>
      <c r="C5062" s="5">
        <v>2400.8000000000002</v>
      </c>
      <c r="D5062" s="6">
        <f t="shared" si="81"/>
        <v>23.648870636550306</v>
      </c>
      <c r="E5062" s="6">
        <v>-1.2869536614448307E-2</v>
      </c>
    </row>
    <row r="5063" spans="2:5" x14ac:dyDescent="0.3">
      <c r="B5063" s="4">
        <v>39458</v>
      </c>
      <c r="C5063" s="7">
        <v>97.4</v>
      </c>
      <c r="D5063" s="6">
        <f t="shared" si="81"/>
        <v>-0.71004138013158291</v>
      </c>
      <c r="E5063" s="6">
        <v>-1.2871186784230222E-2</v>
      </c>
    </row>
    <row r="5064" spans="2:5" x14ac:dyDescent="0.3">
      <c r="B5064" s="4">
        <v>41086</v>
      </c>
      <c r="C5064" s="7">
        <v>335.91</v>
      </c>
      <c r="D5064" s="6">
        <f t="shared" ref="D5064:D5127" si="82">((C5064-C5065)/C5065)</f>
        <v>3.5203875656035528</v>
      </c>
      <c r="E5064" s="6">
        <v>-1.2871374415939331E-2</v>
      </c>
    </row>
    <row r="5065" spans="2:5" x14ac:dyDescent="0.3">
      <c r="B5065" s="4">
        <v>39792</v>
      </c>
      <c r="C5065" s="7">
        <v>74.31</v>
      </c>
      <c r="D5065" s="6">
        <f t="shared" si="82"/>
        <v>-0.93452171154659525</v>
      </c>
      <c r="E5065" s="6">
        <v>-1.2885228480340049E-2</v>
      </c>
    </row>
    <row r="5066" spans="2:5" x14ac:dyDescent="0.3">
      <c r="B5066" s="4">
        <v>43000</v>
      </c>
      <c r="C5066" s="5">
        <v>1134.8800000000001</v>
      </c>
      <c r="D5066" s="6">
        <f t="shared" si="82"/>
        <v>-0.48807794668230409</v>
      </c>
      <c r="E5066" s="6">
        <v>-1.2890319213707868E-2</v>
      </c>
    </row>
    <row r="5067" spans="2:5" x14ac:dyDescent="0.3">
      <c r="B5067" s="4">
        <v>45699</v>
      </c>
      <c r="C5067" s="5">
        <v>2216.9</v>
      </c>
      <c r="D5067" s="6">
        <f t="shared" si="82"/>
        <v>20.813440913116207</v>
      </c>
      <c r="E5067" s="6">
        <v>-1.2908023099973633E-2</v>
      </c>
    </row>
    <row r="5068" spans="2:5" x14ac:dyDescent="0.3">
      <c r="B5068" s="4">
        <v>40003</v>
      </c>
      <c r="C5068" s="7">
        <v>101.63</v>
      </c>
      <c r="D5068" s="6">
        <f t="shared" si="82"/>
        <v>-0.79282860404435751</v>
      </c>
      <c r="E5068" s="6">
        <v>-1.2917637917637902E-2</v>
      </c>
    </row>
    <row r="5069" spans="2:5" x14ac:dyDescent="0.3">
      <c r="B5069" s="4">
        <v>41803</v>
      </c>
      <c r="C5069" s="7">
        <v>490.56</v>
      </c>
      <c r="D5069" s="6">
        <f t="shared" si="82"/>
        <v>-0.83022550770380832</v>
      </c>
      <c r="E5069" s="6">
        <v>-1.2918024870216137E-2</v>
      </c>
    </row>
    <row r="5070" spans="2:5" x14ac:dyDescent="0.3">
      <c r="B5070" s="4">
        <v>44372</v>
      </c>
      <c r="C5070" s="5">
        <v>2889.48</v>
      </c>
      <c r="D5070" s="6">
        <f t="shared" si="82"/>
        <v>15.918320744774284</v>
      </c>
      <c r="E5070" s="6">
        <v>-1.2929871247860648E-2</v>
      </c>
    </row>
    <row r="5071" spans="2:5" x14ac:dyDescent="0.3">
      <c r="B5071" s="4">
        <v>40259</v>
      </c>
      <c r="C5071" s="7">
        <v>170.79</v>
      </c>
      <c r="D5071" s="6">
        <f t="shared" si="82"/>
        <v>-0.82704634983645409</v>
      </c>
      <c r="E5071" s="6">
        <v>-1.2945731953996469E-2</v>
      </c>
    </row>
    <row r="5072" spans="2:5" x14ac:dyDescent="0.3">
      <c r="B5072" s="4">
        <v>42676</v>
      </c>
      <c r="C5072" s="7">
        <v>987.49</v>
      </c>
      <c r="D5072" s="6">
        <f t="shared" si="82"/>
        <v>-0.18216226065063276</v>
      </c>
      <c r="E5072" s="6">
        <v>-1.2954170623219586E-2</v>
      </c>
    </row>
    <row r="5073" spans="2:5" x14ac:dyDescent="0.3">
      <c r="B5073" s="4">
        <v>43416</v>
      </c>
      <c r="C5073" s="5">
        <v>1207.44</v>
      </c>
      <c r="D5073" s="6">
        <f t="shared" si="82"/>
        <v>71.129032258064527</v>
      </c>
      <c r="E5073" s="6">
        <v>-1.2964930924548271E-2</v>
      </c>
    </row>
    <row r="5074" spans="2:5" x14ac:dyDescent="0.3">
      <c r="B5074" s="4">
        <v>37463</v>
      </c>
      <c r="C5074" s="7">
        <v>16.739999999999998</v>
      </c>
      <c r="D5074" s="6">
        <f t="shared" si="82"/>
        <v>-0.9940702851859855</v>
      </c>
      <c r="E5074" s="6">
        <v>-1.2971698113207688E-2</v>
      </c>
    </row>
    <row r="5075" spans="2:5" x14ac:dyDescent="0.3">
      <c r="B5075" s="4">
        <v>45468</v>
      </c>
      <c r="C5075" s="5">
        <v>2823.07</v>
      </c>
      <c r="D5075" s="6">
        <f t="shared" si="82"/>
        <v>111.7424121405751</v>
      </c>
      <c r="E5075" s="6">
        <v>-1.29816096776448E-2</v>
      </c>
    </row>
    <row r="5076" spans="2:5" x14ac:dyDescent="0.3">
      <c r="B5076" s="4">
        <v>38205</v>
      </c>
      <c r="C5076" s="7">
        <v>25.04</v>
      </c>
      <c r="D5076" s="6">
        <f t="shared" si="82"/>
        <v>-0.99120094456313956</v>
      </c>
      <c r="E5076" s="6">
        <v>-1.3007489160425772E-2</v>
      </c>
    </row>
    <row r="5077" spans="2:5" x14ac:dyDescent="0.3">
      <c r="B5077" s="4">
        <v>44407</v>
      </c>
      <c r="C5077" s="5">
        <v>2845.76</v>
      </c>
      <c r="D5077" s="6">
        <f t="shared" si="82"/>
        <v>116.35092783505155</v>
      </c>
      <c r="E5077" s="6">
        <v>-1.3012957465109174E-2</v>
      </c>
    </row>
    <row r="5078" spans="2:5" x14ac:dyDescent="0.3">
      <c r="B5078" s="4">
        <v>38040</v>
      </c>
      <c r="C5078" s="7">
        <v>24.25</v>
      </c>
      <c r="D5078" s="6">
        <f t="shared" si="82"/>
        <v>-0.86255951031512124</v>
      </c>
      <c r="E5078" s="6">
        <v>-1.3024013024013036E-2</v>
      </c>
    </row>
    <row r="5079" spans="2:5" x14ac:dyDescent="0.3">
      <c r="B5079" s="4">
        <v>40304</v>
      </c>
      <c r="C5079" s="7">
        <v>176.44</v>
      </c>
      <c r="D5079" s="6">
        <f t="shared" si="82"/>
        <v>-0.59724251278305329</v>
      </c>
      <c r="E5079" s="6">
        <v>-1.3033506740504628E-2</v>
      </c>
    </row>
    <row r="5080" spans="2:5" x14ac:dyDescent="0.3">
      <c r="B5080" s="4">
        <v>41366</v>
      </c>
      <c r="C5080" s="7">
        <v>438.08</v>
      </c>
      <c r="D5080" s="6">
        <f t="shared" si="82"/>
        <v>0.90627039728471337</v>
      </c>
      <c r="E5080" s="6">
        <v>-1.3044359835086896E-2</v>
      </c>
    </row>
    <row r="5081" spans="2:5" x14ac:dyDescent="0.3">
      <c r="B5081" s="4">
        <v>40907</v>
      </c>
      <c r="C5081" s="7">
        <v>229.81</v>
      </c>
      <c r="D5081" s="6">
        <f t="shared" si="82"/>
        <v>-0.92562518406804128</v>
      </c>
      <c r="E5081" s="6">
        <v>-1.3055615202920302E-2</v>
      </c>
    </row>
    <row r="5082" spans="2:5" x14ac:dyDescent="0.3">
      <c r="B5082" s="4">
        <v>44475</v>
      </c>
      <c r="C5082" s="5">
        <v>3089.89</v>
      </c>
      <c r="D5082" s="6">
        <f t="shared" si="82"/>
        <v>0.46132782202379818</v>
      </c>
      <c r="E5082" s="6">
        <v>-1.3060643034643228E-2</v>
      </c>
    </row>
    <row r="5083" spans="2:5" x14ac:dyDescent="0.3">
      <c r="B5083" s="4">
        <v>44141</v>
      </c>
      <c r="C5083" s="5">
        <v>2114.44</v>
      </c>
      <c r="D5083" s="6">
        <f t="shared" si="82"/>
        <v>40.820411392405063</v>
      </c>
      <c r="E5083" s="6">
        <v>-1.3069210806370307E-2</v>
      </c>
    </row>
    <row r="5084" spans="2:5" x14ac:dyDescent="0.3">
      <c r="B5084" s="4">
        <v>38820</v>
      </c>
      <c r="C5084" s="7">
        <v>50.56</v>
      </c>
      <c r="D5084" s="6">
        <f t="shared" si="82"/>
        <v>-0.96215682165204641</v>
      </c>
      <c r="E5084" s="6">
        <v>-1.3078274448565189E-2</v>
      </c>
    </row>
    <row r="5085" spans="2:5" x14ac:dyDescent="0.3">
      <c r="B5085" s="4">
        <v>43314</v>
      </c>
      <c r="C5085" s="5">
        <v>1336.04</v>
      </c>
      <c r="D5085" s="6">
        <f t="shared" si="82"/>
        <v>0.2523926920949765</v>
      </c>
      <c r="E5085" s="6">
        <v>-1.3082179132040656E-2</v>
      </c>
    </row>
    <row r="5086" spans="2:5" x14ac:dyDescent="0.3">
      <c r="B5086" s="4">
        <v>43133</v>
      </c>
      <c r="C5086" s="5">
        <v>1066.79</v>
      </c>
      <c r="D5086" s="6">
        <f t="shared" si="82"/>
        <v>25.743294058661316</v>
      </c>
      <c r="E5086" s="6">
        <v>-1.3090458304808861E-2</v>
      </c>
    </row>
    <row r="5087" spans="2:5" x14ac:dyDescent="0.3">
      <c r="B5087" s="4">
        <v>38616</v>
      </c>
      <c r="C5087" s="7">
        <v>39.89</v>
      </c>
      <c r="D5087" s="6">
        <f t="shared" si="82"/>
        <v>-0.96386186153539521</v>
      </c>
      <c r="E5087" s="6">
        <v>-1.3112320633349854E-2</v>
      </c>
    </row>
    <row r="5088" spans="2:5" x14ac:dyDescent="0.3">
      <c r="B5088" s="4">
        <v>43110</v>
      </c>
      <c r="C5088" s="5">
        <v>1103.82</v>
      </c>
      <c r="D5088" s="6">
        <f t="shared" si="82"/>
        <v>3.4825177664974616</v>
      </c>
      <c r="E5088" s="6">
        <v>-1.3115897325859036E-2</v>
      </c>
    </row>
    <row r="5089" spans="2:5" x14ac:dyDescent="0.3">
      <c r="B5089" s="4">
        <v>40442</v>
      </c>
      <c r="C5089" s="7">
        <v>246.25</v>
      </c>
      <c r="D5089" s="6">
        <f t="shared" si="82"/>
        <v>-0.91668950304654229</v>
      </c>
      <c r="E5089" s="6">
        <v>-1.3144712058670304E-2</v>
      </c>
    </row>
    <row r="5090" spans="2:5" x14ac:dyDescent="0.3">
      <c r="B5090" s="4">
        <v>44928</v>
      </c>
      <c r="C5090" s="5">
        <v>2955.81</v>
      </c>
      <c r="D5090" s="6">
        <f t="shared" si="82"/>
        <v>3.0480566435673397</v>
      </c>
      <c r="E5090" s="6">
        <v>-1.3164220563293706E-2</v>
      </c>
    </row>
    <row r="5091" spans="2:5" x14ac:dyDescent="0.3">
      <c r="B5091" s="4">
        <v>42270</v>
      </c>
      <c r="C5091" s="7">
        <v>730.18</v>
      </c>
      <c r="D5091" s="6">
        <f t="shared" si="82"/>
        <v>0.53929505017286439</v>
      </c>
      <c r="E5091" s="6">
        <v>-1.3176922141283636E-2</v>
      </c>
    </row>
    <row r="5092" spans="2:5" x14ac:dyDescent="0.3">
      <c r="B5092" s="4">
        <v>41598</v>
      </c>
      <c r="C5092" s="7">
        <v>474.36</v>
      </c>
      <c r="D5092" s="6">
        <f t="shared" si="82"/>
        <v>1.6534653465346536</v>
      </c>
      <c r="E5092" s="6">
        <v>-1.318909923028911E-2</v>
      </c>
    </row>
    <row r="5093" spans="2:5" x14ac:dyDescent="0.3">
      <c r="B5093" s="4">
        <v>40303</v>
      </c>
      <c r="C5093" s="7">
        <v>178.77</v>
      </c>
      <c r="D5093" s="6">
        <f t="shared" si="82"/>
        <v>-0.89505169043272026</v>
      </c>
      <c r="E5093" s="6">
        <v>-1.3192757783175019E-2</v>
      </c>
    </row>
    <row r="5094" spans="2:5" x14ac:dyDescent="0.3">
      <c r="B5094" s="4">
        <v>44053</v>
      </c>
      <c r="C5094" s="5">
        <v>1703.41</v>
      </c>
      <c r="D5094" s="6">
        <f t="shared" si="82"/>
        <v>29.084952313670087</v>
      </c>
      <c r="E5094" s="6">
        <v>-1.3236708259474187E-2</v>
      </c>
    </row>
    <row r="5095" spans="2:5" x14ac:dyDescent="0.3">
      <c r="B5095" s="4">
        <v>39150</v>
      </c>
      <c r="C5095" s="7">
        <v>56.62</v>
      </c>
      <c r="D5095" s="6">
        <f t="shared" si="82"/>
        <v>-0.24747474747474746</v>
      </c>
      <c r="E5095" s="6">
        <v>-1.324503311258287E-2</v>
      </c>
    </row>
    <row r="5096" spans="2:5" x14ac:dyDescent="0.3">
      <c r="B5096" s="4">
        <v>39822</v>
      </c>
      <c r="C5096" s="7">
        <v>75.239999999999995</v>
      </c>
      <c r="D5096" s="6">
        <f t="shared" si="82"/>
        <v>-0.73044817826819042</v>
      </c>
      <c r="E5096" s="6">
        <v>-1.324590163934433E-2</v>
      </c>
    </row>
    <row r="5097" spans="2:5" x14ac:dyDescent="0.3">
      <c r="B5097" s="4">
        <v>40732</v>
      </c>
      <c r="C5097" s="7">
        <v>279.13</v>
      </c>
      <c r="D5097" s="6">
        <f t="shared" si="82"/>
        <v>0.82652794136893082</v>
      </c>
      <c r="E5097" s="6">
        <v>-1.3291385344126661E-2</v>
      </c>
    </row>
    <row r="5098" spans="2:5" x14ac:dyDescent="0.3">
      <c r="B5098" s="4">
        <v>40233</v>
      </c>
      <c r="C5098" s="7">
        <v>152.82</v>
      </c>
      <c r="D5098" s="6">
        <f t="shared" si="82"/>
        <v>0.3040361805614813</v>
      </c>
      <c r="E5098" s="6">
        <v>-1.3300619834710758E-2</v>
      </c>
    </row>
    <row r="5099" spans="2:5" x14ac:dyDescent="0.3">
      <c r="B5099" s="4">
        <v>40078</v>
      </c>
      <c r="C5099" s="7">
        <v>117.19</v>
      </c>
      <c r="D5099" s="6">
        <f t="shared" si="82"/>
        <v>-0.9512849078408061</v>
      </c>
      <c r="E5099" s="6">
        <v>-1.3303022648817027E-2</v>
      </c>
    </row>
    <row r="5100" spans="2:5" x14ac:dyDescent="0.3">
      <c r="B5100" s="4">
        <v>45772</v>
      </c>
      <c r="C5100" s="5">
        <v>2405.62</v>
      </c>
      <c r="D5100" s="6">
        <f t="shared" si="82"/>
        <v>2.273219582550956</v>
      </c>
      <c r="E5100" s="6">
        <v>-1.3309708088775249E-2</v>
      </c>
    </row>
    <row r="5101" spans="2:5" x14ac:dyDescent="0.3">
      <c r="B5101" s="4">
        <v>42039</v>
      </c>
      <c r="C5101" s="7">
        <v>734.94</v>
      </c>
      <c r="D5101" s="6">
        <f t="shared" si="82"/>
        <v>1.9538201840762028</v>
      </c>
      <c r="E5101" s="6">
        <v>-1.3317938941546007E-2</v>
      </c>
    </row>
    <row r="5102" spans="2:5" x14ac:dyDescent="0.3">
      <c r="B5102" s="4">
        <v>40547</v>
      </c>
      <c r="C5102" s="7">
        <v>248.81</v>
      </c>
      <c r="D5102" s="6">
        <f t="shared" si="82"/>
        <v>2.7358858858858861</v>
      </c>
      <c r="E5102" s="6">
        <v>-1.3324344688107172E-2</v>
      </c>
    </row>
    <row r="5103" spans="2:5" x14ac:dyDescent="0.3">
      <c r="B5103" s="4">
        <v>39189</v>
      </c>
      <c r="C5103" s="7">
        <v>66.599999999999994</v>
      </c>
      <c r="D5103" s="6">
        <f t="shared" si="82"/>
        <v>-0.34769833496571989</v>
      </c>
      <c r="E5103" s="6">
        <v>-1.3333333333333417E-2</v>
      </c>
    </row>
    <row r="5104" spans="2:5" x14ac:dyDescent="0.3">
      <c r="B5104" s="4">
        <v>39696</v>
      </c>
      <c r="C5104" s="7">
        <v>102.1</v>
      </c>
      <c r="D5104" s="6">
        <f t="shared" si="82"/>
        <v>0.30212983037877822</v>
      </c>
      <c r="E5104" s="6">
        <v>-1.3335910320835037E-2</v>
      </c>
    </row>
    <row r="5105" spans="2:5" x14ac:dyDescent="0.3">
      <c r="B5105" s="4">
        <v>39829</v>
      </c>
      <c r="C5105" s="7">
        <v>78.41</v>
      </c>
      <c r="D5105" s="6">
        <f t="shared" si="82"/>
        <v>-0.91364917845028859</v>
      </c>
      <c r="E5105" s="6">
        <v>-1.333836667925006E-2</v>
      </c>
    </row>
    <row r="5106" spans="2:5" x14ac:dyDescent="0.3">
      <c r="B5106" s="4">
        <v>42520</v>
      </c>
      <c r="C5106" s="7">
        <v>908.04</v>
      </c>
      <c r="D5106" s="6">
        <f t="shared" si="82"/>
        <v>2.9749606023463486</v>
      </c>
      <c r="E5106" s="6">
        <v>-1.3364626116435303E-2</v>
      </c>
    </row>
    <row r="5107" spans="2:5" x14ac:dyDescent="0.3">
      <c r="B5107" s="4">
        <v>40506</v>
      </c>
      <c r="C5107" s="7">
        <v>228.44</v>
      </c>
      <c r="D5107" s="6">
        <f t="shared" si="82"/>
        <v>-0.92266154778469545</v>
      </c>
      <c r="E5107" s="6">
        <v>-1.3388615358037464E-2</v>
      </c>
    </row>
    <row r="5108" spans="2:5" x14ac:dyDescent="0.3">
      <c r="B5108" s="4">
        <v>44875</v>
      </c>
      <c r="C5108" s="5">
        <v>2953.77</v>
      </c>
      <c r="D5108" s="6">
        <f t="shared" si="82"/>
        <v>181.33148148148149</v>
      </c>
      <c r="E5108" s="6">
        <v>-1.3397330554330877E-2</v>
      </c>
    </row>
    <row r="5109" spans="2:5" x14ac:dyDescent="0.3">
      <c r="B5109" s="4">
        <v>37652</v>
      </c>
      <c r="C5109" s="7">
        <v>16.2</v>
      </c>
      <c r="D5109" s="6">
        <f t="shared" si="82"/>
        <v>-0.94426861153158115</v>
      </c>
      <c r="E5109" s="6">
        <v>-1.3398294762484921E-2</v>
      </c>
    </row>
    <row r="5110" spans="2:5" x14ac:dyDescent="0.3">
      <c r="B5110" s="4">
        <v>41008</v>
      </c>
      <c r="C5110" s="7">
        <v>290.68</v>
      </c>
      <c r="D5110" s="6">
        <f t="shared" si="82"/>
        <v>0.6202898550724637</v>
      </c>
      <c r="E5110" s="6">
        <v>-1.340664562332413E-2</v>
      </c>
    </row>
    <row r="5111" spans="2:5" x14ac:dyDescent="0.3">
      <c r="B5111" s="4">
        <v>40294</v>
      </c>
      <c r="C5111" s="7">
        <v>179.4</v>
      </c>
      <c r="D5111" s="6">
        <f t="shared" si="82"/>
        <v>3.8842907704873406</v>
      </c>
      <c r="E5111" s="6">
        <v>-1.3418389793224801E-2</v>
      </c>
    </row>
    <row r="5112" spans="2:5" x14ac:dyDescent="0.3">
      <c r="B5112" s="4">
        <v>38569</v>
      </c>
      <c r="C5112" s="7">
        <v>36.729999999999997</v>
      </c>
      <c r="D5112" s="6">
        <f t="shared" si="82"/>
        <v>-0.98754015611271861</v>
      </c>
      <c r="E5112" s="6">
        <v>-1.3430029546065002E-2</v>
      </c>
    </row>
    <row r="5113" spans="2:5" x14ac:dyDescent="0.3">
      <c r="B5113" s="4">
        <v>44861</v>
      </c>
      <c r="C5113" s="5">
        <v>2947.87</v>
      </c>
      <c r="D5113" s="6">
        <f t="shared" si="82"/>
        <v>1.6328965819065224</v>
      </c>
      <c r="E5113" s="6">
        <v>-1.343699172026964E-2</v>
      </c>
    </row>
    <row r="5114" spans="2:5" x14ac:dyDescent="0.3">
      <c r="B5114" s="4">
        <v>43003</v>
      </c>
      <c r="C5114" s="5">
        <v>1119.6300000000001</v>
      </c>
      <c r="D5114" s="6">
        <f t="shared" si="82"/>
        <v>-0.6363137310950574</v>
      </c>
      <c r="E5114" s="6">
        <v>-1.3437544057521499E-2</v>
      </c>
    </row>
    <row r="5115" spans="2:5" x14ac:dyDescent="0.3">
      <c r="B5115" s="4">
        <v>45208</v>
      </c>
      <c r="C5115" s="5">
        <v>3078.56</v>
      </c>
      <c r="D5115" s="6">
        <f t="shared" si="82"/>
        <v>-1.3718291268605605E-2</v>
      </c>
      <c r="E5115" s="6">
        <v>-1.3440153821502982E-2</v>
      </c>
    </row>
    <row r="5116" spans="2:5" x14ac:dyDescent="0.3">
      <c r="B5116" s="4">
        <v>45184</v>
      </c>
      <c r="C5116" s="5">
        <v>3121.38</v>
      </c>
      <c r="D5116" s="6">
        <f t="shared" si="82"/>
        <v>6.0782801941131117</v>
      </c>
      <c r="E5116" s="6">
        <v>-1.3454700611577209E-2</v>
      </c>
    </row>
    <row r="5117" spans="2:5" x14ac:dyDescent="0.3">
      <c r="B5117" s="4">
        <v>41653</v>
      </c>
      <c r="C5117" s="7">
        <v>440.98</v>
      </c>
      <c r="D5117" s="6">
        <f t="shared" si="82"/>
        <v>-0.80824955647545826</v>
      </c>
      <c r="E5117" s="6">
        <v>-1.3467561521252756E-2</v>
      </c>
    </row>
    <row r="5118" spans="2:5" x14ac:dyDescent="0.3">
      <c r="B5118" s="4">
        <v>45790</v>
      </c>
      <c r="C5118" s="5">
        <v>2299.7600000000002</v>
      </c>
      <c r="D5118" s="6">
        <f t="shared" si="82"/>
        <v>9.5566705736199187E-3</v>
      </c>
      <c r="E5118" s="6">
        <v>-1.3495079829445348E-2</v>
      </c>
    </row>
    <row r="5119" spans="2:5" x14ac:dyDescent="0.3">
      <c r="B5119" s="4">
        <v>45785</v>
      </c>
      <c r="C5119" s="5">
        <v>2277.9899999999998</v>
      </c>
      <c r="D5119" s="6">
        <f t="shared" si="82"/>
        <v>1.9859223237341233</v>
      </c>
      <c r="E5119" s="6">
        <v>-1.3498415008054909E-2</v>
      </c>
    </row>
    <row r="5120" spans="2:5" x14ac:dyDescent="0.3">
      <c r="B5120" s="4">
        <v>42268</v>
      </c>
      <c r="C5120" s="7">
        <v>762.91</v>
      </c>
      <c r="D5120" s="6">
        <f t="shared" si="82"/>
        <v>-0.31641951525469292</v>
      </c>
      <c r="E5120" s="6">
        <v>-1.3499709057994511E-2</v>
      </c>
    </row>
    <row r="5121" spans="2:5" x14ac:dyDescent="0.3">
      <c r="B5121" s="4">
        <v>43224</v>
      </c>
      <c r="C5121" s="5">
        <v>1116.05</v>
      </c>
      <c r="D5121" s="6">
        <f t="shared" si="82"/>
        <v>-0.6622646020136117</v>
      </c>
      <c r="E5121" s="6">
        <v>-1.3506227183933931E-2</v>
      </c>
    </row>
    <row r="5122" spans="2:5" x14ac:dyDescent="0.3">
      <c r="B5122" s="4">
        <v>44783</v>
      </c>
      <c r="C5122" s="5">
        <v>3304.51</v>
      </c>
      <c r="D5122" s="6">
        <f t="shared" si="82"/>
        <v>0.12847385855274393</v>
      </c>
      <c r="E5122" s="6">
        <v>-1.3531989587562368E-2</v>
      </c>
    </row>
    <row r="5123" spans="2:5" x14ac:dyDescent="0.3">
      <c r="B5123" s="4">
        <v>45999</v>
      </c>
      <c r="C5123" s="5">
        <v>2928.3</v>
      </c>
      <c r="D5123" s="6">
        <f t="shared" si="82"/>
        <v>38.80831973898858</v>
      </c>
      <c r="E5123" s="6">
        <v>-1.3542193026781141E-2</v>
      </c>
    </row>
    <row r="5124" spans="2:5" x14ac:dyDescent="0.3">
      <c r="B5124" s="4">
        <v>39806</v>
      </c>
      <c r="C5124" s="7">
        <v>73.56</v>
      </c>
      <c r="D5124" s="6">
        <f t="shared" si="82"/>
        <v>-0.94969190050540631</v>
      </c>
      <c r="E5124" s="6">
        <v>-1.354432077242847E-2</v>
      </c>
    </row>
    <row r="5125" spans="2:5" x14ac:dyDescent="0.3">
      <c r="B5125" s="4">
        <v>43720</v>
      </c>
      <c r="C5125" s="5">
        <v>1462.19</v>
      </c>
      <c r="D5125" s="6">
        <f t="shared" si="82"/>
        <v>0.14925842378702978</v>
      </c>
      <c r="E5125" s="6">
        <v>-1.3546789721170857E-2</v>
      </c>
    </row>
    <row r="5126" spans="2:5" x14ac:dyDescent="0.3">
      <c r="B5126" s="4">
        <v>43654</v>
      </c>
      <c r="C5126" s="5">
        <v>1272.29</v>
      </c>
      <c r="D5126" s="6">
        <f t="shared" si="82"/>
        <v>-0.4768071124855045</v>
      </c>
      <c r="E5126" s="6">
        <v>-1.3575748178012088E-2</v>
      </c>
    </row>
    <row r="5127" spans="2:5" x14ac:dyDescent="0.3">
      <c r="B5127" s="4">
        <v>45624</v>
      </c>
      <c r="C5127" s="5">
        <v>2431.7800000000002</v>
      </c>
      <c r="D5127" s="6">
        <f t="shared" si="82"/>
        <v>-0.13223234868003167</v>
      </c>
      <c r="E5127" s="6">
        <v>-1.3584718915169446E-2</v>
      </c>
    </row>
    <row r="5128" spans="2:5" x14ac:dyDescent="0.3">
      <c r="B5128" s="4">
        <v>44754</v>
      </c>
      <c r="C5128" s="5">
        <v>2802.34</v>
      </c>
      <c r="D5128" s="6">
        <f t="shared" ref="D5128:D5191" si="83">((C5128-C5129)/C5129)</f>
        <v>3.8633160945472214</v>
      </c>
      <c r="E5128" s="6">
        <v>-1.3587052172872326E-2</v>
      </c>
    </row>
    <row r="5129" spans="2:5" x14ac:dyDescent="0.3">
      <c r="B5129" s="4">
        <v>41858</v>
      </c>
      <c r="C5129" s="7">
        <v>576.22</v>
      </c>
      <c r="D5129" s="6">
        <f t="shared" si="83"/>
        <v>5.308517626450624</v>
      </c>
      <c r="E5129" s="6">
        <v>-1.3592166529717785E-2</v>
      </c>
    </row>
    <row r="5130" spans="2:5" x14ac:dyDescent="0.3">
      <c r="B5130" s="4">
        <v>39443</v>
      </c>
      <c r="C5130" s="7">
        <v>91.34</v>
      </c>
      <c r="D5130" s="6">
        <f t="shared" si="83"/>
        <v>-0.96087284316581267</v>
      </c>
      <c r="E5130" s="6">
        <v>-1.3606911447084136E-2</v>
      </c>
    </row>
    <row r="5131" spans="2:5" x14ac:dyDescent="0.3">
      <c r="B5131" s="4">
        <v>44173</v>
      </c>
      <c r="C5131" s="5">
        <v>2334.44</v>
      </c>
      <c r="D5131" s="6">
        <f t="shared" si="83"/>
        <v>18.803529012555142</v>
      </c>
      <c r="E5131" s="6">
        <v>-1.3609954999683111E-2</v>
      </c>
    </row>
    <row r="5132" spans="2:5" x14ac:dyDescent="0.3">
      <c r="B5132" s="4">
        <v>40039</v>
      </c>
      <c r="C5132" s="7">
        <v>117.88</v>
      </c>
      <c r="D5132" s="6">
        <f t="shared" si="83"/>
        <v>-0.85287253029792442</v>
      </c>
      <c r="E5132" s="6">
        <v>-1.3639026022927032E-2</v>
      </c>
    </row>
    <row r="5133" spans="2:5" x14ac:dyDescent="0.3">
      <c r="B5133" s="4">
        <v>42228</v>
      </c>
      <c r="C5133" s="7">
        <v>801.21</v>
      </c>
      <c r="D5133" s="6">
        <f t="shared" si="83"/>
        <v>-0.39210166919575112</v>
      </c>
      <c r="E5133" s="6">
        <v>-1.3640448608255583E-2</v>
      </c>
    </row>
    <row r="5134" spans="2:5" x14ac:dyDescent="0.3">
      <c r="B5134" s="4">
        <v>43325</v>
      </c>
      <c r="C5134" s="5">
        <v>1318</v>
      </c>
      <c r="D5134" s="6">
        <f t="shared" si="83"/>
        <v>15.151960784313728</v>
      </c>
      <c r="E5134" s="6">
        <v>-1.3642860884727942E-2</v>
      </c>
    </row>
    <row r="5135" spans="2:5" x14ac:dyDescent="0.3">
      <c r="B5135" s="4">
        <v>39752</v>
      </c>
      <c r="C5135" s="7">
        <v>81.599999999999994</v>
      </c>
      <c r="D5135" s="6">
        <f t="shared" si="83"/>
        <v>-0.89271486609079787</v>
      </c>
      <c r="E5135" s="6">
        <v>-1.3658890366251779E-2</v>
      </c>
    </row>
    <row r="5136" spans="2:5" x14ac:dyDescent="0.3">
      <c r="B5136" s="4">
        <v>42023</v>
      </c>
      <c r="C5136" s="7">
        <v>760.59</v>
      </c>
      <c r="D5136" s="6">
        <f t="shared" si="83"/>
        <v>-4.7929601442018778E-2</v>
      </c>
      <c r="E5136" s="6">
        <v>-1.3693833884458207E-2</v>
      </c>
    </row>
    <row r="5137" spans="2:5" x14ac:dyDescent="0.3">
      <c r="B5137" s="4">
        <v>42354</v>
      </c>
      <c r="C5137" s="7">
        <v>798.88</v>
      </c>
      <c r="D5137" s="6">
        <f t="shared" si="83"/>
        <v>1.0178833038646125</v>
      </c>
      <c r="E5137" s="6">
        <v>-1.3716218718749631E-2</v>
      </c>
    </row>
    <row r="5138" spans="2:5" x14ac:dyDescent="0.3">
      <c r="B5138" s="4">
        <v>41529</v>
      </c>
      <c r="C5138" s="7">
        <v>395.9</v>
      </c>
      <c r="D5138" s="6">
        <f t="shared" si="83"/>
        <v>6.2549019607843137</v>
      </c>
      <c r="E5138" s="6">
        <v>-1.372661368675431E-2</v>
      </c>
    </row>
    <row r="5139" spans="2:5" x14ac:dyDescent="0.3">
      <c r="B5139" s="4">
        <v>39002</v>
      </c>
      <c r="C5139" s="7">
        <v>54.57</v>
      </c>
      <c r="D5139" s="6">
        <f t="shared" si="83"/>
        <v>-0.80247583885329565</v>
      </c>
      <c r="E5139" s="6">
        <v>-1.3735767214892428E-2</v>
      </c>
    </row>
    <row r="5140" spans="2:5" x14ac:dyDescent="0.3">
      <c r="B5140" s="4">
        <v>40856</v>
      </c>
      <c r="C5140" s="7">
        <v>276.27</v>
      </c>
      <c r="D5140" s="6">
        <f t="shared" si="83"/>
        <v>11.127743634767338</v>
      </c>
      <c r="E5140" s="6">
        <v>-1.3849723362484368E-2</v>
      </c>
    </row>
    <row r="5141" spans="2:5" x14ac:dyDescent="0.3">
      <c r="B5141" s="4">
        <v>37900</v>
      </c>
      <c r="C5141" s="7">
        <v>22.78</v>
      </c>
      <c r="D5141" s="6">
        <f t="shared" si="83"/>
        <v>-0.946724666152155</v>
      </c>
      <c r="E5141" s="6">
        <v>-1.3852813852813865E-2</v>
      </c>
    </row>
    <row r="5142" spans="2:5" x14ac:dyDescent="0.3">
      <c r="B5142" s="4">
        <v>41661</v>
      </c>
      <c r="C5142" s="7">
        <v>427.59</v>
      </c>
      <c r="D5142" s="6">
        <f t="shared" si="83"/>
        <v>-0.83944563139970185</v>
      </c>
      <c r="E5142" s="6">
        <v>-1.3860701107011179E-2</v>
      </c>
    </row>
    <row r="5143" spans="2:5" x14ac:dyDescent="0.3">
      <c r="B5143" s="4">
        <v>44999</v>
      </c>
      <c r="C5143" s="5">
        <v>2663.21</v>
      </c>
      <c r="D5143" s="6">
        <f t="shared" si="83"/>
        <v>2.708586308694926</v>
      </c>
      <c r="E5143" s="6">
        <v>-1.38633291985263E-2</v>
      </c>
    </row>
    <row r="5144" spans="2:5" x14ac:dyDescent="0.3">
      <c r="B5144" s="4">
        <v>42116</v>
      </c>
      <c r="C5144" s="7">
        <v>718.12</v>
      </c>
      <c r="D5144" s="6">
        <f t="shared" si="83"/>
        <v>-0.7581786283139651</v>
      </c>
      <c r="E5144" s="6">
        <v>-1.3869435060833296E-2</v>
      </c>
    </row>
    <row r="5145" spans="2:5" x14ac:dyDescent="0.3">
      <c r="B5145" s="4">
        <v>45587</v>
      </c>
      <c r="C5145" s="5">
        <v>2969.63</v>
      </c>
      <c r="D5145" s="6">
        <f t="shared" si="83"/>
        <v>0.13152038895620435</v>
      </c>
      <c r="E5145" s="6">
        <v>-1.3886997957794323E-2</v>
      </c>
    </row>
    <row r="5146" spans="2:5" x14ac:dyDescent="0.3">
      <c r="B5146" s="4">
        <v>44959</v>
      </c>
      <c r="C5146" s="5">
        <v>2624.46</v>
      </c>
      <c r="D5146" s="6">
        <f t="shared" si="83"/>
        <v>11.7854045890778</v>
      </c>
      <c r="E5146" s="6">
        <v>-1.3887323308609702E-2</v>
      </c>
    </row>
    <row r="5147" spans="2:5" x14ac:dyDescent="0.3">
      <c r="B5147" s="4">
        <v>40357</v>
      </c>
      <c r="C5147" s="7">
        <v>205.27</v>
      </c>
      <c r="D5147" s="6">
        <f t="shared" si="83"/>
        <v>6.2533568904593642</v>
      </c>
      <c r="E5147" s="6">
        <v>-1.3930921842724587E-2</v>
      </c>
    </row>
    <row r="5148" spans="2:5" x14ac:dyDescent="0.3">
      <c r="B5148" s="4">
        <v>38420</v>
      </c>
      <c r="C5148" s="7">
        <v>28.3</v>
      </c>
      <c r="D5148" s="6">
        <f t="shared" si="83"/>
        <v>-0.72967809723946897</v>
      </c>
      <c r="E5148" s="6">
        <v>-1.3937282229965108E-2</v>
      </c>
    </row>
    <row r="5149" spans="2:5" x14ac:dyDescent="0.3">
      <c r="B5149" s="4">
        <v>39602</v>
      </c>
      <c r="C5149" s="7">
        <v>104.69</v>
      </c>
      <c r="D5149" s="6">
        <f t="shared" si="83"/>
        <v>-0.90170045351686834</v>
      </c>
      <c r="E5149" s="6">
        <v>-1.3939907695205839E-2</v>
      </c>
    </row>
    <row r="5150" spans="2:5" x14ac:dyDescent="0.3">
      <c r="B5150" s="4">
        <v>43194</v>
      </c>
      <c r="C5150" s="5">
        <v>1065.01</v>
      </c>
      <c r="D5150" s="6">
        <f t="shared" si="83"/>
        <v>-0.45936108756237598</v>
      </c>
      <c r="E5150" s="6">
        <v>-1.3970928617720507E-2</v>
      </c>
    </row>
    <row r="5151" spans="2:5" x14ac:dyDescent="0.3">
      <c r="B5151" s="4">
        <v>44120</v>
      </c>
      <c r="C5151" s="5">
        <v>1969.91</v>
      </c>
      <c r="D5151" s="6">
        <f t="shared" si="83"/>
        <v>0.85709168041480088</v>
      </c>
      <c r="E5151" s="6">
        <v>-1.3994904573370544E-2</v>
      </c>
    </row>
    <row r="5152" spans="2:5" x14ac:dyDescent="0.3">
      <c r="B5152" s="4">
        <v>42942</v>
      </c>
      <c r="C5152" s="5">
        <v>1060.75</v>
      </c>
      <c r="D5152" s="6">
        <f t="shared" si="83"/>
        <v>64.478395061728392</v>
      </c>
      <c r="E5152" s="6">
        <v>-1.3998754426896893E-2</v>
      </c>
    </row>
    <row r="5153" spans="2:5" x14ac:dyDescent="0.3">
      <c r="B5153" s="4">
        <v>37589</v>
      </c>
      <c r="C5153" s="7">
        <v>16.2</v>
      </c>
      <c r="D5153" s="6">
        <f t="shared" si="83"/>
        <v>-0.99410158383397063</v>
      </c>
      <c r="E5153" s="6">
        <v>-1.3998782714546588E-2</v>
      </c>
    </row>
    <row r="5154" spans="2:5" x14ac:dyDescent="0.3">
      <c r="B5154" s="4">
        <v>46017</v>
      </c>
      <c r="C5154" s="5">
        <v>2746.5</v>
      </c>
      <c r="D5154" s="6">
        <f t="shared" si="83"/>
        <v>34.507433742727862</v>
      </c>
      <c r="E5154" s="6">
        <v>-1.4001077005923533E-2</v>
      </c>
    </row>
    <row r="5155" spans="2:5" x14ac:dyDescent="0.3">
      <c r="B5155" s="4">
        <v>39311</v>
      </c>
      <c r="C5155" s="7">
        <v>77.349999999999994</v>
      </c>
      <c r="D5155" s="6">
        <f t="shared" si="83"/>
        <v>-0.72888187872415</v>
      </c>
      <c r="E5155" s="6">
        <v>-1.4021669853409923E-2</v>
      </c>
    </row>
    <row r="5156" spans="2:5" x14ac:dyDescent="0.3">
      <c r="B5156" s="4">
        <v>40779</v>
      </c>
      <c r="C5156" s="7">
        <v>285.3</v>
      </c>
      <c r="D5156" s="6">
        <f t="shared" si="83"/>
        <v>10.602277348515658</v>
      </c>
      <c r="E5156" s="6">
        <v>-1.403096488802876E-2</v>
      </c>
    </row>
    <row r="5157" spans="2:5" x14ac:dyDescent="0.3">
      <c r="B5157" s="4">
        <v>38218</v>
      </c>
      <c r="C5157" s="7">
        <v>24.59</v>
      </c>
      <c r="D5157" s="6">
        <f t="shared" si="83"/>
        <v>-0.98497825237024739</v>
      </c>
      <c r="E5157" s="6">
        <v>-1.4033680834001661E-2</v>
      </c>
    </row>
    <row r="5158" spans="2:5" x14ac:dyDescent="0.3">
      <c r="B5158" s="4">
        <v>43742</v>
      </c>
      <c r="C5158" s="5">
        <v>1636.96</v>
      </c>
      <c r="D5158" s="6">
        <f t="shared" si="83"/>
        <v>24.339938080495362</v>
      </c>
      <c r="E5158" s="6">
        <v>-1.4033946490308719E-2</v>
      </c>
    </row>
    <row r="5159" spans="2:5" x14ac:dyDescent="0.3">
      <c r="B5159" s="4">
        <v>39211</v>
      </c>
      <c r="C5159" s="7">
        <v>64.599999999999994</v>
      </c>
      <c r="D5159" s="6">
        <f t="shared" si="83"/>
        <v>1.0919689119170986</v>
      </c>
      <c r="E5159" s="6">
        <v>-1.4041514041514068E-2</v>
      </c>
    </row>
    <row r="5160" spans="2:5" x14ac:dyDescent="0.3">
      <c r="B5160" s="4">
        <v>38511</v>
      </c>
      <c r="C5160" s="7">
        <v>30.88</v>
      </c>
      <c r="D5160" s="6">
        <f t="shared" si="83"/>
        <v>-0.98659867635890197</v>
      </c>
      <c r="E5160" s="6">
        <v>-1.404853128991064E-2</v>
      </c>
    </row>
    <row r="5161" spans="2:5" x14ac:dyDescent="0.3">
      <c r="B5161" s="4">
        <v>44225</v>
      </c>
      <c r="C5161" s="5">
        <v>2304.25</v>
      </c>
      <c r="D5161" s="6">
        <f t="shared" si="83"/>
        <v>1.2052982667700289</v>
      </c>
      <c r="E5161" s="6">
        <v>-1.4068537051854244E-2</v>
      </c>
    </row>
    <row r="5162" spans="2:5" x14ac:dyDescent="0.3">
      <c r="B5162" s="4">
        <v>42586</v>
      </c>
      <c r="C5162" s="5">
        <v>1044.8699999999999</v>
      </c>
      <c r="D5162" s="6">
        <f t="shared" si="83"/>
        <v>13.41995583770356</v>
      </c>
      <c r="E5162" s="6">
        <v>-1.4078260787514577E-2</v>
      </c>
    </row>
    <row r="5163" spans="2:5" x14ac:dyDescent="0.3">
      <c r="B5163" s="4">
        <v>39797</v>
      </c>
      <c r="C5163" s="7">
        <v>72.459999999999994</v>
      </c>
      <c r="D5163" s="6">
        <f t="shared" si="83"/>
        <v>2.0664409648751585</v>
      </c>
      <c r="E5163" s="6">
        <v>-1.4149659863945663E-2</v>
      </c>
    </row>
    <row r="5164" spans="2:5" x14ac:dyDescent="0.3">
      <c r="B5164" s="4">
        <v>38293</v>
      </c>
      <c r="C5164" s="7">
        <v>23.63</v>
      </c>
      <c r="D5164" s="6">
        <f t="shared" si="83"/>
        <v>-0.40328282828282835</v>
      </c>
      <c r="E5164" s="6">
        <v>-1.4184397163120562E-2</v>
      </c>
    </row>
    <row r="5165" spans="2:5" x14ac:dyDescent="0.3">
      <c r="B5165" s="4">
        <v>38651</v>
      </c>
      <c r="C5165" s="7">
        <v>39.6</v>
      </c>
      <c r="D5165" s="6">
        <f t="shared" si="83"/>
        <v>-0.98643789170862017</v>
      </c>
      <c r="E5165" s="6">
        <v>-1.4189693801344293E-2</v>
      </c>
    </row>
    <row r="5166" spans="2:5" x14ac:dyDescent="0.3">
      <c r="B5166" s="4">
        <v>45488</v>
      </c>
      <c r="C5166" s="5">
        <v>2919.9</v>
      </c>
      <c r="D5166" s="6">
        <f t="shared" si="83"/>
        <v>1.6425869277969845</v>
      </c>
      <c r="E5166" s="6">
        <v>-1.4220025523122697E-2</v>
      </c>
    </row>
    <row r="5167" spans="2:5" x14ac:dyDescent="0.3">
      <c r="B5167" s="4">
        <v>43049</v>
      </c>
      <c r="C5167" s="5">
        <v>1104.94</v>
      </c>
      <c r="D5167" s="6">
        <f t="shared" si="83"/>
        <v>0.61569281160437517</v>
      </c>
      <c r="E5167" s="6">
        <v>-1.4220969238455547E-2</v>
      </c>
    </row>
    <row r="5168" spans="2:5" x14ac:dyDescent="0.3">
      <c r="B5168" s="4">
        <v>42163</v>
      </c>
      <c r="C5168" s="7">
        <v>683.88</v>
      </c>
      <c r="D5168" s="6">
        <f t="shared" si="83"/>
        <v>-0.27138291071809079</v>
      </c>
      <c r="E5168" s="6">
        <v>-1.4227027027027033E-2</v>
      </c>
    </row>
    <row r="5169" spans="2:5" x14ac:dyDescent="0.3">
      <c r="B5169" s="4">
        <v>42529</v>
      </c>
      <c r="C5169" s="7">
        <v>938.6</v>
      </c>
      <c r="D5169" s="6">
        <f t="shared" si="83"/>
        <v>-9.0609619036546019E-2</v>
      </c>
      <c r="E5169" s="6">
        <v>-1.4230951005618815E-2</v>
      </c>
    </row>
    <row r="5170" spans="2:5" x14ac:dyDescent="0.3">
      <c r="B5170" s="4">
        <v>42599</v>
      </c>
      <c r="C5170" s="5">
        <v>1032.1199999999999</v>
      </c>
      <c r="D5170" s="6">
        <f t="shared" si="83"/>
        <v>41.720198675496682</v>
      </c>
      <c r="E5170" s="6">
        <v>-1.4259108925075273E-2</v>
      </c>
    </row>
    <row r="5171" spans="2:5" x14ac:dyDescent="0.3">
      <c r="B5171" s="4">
        <v>38189</v>
      </c>
      <c r="C5171" s="7">
        <v>24.16</v>
      </c>
      <c r="D5171" s="6">
        <f t="shared" si="83"/>
        <v>-0.98291408244520972</v>
      </c>
      <c r="E5171" s="6">
        <v>-1.427988576091397E-2</v>
      </c>
    </row>
    <row r="5172" spans="2:5" x14ac:dyDescent="0.3">
      <c r="B5172" s="4">
        <v>43558</v>
      </c>
      <c r="C5172" s="5">
        <v>1414.03</v>
      </c>
      <c r="D5172" s="6">
        <f t="shared" si="83"/>
        <v>12.233785680861022</v>
      </c>
      <c r="E5172" s="6">
        <v>-1.4283523408526901E-2</v>
      </c>
    </row>
    <row r="5173" spans="2:5" x14ac:dyDescent="0.3">
      <c r="B5173" s="4">
        <v>39611</v>
      </c>
      <c r="C5173" s="7">
        <v>106.85</v>
      </c>
      <c r="D5173" s="6">
        <f t="shared" si="83"/>
        <v>-0.20816659255965617</v>
      </c>
      <c r="E5173" s="6">
        <v>-1.4298892988929994E-2</v>
      </c>
    </row>
    <row r="5174" spans="2:5" x14ac:dyDescent="0.3">
      <c r="B5174" s="4">
        <v>40101</v>
      </c>
      <c r="C5174" s="7">
        <v>134.94</v>
      </c>
      <c r="D5174" s="6">
        <f t="shared" si="83"/>
        <v>-0.86392650781005786</v>
      </c>
      <c r="E5174" s="6">
        <v>-1.4317019722425186E-2</v>
      </c>
    </row>
    <row r="5175" spans="2:5" x14ac:dyDescent="0.3">
      <c r="B5175" s="4">
        <v>42671</v>
      </c>
      <c r="C5175" s="7">
        <v>991.67</v>
      </c>
      <c r="D5175" s="6">
        <f t="shared" si="83"/>
        <v>1.0963323115949686</v>
      </c>
      <c r="E5175" s="6">
        <v>-1.4322916666666748E-2</v>
      </c>
    </row>
    <row r="5176" spans="2:5" x14ac:dyDescent="0.3">
      <c r="B5176" s="4">
        <v>41591</v>
      </c>
      <c r="C5176" s="7">
        <v>473.05</v>
      </c>
      <c r="D5176" s="6">
        <f t="shared" si="83"/>
        <v>-0.62277015334805941</v>
      </c>
      <c r="E5176" s="6">
        <v>-1.4335423915987739E-2</v>
      </c>
    </row>
    <row r="5177" spans="2:5" x14ac:dyDescent="0.3">
      <c r="B5177" s="4">
        <v>43655</v>
      </c>
      <c r="C5177" s="5">
        <v>1254.01</v>
      </c>
      <c r="D5177" s="6">
        <f t="shared" si="83"/>
        <v>-0.51865670209540038</v>
      </c>
      <c r="E5177" s="6">
        <v>-1.4367793506197466E-2</v>
      </c>
    </row>
    <row r="5178" spans="2:5" x14ac:dyDescent="0.3">
      <c r="B5178" s="4">
        <v>44720</v>
      </c>
      <c r="C5178" s="5">
        <v>2605.23</v>
      </c>
      <c r="D5178" s="6">
        <f t="shared" si="83"/>
        <v>4.8340107037946202E-2</v>
      </c>
      <c r="E5178" s="6">
        <v>-1.4391265364491696E-2</v>
      </c>
    </row>
    <row r="5179" spans="2:5" x14ac:dyDescent="0.3">
      <c r="B5179" s="4">
        <v>46136</v>
      </c>
      <c r="C5179" s="5">
        <v>2485.1</v>
      </c>
      <c r="D5179" s="6">
        <f t="shared" si="83"/>
        <v>1.1055886938249846</v>
      </c>
      <c r="E5179" s="6">
        <v>-1.4396763702704918E-2</v>
      </c>
    </row>
    <row r="5180" spans="2:5" x14ac:dyDescent="0.3">
      <c r="B5180" s="4">
        <v>43272</v>
      </c>
      <c r="C5180" s="5">
        <v>1180.24</v>
      </c>
      <c r="D5180" s="6">
        <f t="shared" si="83"/>
        <v>11.321119114730138</v>
      </c>
      <c r="E5180" s="6">
        <v>-1.4396900156996366E-2</v>
      </c>
    </row>
    <row r="5181" spans="2:5" x14ac:dyDescent="0.3">
      <c r="B5181" s="4">
        <v>39968</v>
      </c>
      <c r="C5181" s="7">
        <v>95.79</v>
      </c>
      <c r="D5181" s="6">
        <f t="shared" si="83"/>
        <v>-0.96753200532828976</v>
      </c>
      <c r="E5181" s="6">
        <v>-1.4404774153719432E-2</v>
      </c>
    </row>
    <row r="5182" spans="2:5" x14ac:dyDescent="0.3">
      <c r="B5182" s="4">
        <v>44511</v>
      </c>
      <c r="C5182" s="5">
        <v>2950.29</v>
      </c>
      <c r="D5182" s="6">
        <f t="shared" si="83"/>
        <v>0.20760594165585378</v>
      </c>
      <c r="E5182" s="6">
        <v>-1.4411561319289203E-2</v>
      </c>
    </row>
    <row r="5183" spans="2:5" x14ac:dyDescent="0.3">
      <c r="B5183" s="4">
        <v>45923</v>
      </c>
      <c r="C5183" s="5">
        <v>2443.09</v>
      </c>
      <c r="D5183" s="6">
        <f t="shared" si="83"/>
        <v>-0.15617595656348654</v>
      </c>
      <c r="E5183" s="6">
        <v>-1.4418092406498139E-2</v>
      </c>
    </row>
    <row r="5184" spans="2:5" x14ac:dyDescent="0.3">
      <c r="B5184" s="4">
        <v>45491</v>
      </c>
      <c r="C5184" s="5">
        <v>2895.26</v>
      </c>
      <c r="D5184" s="6">
        <f t="shared" si="83"/>
        <v>3.1976715526365393</v>
      </c>
      <c r="E5184" s="6">
        <v>-1.4423191484291721E-2</v>
      </c>
    </row>
    <row r="5185" spans="2:5" x14ac:dyDescent="0.3">
      <c r="B5185" s="4">
        <v>42123</v>
      </c>
      <c r="C5185" s="7">
        <v>689.73</v>
      </c>
      <c r="D5185" s="6">
        <f t="shared" si="83"/>
        <v>-0.34143966085188043</v>
      </c>
      <c r="E5185" s="6">
        <v>-1.4432076361402086E-2</v>
      </c>
    </row>
    <row r="5186" spans="2:5" x14ac:dyDescent="0.3">
      <c r="B5186" s="4">
        <v>42592</v>
      </c>
      <c r="C5186" s="5">
        <v>1047.33</v>
      </c>
      <c r="D5186" s="6">
        <f t="shared" si="83"/>
        <v>1.4249924749357474</v>
      </c>
      <c r="E5186" s="6">
        <v>-1.4435337404838891E-2</v>
      </c>
    </row>
    <row r="5187" spans="2:5" x14ac:dyDescent="0.3">
      <c r="B5187" s="4">
        <v>41682</v>
      </c>
      <c r="C5187" s="7">
        <v>431.89</v>
      </c>
      <c r="D5187" s="6">
        <f t="shared" si="83"/>
        <v>-0.46308382749661237</v>
      </c>
      <c r="E5187" s="6">
        <v>-1.4444799415818631E-2</v>
      </c>
    </row>
    <row r="5188" spans="2:5" x14ac:dyDescent="0.3">
      <c r="B5188" s="4">
        <v>42724</v>
      </c>
      <c r="C5188" s="7">
        <v>804.39</v>
      </c>
      <c r="D5188" s="6">
        <f t="shared" si="83"/>
        <v>1.0885109697520448</v>
      </c>
      <c r="E5188" s="6">
        <v>-1.4457418003161112E-2</v>
      </c>
    </row>
    <row r="5189" spans="2:5" x14ac:dyDescent="0.3">
      <c r="B5189" s="4">
        <v>41285</v>
      </c>
      <c r="C5189" s="7">
        <v>385.15</v>
      </c>
      <c r="D5189" s="6">
        <f t="shared" si="83"/>
        <v>-0.78992467505549835</v>
      </c>
      <c r="E5189" s="6">
        <v>-1.4482740973874838E-2</v>
      </c>
    </row>
    <row r="5190" spans="2:5" x14ac:dyDescent="0.3">
      <c r="B5190" s="4">
        <v>44098</v>
      </c>
      <c r="C5190" s="5">
        <v>1833.39</v>
      </c>
      <c r="D5190" s="6">
        <f t="shared" si="83"/>
        <v>35.485373134328363</v>
      </c>
      <c r="E5190" s="6">
        <v>-1.4486599223797704E-2</v>
      </c>
    </row>
    <row r="5191" spans="2:5" x14ac:dyDescent="0.3">
      <c r="B5191" s="4">
        <v>38833</v>
      </c>
      <c r="C5191" s="7">
        <v>50.25</v>
      </c>
      <c r="D5191" s="6">
        <f t="shared" si="83"/>
        <v>-0.81441814085755437</v>
      </c>
      <c r="E5191" s="6">
        <v>-1.4512649539125358E-2</v>
      </c>
    </row>
    <row r="5192" spans="2:5" x14ac:dyDescent="0.3">
      <c r="B5192" s="4">
        <v>40952</v>
      </c>
      <c r="C5192" s="7">
        <v>270.77</v>
      </c>
      <c r="D5192" s="6">
        <f t="shared" ref="D5192:D5255" si="84">((C5192-C5193)/C5193)</f>
        <v>-0.90973280216025199</v>
      </c>
      <c r="E5192" s="6">
        <v>-1.4521764448973684E-2</v>
      </c>
    </row>
    <row r="5193" spans="2:5" x14ac:dyDescent="0.3">
      <c r="B5193" s="4">
        <v>45063</v>
      </c>
      <c r="C5193" s="5">
        <v>2999.65</v>
      </c>
      <c r="D5193" s="6">
        <f t="shared" si="84"/>
        <v>0.72189821246110941</v>
      </c>
      <c r="E5193" s="6">
        <v>-1.4550221095028142E-2</v>
      </c>
    </row>
    <row r="5194" spans="2:5" x14ac:dyDescent="0.3">
      <c r="B5194" s="4">
        <v>43949</v>
      </c>
      <c r="C5194" s="5">
        <v>1742.06</v>
      </c>
      <c r="D5194" s="6">
        <f t="shared" si="84"/>
        <v>1.9490452329360777</v>
      </c>
      <c r="E5194" s="6">
        <v>-1.455489622636174E-2</v>
      </c>
    </row>
    <row r="5195" spans="2:5" x14ac:dyDescent="0.3">
      <c r="B5195" s="4">
        <v>41926</v>
      </c>
      <c r="C5195" s="7">
        <v>590.72</v>
      </c>
      <c r="D5195" s="6">
        <f t="shared" si="84"/>
        <v>-0.42811779967858732</v>
      </c>
      <c r="E5195" s="6">
        <v>-1.4563349737259184E-2</v>
      </c>
    </row>
    <row r="5196" spans="2:5" x14ac:dyDescent="0.3">
      <c r="B5196" s="4">
        <v>43154</v>
      </c>
      <c r="C5196" s="5">
        <v>1032.94</v>
      </c>
      <c r="D5196" s="6">
        <f t="shared" si="84"/>
        <v>-0.63005569185036625</v>
      </c>
      <c r="E5196" s="6">
        <v>-1.4577092595065896E-2</v>
      </c>
    </row>
    <row r="5197" spans="2:5" x14ac:dyDescent="0.3">
      <c r="B5197" s="4">
        <v>45394</v>
      </c>
      <c r="C5197" s="5">
        <v>2792.15</v>
      </c>
      <c r="D5197" s="6">
        <f t="shared" si="84"/>
        <v>5.6008562589351281E-2</v>
      </c>
      <c r="E5197" s="6">
        <v>-1.4586303767804934E-2</v>
      </c>
    </row>
    <row r="5198" spans="2:5" x14ac:dyDescent="0.3">
      <c r="B5198" s="4">
        <v>44957</v>
      </c>
      <c r="C5198" s="5">
        <v>2644.06</v>
      </c>
      <c r="D5198" s="6">
        <f t="shared" si="84"/>
        <v>0.40336183515649465</v>
      </c>
      <c r="E5198" s="6">
        <v>-1.4587060226595065E-2</v>
      </c>
    </row>
    <row r="5199" spans="2:5" x14ac:dyDescent="0.3">
      <c r="B5199" s="4">
        <v>44069</v>
      </c>
      <c r="C5199" s="5">
        <v>1884.09</v>
      </c>
      <c r="D5199" s="6">
        <f t="shared" si="84"/>
        <v>1.8289214876653503</v>
      </c>
      <c r="E5199" s="6">
        <v>-1.4597280334728076E-2</v>
      </c>
    </row>
    <row r="5200" spans="2:5" x14ac:dyDescent="0.3">
      <c r="B5200" s="4">
        <v>41997</v>
      </c>
      <c r="C5200" s="7">
        <v>666.01</v>
      </c>
      <c r="D5200" s="6">
        <f t="shared" si="84"/>
        <v>-0.36020864954177795</v>
      </c>
      <c r="E5200" s="6">
        <v>-1.4603183997159265E-2</v>
      </c>
    </row>
    <row r="5201" spans="2:5" x14ac:dyDescent="0.3">
      <c r="B5201" s="4">
        <v>42669</v>
      </c>
      <c r="C5201" s="5">
        <v>1040.98</v>
      </c>
      <c r="D5201" s="6">
        <f t="shared" si="84"/>
        <v>-5.6613349041642141E-2</v>
      </c>
      <c r="E5201" s="6">
        <v>-1.4606071506328094E-2</v>
      </c>
    </row>
    <row r="5202" spans="2:5" x14ac:dyDescent="0.3">
      <c r="B5202" s="4">
        <v>43026</v>
      </c>
      <c r="C5202" s="5">
        <v>1103.45</v>
      </c>
      <c r="D5202" s="6">
        <f t="shared" si="84"/>
        <v>0.17150258517268113</v>
      </c>
      <c r="E5202" s="6">
        <v>-1.4618420817631308E-2</v>
      </c>
    </row>
    <row r="5203" spans="2:5" x14ac:dyDescent="0.3">
      <c r="B5203" s="4">
        <v>42797</v>
      </c>
      <c r="C5203" s="7">
        <v>941.91</v>
      </c>
      <c r="D5203" s="6">
        <f t="shared" si="84"/>
        <v>-0.11985011727108787</v>
      </c>
      <c r="E5203" s="6">
        <v>-1.4625113768320642E-2</v>
      </c>
    </row>
    <row r="5204" spans="2:5" x14ac:dyDescent="0.3">
      <c r="B5204" s="4">
        <v>42625</v>
      </c>
      <c r="C5204" s="5">
        <v>1070.17</v>
      </c>
      <c r="D5204" s="6">
        <f t="shared" si="84"/>
        <v>-1.0695730951984707E-2</v>
      </c>
      <c r="E5204" s="6">
        <v>-1.4639940335337377E-2</v>
      </c>
    </row>
    <row r="5205" spans="2:5" x14ac:dyDescent="0.3">
      <c r="B5205" s="4">
        <v>43068</v>
      </c>
      <c r="C5205" s="5">
        <v>1081.74</v>
      </c>
      <c r="D5205" s="6">
        <f t="shared" si="84"/>
        <v>1.2529209621993129</v>
      </c>
      <c r="E5205" s="6">
        <v>-1.4647209925124272E-2</v>
      </c>
    </row>
    <row r="5206" spans="2:5" x14ac:dyDescent="0.3">
      <c r="B5206" s="4">
        <v>41733</v>
      </c>
      <c r="C5206" s="7">
        <v>480.15</v>
      </c>
      <c r="D5206" s="6">
        <f t="shared" si="84"/>
        <v>-0.7094138651012194</v>
      </c>
      <c r="E5206" s="6">
        <v>-1.4672686230248377E-2</v>
      </c>
    </row>
    <row r="5207" spans="2:5" x14ac:dyDescent="0.3">
      <c r="B5207" s="4">
        <v>43941</v>
      </c>
      <c r="C5207" s="5">
        <v>1652.35</v>
      </c>
      <c r="D5207" s="6">
        <f t="shared" si="84"/>
        <v>101.69422001243008</v>
      </c>
      <c r="E5207" s="6">
        <v>-1.4687116125415992E-2</v>
      </c>
    </row>
    <row r="5208" spans="2:5" x14ac:dyDescent="0.3">
      <c r="B5208" s="4">
        <v>37578</v>
      </c>
      <c r="C5208" s="7">
        <v>16.09</v>
      </c>
      <c r="D5208" s="6">
        <f t="shared" si="84"/>
        <v>-0.99368972590114557</v>
      </c>
      <c r="E5208" s="6">
        <v>-1.4696876913655755E-2</v>
      </c>
    </row>
    <row r="5209" spans="2:5" x14ac:dyDescent="0.3">
      <c r="B5209" s="4">
        <v>44210</v>
      </c>
      <c r="C5209" s="5">
        <v>2549.81</v>
      </c>
      <c r="D5209" s="6">
        <f t="shared" si="84"/>
        <v>5.1052820611052585</v>
      </c>
      <c r="E5209" s="6">
        <v>-1.4718497623555834E-2</v>
      </c>
    </row>
    <row r="5210" spans="2:5" x14ac:dyDescent="0.3">
      <c r="B5210" s="4">
        <v>41690</v>
      </c>
      <c r="C5210" s="7">
        <v>417.64</v>
      </c>
      <c r="D5210" s="6">
        <f t="shared" si="84"/>
        <v>25.004981320049815</v>
      </c>
      <c r="E5210" s="6">
        <v>-1.4721147494573957E-2</v>
      </c>
    </row>
    <row r="5211" spans="2:5" x14ac:dyDescent="0.3">
      <c r="B5211" s="4">
        <v>37732</v>
      </c>
      <c r="C5211" s="7">
        <v>16.059999999999999</v>
      </c>
      <c r="D5211" s="6">
        <f t="shared" si="84"/>
        <v>-0.9782852661609811</v>
      </c>
      <c r="E5211" s="6">
        <v>-1.472392638036822E-2</v>
      </c>
    </row>
    <row r="5212" spans="2:5" x14ac:dyDescent="0.3">
      <c r="B5212" s="4">
        <v>42312</v>
      </c>
      <c r="C5212" s="7">
        <v>739.59</v>
      </c>
      <c r="D5212" s="6">
        <f t="shared" si="84"/>
        <v>3.470998069336028E-2</v>
      </c>
      <c r="E5212" s="6">
        <v>-1.4747022620094233E-2</v>
      </c>
    </row>
    <row r="5213" spans="2:5" x14ac:dyDescent="0.3">
      <c r="B5213" s="4">
        <v>41982</v>
      </c>
      <c r="C5213" s="7">
        <v>714.78</v>
      </c>
      <c r="D5213" s="6">
        <f t="shared" si="84"/>
        <v>-0.31495112133410014</v>
      </c>
      <c r="E5213" s="6">
        <v>-1.4748855929867185E-2</v>
      </c>
    </row>
    <row r="5214" spans="2:5" x14ac:dyDescent="0.3">
      <c r="B5214" s="4">
        <v>42923</v>
      </c>
      <c r="C5214" s="5">
        <v>1043.4000000000001</v>
      </c>
      <c r="D5214" s="6">
        <f t="shared" si="84"/>
        <v>0.42833675564681739</v>
      </c>
      <c r="E5214" s="6">
        <v>-1.4749485373269524E-2</v>
      </c>
    </row>
    <row r="5215" spans="2:5" x14ac:dyDescent="0.3">
      <c r="B5215" s="4">
        <v>42275</v>
      </c>
      <c r="C5215" s="7">
        <v>730.5</v>
      </c>
      <c r="D5215" s="6">
        <f t="shared" si="84"/>
        <v>11.052466589671671</v>
      </c>
      <c r="E5215" s="6">
        <v>-1.4755071212775212E-2</v>
      </c>
    </row>
    <row r="5216" spans="2:5" x14ac:dyDescent="0.3">
      <c r="B5216" s="4">
        <v>39884</v>
      </c>
      <c r="C5216" s="7">
        <v>60.61</v>
      </c>
      <c r="D5216" s="6">
        <f t="shared" si="84"/>
        <v>-0.97766641487186101</v>
      </c>
      <c r="E5216" s="6">
        <v>-1.4791937581274442E-2</v>
      </c>
    </row>
    <row r="5217" spans="2:5" x14ac:dyDescent="0.3">
      <c r="B5217" s="4">
        <v>45008</v>
      </c>
      <c r="C5217" s="5">
        <v>2713.85</v>
      </c>
      <c r="D5217" s="6">
        <f t="shared" si="84"/>
        <v>9.1710891237538412</v>
      </c>
      <c r="E5217" s="6">
        <v>-1.4804166076750851E-2</v>
      </c>
    </row>
    <row r="5218" spans="2:5" x14ac:dyDescent="0.3">
      <c r="B5218" s="4">
        <v>40710</v>
      </c>
      <c r="C5218" s="7">
        <v>266.82</v>
      </c>
      <c r="D5218" s="6">
        <f t="shared" si="84"/>
        <v>-0.17625266277669732</v>
      </c>
      <c r="E5218" s="6">
        <v>-1.4806336077982466E-2</v>
      </c>
    </row>
    <row r="5219" spans="2:5" x14ac:dyDescent="0.3">
      <c r="B5219" s="4">
        <v>41039</v>
      </c>
      <c r="C5219" s="7">
        <v>323.91000000000003</v>
      </c>
      <c r="D5219" s="6">
        <f t="shared" si="84"/>
        <v>5.3325513196480951</v>
      </c>
      <c r="E5219" s="6">
        <v>-1.48123365168196E-2</v>
      </c>
    </row>
    <row r="5220" spans="2:5" x14ac:dyDescent="0.3">
      <c r="B5220" s="4">
        <v>38951</v>
      </c>
      <c r="C5220" s="7">
        <v>51.15</v>
      </c>
      <c r="D5220" s="6">
        <f t="shared" si="84"/>
        <v>-0.98426623438542959</v>
      </c>
      <c r="E5220" s="6">
        <v>-1.4830508474576331E-2</v>
      </c>
    </row>
    <row r="5221" spans="2:5" x14ac:dyDescent="0.3">
      <c r="B5221" s="4">
        <v>44467</v>
      </c>
      <c r="C5221" s="5">
        <v>3250.97</v>
      </c>
      <c r="D5221" s="6">
        <f t="shared" si="84"/>
        <v>40.572506393861893</v>
      </c>
      <c r="E5221" s="6">
        <v>-1.4851605161243467E-2</v>
      </c>
    </row>
    <row r="5222" spans="2:5" x14ac:dyDescent="0.3">
      <c r="B5222" s="4">
        <v>39346</v>
      </c>
      <c r="C5222" s="7">
        <v>78.2</v>
      </c>
      <c r="D5222" s="6">
        <f t="shared" si="84"/>
        <v>0.11666428673425677</v>
      </c>
      <c r="E5222" s="6">
        <v>-1.4865205341395725E-2</v>
      </c>
    </row>
    <row r="5223" spans="2:5" x14ac:dyDescent="0.3">
      <c r="B5223" s="4">
        <v>39255</v>
      </c>
      <c r="C5223" s="7">
        <v>70.03</v>
      </c>
      <c r="D5223" s="6">
        <f t="shared" si="84"/>
        <v>0.49445155783183958</v>
      </c>
      <c r="E5223" s="6">
        <v>-1.4910676607117769E-2</v>
      </c>
    </row>
    <row r="5224" spans="2:5" x14ac:dyDescent="0.3">
      <c r="B5224" s="4">
        <v>38727</v>
      </c>
      <c r="C5224" s="7">
        <v>46.86</v>
      </c>
      <c r="D5224" s="6">
        <f t="shared" si="84"/>
        <v>-0.98610806420054664</v>
      </c>
      <c r="E5224" s="6">
        <v>-1.4925373134328375E-2</v>
      </c>
    </row>
    <row r="5225" spans="2:5" x14ac:dyDescent="0.3">
      <c r="B5225" s="4">
        <v>44792</v>
      </c>
      <c r="C5225" s="5">
        <v>3373.18</v>
      </c>
      <c r="D5225" s="6">
        <f t="shared" si="84"/>
        <v>13.894599726233055</v>
      </c>
      <c r="E5225" s="6">
        <v>-1.4934351929726289E-2</v>
      </c>
    </row>
    <row r="5226" spans="2:5" x14ac:dyDescent="0.3">
      <c r="B5226" s="4">
        <v>40651</v>
      </c>
      <c r="C5226" s="7">
        <v>226.47</v>
      </c>
      <c r="D5226" s="6">
        <f t="shared" si="84"/>
        <v>-0.51272672504679728</v>
      </c>
      <c r="E5226" s="6">
        <v>-1.4962376582140828E-2</v>
      </c>
    </row>
    <row r="5227" spans="2:5" x14ac:dyDescent="0.3">
      <c r="B5227" s="4">
        <v>41572</v>
      </c>
      <c r="C5227" s="7">
        <v>464.77</v>
      </c>
      <c r="D5227" s="6">
        <f t="shared" si="84"/>
        <v>19.260244115082823</v>
      </c>
      <c r="E5227" s="6">
        <v>-1.4963016340631165E-2</v>
      </c>
    </row>
    <row r="5228" spans="2:5" x14ac:dyDescent="0.3">
      <c r="B5228" s="4">
        <v>38308</v>
      </c>
      <c r="C5228" s="7">
        <v>22.94</v>
      </c>
      <c r="D5228" s="6">
        <f t="shared" si="84"/>
        <v>-0.92948914981250386</v>
      </c>
      <c r="E5228" s="6">
        <v>-1.502790897380841E-2</v>
      </c>
    </row>
    <row r="5229" spans="2:5" x14ac:dyDescent="0.3">
      <c r="B5229" s="4">
        <v>41152</v>
      </c>
      <c r="C5229" s="7">
        <v>325.33999999999997</v>
      </c>
      <c r="D5229" s="6">
        <f t="shared" si="84"/>
        <v>-0.25563410895279937</v>
      </c>
      <c r="E5229" s="6">
        <v>-1.5046471496473092E-2</v>
      </c>
    </row>
    <row r="5230" spans="2:5" x14ac:dyDescent="0.3">
      <c r="B5230" s="4">
        <v>41358</v>
      </c>
      <c r="C5230" s="7">
        <v>437.07</v>
      </c>
      <c r="D5230" s="6">
        <f t="shared" si="84"/>
        <v>13.232171930967112</v>
      </c>
      <c r="E5230" s="6">
        <v>-1.5053521126760578E-2</v>
      </c>
    </row>
    <row r="5231" spans="2:5" x14ac:dyDescent="0.3">
      <c r="B5231" s="4">
        <v>38490</v>
      </c>
      <c r="C5231" s="7">
        <v>30.71</v>
      </c>
      <c r="D5231" s="6">
        <f t="shared" si="84"/>
        <v>-0.82638928147436252</v>
      </c>
      <c r="E5231" s="6">
        <v>-1.5073765234124403E-2</v>
      </c>
    </row>
    <row r="5232" spans="2:5" x14ac:dyDescent="0.3">
      <c r="B5232" s="4">
        <v>40268</v>
      </c>
      <c r="C5232" s="7">
        <v>176.89</v>
      </c>
      <c r="D5232" s="6">
        <f t="shared" si="84"/>
        <v>0.65534344001497269</v>
      </c>
      <c r="E5232" s="6">
        <v>-1.5089086859688241E-2</v>
      </c>
    </row>
    <row r="5233" spans="2:5" x14ac:dyDescent="0.3">
      <c r="B5233" s="4">
        <v>39616</v>
      </c>
      <c r="C5233" s="7">
        <v>106.86</v>
      </c>
      <c r="D5233" s="6">
        <f t="shared" si="84"/>
        <v>1.0273192942515652</v>
      </c>
      <c r="E5233" s="6">
        <v>-1.5115207373271895E-2</v>
      </c>
    </row>
    <row r="5234" spans="2:5" x14ac:dyDescent="0.3">
      <c r="B5234" s="4">
        <v>38784</v>
      </c>
      <c r="C5234" s="7">
        <v>52.71</v>
      </c>
      <c r="D5234" s="6">
        <f t="shared" si="84"/>
        <v>-0.98266557483795225</v>
      </c>
      <c r="E5234" s="6">
        <v>-1.5134529147982105E-2</v>
      </c>
    </row>
    <row r="5235" spans="2:5" x14ac:dyDescent="0.3">
      <c r="B5235" s="4">
        <v>44662</v>
      </c>
      <c r="C5235" s="5">
        <v>3040.77</v>
      </c>
      <c r="D5235" s="6">
        <f t="shared" si="84"/>
        <v>99.157114624505923</v>
      </c>
      <c r="E5235" s="6">
        <v>-1.5218151669818974E-2</v>
      </c>
    </row>
    <row r="5236" spans="2:5" x14ac:dyDescent="0.3">
      <c r="B5236" s="4">
        <v>38495</v>
      </c>
      <c r="C5236" s="7">
        <v>30.36</v>
      </c>
      <c r="D5236" s="6">
        <f t="shared" si="84"/>
        <v>-0.96207986210858942</v>
      </c>
      <c r="E5236" s="6">
        <v>-1.5244891339604246E-2</v>
      </c>
    </row>
    <row r="5237" spans="2:5" x14ac:dyDescent="0.3">
      <c r="B5237" s="4">
        <v>42460</v>
      </c>
      <c r="C5237" s="7">
        <v>800.63</v>
      </c>
      <c r="D5237" s="6">
        <f t="shared" si="84"/>
        <v>2.4449034034680093</v>
      </c>
      <c r="E5237" s="6">
        <v>-1.5251589732236176E-2</v>
      </c>
    </row>
    <row r="5238" spans="2:5" x14ac:dyDescent="0.3">
      <c r="B5238" s="4">
        <v>40466</v>
      </c>
      <c r="C5238" s="7">
        <v>232.41</v>
      </c>
      <c r="D5238" s="6">
        <f t="shared" si="84"/>
        <v>0.30677537250491987</v>
      </c>
      <c r="E5238" s="6">
        <v>-1.5253590949536013E-2</v>
      </c>
    </row>
    <row r="5239" spans="2:5" x14ac:dyDescent="0.3">
      <c r="B5239" s="4">
        <v>40289</v>
      </c>
      <c r="C5239" s="7">
        <v>177.85</v>
      </c>
      <c r="D5239" s="6">
        <f t="shared" si="84"/>
        <v>-0.51744627740395055</v>
      </c>
      <c r="E5239" s="6">
        <v>-1.5281545872321682E-2</v>
      </c>
    </row>
    <row r="5240" spans="2:5" x14ac:dyDescent="0.3">
      <c r="B5240" s="4">
        <v>41222</v>
      </c>
      <c r="C5240" s="7">
        <v>368.56</v>
      </c>
      <c r="D5240" s="6">
        <f t="shared" si="84"/>
        <v>-0.59635077266803194</v>
      </c>
      <c r="E5240" s="6">
        <v>-1.5282676071390324E-2</v>
      </c>
    </row>
    <row r="5241" spans="2:5" x14ac:dyDescent="0.3">
      <c r="B5241" s="4">
        <v>42556</v>
      </c>
      <c r="C5241" s="7">
        <v>913.07</v>
      </c>
      <c r="D5241" s="6">
        <f t="shared" si="84"/>
        <v>-0.70978548657264817</v>
      </c>
      <c r="E5241" s="6">
        <v>-1.5292531679697978E-2</v>
      </c>
    </row>
    <row r="5242" spans="2:5" x14ac:dyDescent="0.3">
      <c r="B5242" s="4">
        <v>44846</v>
      </c>
      <c r="C5242" s="5">
        <v>3146.19</v>
      </c>
      <c r="D5242" s="6">
        <f t="shared" si="84"/>
        <v>0.45896051862775106</v>
      </c>
      <c r="E5242" s="6">
        <v>-1.5310896964423783E-2</v>
      </c>
    </row>
    <row r="5243" spans="2:5" x14ac:dyDescent="0.3">
      <c r="B5243" s="4">
        <v>45716</v>
      </c>
      <c r="C5243" s="5">
        <v>2156.46</v>
      </c>
      <c r="D5243" s="6">
        <f t="shared" si="84"/>
        <v>3.9984006675474584</v>
      </c>
      <c r="E5243" s="6">
        <v>-1.5315068493150669E-2</v>
      </c>
    </row>
    <row r="5244" spans="2:5" x14ac:dyDescent="0.3">
      <c r="B5244" s="4">
        <v>41542</v>
      </c>
      <c r="C5244" s="7">
        <v>431.43</v>
      </c>
      <c r="D5244" s="6">
        <f t="shared" si="84"/>
        <v>-0.85458118315631948</v>
      </c>
      <c r="E5244" s="6">
        <v>-1.5337213283122151E-2</v>
      </c>
    </row>
    <row r="5245" spans="2:5" x14ac:dyDescent="0.3">
      <c r="B5245" s="4">
        <v>44664</v>
      </c>
      <c r="C5245" s="5">
        <v>2966.81</v>
      </c>
      <c r="D5245" s="6">
        <f t="shared" si="84"/>
        <v>0.32745552493109492</v>
      </c>
      <c r="E5245" s="6">
        <v>-1.5340039760639705E-2</v>
      </c>
    </row>
    <row r="5246" spans="2:5" x14ac:dyDescent="0.3">
      <c r="B5246" s="4">
        <v>45807</v>
      </c>
      <c r="C5246" s="5">
        <v>2234.96</v>
      </c>
      <c r="D5246" s="6">
        <f t="shared" si="84"/>
        <v>-0.22011612975266601</v>
      </c>
      <c r="E5246" s="6">
        <v>-1.5340693811735129E-2</v>
      </c>
    </row>
    <row r="5247" spans="2:5" x14ac:dyDescent="0.3">
      <c r="B5247" s="4">
        <v>45415</v>
      </c>
      <c r="C5247" s="5">
        <v>2865.76</v>
      </c>
      <c r="D5247" s="6">
        <f t="shared" si="84"/>
        <v>0.26185454433372818</v>
      </c>
      <c r="E5247" s="6">
        <v>-1.5341481097164881E-2</v>
      </c>
    </row>
    <row r="5248" spans="2:5" x14ac:dyDescent="0.3">
      <c r="B5248" s="4">
        <v>45797</v>
      </c>
      <c r="C5248" s="5">
        <v>2271.0700000000002</v>
      </c>
      <c r="D5248" s="6">
        <f t="shared" si="84"/>
        <v>2.1186591963966932</v>
      </c>
      <c r="E5248" s="6">
        <v>-1.5356667490429016E-2</v>
      </c>
    </row>
    <row r="5249" spans="2:5" x14ac:dyDescent="0.3">
      <c r="B5249" s="4">
        <v>42115</v>
      </c>
      <c r="C5249" s="7">
        <v>728.22</v>
      </c>
      <c r="D5249" s="6">
        <f t="shared" si="84"/>
        <v>-0.19360839811308211</v>
      </c>
      <c r="E5249" s="6">
        <v>-1.5400008112383535E-2</v>
      </c>
    </row>
    <row r="5250" spans="2:5" x14ac:dyDescent="0.3">
      <c r="B5250" s="4">
        <v>42548</v>
      </c>
      <c r="C5250" s="7">
        <v>903.06</v>
      </c>
      <c r="D5250" s="6">
        <f t="shared" si="84"/>
        <v>0.49731396736967759</v>
      </c>
      <c r="E5250" s="6">
        <v>-1.5405750171720264E-2</v>
      </c>
    </row>
    <row r="5251" spans="2:5" x14ac:dyDescent="0.3">
      <c r="B5251" s="4">
        <v>41897</v>
      </c>
      <c r="C5251" s="7">
        <v>603.12</v>
      </c>
      <c r="D5251" s="6">
        <f t="shared" si="84"/>
        <v>-0.74847572418740049</v>
      </c>
      <c r="E5251" s="6">
        <v>-1.541073527491175E-2</v>
      </c>
    </row>
    <row r="5252" spans="2:5" x14ac:dyDescent="0.3">
      <c r="B5252" s="4">
        <v>45852</v>
      </c>
      <c r="C5252" s="5">
        <v>2397.86</v>
      </c>
      <c r="D5252" s="6">
        <f t="shared" si="84"/>
        <v>49.791357763185765</v>
      </c>
      <c r="E5252" s="6">
        <v>-1.5414305658208081E-2</v>
      </c>
    </row>
    <row r="5253" spans="2:5" x14ac:dyDescent="0.3">
      <c r="B5253" s="4">
        <v>38908</v>
      </c>
      <c r="C5253" s="7">
        <v>47.21</v>
      </c>
      <c r="D5253" s="6">
        <f t="shared" si="84"/>
        <v>-0.98423853529553162</v>
      </c>
      <c r="E5253" s="6">
        <v>-1.5432742440041751E-2</v>
      </c>
    </row>
    <row r="5254" spans="2:5" x14ac:dyDescent="0.3">
      <c r="B5254" s="4">
        <v>44855</v>
      </c>
      <c r="C5254" s="5">
        <v>2995.28</v>
      </c>
      <c r="D5254" s="6">
        <f t="shared" si="84"/>
        <v>179.87439613526573</v>
      </c>
      <c r="E5254" s="6">
        <v>-1.5442467113264486E-2</v>
      </c>
    </row>
    <row r="5255" spans="2:5" x14ac:dyDescent="0.3">
      <c r="B5255" s="4">
        <v>37708</v>
      </c>
      <c r="C5255" s="7">
        <v>16.559999999999999</v>
      </c>
      <c r="D5255" s="6">
        <f t="shared" si="84"/>
        <v>-0.88492008339124395</v>
      </c>
      <c r="E5255" s="6">
        <v>-1.5457788347205801E-2</v>
      </c>
    </row>
    <row r="5256" spans="2:5" x14ac:dyDescent="0.3">
      <c r="B5256" s="4">
        <v>40129</v>
      </c>
      <c r="C5256" s="7">
        <v>143.9</v>
      </c>
      <c r="D5256" s="6">
        <f t="shared" ref="D5256:D5319" si="85">((C5256-C5257)/C5257)</f>
        <v>-0.90643145567686012</v>
      </c>
      <c r="E5256" s="6">
        <v>-1.5462506841817126E-2</v>
      </c>
    </row>
    <row r="5257" spans="2:5" x14ac:dyDescent="0.3">
      <c r="B5257" s="4">
        <v>43993</v>
      </c>
      <c r="C5257" s="5">
        <v>1537.91</v>
      </c>
      <c r="D5257" s="6">
        <f t="shared" si="85"/>
        <v>34.104085825154073</v>
      </c>
      <c r="E5257" s="6">
        <v>-1.5491866769945663E-2</v>
      </c>
    </row>
    <row r="5258" spans="2:5" x14ac:dyDescent="0.3">
      <c r="B5258" s="4">
        <v>38691</v>
      </c>
      <c r="C5258" s="7">
        <v>43.81</v>
      </c>
      <c r="D5258" s="6">
        <f t="shared" si="85"/>
        <v>-0.97882674760284571</v>
      </c>
      <c r="E5258" s="6">
        <v>-1.5505617977528039E-2</v>
      </c>
    </row>
    <row r="5259" spans="2:5" x14ac:dyDescent="0.3">
      <c r="B5259" s="4">
        <v>44154</v>
      </c>
      <c r="C5259" s="5">
        <v>2069.12</v>
      </c>
      <c r="D5259" s="6">
        <f t="shared" si="85"/>
        <v>0.84789054406458741</v>
      </c>
      <c r="E5259" s="6">
        <v>-1.5506420961978648E-2</v>
      </c>
    </row>
    <row r="5260" spans="2:5" x14ac:dyDescent="0.3">
      <c r="B5260" s="4">
        <v>42982</v>
      </c>
      <c r="C5260" s="5">
        <v>1119.72</v>
      </c>
      <c r="D5260" s="6">
        <f t="shared" si="85"/>
        <v>-0.65406360642366801</v>
      </c>
      <c r="E5260" s="6">
        <v>-1.5509601181683789E-2</v>
      </c>
    </row>
    <row r="5261" spans="2:5" x14ac:dyDescent="0.3">
      <c r="B5261" s="4">
        <v>45566</v>
      </c>
      <c r="C5261" s="5">
        <v>3236.78</v>
      </c>
      <c r="D5261" s="6">
        <f t="shared" si="85"/>
        <v>44.639875916525661</v>
      </c>
      <c r="E5261" s="6">
        <v>-1.5544923948185515E-2</v>
      </c>
    </row>
    <row r="5262" spans="2:5" x14ac:dyDescent="0.3">
      <c r="B5262" s="4">
        <v>39238</v>
      </c>
      <c r="C5262" s="7">
        <v>70.92</v>
      </c>
      <c r="D5262" s="6">
        <f t="shared" si="85"/>
        <v>-0.85424801677010975</v>
      </c>
      <c r="E5262" s="6">
        <v>-1.5546918378678574E-2</v>
      </c>
    </row>
    <row r="5263" spans="2:5" x14ac:dyDescent="0.3">
      <c r="B5263" s="4">
        <v>41781</v>
      </c>
      <c r="C5263" s="7">
        <v>486.58</v>
      </c>
      <c r="D5263" s="6">
        <f t="shared" si="85"/>
        <v>28.597323600973233</v>
      </c>
      <c r="E5263" s="6">
        <v>-1.5558298096182244E-2</v>
      </c>
    </row>
    <row r="5264" spans="2:5" x14ac:dyDescent="0.3">
      <c r="B5264" s="4">
        <v>37489</v>
      </c>
      <c r="C5264" s="7">
        <v>16.440000000000001</v>
      </c>
      <c r="D5264" s="6">
        <f t="shared" si="85"/>
        <v>-0.45831960461285004</v>
      </c>
      <c r="E5264" s="6">
        <v>-1.5568862275448984E-2</v>
      </c>
    </row>
    <row r="5265" spans="2:5" x14ac:dyDescent="0.3">
      <c r="B5265" s="4">
        <v>38503</v>
      </c>
      <c r="C5265" s="7">
        <v>30.35</v>
      </c>
      <c r="D5265" s="6">
        <f t="shared" si="85"/>
        <v>-0.98717401501929181</v>
      </c>
      <c r="E5265" s="6">
        <v>-1.5569250729808528E-2</v>
      </c>
    </row>
    <row r="5266" spans="2:5" x14ac:dyDescent="0.3">
      <c r="B5266" s="4">
        <v>45635</v>
      </c>
      <c r="C5266" s="5">
        <v>2366.29</v>
      </c>
      <c r="D5266" s="6">
        <f t="shared" si="85"/>
        <v>0.43722478331905995</v>
      </c>
      <c r="E5266" s="6">
        <v>-1.5579888007854353E-2</v>
      </c>
    </row>
    <row r="5267" spans="2:5" x14ac:dyDescent="0.3">
      <c r="B5267" s="4">
        <v>44033</v>
      </c>
      <c r="C5267" s="5">
        <v>1646.43</v>
      </c>
      <c r="D5267" s="6">
        <f t="shared" si="85"/>
        <v>-0.41313576691249587</v>
      </c>
      <c r="E5267" s="6">
        <v>-1.5610986882226972E-2</v>
      </c>
    </row>
    <row r="5268" spans="2:5" x14ac:dyDescent="0.3">
      <c r="B5268" s="4">
        <v>44348</v>
      </c>
      <c r="C5268" s="5">
        <v>2805.47</v>
      </c>
      <c r="D5268" s="6">
        <f t="shared" si="85"/>
        <v>1.1414657232056302</v>
      </c>
      <c r="E5268" s="6">
        <v>-1.561765345721732E-2</v>
      </c>
    </row>
    <row r="5269" spans="2:5" x14ac:dyDescent="0.3">
      <c r="B5269" s="4">
        <v>43634</v>
      </c>
      <c r="C5269" s="5">
        <v>1310.07</v>
      </c>
      <c r="D5269" s="6">
        <f t="shared" si="85"/>
        <v>0.2332043715229731</v>
      </c>
      <c r="E5269" s="6">
        <v>-1.5621477841395764E-2</v>
      </c>
    </row>
    <row r="5270" spans="2:5" x14ac:dyDescent="0.3">
      <c r="B5270" s="4">
        <v>42894</v>
      </c>
      <c r="C5270" s="5">
        <v>1062.33</v>
      </c>
      <c r="D5270" s="6">
        <f t="shared" si="85"/>
        <v>-7.7987820824150407E-3</v>
      </c>
      <c r="E5270" s="6">
        <v>-1.566843334198147E-2</v>
      </c>
    </row>
    <row r="5271" spans="2:5" x14ac:dyDescent="0.3">
      <c r="B5271" s="4">
        <v>42629</v>
      </c>
      <c r="C5271" s="5">
        <v>1070.68</v>
      </c>
      <c r="D5271" s="6">
        <f t="shared" si="85"/>
        <v>0.42629917273901996</v>
      </c>
      <c r="E5271" s="6">
        <v>-1.5683895048449029E-2</v>
      </c>
    </row>
    <row r="5272" spans="2:5" x14ac:dyDescent="0.3">
      <c r="B5272" s="4">
        <v>42053</v>
      </c>
      <c r="C5272" s="7">
        <v>750.67</v>
      </c>
      <c r="D5272" s="6">
        <f t="shared" si="85"/>
        <v>9.7009265858873839</v>
      </c>
      <c r="E5272" s="6">
        <v>-1.5708385235691364E-2</v>
      </c>
    </row>
    <row r="5273" spans="2:5" x14ac:dyDescent="0.3">
      <c r="B5273" s="4">
        <v>39244</v>
      </c>
      <c r="C5273" s="7">
        <v>70.150000000000006</v>
      </c>
      <c r="D5273" s="6">
        <f t="shared" si="85"/>
        <v>0.20449862637362642</v>
      </c>
      <c r="E5273" s="6">
        <v>-1.5714887049249199E-2</v>
      </c>
    </row>
    <row r="5274" spans="2:5" x14ac:dyDescent="0.3">
      <c r="B5274" s="4">
        <v>39038</v>
      </c>
      <c r="C5274" s="7">
        <v>58.24</v>
      </c>
      <c r="D5274" s="6">
        <f t="shared" si="85"/>
        <v>-0.97863058131129865</v>
      </c>
      <c r="E5274" s="6">
        <v>-1.5717424370457998E-2</v>
      </c>
    </row>
    <row r="5275" spans="2:5" x14ac:dyDescent="0.3">
      <c r="B5275" s="4">
        <v>45035</v>
      </c>
      <c r="C5275" s="5">
        <v>2725.39</v>
      </c>
      <c r="D5275" s="6">
        <f t="shared" si="85"/>
        <v>25.909458925750393</v>
      </c>
      <c r="E5275" s="6">
        <v>-1.5728040333123933E-2</v>
      </c>
    </row>
    <row r="5276" spans="2:5" x14ac:dyDescent="0.3">
      <c r="B5276" s="4">
        <v>39580</v>
      </c>
      <c r="C5276" s="7">
        <v>101.28</v>
      </c>
      <c r="D5276" s="6">
        <f t="shared" si="85"/>
        <v>-0.95829919340560699</v>
      </c>
      <c r="E5276" s="6">
        <v>-1.5743440233236195E-2</v>
      </c>
    </row>
    <row r="5277" spans="2:5" x14ac:dyDescent="0.3">
      <c r="B5277" s="4">
        <v>44286</v>
      </c>
      <c r="C5277" s="5">
        <v>2428.73</v>
      </c>
      <c r="D5277" s="6">
        <f t="shared" si="85"/>
        <v>9.0466227258849632E-2</v>
      </c>
      <c r="E5277" s="6">
        <v>-1.5768102316383207E-2</v>
      </c>
    </row>
    <row r="5278" spans="2:5" x14ac:dyDescent="0.3">
      <c r="B5278" s="4">
        <v>45728</v>
      </c>
      <c r="C5278" s="5">
        <v>2227.2399999999998</v>
      </c>
      <c r="D5278" s="6">
        <f t="shared" si="85"/>
        <v>5.7994871168640856</v>
      </c>
      <c r="E5278" s="6">
        <v>-1.5784636051896742E-2</v>
      </c>
    </row>
    <row r="5279" spans="2:5" x14ac:dyDescent="0.3">
      <c r="B5279" s="4">
        <v>41046</v>
      </c>
      <c r="C5279" s="7">
        <v>327.56</v>
      </c>
      <c r="D5279" s="6">
        <f t="shared" si="85"/>
        <v>-0.59917770000734194</v>
      </c>
      <c r="E5279" s="6">
        <v>-1.580433868156959E-2</v>
      </c>
    </row>
    <row r="5280" spans="2:5" x14ac:dyDescent="0.3">
      <c r="B5280" s="4">
        <v>42375</v>
      </c>
      <c r="C5280" s="7">
        <v>817.22</v>
      </c>
      <c r="D5280" s="6">
        <f t="shared" si="85"/>
        <v>-0.6125670832306146</v>
      </c>
      <c r="E5280" s="6">
        <v>-1.5824461679271623E-2</v>
      </c>
    </row>
    <row r="5281" spans="2:5" x14ac:dyDescent="0.3">
      <c r="B5281" s="4">
        <v>45720</v>
      </c>
      <c r="C5281" s="5">
        <v>2109.3200000000002</v>
      </c>
      <c r="D5281" s="6">
        <f t="shared" si="85"/>
        <v>83.847948511665322</v>
      </c>
      <c r="E5281" s="6">
        <v>-1.5831097632100704E-2</v>
      </c>
    </row>
    <row r="5282" spans="2:5" x14ac:dyDescent="0.3">
      <c r="B5282" s="4">
        <v>37971</v>
      </c>
      <c r="C5282" s="7">
        <v>24.86</v>
      </c>
      <c r="D5282" s="6">
        <f t="shared" si="85"/>
        <v>-0.96908998221990128</v>
      </c>
      <c r="E5282" s="6">
        <v>-1.5835312747426847E-2</v>
      </c>
    </row>
    <row r="5283" spans="2:5" x14ac:dyDescent="0.3">
      <c r="B5283" s="4">
        <v>42376</v>
      </c>
      <c r="C5283" s="7">
        <v>804.27</v>
      </c>
      <c r="D5283" s="6">
        <f t="shared" si="85"/>
        <v>25.430167597765365</v>
      </c>
      <c r="E5283" s="6">
        <v>-1.5846406108514285E-2</v>
      </c>
    </row>
    <row r="5284" spans="2:5" x14ac:dyDescent="0.3">
      <c r="B5284" s="4">
        <v>38440</v>
      </c>
      <c r="C5284" s="7">
        <v>30.43</v>
      </c>
      <c r="D5284" s="6">
        <f t="shared" si="85"/>
        <v>-0.98527860826487856</v>
      </c>
      <c r="E5284" s="6">
        <v>-1.5847347994825418E-2</v>
      </c>
    </row>
    <row r="5285" spans="2:5" x14ac:dyDescent="0.3">
      <c r="B5285" s="4">
        <v>44132</v>
      </c>
      <c r="C5285" s="5">
        <v>2067.06</v>
      </c>
      <c r="D5285" s="6">
        <f t="shared" si="85"/>
        <v>4.840142397016443</v>
      </c>
      <c r="E5285" s="6">
        <v>-1.5901278767508114E-2</v>
      </c>
    </row>
    <row r="5286" spans="2:5" x14ac:dyDescent="0.3">
      <c r="B5286" s="4">
        <v>41229</v>
      </c>
      <c r="C5286" s="7">
        <v>353.94</v>
      </c>
      <c r="D5286" s="6">
        <f t="shared" si="85"/>
        <v>3.7311856703649244</v>
      </c>
      <c r="E5286" s="6">
        <v>-1.5903909247622829E-2</v>
      </c>
    </row>
    <row r="5287" spans="2:5" x14ac:dyDescent="0.3">
      <c r="B5287" s="4">
        <v>39783</v>
      </c>
      <c r="C5287" s="7">
        <v>74.81</v>
      </c>
      <c r="D5287" s="6">
        <f t="shared" si="85"/>
        <v>3.6581569115815693</v>
      </c>
      <c r="E5287" s="6">
        <v>-1.5916863983162246E-2</v>
      </c>
    </row>
    <row r="5288" spans="2:5" x14ac:dyDescent="0.3">
      <c r="B5288" s="4">
        <v>37561</v>
      </c>
      <c r="C5288" s="7">
        <v>16.059999999999999</v>
      </c>
      <c r="D5288" s="6">
        <f t="shared" si="85"/>
        <v>-0.9902044500829511</v>
      </c>
      <c r="E5288" s="6">
        <v>-1.5931372549019704E-2</v>
      </c>
    </row>
    <row r="5289" spans="2:5" x14ac:dyDescent="0.3">
      <c r="B5289" s="4">
        <v>44043</v>
      </c>
      <c r="C5289" s="5">
        <v>1639.52</v>
      </c>
      <c r="D5289" s="6">
        <f t="shared" si="85"/>
        <v>29.633781763826605</v>
      </c>
      <c r="E5289" s="6">
        <v>-1.597704874740425E-2</v>
      </c>
    </row>
    <row r="5290" spans="2:5" x14ac:dyDescent="0.3">
      <c r="B5290" s="4">
        <v>38783</v>
      </c>
      <c r="C5290" s="7">
        <v>53.52</v>
      </c>
      <c r="D5290" s="6">
        <f t="shared" si="85"/>
        <v>-0.92778497409326433</v>
      </c>
      <c r="E5290" s="6">
        <v>-1.5995587424158804E-2</v>
      </c>
    </row>
    <row r="5291" spans="2:5" x14ac:dyDescent="0.3">
      <c r="B5291" s="4">
        <v>42249</v>
      </c>
      <c r="C5291" s="7">
        <v>741.12</v>
      </c>
      <c r="D5291" s="6">
        <f t="shared" si="85"/>
        <v>2.2233820459290192</v>
      </c>
      <c r="E5291" s="6">
        <v>-1.5999044040521999E-2</v>
      </c>
    </row>
    <row r="5292" spans="2:5" x14ac:dyDescent="0.3">
      <c r="B5292" s="4">
        <v>40567</v>
      </c>
      <c r="C5292" s="7">
        <v>229.92</v>
      </c>
      <c r="D5292" s="6">
        <f t="shared" si="85"/>
        <v>-0.47754953644791859</v>
      </c>
      <c r="E5292" s="6">
        <v>-1.6006162800650557E-2</v>
      </c>
    </row>
    <row r="5293" spans="2:5" x14ac:dyDescent="0.3">
      <c r="B5293" s="4">
        <v>41354</v>
      </c>
      <c r="C5293" s="7">
        <v>440.08</v>
      </c>
      <c r="D5293" s="6">
        <f t="shared" si="85"/>
        <v>-0.34333079666353311</v>
      </c>
      <c r="E5293" s="6">
        <v>-1.6009301493605278E-2</v>
      </c>
    </row>
    <row r="5294" spans="2:5" x14ac:dyDescent="0.3">
      <c r="B5294" s="4">
        <v>41992</v>
      </c>
      <c r="C5294" s="7">
        <v>670.17</v>
      </c>
      <c r="D5294" s="6">
        <f t="shared" si="85"/>
        <v>0.10497938994229176</v>
      </c>
      <c r="E5294" s="6">
        <v>-1.6033123375765422E-2</v>
      </c>
    </row>
    <row r="5295" spans="2:5" x14ac:dyDescent="0.3">
      <c r="B5295" s="4">
        <v>41891</v>
      </c>
      <c r="C5295" s="7">
        <v>606.5</v>
      </c>
      <c r="D5295" s="6">
        <f t="shared" si="85"/>
        <v>-0.55663584195328775</v>
      </c>
      <c r="E5295" s="6">
        <v>-1.6045036421745949E-2</v>
      </c>
    </row>
    <row r="5296" spans="2:5" x14ac:dyDescent="0.3">
      <c r="B5296" s="4">
        <v>43504</v>
      </c>
      <c r="C5296" s="5">
        <v>1367.95</v>
      </c>
      <c r="D5296" s="6">
        <f t="shared" si="85"/>
        <v>0.84134013541344188</v>
      </c>
      <c r="E5296" s="6">
        <v>-1.6061512788790696E-2</v>
      </c>
    </row>
    <row r="5297" spans="2:5" x14ac:dyDescent="0.3">
      <c r="B5297" s="4">
        <v>42257</v>
      </c>
      <c r="C5297" s="7">
        <v>742.91</v>
      </c>
      <c r="D5297" s="6">
        <f t="shared" si="85"/>
        <v>-0.69085605379673098</v>
      </c>
      <c r="E5297" s="6">
        <v>-1.6078405403615638E-2</v>
      </c>
    </row>
    <row r="5298" spans="2:5" x14ac:dyDescent="0.3">
      <c r="B5298" s="4">
        <v>44291</v>
      </c>
      <c r="C5298" s="5">
        <v>2403.12</v>
      </c>
      <c r="D5298" s="6">
        <f t="shared" si="85"/>
        <v>1.226946279804654</v>
      </c>
      <c r="E5298" s="6">
        <v>-1.6106712085356627E-2</v>
      </c>
    </row>
    <row r="5299" spans="2:5" x14ac:dyDescent="0.3">
      <c r="B5299" s="4">
        <v>43124</v>
      </c>
      <c r="C5299" s="5">
        <v>1079.1099999999999</v>
      </c>
      <c r="D5299" s="6">
        <f t="shared" si="85"/>
        <v>15.412319391634979</v>
      </c>
      <c r="E5299" s="6">
        <v>-1.6119767685701059E-2</v>
      </c>
    </row>
    <row r="5300" spans="2:5" x14ac:dyDescent="0.3">
      <c r="B5300" s="4">
        <v>39199</v>
      </c>
      <c r="C5300" s="7">
        <v>65.75</v>
      </c>
      <c r="D5300" s="6">
        <f t="shared" si="85"/>
        <v>-0.97392321726025222</v>
      </c>
      <c r="E5300" s="6">
        <v>-1.6160407002843009E-2</v>
      </c>
    </row>
    <row r="5301" spans="2:5" x14ac:dyDescent="0.3">
      <c r="B5301" s="4">
        <v>46135</v>
      </c>
      <c r="C5301" s="5">
        <v>2521.4</v>
      </c>
      <c r="D5301" s="6">
        <f t="shared" si="85"/>
        <v>6.4032532738270014</v>
      </c>
      <c r="E5301" s="6">
        <v>-1.6192594326739241E-2</v>
      </c>
    </row>
    <row r="5302" spans="2:5" x14ac:dyDescent="0.3">
      <c r="B5302" s="4">
        <v>41187</v>
      </c>
      <c r="C5302" s="7">
        <v>340.58</v>
      </c>
      <c r="D5302" s="6">
        <f t="shared" si="85"/>
        <v>-0.77643282416190218</v>
      </c>
      <c r="E5302" s="6">
        <v>-1.6204974147144672E-2</v>
      </c>
    </row>
    <row r="5303" spans="2:5" x14ac:dyDescent="0.3">
      <c r="B5303" s="4">
        <v>43999</v>
      </c>
      <c r="C5303" s="5">
        <v>1523.39</v>
      </c>
      <c r="D5303" s="6">
        <f t="shared" si="85"/>
        <v>-0.51021753248840962</v>
      </c>
      <c r="E5303" s="6">
        <v>-1.6222045708455153E-2</v>
      </c>
    </row>
    <row r="5304" spans="2:5" x14ac:dyDescent="0.3">
      <c r="B5304" s="4">
        <v>45149</v>
      </c>
      <c r="C5304" s="5">
        <v>3110.34</v>
      </c>
      <c r="D5304" s="6">
        <f t="shared" si="85"/>
        <v>10.432551643019922</v>
      </c>
      <c r="E5304" s="6">
        <v>-1.6231979403224798E-2</v>
      </c>
    </row>
    <row r="5305" spans="2:5" x14ac:dyDescent="0.3">
      <c r="B5305" s="4">
        <v>40820</v>
      </c>
      <c r="C5305" s="7">
        <v>272.06</v>
      </c>
      <c r="D5305" s="6">
        <f t="shared" si="85"/>
        <v>-0.89926128894895674</v>
      </c>
      <c r="E5305" s="6">
        <v>-1.6235762068342104E-2</v>
      </c>
    </row>
    <row r="5306" spans="2:5" x14ac:dyDescent="0.3">
      <c r="B5306" s="4">
        <v>44998</v>
      </c>
      <c r="C5306" s="5">
        <v>2700.65</v>
      </c>
      <c r="D5306" s="6">
        <f t="shared" si="85"/>
        <v>2.7032237717169227</v>
      </c>
      <c r="E5306" s="6">
        <v>-1.6253410411362048E-2</v>
      </c>
    </row>
    <row r="5307" spans="2:5" x14ac:dyDescent="0.3">
      <c r="B5307" s="4">
        <v>42041</v>
      </c>
      <c r="C5307" s="7">
        <v>729.27</v>
      </c>
      <c r="D5307" s="6">
        <f t="shared" si="85"/>
        <v>1.7249187310839591</v>
      </c>
      <c r="E5307" s="6">
        <v>-1.6281328405320164E-2</v>
      </c>
    </row>
    <row r="5308" spans="2:5" x14ac:dyDescent="0.3">
      <c r="B5308" s="4">
        <v>40821</v>
      </c>
      <c r="C5308" s="7">
        <v>267.63</v>
      </c>
      <c r="D5308" s="6">
        <f t="shared" si="85"/>
        <v>10.676701570680626</v>
      </c>
      <c r="E5308" s="6">
        <v>-1.6283172829522925E-2</v>
      </c>
    </row>
    <row r="5309" spans="2:5" x14ac:dyDescent="0.3">
      <c r="B5309" s="4">
        <v>37865</v>
      </c>
      <c r="C5309" s="7">
        <v>22.92</v>
      </c>
      <c r="D5309" s="6">
        <f t="shared" si="85"/>
        <v>-0.65435077665510477</v>
      </c>
      <c r="E5309" s="6">
        <v>-1.6309012875536436E-2</v>
      </c>
    </row>
    <row r="5310" spans="2:5" x14ac:dyDescent="0.3">
      <c r="B5310" s="4">
        <v>39846</v>
      </c>
      <c r="C5310" s="7">
        <v>66.31</v>
      </c>
      <c r="D5310" s="6">
        <f t="shared" si="85"/>
        <v>-0.75561124829543358</v>
      </c>
      <c r="E5310" s="6">
        <v>-1.6318053701231187E-2</v>
      </c>
    </row>
    <row r="5311" spans="2:5" x14ac:dyDescent="0.3">
      <c r="B5311" s="4">
        <v>40994</v>
      </c>
      <c r="C5311" s="7">
        <v>271.33</v>
      </c>
      <c r="D5311" s="6">
        <f t="shared" si="85"/>
        <v>-0.91689637851612271</v>
      </c>
      <c r="E5311" s="6">
        <v>-1.6350058004640341E-2</v>
      </c>
    </row>
    <row r="5312" spans="2:5" x14ac:dyDescent="0.3">
      <c r="B5312" s="4">
        <v>45114</v>
      </c>
      <c r="C5312" s="5">
        <v>3264.96</v>
      </c>
      <c r="D5312" s="6">
        <f t="shared" si="85"/>
        <v>200.54074074074077</v>
      </c>
      <c r="E5312" s="6">
        <v>-1.638573817162995E-2</v>
      </c>
    </row>
    <row r="5313" spans="2:5" x14ac:dyDescent="0.3">
      <c r="B5313" s="4">
        <v>37559</v>
      </c>
      <c r="C5313" s="7">
        <v>16.2</v>
      </c>
      <c r="D5313" s="6">
        <f t="shared" si="85"/>
        <v>-0.98013634803080085</v>
      </c>
      <c r="E5313" s="6">
        <v>-1.6393442622950796E-2</v>
      </c>
    </row>
    <row r="5314" spans="2:5" x14ac:dyDescent="0.3">
      <c r="B5314" s="4">
        <v>42444</v>
      </c>
      <c r="C5314" s="7">
        <v>815.56</v>
      </c>
      <c r="D5314" s="6">
        <f t="shared" si="85"/>
        <v>2.1710534557708841E-2</v>
      </c>
      <c r="E5314" s="6">
        <v>-1.6402141926769288E-2</v>
      </c>
    </row>
    <row r="5315" spans="2:5" x14ac:dyDescent="0.3">
      <c r="B5315" s="4">
        <v>42433</v>
      </c>
      <c r="C5315" s="7">
        <v>798.23</v>
      </c>
      <c r="D5315" s="6">
        <f t="shared" si="85"/>
        <v>0.18672970280837908</v>
      </c>
      <c r="E5315" s="6">
        <v>-1.6413036781467483E-2</v>
      </c>
    </row>
    <row r="5316" spans="2:5" x14ac:dyDescent="0.3">
      <c r="B5316" s="4">
        <v>42164</v>
      </c>
      <c r="C5316" s="7">
        <v>672.63</v>
      </c>
      <c r="D5316" s="6">
        <f t="shared" si="85"/>
        <v>6.8780744905130007</v>
      </c>
      <c r="E5316" s="6">
        <v>-1.6450254430601861E-2</v>
      </c>
    </row>
    <row r="5317" spans="2:5" x14ac:dyDescent="0.3">
      <c r="B5317" s="4">
        <v>39385</v>
      </c>
      <c r="C5317" s="7">
        <v>85.38</v>
      </c>
      <c r="D5317" s="6">
        <f t="shared" si="85"/>
        <v>2.5768747381650603</v>
      </c>
      <c r="E5317" s="6">
        <v>-1.6472756594862421E-2</v>
      </c>
    </row>
    <row r="5318" spans="2:5" x14ac:dyDescent="0.3">
      <c r="B5318" s="4">
        <v>38268</v>
      </c>
      <c r="C5318" s="7">
        <v>23.87</v>
      </c>
      <c r="D5318" s="6">
        <f t="shared" si="85"/>
        <v>-0.98525833425970533</v>
      </c>
      <c r="E5318" s="6">
        <v>-1.6481252575195657E-2</v>
      </c>
    </row>
    <row r="5319" spans="2:5" x14ac:dyDescent="0.3">
      <c r="B5319" s="4">
        <v>44034</v>
      </c>
      <c r="C5319" s="5">
        <v>1619.22</v>
      </c>
      <c r="D5319" s="6">
        <f t="shared" si="85"/>
        <v>19.032413707781767</v>
      </c>
      <c r="E5319" s="6">
        <v>-1.6526666788141638E-2</v>
      </c>
    </row>
    <row r="5320" spans="2:5" x14ac:dyDescent="0.3">
      <c r="B5320" s="4">
        <v>39771</v>
      </c>
      <c r="C5320" s="7">
        <v>80.83</v>
      </c>
      <c r="D5320" s="6">
        <f t="shared" ref="D5320:D5383" si="86">((C5320-C5321)/C5321)</f>
        <v>-0.9729521718907379</v>
      </c>
      <c r="E5320" s="6">
        <v>-1.6547025185545679E-2</v>
      </c>
    </row>
    <row r="5321" spans="2:5" x14ac:dyDescent="0.3">
      <c r="B5321" s="4">
        <v>44399</v>
      </c>
      <c r="C5321" s="5">
        <v>2988.41</v>
      </c>
      <c r="D5321" s="6">
        <f t="shared" si="86"/>
        <v>-5.7723838712525434E-2</v>
      </c>
      <c r="E5321" s="6">
        <v>-1.6556313184498718E-2</v>
      </c>
    </row>
    <row r="5322" spans="2:5" x14ac:dyDescent="0.3">
      <c r="B5322" s="4">
        <v>45308</v>
      </c>
      <c r="C5322" s="5">
        <v>3171.48</v>
      </c>
      <c r="D5322" s="6">
        <f t="shared" si="86"/>
        <v>0.31941590048674973</v>
      </c>
      <c r="E5322" s="6">
        <v>-1.6561805208859793E-2</v>
      </c>
    </row>
    <row r="5323" spans="2:5" x14ac:dyDescent="0.3">
      <c r="B5323" s="4">
        <v>44308</v>
      </c>
      <c r="C5323" s="5">
        <v>2403.6999999999998</v>
      </c>
      <c r="D5323" s="6">
        <f t="shared" si="86"/>
        <v>19.222951371361262</v>
      </c>
      <c r="E5323" s="6">
        <v>-1.6602025954473455E-2</v>
      </c>
    </row>
    <row r="5324" spans="2:5" x14ac:dyDescent="0.3">
      <c r="B5324" s="4">
        <v>40057</v>
      </c>
      <c r="C5324" s="7">
        <v>118.86</v>
      </c>
      <c r="D5324" s="6">
        <f t="shared" si="86"/>
        <v>-0.84097294693746483</v>
      </c>
      <c r="E5324" s="6">
        <v>-1.6629436584760529E-2</v>
      </c>
    </row>
    <row r="5325" spans="2:5" x14ac:dyDescent="0.3">
      <c r="B5325" s="4">
        <v>42251</v>
      </c>
      <c r="C5325" s="7">
        <v>747.42</v>
      </c>
      <c r="D5325" s="6">
        <f t="shared" si="86"/>
        <v>-0.76073601956572534</v>
      </c>
      <c r="E5325" s="6">
        <v>-1.6630266031629065E-2</v>
      </c>
    </row>
    <row r="5326" spans="2:5" x14ac:dyDescent="0.3">
      <c r="B5326" s="4">
        <v>44547</v>
      </c>
      <c r="C5326" s="5">
        <v>3123.83</v>
      </c>
      <c r="D5326" s="6">
        <f t="shared" si="86"/>
        <v>11.539962265665769</v>
      </c>
      <c r="E5326" s="6">
        <v>-1.6643057260679286E-2</v>
      </c>
    </row>
    <row r="5327" spans="2:5" x14ac:dyDescent="0.3">
      <c r="B5327" s="4">
        <v>40539</v>
      </c>
      <c r="C5327" s="7">
        <v>249.11</v>
      </c>
      <c r="D5327" s="6">
        <f t="shared" si="86"/>
        <v>2.7692540475109699</v>
      </c>
      <c r="E5327" s="6">
        <v>-1.6658113922551607E-2</v>
      </c>
    </row>
    <row r="5328" spans="2:5" x14ac:dyDescent="0.3">
      <c r="B5328" s="4">
        <v>39874</v>
      </c>
      <c r="C5328" s="7">
        <v>66.09</v>
      </c>
      <c r="D5328" s="6">
        <f t="shared" si="86"/>
        <v>-0.84965194048864834</v>
      </c>
      <c r="E5328" s="6">
        <v>-1.6664186876952692E-2</v>
      </c>
    </row>
    <row r="5329" spans="2:5" x14ac:dyDescent="0.3">
      <c r="B5329" s="4">
        <v>41624</v>
      </c>
      <c r="C5329" s="7">
        <v>439.58</v>
      </c>
      <c r="D5329" s="6">
        <f t="shared" si="86"/>
        <v>-0.84762096243041063</v>
      </c>
      <c r="E5329" s="6">
        <v>-1.6687544738725923E-2</v>
      </c>
    </row>
    <row r="5330" spans="2:5" x14ac:dyDescent="0.3">
      <c r="B5330" s="4">
        <v>45316</v>
      </c>
      <c r="C5330" s="5">
        <v>2884.78</v>
      </c>
      <c r="D5330" s="6">
        <f t="shared" si="86"/>
        <v>-9.7510691481540457E-2</v>
      </c>
      <c r="E5330" s="6">
        <v>-1.675227425330517E-2</v>
      </c>
    </row>
    <row r="5331" spans="2:5" x14ac:dyDescent="0.3">
      <c r="B5331" s="4">
        <v>44468</v>
      </c>
      <c r="C5331" s="5">
        <v>3196.47</v>
      </c>
      <c r="D5331" s="6">
        <f t="shared" si="86"/>
        <v>12.202007269122749</v>
      </c>
      <c r="E5331" s="6">
        <v>-1.6764227292162034E-2</v>
      </c>
    </row>
    <row r="5332" spans="2:5" x14ac:dyDescent="0.3">
      <c r="B5332" s="4">
        <v>40443</v>
      </c>
      <c r="C5332" s="7">
        <v>242.12</v>
      </c>
      <c r="D5332" s="6">
        <f t="shared" si="86"/>
        <v>-0.21899293571175119</v>
      </c>
      <c r="E5332" s="6">
        <v>-1.6771573604060896E-2</v>
      </c>
    </row>
    <row r="5333" spans="2:5" x14ac:dyDescent="0.3">
      <c r="B5333" s="4">
        <v>41116</v>
      </c>
      <c r="C5333" s="7">
        <v>310.01</v>
      </c>
      <c r="D5333" s="6">
        <f t="shared" si="86"/>
        <v>11.64830681354549</v>
      </c>
      <c r="E5333" s="6">
        <v>-1.6777672058357184E-2</v>
      </c>
    </row>
    <row r="5334" spans="2:5" x14ac:dyDescent="0.3">
      <c r="B5334" s="4">
        <v>37974</v>
      </c>
      <c r="C5334" s="7">
        <v>24.51</v>
      </c>
      <c r="D5334" s="6">
        <f t="shared" si="86"/>
        <v>-0.94863896397812286</v>
      </c>
      <c r="E5334" s="6">
        <v>-1.6847172081829048E-2</v>
      </c>
    </row>
    <row r="5335" spans="2:5" x14ac:dyDescent="0.3">
      <c r="B5335" s="4">
        <v>41778</v>
      </c>
      <c r="C5335" s="7">
        <v>477.21</v>
      </c>
      <c r="D5335" s="6">
        <f t="shared" si="86"/>
        <v>1.1734833302969574</v>
      </c>
      <c r="E5335" s="6">
        <v>-1.6872682323856608E-2</v>
      </c>
    </row>
    <row r="5336" spans="2:5" x14ac:dyDescent="0.3">
      <c r="B5336" s="4">
        <v>40626</v>
      </c>
      <c r="C5336" s="7">
        <v>219.56</v>
      </c>
      <c r="D5336" s="6">
        <f t="shared" si="86"/>
        <v>0.36220374736319638</v>
      </c>
      <c r="E5336" s="6">
        <v>-1.6880848967895087E-2</v>
      </c>
    </row>
    <row r="5337" spans="2:5" x14ac:dyDescent="0.3">
      <c r="B5337" s="4">
        <v>40227</v>
      </c>
      <c r="C5337" s="7">
        <v>161.18</v>
      </c>
      <c r="D5337" s="6">
        <f t="shared" si="86"/>
        <v>-0.84807095928889886</v>
      </c>
      <c r="E5337" s="6">
        <v>-1.689539493748083E-2</v>
      </c>
    </row>
    <row r="5338" spans="2:5" x14ac:dyDescent="0.3">
      <c r="B5338" s="4">
        <v>42913</v>
      </c>
      <c r="C5338" s="5">
        <v>1060.8900000000001</v>
      </c>
      <c r="D5338" s="6">
        <f t="shared" si="86"/>
        <v>-0.12919748171617584</v>
      </c>
      <c r="E5338" s="6">
        <v>-1.6902504795529738E-2</v>
      </c>
    </row>
    <row r="5339" spans="2:5" x14ac:dyDescent="0.3">
      <c r="B5339" s="4">
        <v>43249</v>
      </c>
      <c r="C5339" s="5">
        <v>1218.29</v>
      </c>
      <c r="D5339" s="6">
        <f t="shared" si="86"/>
        <v>1.0432879377431905</v>
      </c>
      <c r="E5339" s="6">
        <v>-1.6905522739743752E-2</v>
      </c>
    </row>
    <row r="5340" spans="2:5" x14ac:dyDescent="0.3">
      <c r="B5340" s="4">
        <v>41892</v>
      </c>
      <c r="C5340" s="7">
        <v>596.24</v>
      </c>
      <c r="D5340" s="6">
        <f t="shared" si="86"/>
        <v>-0.74068855139780454</v>
      </c>
      <c r="E5340" s="6">
        <v>-1.6916735366859011E-2</v>
      </c>
    </row>
    <row r="5341" spans="2:5" x14ac:dyDescent="0.3">
      <c r="B5341" s="4">
        <v>44280</v>
      </c>
      <c r="C5341" s="5">
        <v>2299.3200000000002</v>
      </c>
      <c r="D5341" s="6">
        <f t="shared" si="86"/>
        <v>27.68413173652695</v>
      </c>
      <c r="E5341" s="6">
        <v>-1.6922484928812657E-2</v>
      </c>
    </row>
    <row r="5342" spans="2:5" x14ac:dyDescent="0.3">
      <c r="B5342" s="4">
        <v>39737</v>
      </c>
      <c r="C5342" s="7">
        <v>80.16</v>
      </c>
      <c r="D5342" s="6">
        <f t="shared" si="86"/>
        <v>-0.83423974854732308</v>
      </c>
      <c r="E5342" s="6">
        <v>-1.6924208977189228E-2</v>
      </c>
    </row>
    <row r="5343" spans="2:5" x14ac:dyDescent="0.3">
      <c r="B5343" s="4">
        <v>41744</v>
      </c>
      <c r="C5343" s="7">
        <v>483.59</v>
      </c>
      <c r="D5343" s="6">
        <f t="shared" si="86"/>
        <v>-0.55341410708678873</v>
      </c>
      <c r="E5343" s="6">
        <v>-1.6933647747601317E-2</v>
      </c>
    </row>
    <row r="5344" spans="2:5" x14ac:dyDescent="0.3">
      <c r="B5344" s="4">
        <v>43053</v>
      </c>
      <c r="C5344" s="5">
        <v>1082.8599999999999</v>
      </c>
      <c r="D5344" s="6">
        <f t="shared" si="86"/>
        <v>-0.66436995366280782</v>
      </c>
      <c r="E5344" s="6">
        <v>-1.6940228048514853E-2</v>
      </c>
    </row>
    <row r="5345" spans="2:5" x14ac:dyDescent="0.3">
      <c r="B5345" s="4">
        <v>45299</v>
      </c>
      <c r="C5345" s="5">
        <v>3226.35</v>
      </c>
      <c r="D5345" s="6">
        <f t="shared" si="86"/>
        <v>4.4617246749729143</v>
      </c>
      <c r="E5345" s="6">
        <v>-1.7033994869388867E-2</v>
      </c>
    </row>
    <row r="5346" spans="2:5" x14ac:dyDescent="0.3">
      <c r="B5346" s="4">
        <v>41950</v>
      </c>
      <c r="C5346" s="7">
        <v>590.72</v>
      </c>
      <c r="D5346" s="6">
        <f t="shared" si="86"/>
        <v>-0.81054704412722145</v>
      </c>
      <c r="E5346" s="6">
        <v>-1.7039403620873285E-2</v>
      </c>
    </row>
    <row r="5347" spans="2:5" x14ac:dyDescent="0.3">
      <c r="B5347" s="4">
        <v>44487</v>
      </c>
      <c r="C5347" s="5">
        <v>3118.03</v>
      </c>
      <c r="D5347" s="6">
        <f t="shared" si="86"/>
        <v>32.43731903485255</v>
      </c>
      <c r="E5347" s="6">
        <v>-1.7073378328536389E-2</v>
      </c>
    </row>
    <row r="5348" spans="2:5" x14ac:dyDescent="0.3">
      <c r="B5348" s="4">
        <v>39476</v>
      </c>
      <c r="C5348" s="7">
        <v>93.25</v>
      </c>
      <c r="D5348" s="6">
        <f t="shared" si="86"/>
        <v>-0.8248398670097864</v>
      </c>
      <c r="E5348" s="6">
        <v>-1.7075998735111252E-2</v>
      </c>
    </row>
    <row r="5349" spans="2:5" x14ac:dyDescent="0.3">
      <c r="B5349" s="4">
        <v>41821</v>
      </c>
      <c r="C5349" s="7">
        <v>532.37</v>
      </c>
      <c r="D5349" s="6">
        <f t="shared" si="86"/>
        <v>22.227312390924954</v>
      </c>
      <c r="E5349" s="6">
        <v>-1.7078394446290758E-2</v>
      </c>
    </row>
    <row r="5350" spans="2:5" x14ac:dyDescent="0.3">
      <c r="B5350" s="4">
        <v>38296</v>
      </c>
      <c r="C5350" s="7">
        <v>22.92</v>
      </c>
      <c r="D5350" s="6">
        <f t="shared" si="86"/>
        <v>-0.99082723015968299</v>
      </c>
      <c r="E5350" s="6">
        <v>-1.7152658662092563E-2</v>
      </c>
    </row>
    <row r="5351" spans="2:5" x14ac:dyDescent="0.3">
      <c r="B5351" s="4">
        <v>45915</v>
      </c>
      <c r="C5351" s="5">
        <v>2498.6999999999998</v>
      </c>
      <c r="D5351" s="6">
        <f t="shared" si="86"/>
        <v>7.7266440820032827</v>
      </c>
      <c r="E5351" s="6">
        <v>-1.7161422789331089E-2</v>
      </c>
    </row>
    <row r="5352" spans="2:5" x14ac:dyDescent="0.3">
      <c r="B5352" s="4">
        <v>40729</v>
      </c>
      <c r="C5352" s="7">
        <v>286.33</v>
      </c>
      <c r="D5352" s="6">
        <f t="shared" si="86"/>
        <v>-0.90241965715843642</v>
      </c>
      <c r="E5352" s="6">
        <v>-1.7162667765077404E-2</v>
      </c>
    </row>
    <row r="5353" spans="2:5" x14ac:dyDescent="0.3">
      <c r="B5353" s="4">
        <v>44700</v>
      </c>
      <c r="C5353" s="5">
        <v>2934.3</v>
      </c>
      <c r="D5353" s="6">
        <f t="shared" si="86"/>
        <v>13.578199523052463</v>
      </c>
      <c r="E5353" s="6">
        <v>-1.716272433127668E-2</v>
      </c>
    </row>
    <row r="5354" spans="2:5" x14ac:dyDescent="0.3">
      <c r="B5354" s="4">
        <v>40359</v>
      </c>
      <c r="C5354" s="7">
        <v>201.28</v>
      </c>
      <c r="D5354" s="6">
        <f t="shared" si="86"/>
        <v>11.147254073627037</v>
      </c>
      <c r="E5354" s="6">
        <v>-1.718750000000005E-2</v>
      </c>
    </row>
    <row r="5355" spans="2:5" x14ac:dyDescent="0.3">
      <c r="B5355" s="4">
        <v>37557</v>
      </c>
      <c r="C5355" s="7">
        <v>16.57</v>
      </c>
      <c r="D5355" s="6">
        <f t="shared" si="86"/>
        <v>-0.95211674613495156</v>
      </c>
      <c r="E5355" s="6">
        <v>-1.7200474495848113E-2</v>
      </c>
    </row>
    <row r="5356" spans="2:5" x14ac:dyDescent="0.3">
      <c r="B5356" s="4">
        <v>41094</v>
      </c>
      <c r="C5356" s="7">
        <v>346.05</v>
      </c>
      <c r="D5356" s="6">
        <f t="shared" si="86"/>
        <v>-0.50089422217094071</v>
      </c>
      <c r="E5356" s="6">
        <v>-1.7210530800034086E-2</v>
      </c>
    </row>
    <row r="5357" spans="2:5" x14ac:dyDescent="0.3">
      <c r="B5357" s="4">
        <v>42136</v>
      </c>
      <c r="C5357" s="7">
        <v>693.34</v>
      </c>
      <c r="D5357" s="6">
        <f t="shared" si="86"/>
        <v>6.0098068951572143</v>
      </c>
      <c r="E5357" s="6">
        <v>-1.7236002834868841E-2</v>
      </c>
    </row>
    <row r="5358" spans="2:5" x14ac:dyDescent="0.3">
      <c r="B5358" s="4">
        <v>39976</v>
      </c>
      <c r="C5358" s="7">
        <v>98.91</v>
      </c>
      <c r="D5358" s="6">
        <f t="shared" si="86"/>
        <v>-0.96548378879191521</v>
      </c>
      <c r="E5358" s="6">
        <v>-1.7287630402384589E-2</v>
      </c>
    </row>
    <row r="5359" spans="2:5" x14ac:dyDescent="0.3">
      <c r="B5359" s="4">
        <v>45330</v>
      </c>
      <c r="C5359" s="5">
        <v>2865.61</v>
      </c>
      <c r="D5359" s="6">
        <f t="shared" si="86"/>
        <v>131.79008341056536</v>
      </c>
      <c r="E5359" s="6">
        <v>-1.7290631440691651E-2</v>
      </c>
    </row>
    <row r="5360" spans="2:5" x14ac:dyDescent="0.3">
      <c r="B5360" s="4">
        <v>37917</v>
      </c>
      <c r="C5360" s="7">
        <v>21.58</v>
      </c>
      <c r="D5360" s="6">
        <f t="shared" si="86"/>
        <v>-0.98080190735452422</v>
      </c>
      <c r="E5360" s="6">
        <v>-1.7304189435337094E-2</v>
      </c>
    </row>
    <row r="5361" spans="2:5" x14ac:dyDescent="0.3">
      <c r="B5361" s="4">
        <v>43033</v>
      </c>
      <c r="C5361" s="5">
        <v>1124.07</v>
      </c>
      <c r="D5361" s="6">
        <f t="shared" si="86"/>
        <v>11.573489932885904</v>
      </c>
      <c r="E5361" s="6">
        <v>-1.7344021819898546E-2</v>
      </c>
    </row>
    <row r="5362" spans="2:5" x14ac:dyDescent="0.3">
      <c r="B5362" s="4">
        <v>39958</v>
      </c>
      <c r="C5362" s="7">
        <v>89.4</v>
      </c>
      <c r="D5362" s="6">
        <f t="shared" si="86"/>
        <v>-0.93809507322646535</v>
      </c>
      <c r="E5362" s="6">
        <v>-1.7366454165750694E-2</v>
      </c>
    </row>
    <row r="5363" spans="2:5" x14ac:dyDescent="0.3">
      <c r="B5363" s="4">
        <v>43724</v>
      </c>
      <c r="C5363" s="5">
        <v>1444.15</v>
      </c>
      <c r="D5363" s="6">
        <f t="shared" si="86"/>
        <v>4.3556462080474692</v>
      </c>
      <c r="E5363" s="6">
        <v>-1.7377814369016569E-2</v>
      </c>
    </row>
    <row r="5364" spans="2:5" x14ac:dyDescent="0.3">
      <c r="B5364" s="4">
        <v>40864</v>
      </c>
      <c r="C5364" s="7">
        <v>269.64999999999998</v>
      </c>
      <c r="D5364" s="6">
        <f t="shared" si="86"/>
        <v>-0.84064651478887797</v>
      </c>
      <c r="E5364" s="6">
        <v>-1.7382115006195024E-2</v>
      </c>
    </row>
    <row r="5365" spans="2:5" x14ac:dyDescent="0.3">
      <c r="B5365" s="4">
        <v>43852</v>
      </c>
      <c r="C5365" s="5">
        <v>1692.15</v>
      </c>
      <c r="D5365" s="6">
        <f t="shared" si="86"/>
        <v>0.38926290208699377</v>
      </c>
      <c r="E5365" s="6">
        <v>-1.7397262660340983E-2</v>
      </c>
    </row>
    <row r="5366" spans="2:5" x14ac:dyDescent="0.3">
      <c r="B5366" s="4">
        <v>43353</v>
      </c>
      <c r="C5366" s="5">
        <v>1218.02</v>
      </c>
      <c r="D5366" s="6">
        <f t="shared" si="86"/>
        <v>23.517310789049919</v>
      </c>
      <c r="E5366" s="6">
        <v>-1.740091481860933E-2</v>
      </c>
    </row>
    <row r="5367" spans="2:5" x14ac:dyDescent="0.3">
      <c r="B5367" s="4">
        <v>38824</v>
      </c>
      <c r="C5367" s="7">
        <v>49.68</v>
      </c>
      <c r="D5367" s="6">
        <f t="shared" si="86"/>
        <v>-0.92868114672906599</v>
      </c>
      <c r="E5367" s="6">
        <v>-1.7405063291139292E-2</v>
      </c>
    </row>
    <row r="5368" spans="2:5" x14ac:dyDescent="0.3">
      <c r="B5368" s="4">
        <v>42149</v>
      </c>
      <c r="C5368" s="7">
        <v>696.59</v>
      </c>
      <c r="D5368" s="6">
        <f t="shared" si="86"/>
        <v>0.71904150831647007</v>
      </c>
      <c r="E5368" s="6">
        <v>-1.7406514042288969E-2</v>
      </c>
    </row>
    <row r="5369" spans="2:5" x14ac:dyDescent="0.3">
      <c r="B5369" s="4">
        <v>41313</v>
      </c>
      <c r="C5369" s="7">
        <v>405.22</v>
      </c>
      <c r="D5369" s="6">
        <f t="shared" si="86"/>
        <v>4.0760241428021073E-2</v>
      </c>
      <c r="E5369" s="6">
        <v>-1.7434106835430754E-2</v>
      </c>
    </row>
    <row r="5370" spans="2:5" x14ac:dyDescent="0.3">
      <c r="B5370" s="4">
        <v>41270</v>
      </c>
      <c r="C5370" s="7">
        <v>389.35</v>
      </c>
      <c r="D5370" s="6">
        <f t="shared" si="86"/>
        <v>7.8750854798267618</v>
      </c>
      <c r="E5370" s="6">
        <v>-1.7462840992252655E-2</v>
      </c>
    </row>
    <row r="5371" spans="2:5" x14ac:dyDescent="0.3">
      <c r="B5371" s="4">
        <v>38701</v>
      </c>
      <c r="C5371" s="7">
        <v>43.87</v>
      </c>
      <c r="D5371" s="6">
        <f t="shared" si="86"/>
        <v>-0.97890652421638724</v>
      </c>
      <c r="E5371" s="6">
        <v>-1.7469204927211671E-2</v>
      </c>
    </row>
    <row r="5372" spans="2:5" x14ac:dyDescent="0.3">
      <c r="B5372" s="4">
        <v>44137</v>
      </c>
      <c r="C5372" s="5">
        <v>2079.79</v>
      </c>
      <c r="D5372" s="6">
        <f t="shared" si="86"/>
        <v>24.759103294525637</v>
      </c>
      <c r="E5372" s="6">
        <v>-1.7474654900367651E-2</v>
      </c>
    </row>
    <row r="5373" spans="2:5" x14ac:dyDescent="0.3">
      <c r="B5373" s="4">
        <v>39367</v>
      </c>
      <c r="C5373" s="7">
        <v>80.739999999999995</v>
      </c>
      <c r="D5373" s="6">
        <f t="shared" si="86"/>
        <v>1.6188777165098929</v>
      </c>
      <c r="E5373" s="6">
        <v>-1.7522511559990409E-2</v>
      </c>
    </row>
    <row r="5374" spans="2:5" x14ac:dyDescent="0.3">
      <c r="B5374" s="4">
        <v>38502</v>
      </c>
      <c r="C5374" s="7">
        <v>30.83</v>
      </c>
      <c r="D5374" s="6">
        <f t="shared" si="86"/>
        <v>-0.78307064452575292</v>
      </c>
      <c r="E5374" s="6">
        <v>-1.7527087316762294E-2</v>
      </c>
    </row>
    <row r="5375" spans="2:5" x14ac:dyDescent="0.3">
      <c r="B5375" s="4">
        <v>40113</v>
      </c>
      <c r="C5375" s="7">
        <v>142.12</v>
      </c>
      <c r="D5375" s="6">
        <f t="shared" si="86"/>
        <v>-0.8556175266424878</v>
      </c>
      <c r="E5375" s="6">
        <v>-1.7558412830084281E-2</v>
      </c>
    </row>
    <row r="5376" spans="2:5" x14ac:dyDescent="0.3">
      <c r="B5376" s="4">
        <v>42842</v>
      </c>
      <c r="C5376" s="7">
        <v>984.33</v>
      </c>
      <c r="D5376" s="6">
        <f t="shared" si="86"/>
        <v>-0.42335000995910904</v>
      </c>
      <c r="E5376" s="6">
        <v>-1.7566097431956234E-2</v>
      </c>
    </row>
    <row r="5377" spans="2:5" x14ac:dyDescent="0.3">
      <c r="B5377" s="4">
        <v>43777</v>
      </c>
      <c r="C5377" s="5">
        <v>1706.98</v>
      </c>
      <c r="D5377" s="6">
        <f t="shared" si="86"/>
        <v>65.393621159082073</v>
      </c>
      <c r="E5377" s="6">
        <v>-1.7571121892823623E-2</v>
      </c>
    </row>
    <row r="5378" spans="2:5" x14ac:dyDescent="0.3">
      <c r="B5378" s="4">
        <v>38014</v>
      </c>
      <c r="C5378" s="7">
        <v>25.71</v>
      </c>
      <c r="D5378" s="6">
        <f t="shared" si="86"/>
        <v>-0.73794720212006937</v>
      </c>
      <c r="E5378" s="6">
        <v>-1.7577378677875462E-2</v>
      </c>
    </row>
    <row r="5379" spans="2:5" x14ac:dyDescent="0.3">
      <c r="B5379" s="4">
        <v>39626</v>
      </c>
      <c r="C5379" s="7">
        <v>98.11</v>
      </c>
      <c r="D5379" s="6">
        <f t="shared" si="86"/>
        <v>-0.70442563191034246</v>
      </c>
      <c r="E5379" s="6">
        <v>-1.7622909782717584E-2</v>
      </c>
    </row>
    <row r="5380" spans="2:5" x14ac:dyDescent="0.3">
      <c r="B5380" s="4">
        <v>41096</v>
      </c>
      <c r="C5380" s="7">
        <v>331.93</v>
      </c>
      <c r="D5380" s="6">
        <f t="shared" si="86"/>
        <v>0.9673423423423424</v>
      </c>
      <c r="E5380" s="6">
        <v>-1.7638876557459469E-2</v>
      </c>
    </row>
    <row r="5381" spans="2:5" x14ac:dyDescent="0.3">
      <c r="B5381" s="4">
        <v>40220</v>
      </c>
      <c r="C5381" s="7">
        <v>168.72</v>
      </c>
      <c r="D5381" s="6">
        <f t="shared" si="86"/>
        <v>0.62308802308802302</v>
      </c>
      <c r="E5381" s="6">
        <v>-1.7641921397379919E-2</v>
      </c>
    </row>
    <row r="5382" spans="2:5" x14ac:dyDescent="0.3">
      <c r="B5382" s="4">
        <v>39623</v>
      </c>
      <c r="C5382" s="7">
        <v>103.95</v>
      </c>
      <c r="D5382" s="6">
        <f t="shared" si="86"/>
        <v>-0.77278191873046409</v>
      </c>
      <c r="E5382" s="6">
        <v>-1.7671517671517582E-2</v>
      </c>
    </row>
    <row r="5383" spans="2:5" x14ac:dyDescent="0.3">
      <c r="B5383" s="4">
        <v>41766</v>
      </c>
      <c r="C5383" s="7">
        <v>457.49</v>
      </c>
      <c r="D5383" s="6">
        <f t="shared" si="86"/>
        <v>18.157872696817421</v>
      </c>
      <c r="E5383" s="6">
        <v>-1.7671562312118909E-2</v>
      </c>
    </row>
    <row r="5384" spans="2:5" x14ac:dyDescent="0.3">
      <c r="B5384" s="4">
        <v>38182</v>
      </c>
      <c r="C5384" s="7">
        <v>23.88</v>
      </c>
      <c r="D5384" s="6">
        <f t="shared" ref="D5384:D5447" si="87">((C5384-C5385)/C5385)</f>
        <v>-0.98177586141107331</v>
      </c>
      <c r="E5384" s="6">
        <v>-1.7688194158782384E-2</v>
      </c>
    </row>
    <row r="5385" spans="2:5" x14ac:dyDescent="0.3">
      <c r="B5385" s="4">
        <v>43592</v>
      </c>
      <c r="C5385" s="5">
        <v>1310.3499999999999</v>
      </c>
      <c r="D5385" s="6">
        <f t="shared" si="87"/>
        <v>34.811697185023228</v>
      </c>
      <c r="E5385" s="6">
        <v>-1.7699181384749262E-2</v>
      </c>
    </row>
    <row r="5386" spans="2:5" x14ac:dyDescent="0.3">
      <c r="B5386" s="4">
        <v>38580</v>
      </c>
      <c r="C5386" s="7">
        <v>36.590000000000003</v>
      </c>
      <c r="D5386" s="6">
        <f t="shared" si="87"/>
        <v>-0.98580236614296957</v>
      </c>
      <c r="E5386" s="6">
        <v>-1.7718120805369036E-2</v>
      </c>
    </row>
    <row r="5387" spans="2:5" x14ac:dyDescent="0.3">
      <c r="B5387" s="4">
        <v>44725</v>
      </c>
      <c r="C5387" s="5">
        <v>2577.19</v>
      </c>
      <c r="D5387" s="6">
        <f t="shared" si="87"/>
        <v>0.39180424369089856</v>
      </c>
      <c r="E5387" s="6">
        <v>-1.7719386510549984E-2</v>
      </c>
    </row>
    <row r="5388" spans="2:5" x14ac:dyDescent="0.3">
      <c r="B5388" s="4">
        <v>44096</v>
      </c>
      <c r="C5388" s="5">
        <v>1851.69</v>
      </c>
      <c r="D5388" s="6">
        <f t="shared" si="87"/>
        <v>-0.39536258195971891</v>
      </c>
      <c r="E5388" s="6">
        <v>-1.7770092139253867E-2</v>
      </c>
    </row>
    <row r="5389" spans="2:5" x14ac:dyDescent="0.3">
      <c r="B5389" s="4">
        <v>44488</v>
      </c>
      <c r="C5389" s="5">
        <v>3062.48</v>
      </c>
      <c r="D5389" s="6">
        <f t="shared" si="87"/>
        <v>2.1677769042988957</v>
      </c>
      <c r="E5389" s="6">
        <v>-1.7815736218060822E-2</v>
      </c>
    </row>
    <row r="5390" spans="2:5" x14ac:dyDescent="0.3">
      <c r="B5390" s="4">
        <v>42843</v>
      </c>
      <c r="C5390" s="7">
        <v>966.76</v>
      </c>
      <c r="D5390" s="6">
        <f t="shared" si="87"/>
        <v>12.624013528748591</v>
      </c>
      <c r="E5390" s="6">
        <v>-1.784970487539753E-2</v>
      </c>
    </row>
    <row r="5391" spans="2:5" x14ac:dyDescent="0.3">
      <c r="B5391" s="4">
        <v>39252</v>
      </c>
      <c r="C5391" s="7">
        <v>70.959999999999994</v>
      </c>
      <c r="D5391" s="6">
        <f t="shared" si="87"/>
        <v>-0.96180551817682713</v>
      </c>
      <c r="E5391" s="6">
        <v>-1.7854671280276901E-2</v>
      </c>
    </row>
    <row r="5392" spans="2:5" x14ac:dyDescent="0.3">
      <c r="B5392" s="4">
        <v>44076</v>
      </c>
      <c r="C5392" s="5">
        <v>1857.86</v>
      </c>
      <c r="D5392" s="6">
        <f t="shared" si="87"/>
        <v>0.36326680363956559</v>
      </c>
      <c r="E5392" s="6">
        <v>-1.7857520458438286E-2</v>
      </c>
    </row>
    <row r="5393" spans="2:5" x14ac:dyDescent="0.3">
      <c r="B5393" s="4">
        <v>43577</v>
      </c>
      <c r="C5393" s="5">
        <v>1362.8</v>
      </c>
      <c r="D5393" s="6">
        <f t="shared" si="87"/>
        <v>2.1619838675822303E-2</v>
      </c>
      <c r="E5393" s="6">
        <v>-1.7865507822915967E-2</v>
      </c>
    </row>
    <row r="5394" spans="2:5" x14ac:dyDescent="0.3">
      <c r="B5394" s="4">
        <v>43591</v>
      </c>
      <c r="C5394" s="5">
        <v>1333.96</v>
      </c>
      <c r="D5394" s="6">
        <f t="shared" si="87"/>
        <v>2.1450194506660383</v>
      </c>
      <c r="E5394" s="6">
        <v>-1.789776701244962E-2</v>
      </c>
    </row>
    <row r="5395" spans="2:5" x14ac:dyDescent="0.3">
      <c r="B5395" s="4">
        <v>41683</v>
      </c>
      <c r="C5395" s="7">
        <v>424.15</v>
      </c>
      <c r="D5395" s="6">
        <f t="shared" si="87"/>
        <v>-0.46483546986978902</v>
      </c>
      <c r="E5395" s="6">
        <v>-1.7921229942809532E-2</v>
      </c>
    </row>
    <row r="5396" spans="2:5" x14ac:dyDescent="0.3">
      <c r="B5396" s="4">
        <v>42450</v>
      </c>
      <c r="C5396" s="7">
        <v>792.56</v>
      </c>
      <c r="D5396" s="6">
        <f t="shared" si="87"/>
        <v>-0.23324142601460854</v>
      </c>
      <c r="E5396" s="6">
        <v>-1.7942109436954821E-2</v>
      </c>
    </row>
    <row r="5397" spans="2:5" x14ac:dyDescent="0.3">
      <c r="B5397" s="4">
        <v>43178</v>
      </c>
      <c r="C5397" s="5">
        <v>1033.6500000000001</v>
      </c>
      <c r="D5397" s="6">
        <f t="shared" si="87"/>
        <v>-3.4071263701862253E-2</v>
      </c>
      <c r="E5397" s="6">
        <v>-1.7984381234680345E-2</v>
      </c>
    </row>
    <row r="5398" spans="2:5" x14ac:dyDescent="0.3">
      <c r="B5398" s="4">
        <v>43046</v>
      </c>
      <c r="C5398" s="5">
        <v>1070.1099999999999</v>
      </c>
      <c r="D5398" s="6">
        <f t="shared" si="87"/>
        <v>-0.56237015589471795</v>
      </c>
      <c r="E5398" s="6">
        <v>-1.7986436758403737E-2</v>
      </c>
    </row>
    <row r="5399" spans="2:5" x14ac:dyDescent="0.3">
      <c r="B5399" s="4">
        <v>44186</v>
      </c>
      <c r="C5399" s="5">
        <v>2445.2399999999998</v>
      </c>
      <c r="D5399" s="6">
        <f t="shared" si="87"/>
        <v>14.439070589720922</v>
      </c>
      <c r="E5399" s="6">
        <v>-1.8007453575788788E-2</v>
      </c>
    </row>
    <row r="5400" spans="2:5" x14ac:dyDescent="0.3">
      <c r="B5400" s="4">
        <v>40231</v>
      </c>
      <c r="C5400" s="7">
        <v>158.38</v>
      </c>
      <c r="D5400" s="6">
        <f t="shared" si="87"/>
        <v>-0.76619427221730141</v>
      </c>
      <c r="E5400" s="6">
        <v>-1.8042036084072149E-2</v>
      </c>
    </row>
    <row r="5401" spans="2:5" x14ac:dyDescent="0.3">
      <c r="B5401" s="4">
        <v>42184</v>
      </c>
      <c r="C5401" s="7">
        <v>677.4</v>
      </c>
      <c r="D5401" s="6">
        <f t="shared" si="87"/>
        <v>-0.76911514589645968</v>
      </c>
      <c r="E5401" s="6">
        <v>-1.8061635694198875E-2</v>
      </c>
    </row>
    <row r="5402" spans="2:5" x14ac:dyDescent="0.3">
      <c r="B5402" s="4">
        <v>45315</v>
      </c>
      <c r="C5402" s="5">
        <v>2933.93</v>
      </c>
      <c r="D5402" s="6">
        <f t="shared" si="87"/>
        <v>1.1629792912277077</v>
      </c>
      <c r="E5402" s="6">
        <v>-1.8089143836304188E-2</v>
      </c>
    </row>
    <row r="5403" spans="2:5" x14ac:dyDescent="0.3">
      <c r="B5403" s="4">
        <v>43587</v>
      </c>
      <c r="C5403" s="5">
        <v>1356.43</v>
      </c>
      <c r="D5403" s="6">
        <f t="shared" si="87"/>
        <v>1.7433107493174236</v>
      </c>
      <c r="E5403" s="6">
        <v>-1.8146941730003575E-2</v>
      </c>
    </row>
    <row r="5404" spans="2:5" x14ac:dyDescent="0.3">
      <c r="B5404" s="4">
        <v>41589</v>
      </c>
      <c r="C5404" s="7">
        <v>494.45</v>
      </c>
      <c r="D5404" s="6">
        <f t="shared" si="87"/>
        <v>8.5233050847457612</v>
      </c>
      <c r="E5404" s="6">
        <v>-1.8149685259834365E-2</v>
      </c>
    </row>
    <row r="5405" spans="2:5" x14ac:dyDescent="0.3">
      <c r="B5405" s="4">
        <v>38950</v>
      </c>
      <c r="C5405" s="7">
        <v>51.92</v>
      </c>
      <c r="D5405" s="6">
        <f t="shared" si="87"/>
        <v>0.88320638375045346</v>
      </c>
      <c r="E5405" s="6">
        <v>-1.8154311649016656E-2</v>
      </c>
    </row>
    <row r="5406" spans="2:5" x14ac:dyDescent="0.3">
      <c r="B5406" s="4">
        <v>38385</v>
      </c>
      <c r="C5406" s="7">
        <v>27.57</v>
      </c>
      <c r="D5406" s="6">
        <f t="shared" si="87"/>
        <v>-0.76375321336760915</v>
      </c>
      <c r="E5406" s="6">
        <v>-1.8162393162393091E-2</v>
      </c>
    </row>
    <row r="5407" spans="2:5" x14ac:dyDescent="0.3">
      <c r="B5407" s="4">
        <v>40058</v>
      </c>
      <c r="C5407" s="7">
        <v>116.7</v>
      </c>
      <c r="D5407" s="6">
        <f t="shared" si="87"/>
        <v>-0.94831503470023171</v>
      </c>
      <c r="E5407" s="6">
        <v>-1.8172640080767261E-2</v>
      </c>
    </row>
    <row r="5408" spans="2:5" x14ac:dyDescent="0.3">
      <c r="B5408" s="4">
        <v>45791</v>
      </c>
      <c r="C5408" s="5">
        <v>2257.91</v>
      </c>
      <c r="D5408" s="6">
        <f t="shared" si="87"/>
        <v>0.15212421802447207</v>
      </c>
      <c r="E5408" s="6">
        <v>-1.8197551048805251E-2</v>
      </c>
    </row>
    <row r="5409" spans="2:5" x14ac:dyDescent="0.3">
      <c r="B5409" s="4">
        <v>44113</v>
      </c>
      <c r="C5409" s="5">
        <v>1959.78</v>
      </c>
      <c r="D5409" s="6">
        <f t="shared" si="87"/>
        <v>4.4489795918367339</v>
      </c>
      <c r="E5409" s="6">
        <v>-1.8220073641760447E-2</v>
      </c>
    </row>
    <row r="5410" spans="2:5" x14ac:dyDescent="0.3">
      <c r="B5410" s="4">
        <v>41228</v>
      </c>
      <c r="C5410" s="7">
        <v>359.66</v>
      </c>
      <c r="D5410" s="6">
        <f t="shared" si="87"/>
        <v>11.87719298245614</v>
      </c>
      <c r="E5410" s="6">
        <v>-1.8261225603930661E-2</v>
      </c>
    </row>
    <row r="5411" spans="2:5" x14ac:dyDescent="0.3">
      <c r="B5411" s="4">
        <v>38415</v>
      </c>
      <c r="C5411" s="7">
        <v>27.93</v>
      </c>
      <c r="D5411" s="6">
        <f t="shared" si="87"/>
        <v>-0.98819726166328603</v>
      </c>
      <c r="E5411" s="6">
        <v>-1.8277680140597524E-2</v>
      </c>
    </row>
    <row r="5412" spans="2:5" x14ac:dyDescent="0.3">
      <c r="B5412" s="4">
        <v>46066</v>
      </c>
      <c r="C5412" s="5">
        <v>2366.4</v>
      </c>
      <c r="D5412" s="6">
        <f t="shared" si="87"/>
        <v>-0.14019126238990776</v>
      </c>
      <c r="E5412" s="6">
        <v>-1.8294959551960137E-2</v>
      </c>
    </row>
    <row r="5413" spans="2:5" x14ac:dyDescent="0.3">
      <c r="B5413" s="4">
        <v>45427</v>
      </c>
      <c r="C5413" s="5">
        <v>2752.24</v>
      </c>
      <c r="D5413" s="6">
        <f t="shared" si="87"/>
        <v>10.80307058924436</v>
      </c>
      <c r="E5413" s="6">
        <v>-1.8298294299350173E-2</v>
      </c>
    </row>
    <row r="5414" spans="2:5" x14ac:dyDescent="0.3">
      <c r="B5414" s="4">
        <v>40520</v>
      </c>
      <c r="C5414" s="7">
        <v>233.18</v>
      </c>
      <c r="D5414" s="6">
        <f t="shared" si="87"/>
        <v>4.0113905007522028</v>
      </c>
      <c r="E5414" s="6">
        <v>-1.8313476192480926E-2</v>
      </c>
    </row>
    <row r="5415" spans="2:5" x14ac:dyDescent="0.3">
      <c r="B5415" s="4">
        <v>38734</v>
      </c>
      <c r="C5415" s="7">
        <v>46.53</v>
      </c>
      <c r="D5415" s="6">
        <f t="shared" si="87"/>
        <v>-0.94270480599918738</v>
      </c>
      <c r="E5415" s="6">
        <v>-1.8354430379746781E-2</v>
      </c>
    </row>
    <row r="5416" spans="2:5" x14ac:dyDescent="0.3">
      <c r="B5416" s="4">
        <v>42236</v>
      </c>
      <c r="C5416" s="7">
        <v>812.11</v>
      </c>
      <c r="D5416" s="6">
        <f t="shared" si="87"/>
        <v>1.2656491595590773E-2</v>
      </c>
      <c r="E5416" s="6">
        <v>-1.8384663733500985E-2</v>
      </c>
    </row>
    <row r="5417" spans="2:5" x14ac:dyDescent="0.3">
      <c r="B5417" s="4">
        <v>42465</v>
      </c>
      <c r="C5417" s="7">
        <v>801.96</v>
      </c>
      <c r="D5417" s="6">
        <f t="shared" si="87"/>
        <v>2.0787776412776413</v>
      </c>
      <c r="E5417" s="6">
        <v>-1.8396798002423498E-2</v>
      </c>
    </row>
    <row r="5418" spans="2:5" x14ac:dyDescent="0.3">
      <c r="B5418" s="4">
        <v>40714</v>
      </c>
      <c r="C5418" s="7">
        <v>260.48</v>
      </c>
      <c r="D5418" s="6">
        <f t="shared" si="87"/>
        <v>-0.69477384579329737</v>
      </c>
      <c r="E5418" s="6">
        <v>-1.8427101782416952E-2</v>
      </c>
    </row>
    <row r="5419" spans="2:5" x14ac:dyDescent="0.3">
      <c r="B5419" s="4">
        <v>42691</v>
      </c>
      <c r="C5419" s="7">
        <v>853.4</v>
      </c>
      <c r="D5419" s="6">
        <f t="shared" si="87"/>
        <v>49.229546792230728</v>
      </c>
      <c r="E5419" s="6">
        <v>-1.8437367010570114E-2</v>
      </c>
    </row>
    <row r="5420" spans="2:5" x14ac:dyDescent="0.3">
      <c r="B5420" s="4">
        <v>37705</v>
      </c>
      <c r="C5420" s="7">
        <v>16.989999999999998</v>
      </c>
      <c r="D5420" s="6">
        <f t="shared" si="87"/>
        <v>-0.9926741348235153</v>
      </c>
      <c r="E5420" s="6">
        <v>-1.8486424032351258E-2</v>
      </c>
    </row>
    <row r="5421" spans="2:5" x14ac:dyDescent="0.3">
      <c r="B5421" s="4">
        <v>44272</v>
      </c>
      <c r="C5421" s="5">
        <v>2319.1799999999998</v>
      </c>
      <c r="D5421" s="6">
        <f t="shared" si="87"/>
        <v>5.9915890386180699</v>
      </c>
      <c r="E5421" s="6">
        <v>-1.8490225869387675E-2</v>
      </c>
    </row>
    <row r="5422" spans="2:5" x14ac:dyDescent="0.3">
      <c r="B5422" s="4">
        <v>41137</v>
      </c>
      <c r="C5422" s="7">
        <v>331.71</v>
      </c>
      <c r="D5422" s="6">
        <f t="shared" si="87"/>
        <v>-0.26253890618052472</v>
      </c>
      <c r="E5422" s="6">
        <v>-1.8493312818084983E-2</v>
      </c>
    </row>
    <row r="5423" spans="2:5" x14ac:dyDescent="0.3">
      <c r="B5423" s="4">
        <v>41487</v>
      </c>
      <c r="C5423" s="7">
        <v>449.8</v>
      </c>
      <c r="D5423" s="6">
        <f t="shared" si="87"/>
        <v>18.304721030042916</v>
      </c>
      <c r="E5423" s="6">
        <v>-1.8525387854851749E-2</v>
      </c>
    </row>
    <row r="5424" spans="2:5" x14ac:dyDescent="0.3">
      <c r="B5424" s="4">
        <v>37879</v>
      </c>
      <c r="C5424" s="7">
        <v>23.3</v>
      </c>
      <c r="D5424" s="6">
        <f t="shared" si="87"/>
        <v>-0.94981476695097788</v>
      </c>
      <c r="E5424" s="6">
        <v>-1.8534119629317513E-2</v>
      </c>
    </row>
    <row r="5425" spans="2:5" x14ac:dyDescent="0.3">
      <c r="B5425" s="4">
        <v>41592</v>
      </c>
      <c r="C5425" s="7">
        <v>464.28</v>
      </c>
      <c r="D5425" s="6">
        <f t="shared" si="87"/>
        <v>1.2738853503184659E-2</v>
      </c>
      <c r="E5425" s="6">
        <v>-1.8539266462319074E-2</v>
      </c>
    </row>
    <row r="5426" spans="2:5" x14ac:dyDescent="0.3">
      <c r="B5426" s="4">
        <v>41604</v>
      </c>
      <c r="C5426" s="7">
        <v>458.44</v>
      </c>
      <c r="D5426" s="6">
        <f t="shared" si="87"/>
        <v>4.2430306062122031E-2</v>
      </c>
      <c r="E5426" s="6">
        <v>-1.8602958491212292E-2</v>
      </c>
    </row>
    <row r="5427" spans="2:5" x14ac:dyDescent="0.3">
      <c r="B5427" s="4">
        <v>41352</v>
      </c>
      <c r="C5427" s="7">
        <v>439.78</v>
      </c>
      <c r="D5427" s="6">
        <f t="shared" si="87"/>
        <v>4.6439938398357281</v>
      </c>
      <c r="E5427" s="6">
        <v>-1.8632985963894455E-2</v>
      </c>
    </row>
    <row r="5428" spans="2:5" x14ac:dyDescent="0.3">
      <c r="B5428" s="4">
        <v>39336</v>
      </c>
      <c r="C5428" s="7">
        <v>77.92</v>
      </c>
      <c r="D5428" s="6">
        <f t="shared" si="87"/>
        <v>0.38499822253821553</v>
      </c>
      <c r="E5428" s="6">
        <v>-1.8639798488665035E-2</v>
      </c>
    </row>
    <row r="5429" spans="2:5" x14ac:dyDescent="0.3">
      <c r="B5429" s="4">
        <v>38755</v>
      </c>
      <c r="C5429" s="7">
        <v>56.26</v>
      </c>
      <c r="D5429" s="6">
        <f t="shared" si="87"/>
        <v>-0.78955637016533253</v>
      </c>
      <c r="E5429" s="6">
        <v>-1.8663875806732955E-2</v>
      </c>
    </row>
    <row r="5430" spans="2:5" x14ac:dyDescent="0.3">
      <c r="B5430" s="4">
        <v>40988</v>
      </c>
      <c r="C5430" s="7">
        <v>267.33999999999997</v>
      </c>
      <c r="D5430" s="6">
        <f t="shared" si="87"/>
        <v>14.932061978545885</v>
      </c>
      <c r="E5430" s="6">
        <v>-1.868369856476905E-2</v>
      </c>
    </row>
    <row r="5431" spans="2:5" x14ac:dyDescent="0.3">
      <c r="B5431" s="4">
        <v>37524</v>
      </c>
      <c r="C5431" s="7">
        <v>16.78</v>
      </c>
      <c r="D5431" s="6">
        <f t="shared" si="87"/>
        <v>-0.8212040490143846</v>
      </c>
      <c r="E5431" s="6">
        <v>-1.8713450292397675E-2</v>
      </c>
    </row>
    <row r="5432" spans="2:5" x14ac:dyDescent="0.3">
      <c r="B5432" s="4">
        <v>39507</v>
      </c>
      <c r="C5432" s="7">
        <v>93.85</v>
      </c>
      <c r="D5432" s="6">
        <f t="shared" si="87"/>
        <v>-0.91934998753942276</v>
      </c>
      <c r="E5432" s="6">
        <v>-1.8716018402342181E-2</v>
      </c>
    </row>
    <row r="5433" spans="2:5" x14ac:dyDescent="0.3">
      <c r="B5433" s="4">
        <v>43392</v>
      </c>
      <c r="C5433" s="5">
        <v>1163.67</v>
      </c>
      <c r="D5433" s="6">
        <f t="shared" si="87"/>
        <v>-0.41474417973052485</v>
      </c>
      <c r="E5433" s="6">
        <v>-1.874525676701241E-2</v>
      </c>
    </row>
    <row r="5434" spans="2:5" x14ac:dyDescent="0.3">
      <c r="B5434" s="4">
        <v>44130</v>
      </c>
      <c r="C5434" s="5">
        <v>1988.31</v>
      </c>
      <c r="D5434" s="6">
        <f t="shared" si="87"/>
        <v>-0.35262458731368074</v>
      </c>
      <c r="E5434" s="6">
        <v>-1.8772670071803964E-2</v>
      </c>
    </row>
    <row r="5435" spans="2:5" x14ac:dyDescent="0.3">
      <c r="B5435" s="4">
        <v>44907</v>
      </c>
      <c r="C5435" s="5">
        <v>3071.34</v>
      </c>
      <c r="D5435" s="6">
        <f t="shared" si="87"/>
        <v>9.3914505317595542E-2</v>
      </c>
      <c r="E5435" s="6">
        <v>-1.8778832760405272E-2</v>
      </c>
    </row>
    <row r="5436" spans="2:5" x14ac:dyDescent="0.3">
      <c r="B5436" s="4">
        <v>45603</v>
      </c>
      <c r="C5436" s="5">
        <v>2807.66</v>
      </c>
      <c r="D5436" s="6">
        <f t="shared" si="87"/>
        <v>7.0847155033402451</v>
      </c>
      <c r="E5436" s="6">
        <v>-1.8794732721986201E-2</v>
      </c>
    </row>
    <row r="5437" spans="2:5" x14ac:dyDescent="0.3">
      <c r="B5437" s="4">
        <v>41232</v>
      </c>
      <c r="C5437" s="7">
        <v>347.28</v>
      </c>
      <c r="D5437" s="6">
        <f t="shared" si="87"/>
        <v>-0.88008784166401954</v>
      </c>
      <c r="E5437" s="6">
        <v>-1.8816748601457944E-2</v>
      </c>
    </row>
    <row r="5438" spans="2:5" x14ac:dyDescent="0.3">
      <c r="B5438" s="4">
        <v>44369</v>
      </c>
      <c r="C5438" s="5">
        <v>2896.12</v>
      </c>
      <c r="D5438" s="6">
        <f t="shared" si="87"/>
        <v>2.5978433710991848</v>
      </c>
      <c r="E5438" s="6">
        <v>-1.8819854523032784E-2</v>
      </c>
    </row>
    <row r="5439" spans="2:5" x14ac:dyDescent="0.3">
      <c r="B5439" s="4">
        <v>42488</v>
      </c>
      <c r="C5439" s="7">
        <v>804.96</v>
      </c>
      <c r="D5439" s="6">
        <f t="shared" si="87"/>
        <v>0.13143580012650219</v>
      </c>
      <c r="E5439" s="6">
        <v>-1.8820087762067214E-2</v>
      </c>
    </row>
    <row r="5440" spans="2:5" x14ac:dyDescent="0.3">
      <c r="B5440" s="4">
        <v>42090</v>
      </c>
      <c r="C5440" s="7">
        <v>711.45</v>
      </c>
      <c r="D5440" s="6">
        <f t="shared" si="87"/>
        <v>-0.73060830383006115</v>
      </c>
      <c r="E5440" s="6">
        <v>-1.8838521051978276E-2</v>
      </c>
    </row>
    <row r="5441" spans="2:5" x14ac:dyDescent="0.3">
      <c r="B5441" s="4">
        <v>44953</v>
      </c>
      <c r="C5441" s="5">
        <v>2640.95</v>
      </c>
      <c r="D5441" s="6">
        <f t="shared" si="87"/>
        <v>1.8679480914372588</v>
      </c>
      <c r="E5441" s="6">
        <v>-1.8865190788080601E-2</v>
      </c>
    </row>
    <row r="5442" spans="2:5" x14ac:dyDescent="0.3">
      <c r="B5442" s="4">
        <v>42530</v>
      </c>
      <c r="C5442" s="7">
        <v>920.85</v>
      </c>
      <c r="D5442" s="6">
        <f t="shared" si="87"/>
        <v>-0.25295701977836554</v>
      </c>
      <c r="E5442" s="6">
        <v>-1.8911144257404644E-2</v>
      </c>
    </row>
    <row r="5443" spans="2:5" x14ac:dyDescent="0.3">
      <c r="B5443" s="4">
        <v>43360</v>
      </c>
      <c r="C5443" s="5">
        <v>1232.6600000000001</v>
      </c>
      <c r="D5443" s="6">
        <f t="shared" si="87"/>
        <v>4.2215868174693956</v>
      </c>
      <c r="E5443" s="6">
        <v>-1.893429901707188E-2</v>
      </c>
    </row>
    <row r="5444" spans="2:5" x14ac:dyDescent="0.3">
      <c r="B5444" s="4">
        <v>40673</v>
      </c>
      <c r="C5444" s="7">
        <v>236.07</v>
      </c>
      <c r="D5444" s="6">
        <f t="shared" si="87"/>
        <v>2.574110522331567</v>
      </c>
      <c r="E5444" s="6">
        <v>-1.895025557910486E-2</v>
      </c>
    </row>
    <row r="5445" spans="2:5" x14ac:dyDescent="0.3">
      <c r="B5445" s="4">
        <v>39195</v>
      </c>
      <c r="C5445" s="7">
        <v>66.05</v>
      </c>
      <c r="D5445" s="6">
        <f t="shared" si="87"/>
        <v>0.19677477803949991</v>
      </c>
      <c r="E5445" s="6">
        <v>-1.9010842120897091E-2</v>
      </c>
    </row>
    <row r="5446" spans="2:5" x14ac:dyDescent="0.3">
      <c r="B5446" s="4">
        <v>38756</v>
      </c>
      <c r="C5446" s="7">
        <v>55.19</v>
      </c>
      <c r="D5446" s="6">
        <f t="shared" si="87"/>
        <v>-0.97815866332127621</v>
      </c>
      <c r="E5446" s="6">
        <v>-1.9018841094916465E-2</v>
      </c>
    </row>
    <row r="5447" spans="2:5" x14ac:dyDescent="0.3">
      <c r="B5447" s="4">
        <v>45908</v>
      </c>
      <c r="C5447" s="5">
        <v>2526.86</v>
      </c>
      <c r="D5447" s="6">
        <f t="shared" si="87"/>
        <v>8.3238625880963824</v>
      </c>
      <c r="E5447" s="6">
        <v>-1.9030389614423025E-2</v>
      </c>
    </row>
    <row r="5448" spans="2:5" x14ac:dyDescent="0.3">
      <c r="B5448" s="4">
        <v>40858</v>
      </c>
      <c r="C5448" s="7">
        <v>271.01</v>
      </c>
      <c r="D5448" s="6">
        <f t="shared" ref="D5448:D5511" si="88">((C5448-C5449)/C5449)</f>
        <v>-0.6262498103735985</v>
      </c>
      <c r="E5448" s="6">
        <v>-1.9039345567741669E-2</v>
      </c>
    </row>
    <row r="5449" spans="2:5" x14ac:dyDescent="0.3">
      <c r="B5449" s="4">
        <v>42089</v>
      </c>
      <c r="C5449" s="7">
        <v>725.11</v>
      </c>
      <c r="D5449" s="6">
        <f t="shared" si="88"/>
        <v>-0.12247219566506509</v>
      </c>
      <c r="E5449" s="6">
        <v>-1.904787672993417E-2</v>
      </c>
    </row>
    <row r="5450" spans="2:5" x14ac:dyDescent="0.3">
      <c r="B5450" s="4">
        <v>42223</v>
      </c>
      <c r="C5450" s="7">
        <v>826.31</v>
      </c>
      <c r="D5450" s="6">
        <f t="shared" si="88"/>
        <v>5.9276731575371305E-2</v>
      </c>
      <c r="E5450" s="6">
        <v>-1.9053611282587098E-2</v>
      </c>
    </row>
    <row r="5451" spans="2:5" x14ac:dyDescent="0.3">
      <c r="B5451" s="4">
        <v>42429</v>
      </c>
      <c r="C5451" s="7">
        <v>780.07</v>
      </c>
      <c r="D5451" s="6">
        <f t="shared" si="88"/>
        <v>-0.68126322843203746</v>
      </c>
      <c r="E5451" s="6">
        <v>-1.9063667115174186E-2</v>
      </c>
    </row>
    <row r="5452" spans="2:5" x14ac:dyDescent="0.3">
      <c r="B5452" s="4">
        <v>45848</v>
      </c>
      <c r="C5452" s="5">
        <v>2447.38</v>
      </c>
      <c r="D5452" s="6">
        <f t="shared" si="88"/>
        <v>0.13032514317384089</v>
      </c>
      <c r="E5452" s="6">
        <v>-1.9090103847279213E-2</v>
      </c>
    </row>
    <row r="5453" spans="2:5" x14ac:dyDescent="0.3">
      <c r="B5453" s="4">
        <v>46111</v>
      </c>
      <c r="C5453" s="5">
        <v>2165.1999999999998</v>
      </c>
      <c r="D5453" s="6">
        <f t="shared" si="88"/>
        <v>19.393708203824055</v>
      </c>
      <c r="E5453" s="6">
        <v>-1.9117513817160581E-2</v>
      </c>
    </row>
    <row r="5454" spans="2:5" x14ac:dyDescent="0.3">
      <c r="B5454" s="4">
        <v>39601</v>
      </c>
      <c r="C5454" s="7">
        <v>106.17</v>
      </c>
      <c r="D5454" s="6">
        <f t="shared" si="88"/>
        <v>-0.8494533698226111</v>
      </c>
      <c r="E5454" s="6">
        <v>-1.9124168514412353E-2</v>
      </c>
    </row>
    <row r="5455" spans="2:5" x14ac:dyDescent="0.3">
      <c r="B5455" s="4">
        <v>42118</v>
      </c>
      <c r="C5455" s="7">
        <v>705.23</v>
      </c>
      <c r="D5455" s="6">
        <f t="shared" si="88"/>
        <v>-0.76933518241108401</v>
      </c>
      <c r="E5455" s="6">
        <v>-1.9137957412481383E-2</v>
      </c>
    </row>
    <row r="5456" spans="2:5" x14ac:dyDescent="0.3">
      <c r="B5456" s="4">
        <v>44599</v>
      </c>
      <c r="C5456" s="5">
        <v>3057.38</v>
      </c>
      <c r="D5456" s="6">
        <f t="shared" si="88"/>
        <v>34.097922167374584</v>
      </c>
      <c r="E5456" s="6">
        <v>-1.9139953289017738E-2</v>
      </c>
    </row>
    <row r="5457" spans="2:5" x14ac:dyDescent="0.3">
      <c r="B5457" s="4">
        <v>39632</v>
      </c>
      <c r="C5457" s="7">
        <v>87.11</v>
      </c>
      <c r="D5457" s="6">
        <f t="shared" si="88"/>
        <v>-0.88395545253510244</v>
      </c>
      <c r="E5457" s="6">
        <v>-1.9141988514806921E-2</v>
      </c>
    </row>
    <row r="5458" spans="2:5" x14ac:dyDescent="0.3">
      <c r="B5458" s="4">
        <v>42311</v>
      </c>
      <c r="C5458" s="7">
        <v>750.66</v>
      </c>
      <c r="D5458" s="6">
        <f t="shared" si="88"/>
        <v>-0.31643840606104767</v>
      </c>
      <c r="E5458" s="6">
        <v>-1.9155385982334294E-2</v>
      </c>
    </row>
    <row r="5459" spans="2:5" x14ac:dyDescent="0.3">
      <c r="B5459" s="4">
        <v>43004</v>
      </c>
      <c r="C5459" s="5">
        <v>1098.1600000000001</v>
      </c>
      <c r="D5459" s="6">
        <f t="shared" si="88"/>
        <v>-0.62261116399588978</v>
      </c>
      <c r="E5459" s="6">
        <v>-1.9175977778373234E-2</v>
      </c>
    </row>
    <row r="5460" spans="2:5" x14ac:dyDescent="0.3">
      <c r="B5460" s="4">
        <v>44669</v>
      </c>
      <c r="C5460" s="5">
        <v>2909.89</v>
      </c>
      <c r="D5460" s="6">
        <f t="shared" si="88"/>
        <v>125.51695652173912</v>
      </c>
      <c r="E5460" s="6">
        <v>-1.9185589909701015E-2</v>
      </c>
    </row>
    <row r="5461" spans="2:5" x14ac:dyDescent="0.3">
      <c r="B5461" s="4">
        <v>38049</v>
      </c>
      <c r="C5461" s="7">
        <v>23</v>
      </c>
      <c r="D5461" s="6">
        <f t="shared" si="88"/>
        <v>-0.51063829787234039</v>
      </c>
      <c r="E5461" s="6">
        <v>-1.9189765458422145E-2</v>
      </c>
    </row>
    <row r="5462" spans="2:5" x14ac:dyDescent="0.3">
      <c r="B5462" s="4">
        <v>38922</v>
      </c>
      <c r="C5462" s="7">
        <v>47</v>
      </c>
      <c r="D5462" s="6">
        <f t="shared" si="88"/>
        <v>-0.2804654011022657</v>
      </c>
      <c r="E5462" s="6">
        <v>-1.9198664440734592E-2</v>
      </c>
    </row>
    <row r="5463" spans="2:5" x14ac:dyDescent="0.3">
      <c r="B5463" s="4">
        <v>39190</v>
      </c>
      <c r="C5463" s="7">
        <v>65.319999999999993</v>
      </c>
      <c r="D5463" s="6">
        <f t="shared" si="88"/>
        <v>-0.73327888934258889</v>
      </c>
      <c r="E5463" s="6">
        <v>-1.9219219219219239E-2</v>
      </c>
    </row>
    <row r="5464" spans="2:5" x14ac:dyDescent="0.3">
      <c r="B5464" s="4">
        <v>40437</v>
      </c>
      <c r="C5464" s="7">
        <v>244.9</v>
      </c>
      <c r="D5464" s="6">
        <f t="shared" si="88"/>
        <v>3.2867145107649223</v>
      </c>
      <c r="E5464" s="6">
        <v>-1.9223067681217395E-2</v>
      </c>
    </row>
    <row r="5465" spans="2:5" x14ac:dyDescent="0.3">
      <c r="B5465" s="4">
        <v>39044</v>
      </c>
      <c r="C5465" s="7">
        <v>57.13</v>
      </c>
      <c r="D5465" s="6">
        <f t="shared" si="88"/>
        <v>-0.97989336055044252</v>
      </c>
      <c r="E5465" s="6">
        <v>-1.9227467811158753E-2</v>
      </c>
    </row>
    <row r="5466" spans="2:5" x14ac:dyDescent="0.3">
      <c r="B5466" s="4">
        <v>45449</v>
      </c>
      <c r="C5466" s="5">
        <v>2841.35</v>
      </c>
      <c r="D5466" s="6">
        <f t="shared" si="88"/>
        <v>0.21903450287881507</v>
      </c>
      <c r="E5466" s="6">
        <v>-1.922983990666401E-2</v>
      </c>
    </row>
    <row r="5467" spans="2:5" x14ac:dyDescent="0.3">
      <c r="B5467" s="4">
        <v>45643</v>
      </c>
      <c r="C5467" s="5">
        <v>2330.8200000000002</v>
      </c>
      <c r="D5467" s="6">
        <f t="shared" si="88"/>
        <v>7.5225053932502099</v>
      </c>
      <c r="E5467" s="6">
        <v>-1.9254559072280238E-2</v>
      </c>
    </row>
    <row r="5468" spans="2:5" x14ac:dyDescent="0.3">
      <c r="B5468" s="4">
        <v>40736</v>
      </c>
      <c r="C5468" s="7">
        <v>273.49</v>
      </c>
      <c r="D5468" s="6">
        <f t="shared" si="88"/>
        <v>-0.87867213216570395</v>
      </c>
      <c r="E5468" s="6">
        <v>-1.9292143292573585E-2</v>
      </c>
    </row>
    <row r="5469" spans="2:5" x14ac:dyDescent="0.3">
      <c r="B5469" s="4">
        <v>44270</v>
      </c>
      <c r="C5469" s="5">
        <v>2254.14</v>
      </c>
      <c r="D5469" s="6">
        <f t="shared" si="88"/>
        <v>28.392880427695918</v>
      </c>
      <c r="E5469" s="6">
        <v>-1.9299543180335055E-2</v>
      </c>
    </row>
    <row r="5470" spans="2:5" x14ac:dyDescent="0.3">
      <c r="B5470" s="4">
        <v>39945</v>
      </c>
      <c r="C5470" s="7">
        <v>76.69</v>
      </c>
      <c r="D5470" s="6">
        <f t="shared" si="88"/>
        <v>2.2843683083511772</v>
      </c>
      <c r="E5470" s="6">
        <v>-1.9309462915601087E-2</v>
      </c>
    </row>
    <row r="5471" spans="2:5" x14ac:dyDescent="0.3">
      <c r="B5471" s="4">
        <v>38117</v>
      </c>
      <c r="C5471" s="7">
        <v>23.35</v>
      </c>
      <c r="D5471" s="6">
        <f t="shared" si="88"/>
        <v>-0.54421237556119451</v>
      </c>
      <c r="E5471" s="6">
        <v>-1.9319613607727732E-2</v>
      </c>
    </row>
    <row r="5472" spans="2:5" x14ac:dyDescent="0.3">
      <c r="B5472" s="4">
        <v>38819</v>
      </c>
      <c r="C5472" s="7">
        <v>51.23</v>
      </c>
      <c r="D5472" s="6">
        <f t="shared" si="88"/>
        <v>-0.95325090112697908</v>
      </c>
      <c r="E5472" s="6">
        <v>-1.9333843797856146E-2</v>
      </c>
    </row>
    <row r="5473" spans="2:5" x14ac:dyDescent="0.3">
      <c r="B5473" s="4">
        <v>42660</v>
      </c>
      <c r="C5473" s="5">
        <v>1095.8499999999999</v>
      </c>
      <c r="D5473" s="6">
        <f t="shared" si="88"/>
        <v>0.48047824912185877</v>
      </c>
      <c r="E5473" s="6">
        <v>-1.9443798206839797E-2</v>
      </c>
    </row>
    <row r="5474" spans="2:5" x14ac:dyDescent="0.3">
      <c r="B5474" s="4">
        <v>42058</v>
      </c>
      <c r="C5474" s="7">
        <v>740.2</v>
      </c>
      <c r="D5474" s="6">
        <f t="shared" si="88"/>
        <v>3.124366189335265</v>
      </c>
      <c r="E5474" s="6">
        <v>-1.9498754834949287E-2</v>
      </c>
    </row>
    <row r="5475" spans="2:5" x14ac:dyDescent="0.3">
      <c r="B5475" s="4">
        <v>40318</v>
      </c>
      <c r="C5475" s="7">
        <v>179.47</v>
      </c>
      <c r="D5475" s="6">
        <f t="shared" si="88"/>
        <v>2.0387741280054179</v>
      </c>
      <c r="E5475" s="6">
        <v>-1.950393356643353E-2</v>
      </c>
    </row>
    <row r="5476" spans="2:5" x14ac:dyDescent="0.3">
      <c r="B5476" s="4">
        <v>39094</v>
      </c>
      <c r="C5476" s="7">
        <v>59.06</v>
      </c>
      <c r="D5476" s="6">
        <f t="shared" si="88"/>
        <v>-0.97966806550559593</v>
      </c>
      <c r="E5476" s="6">
        <v>-1.9588313413014601E-2</v>
      </c>
    </row>
    <row r="5477" spans="2:5" x14ac:dyDescent="0.3">
      <c r="B5477" s="4">
        <v>44687</v>
      </c>
      <c r="C5477" s="5">
        <v>2904.79</v>
      </c>
      <c r="D5477" s="6">
        <f t="shared" si="88"/>
        <v>11.320961995249405</v>
      </c>
      <c r="E5477" s="6">
        <v>-1.959930607588619E-2</v>
      </c>
    </row>
    <row r="5478" spans="2:5" x14ac:dyDescent="0.3">
      <c r="B5478" s="4">
        <v>40896</v>
      </c>
      <c r="C5478" s="7">
        <v>235.76</v>
      </c>
      <c r="D5478" s="6">
        <f t="shared" si="88"/>
        <v>-0.419224515938316</v>
      </c>
      <c r="E5478" s="6">
        <v>-1.96274118429807E-2</v>
      </c>
    </row>
    <row r="5479" spans="2:5" x14ac:dyDescent="0.3">
      <c r="B5479" s="4">
        <v>41373</v>
      </c>
      <c r="C5479" s="7">
        <v>405.94</v>
      </c>
      <c r="D5479" s="6">
        <f t="shared" si="88"/>
        <v>12.567513368983956</v>
      </c>
      <c r="E5479" s="6">
        <v>-1.9658037094281267E-2</v>
      </c>
    </row>
    <row r="5480" spans="2:5" x14ac:dyDescent="0.3">
      <c r="B5480" s="4">
        <v>38469</v>
      </c>
      <c r="C5480" s="7">
        <v>29.92</v>
      </c>
      <c r="D5480" s="6">
        <f t="shared" si="88"/>
        <v>-0.99057640763336174</v>
      </c>
      <c r="E5480" s="6">
        <v>-1.9659239842726012E-2</v>
      </c>
    </row>
    <row r="5481" spans="2:5" x14ac:dyDescent="0.3">
      <c r="B5481" s="4">
        <v>44844</v>
      </c>
      <c r="C5481" s="5">
        <v>3175.01</v>
      </c>
      <c r="D5481" s="6">
        <f t="shared" si="88"/>
        <v>7.2963417820747338</v>
      </c>
      <c r="E5481" s="6">
        <v>-1.9662270856426467E-2</v>
      </c>
    </row>
    <row r="5482" spans="2:5" x14ac:dyDescent="0.3">
      <c r="B5482" s="4">
        <v>41333</v>
      </c>
      <c r="C5482" s="7">
        <v>382.7</v>
      </c>
      <c r="D5482" s="6">
        <f t="shared" si="88"/>
        <v>-0.10784222305110032</v>
      </c>
      <c r="E5482" s="6">
        <v>-1.9723360655737678E-2</v>
      </c>
    </row>
    <row r="5483" spans="2:5" x14ac:dyDescent="0.3">
      <c r="B5483" s="4">
        <v>41368</v>
      </c>
      <c r="C5483" s="7">
        <v>428.96</v>
      </c>
      <c r="D5483" s="6">
        <f t="shared" si="88"/>
        <v>9.9249160751351664E-2</v>
      </c>
      <c r="E5483" s="6">
        <v>-1.976645871895074E-2</v>
      </c>
    </row>
    <row r="5484" spans="2:5" x14ac:dyDescent="0.3">
      <c r="B5484" s="4">
        <v>41264</v>
      </c>
      <c r="C5484" s="7">
        <v>390.23</v>
      </c>
      <c r="D5484" s="6">
        <f t="shared" si="88"/>
        <v>-0.5143554067676378</v>
      </c>
      <c r="E5484" s="6">
        <v>-1.9793524402803232E-2</v>
      </c>
    </row>
    <row r="5485" spans="2:5" x14ac:dyDescent="0.3">
      <c r="B5485" s="4">
        <v>42482</v>
      </c>
      <c r="C5485" s="7">
        <v>803.53</v>
      </c>
      <c r="D5485" s="6">
        <f t="shared" si="88"/>
        <v>31.505258899676374</v>
      </c>
      <c r="E5485" s="6">
        <v>-1.979847760320096E-2</v>
      </c>
    </row>
    <row r="5486" spans="2:5" x14ac:dyDescent="0.3">
      <c r="B5486" s="4">
        <v>38261</v>
      </c>
      <c r="C5486" s="7">
        <v>24.72</v>
      </c>
      <c r="D5486" s="6">
        <f t="shared" si="88"/>
        <v>-0.96711760245819867</v>
      </c>
      <c r="E5486" s="6">
        <v>-1.9825535289452818E-2</v>
      </c>
    </row>
    <row r="5487" spans="2:5" x14ac:dyDescent="0.3">
      <c r="B5487" s="4">
        <v>42110</v>
      </c>
      <c r="C5487" s="7">
        <v>751.77</v>
      </c>
      <c r="D5487" s="6">
        <f t="shared" si="88"/>
        <v>10.227150537634408</v>
      </c>
      <c r="E5487" s="6">
        <v>-2.0022681944390146E-2</v>
      </c>
    </row>
    <row r="5488" spans="2:5" x14ac:dyDescent="0.3">
      <c r="B5488" s="4">
        <v>39909</v>
      </c>
      <c r="C5488" s="7">
        <v>66.959999999999994</v>
      </c>
      <c r="D5488" s="6">
        <f t="shared" si="88"/>
        <v>-0.93090068521423264</v>
      </c>
      <c r="E5488" s="6">
        <v>-2.0049758524806154E-2</v>
      </c>
    </row>
    <row r="5489" spans="2:5" x14ac:dyDescent="0.3">
      <c r="B5489" s="4">
        <v>42821</v>
      </c>
      <c r="C5489" s="7">
        <v>969.04</v>
      </c>
      <c r="D5489" s="6">
        <f t="shared" si="88"/>
        <v>40.341296928327637</v>
      </c>
      <c r="E5489" s="6">
        <v>-2.0063101690801749E-2</v>
      </c>
    </row>
    <row r="5490" spans="2:5" x14ac:dyDescent="0.3">
      <c r="B5490" s="4">
        <v>38071</v>
      </c>
      <c r="C5490" s="7">
        <v>23.44</v>
      </c>
      <c r="D5490" s="6">
        <f t="shared" si="88"/>
        <v>-0.9099154496541122</v>
      </c>
      <c r="E5490" s="6">
        <v>-2.0066889632107041E-2</v>
      </c>
    </row>
    <row r="5491" spans="2:5" x14ac:dyDescent="0.3">
      <c r="B5491" s="4">
        <v>40940</v>
      </c>
      <c r="C5491" s="7">
        <v>260.2</v>
      </c>
      <c r="D5491" s="6">
        <f t="shared" si="88"/>
        <v>-0.84602912546673525</v>
      </c>
      <c r="E5491" s="6">
        <v>-2.0073061424321113E-2</v>
      </c>
    </row>
    <row r="5492" spans="2:5" x14ac:dyDescent="0.3">
      <c r="B5492" s="4">
        <v>43760</v>
      </c>
      <c r="C5492" s="5">
        <v>1689.93</v>
      </c>
      <c r="D5492" s="6">
        <f t="shared" si="88"/>
        <v>5.2789997770676971</v>
      </c>
      <c r="E5492" s="6">
        <v>-2.0114575964560209E-2</v>
      </c>
    </row>
    <row r="5493" spans="2:5" x14ac:dyDescent="0.3">
      <c r="B5493" s="4">
        <v>40862</v>
      </c>
      <c r="C5493" s="7">
        <v>269.14</v>
      </c>
      <c r="D5493" s="6">
        <f t="shared" si="88"/>
        <v>5.4417238001958808E-2</v>
      </c>
      <c r="E5493" s="6">
        <v>-2.0133250810063091E-2</v>
      </c>
    </row>
    <row r="5494" spans="2:5" x14ac:dyDescent="0.3">
      <c r="B5494" s="4">
        <v>40877</v>
      </c>
      <c r="C5494" s="7">
        <v>255.25</v>
      </c>
      <c r="D5494" s="6">
        <f t="shared" si="88"/>
        <v>-0.66108558833682984</v>
      </c>
      <c r="E5494" s="6">
        <v>-2.0153550863723609E-2</v>
      </c>
    </row>
    <row r="5495" spans="2:5" x14ac:dyDescent="0.3">
      <c r="B5495" s="4">
        <v>42047</v>
      </c>
      <c r="C5495" s="7">
        <v>753.14</v>
      </c>
      <c r="D5495" s="6">
        <f t="shared" si="88"/>
        <v>-0.72681635169937253</v>
      </c>
      <c r="E5495" s="6">
        <v>-2.0216474996097161E-2</v>
      </c>
    </row>
    <row r="5496" spans="2:5" x14ac:dyDescent="0.3">
      <c r="B5496" s="4">
        <v>46038</v>
      </c>
      <c r="C5496" s="5">
        <v>2756.9</v>
      </c>
      <c r="D5496" s="6">
        <f t="shared" si="88"/>
        <v>74.038105606967889</v>
      </c>
      <c r="E5496" s="6">
        <v>-2.025658338960162E-2</v>
      </c>
    </row>
    <row r="5497" spans="2:5" x14ac:dyDescent="0.3">
      <c r="B5497" s="4">
        <v>38573</v>
      </c>
      <c r="C5497" s="7">
        <v>36.74</v>
      </c>
      <c r="D5497" s="6">
        <f t="shared" si="88"/>
        <v>-0.86511986489959247</v>
      </c>
      <c r="E5497" s="6">
        <v>-2.0266666666666613E-2</v>
      </c>
    </row>
    <row r="5498" spans="2:5" x14ac:dyDescent="0.3">
      <c r="B5498" s="4">
        <v>40696</v>
      </c>
      <c r="C5498" s="7">
        <v>272.39</v>
      </c>
      <c r="D5498" s="6">
        <f t="shared" si="88"/>
        <v>1.8558397986999371</v>
      </c>
      <c r="E5498" s="6">
        <v>-2.0285580692730953E-2</v>
      </c>
    </row>
    <row r="5499" spans="2:5" x14ac:dyDescent="0.3">
      <c r="B5499" s="4">
        <v>39520</v>
      </c>
      <c r="C5499" s="7">
        <v>95.38</v>
      </c>
      <c r="D5499" s="6">
        <f t="shared" si="88"/>
        <v>-0.96710251749554199</v>
      </c>
      <c r="E5499" s="6">
        <v>-2.0336894001643426E-2</v>
      </c>
    </row>
    <row r="5500" spans="2:5" x14ac:dyDescent="0.3">
      <c r="B5500" s="4">
        <v>45596</v>
      </c>
      <c r="C5500" s="5">
        <v>2899.31</v>
      </c>
      <c r="D5500" s="6">
        <f t="shared" si="88"/>
        <v>9.3491343922898444</v>
      </c>
      <c r="E5500" s="6">
        <v>-2.0357755882631202E-2</v>
      </c>
    </row>
    <row r="5501" spans="2:5" x14ac:dyDescent="0.3">
      <c r="B5501" s="4">
        <v>40855</v>
      </c>
      <c r="C5501" s="7">
        <v>280.14999999999998</v>
      </c>
      <c r="D5501" s="6">
        <f t="shared" si="88"/>
        <v>4.6676107626947196</v>
      </c>
      <c r="E5501" s="6">
        <v>-2.0386040981886986E-2</v>
      </c>
    </row>
    <row r="5502" spans="2:5" x14ac:dyDescent="0.3">
      <c r="B5502" s="4">
        <v>38853</v>
      </c>
      <c r="C5502" s="7">
        <v>49.43</v>
      </c>
      <c r="D5502" s="6">
        <f t="shared" si="88"/>
        <v>-0.98274965537699144</v>
      </c>
      <c r="E5502" s="6">
        <v>-2.0412207689258843E-2</v>
      </c>
    </row>
    <row r="5503" spans="2:5" x14ac:dyDescent="0.3">
      <c r="B5503" s="4">
        <v>45231</v>
      </c>
      <c r="C5503" s="5">
        <v>2865.45</v>
      </c>
      <c r="D5503" s="6">
        <f t="shared" si="88"/>
        <v>0.70933874190950574</v>
      </c>
      <c r="E5503" s="6">
        <v>-2.0412558629271573E-2</v>
      </c>
    </row>
    <row r="5504" spans="2:5" x14ac:dyDescent="0.3">
      <c r="B5504" s="4">
        <v>43732</v>
      </c>
      <c r="C5504" s="5">
        <v>1676.35</v>
      </c>
      <c r="D5504" s="6">
        <f t="shared" si="88"/>
        <v>34.735450863355361</v>
      </c>
      <c r="E5504" s="6">
        <v>-2.0440242384578089E-2</v>
      </c>
    </row>
    <row r="5505" spans="2:5" x14ac:dyDescent="0.3">
      <c r="B5505" s="4">
        <v>38873</v>
      </c>
      <c r="C5505" s="7">
        <v>46.91</v>
      </c>
      <c r="D5505" s="6">
        <f t="shared" si="88"/>
        <v>-0.98520921814747908</v>
      </c>
      <c r="E5505" s="6">
        <v>-2.0463562330340447E-2</v>
      </c>
    </row>
    <row r="5506" spans="2:5" x14ac:dyDescent="0.3">
      <c r="B5506" s="4">
        <v>45099</v>
      </c>
      <c r="C5506" s="5">
        <v>3171.57</v>
      </c>
      <c r="D5506" s="6">
        <f t="shared" si="88"/>
        <v>2.019593841935392</v>
      </c>
      <c r="E5506" s="6">
        <v>-2.0518775420705942E-2</v>
      </c>
    </row>
    <row r="5507" spans="2:5" x14ac:dyDescent="0.3">
      <c r="B5507" s="4">
        <v>43150</v>
      </c>
      <c r="C5507" s="5">
        <v>1050.33</v>
      </c>
      <c r="D5507" s="6">
        <f t="shared" si="88"/>
        <v>-0.39009122529919693</v>
      </c>
      <c r="E5507" s="6">
        <v>-2.0543474206423194E-2</v>
      </c>
    </row>
    <row r="5508" spans="2:5" x14ac:dyDescent="0.3">
      <c r="B5508" s="4">
        <v>43851</v>
      </c>
      <c r="C5508" s="5">
        <v>1722.11</v>
      </c>
      <c r="D5508" s="6">
        <f t="shared" si="88"/>
        <v>4.2831942569640447</v>
      </c>
      <c r="E5508" s="6">
        <v>-2.0554528650647007E-2</v>
      </c>
    </row>
    <row r="5509" spans="2:5" x14ac:dyDescent="0.3">
      <c r="B5509" s="4">
        <v>41051</v>
      </c>
      <c r="C5509" s="7">
        <v>325.95999999999998</v>
      </c>
      <c r="D5509" s="6">
        <f t="shared" si="88"/>
        <v>-0.70312756152206779</v>
      </c>
      <c r="E5509" s="6">
        <v>-2.0582314233346423E-2</v>
      </c>
    </row>
    <row r="5510" spans="2:5" x14ac:dyDescent="0.3">
      <c r="B5510" s="4">
        <v>42650</v>
      </c>
      <c r="C5510" s="5">
        <v>1097.98</v>
      </c>
      <c r="D5510" s="6">
        <f t="shared" si="88"/>
        <v>-0.64080738026694584</v>
      </c>
      <c r="E5510" s="6">
        <v>-2.0587658109289357E-2</v>
      </c>
    </row>
    <row r="5511" spans="2:5" x14ac:dyDescent="0.3">
      <c r="B5511" s="4">
        <v>44470</v>
      </c>
      <c r="C5511" s="5">
        <v>3056.8</v>
      </c>
      <c r="D5511" s="6">
        <f t="shared" si="88"/>
        <v>5.2956707995221821</v>
      </c>
      <c r="E5511" s="6">
        <v>-2.0589158811429375E-2</v>
      </c>
    </row>
    <row r="5512" spans="2:5" x14ac:dyDescent="0.3">
      <c r="B5512" s="4">
        <v>41730</v>
      </c>
      <c r="C5512" s="7">
        <v>485.54</v>
      </c>
      <c r="D5512" s="6">
        <f t="shared" ref="D5512:D5575" si="89">((C5512-C5513)/C5513)</f>
        <v>-0.34775191090931068</v>
      </c>
      <c r="E5512" s="6">
        <v>-2.0614813619493244E-2</v>
      </c>
    </row>
    <row r="5513" spans="2:5" x14ac:dyDescent="0.3">
      <c r="B5513" s="4">
        <v>42081</v>
      </c>
      <c r="C5513" s="7">
        <v>744.41</v>
      </c>
      <c r="D5513" s="6">
        <f t="shared" si="89"/>
        <v>-0.55588368652157316</v>
      </c>
      <c r="E5513" s="6">
        <v>-2.0680673042769035E-2</v>
      </c>
    </row>
    <row r="5514" spans="2:5" x14ac:dyDescent="0.3">
      <c r="B5514" s="4">
        <v>43754</v>
      </c>
      <c r="C5514" s="5">
        <v>1676.16</v>
      </c>
      <c r="D5514" s="6">
        <f t="shared" si="89"/>
        <v>1.0634994890987211</v>
      </c>
      <c r="E5514" s="6">
        <v>-2.0740100253555029E-2</v>
      </c>
    </row>
    <row r="5515" spans="2:5" x14ac:dyDescent="0.3">
      <c r="B5515" s="4">
        <v>42227</v>
      </c>
      <c r="C5515" s="7">
        <v>812.29</v>
      </c>
      <c r="D5515" s="6">
        <f t="shared" si="89"/>
        <v>-0.72512359945991856</v>
      </c>
      <c r="E5515" s="6">
        <v>-2.0782852940821921E-2</v>
      </c>
    </row>
    <row r="5516" spans="2:5" x14ac:dyDescent="0.3">
      <c r="B5516" s="4">
        <v>45583</v>
      </c>
      <c r="C5516" s="5">
        <v>2955.11</v>
      </c>
      <c r="D5516" s="6">
        <f t="shared" si="89"/>
        <v>5.9669700113164845</v>
      </c>
      <c r="E5516" s="6">
        <v>-2.0844792281031886E-2</v>
      </c>
    </row>
    <row r="5517" spans="2:5" x14ac:dyDescent="0.3">
      <c r="B5517" s="4">
        <v>41544</v>
      </c>
      <c r="C5517" s="7">
        <v>424.16</v>
      </c>
      <c r="D5517" s="6">
        <f t="shared" si="89"/>
        <v>0.65403213227265644</v>
      </c>
      <c r="E5517" s="6">
        <v>-2.0845356541009656E-2</v>
      </c>
    </row>
    <row r="5518" spans="2:5" x14ac:dyDescent="0.3">
      <c r="B5518" s="4">
        <v>40870</v>
      </c>
      <c r="C5518" s="7">
        <v>256.44</v>
      </c>
      <c r="D5518" s="6">
        <f t="shared" si="89"/>
        <v>-0.69675397623130142</v>
      </c>
      <c r="E5518" s="6">
        <v>-2.0847651775486749E-2</v>
      </c>
    </row>
    <row r="5519" spans="2:5" x14ac:dyDescent="0.3">
      <c r="B5519" s="4">
        <v>42744</v>
      </c>
      <c r="C5519" s="7">
        <v>845.65</v>
      </c>
      <c r="D5519" s="6">
        <f t="shared" si="89"/>
        <v>-0.70729031096834927</v>
      </c>
      <c r="E5519" s="6">
        <v>-2.0864450542452537E-2</v>
      </c>
    </row>
    <row r="5520" spans="2:5" x14ac:dyDescent="0.3">
      <c r="B5520" s="4">
        <v>44697</v>
      </c>
      <c r="C5520" s="5">
        <v>2889.04</v>
      </c>
      <c r="D5520" s="6">
        <f t="shared" si="89"/>
        <v>35.399647221872243</v>
      </c>
      <c r="E5520" s="6">
        <v>-2.0919963263826058E-2</v>
      </c>
    </row>
    <row r="5521" spans="2:5" x14ac:dyDescent="0.3">
      <c r="B5521" s="4">
        <v>39365</v>
      </c>
      <c r="C5521" s="7">
        <v>79.37</v>
      </c>
      <c r="D5521" s="6">
        <f t="shared" si="89"/>
        <v>0.86840866290018859</v>
      </c>
      <c r="E5521" s="6">
        <v>-2.0969532502775241E-2</v>
      </c>
    </row>
    <row r="5522" spans="2:5" x14ac:dyDescent="0.3">
      <c r="B5522" s="4">
        <v>38686</v>
      </c>
      <c r="C5522" s="7">
        <v>42.48</v>
      </c>
      <c r="D5522" s="6">
        <f t="shared" si="89"/>
        <v>0.97857475547275263</v>
      </c>
      <c r="E5522" s="6">
        <v>-2.0972574325881625E-2</v>
      </c>
    </row>
    <row r="5523" spans="2:5" x14ac:dyDescent="0.3">
      <c r="B5523" s="4">
        <v>37921</v>
      </c>
      <c r="C5523" s="7">
        <v>21.47</v>
      </c>
      <c r="D5523" s="6">
        <f t="shared" si="89"/>
        <v>-0.98780217595091324</v>
      </c>
      <c r="E5523" s="6">
        <v>-2.0975832193342491E-2</v>
      </c>
    </row>
    <row r="5524" spans="2:5" x14ac:dyDescent="0.3">
      <c r="B5524" s="4">
        <v>43902</v>
      </c>
      <c r="C5524" s="5">
        <v>1760.15</v>
      </c>
      <c r="D5524" s="6">
        <f t="shared" si="89"/>
        <v>0.69105355187056883</v>
      </c>
      <c r="E5524" s="6">
        <v>-2.0980382341326015E-2</v>
      </c>
    </row>
    <row r="5525" spans="2:5" x14ac:dyDescent="0.3">
      <c r="B5525" s="4">
        <v>43137</v>
      </c>
      <c r="C5525" s="5">
        <v>1040.8599999999999</v>
      </c>
      <c r="D5525" s="6">
        <f t="shared" si="89"/>
        <v>2.8391118323989373</v>
      </c>
      <c r="E5525" s="6">
        <v>-2.1030454656609288E-2</v>
      </c>
    </row>
    <row r="5526" spans="2:5" x14ac:dyDescent="0.3">
      <c r="B5526" s="4">
        <v>40756</v>
      </c>
      <c r="C5526" s="7">
        <v>271.12</v>
      </c>
      <c r="D5526" s="6">
        <f t="shared" si="89"/>
        <v>-0.64694238983227415</v>
      </c>
      <c r="E5526" s="6">
        <v>-2.1086077411900547E-2</v>
      </c>
    </row>
    <row r="5527" spans="2:5" x14ac:dyDescent="0.3">
      <c r="B5527" s="4">
        <v>42213</v>
      </c>
      <c r="C5527" s="7">
        <v>767.92</v>
      </c>
      <c r="D5527" s="6">
        <f t="shared" si="89"/>
        <v>-0.66596634086292317</v>
      </c>
      <c r="E5527" s="6">
        <v>-2.1109524780746555E-2</v>
      </c>
    </row>
    <row r="5528" spans="2:5" x14ac:dyDescent="0.3">
      <c r="B5528" s="4">
        <v>44231</v>
      </c>
      <c r="C5528" s="5">
        <v>2298.9299999999998</v>
      </c>
      <c r="D5528" s="6">
        <f t="shared" si="89"/>
        <v>0.77444079099708241</v>
      </c>
      <c r="E5528" s="6">
        <v>-2.1132097966413507E-2</v>
      </c>
    </row>
    <row r="5529" spans="2:5" x14ac:dyDescent="0.3">
      <c r="B5529" s="4">
        <v>43490</v>
      </c>
      <c r="C5529" s="5">
        <v>1295.58</v>
      </c>
      <c r="D5529" s="6">
        <f t="shared" si="89"/>
        <v>-0.41954301075268818</v>
      </c>
      <c r="E5529" s="6">
        <v>-2.118432782822862E-2</v>
      </c>
    </row>
    <row r="5530" spans="2:5" x14ac:dyDescent="0.3">
      <c r="B5530" s="4">
        <v>46092</v>
      </c>
      <c r="C5530" s="5">
        <v>2232</v>
      </c>
      <c r="D5530" s="6">
        <f t="shared" si="89"/>
        <v>1.8029989074332218</v>
      </c>
      <c r="E5530" s="6">
        <v>-2.122434660585866E-2</v>
      </c>
    </row>
    <row r="5531" spans="2:5" x14ac:dyDescent="0.3">
      <c r="B5531" s="4">
        <v>42403</v>
      </c>
      <c r="C5531" s="7">
        <v>796.29</v>
      </c>
      <c r="D5531" s="6">
        <f t="shared" si="89"/>
        <v>35.145710394916023</v>
      </c>
      <c r="E5531" s="6">
        <v>-2.1311898528815348E-2</v>
      </c>
    </row>
    <row r="5532" spans="2:5" x14ac:dyDescent="0.3">
      <c r="B5532" s="4">
        <v>37915</v>
      </c>
      <c r="C5532" s="7">
        <v>22.03</v>
      </c>
      <c r="D5532" s="6">
        <f t="shared" si="89"/>
        <v>0.23141419787590836</v>
      </c>
      <c r="E5532" s="6">
        <v>-2.1323856063971587E-2</v>
      </c>
    </row>
    <row r="5533" spans="2:5" x14ac:dyDescent="0.3">
      <c r="B5533" s="4">
        <v>37762</v>
      </c>
      <c r="C5533" s="7">
        <v>17.89</v>
      </c>
      <c r="D5533" s="6">
        <f t="shared" si="89"/>
        <v>-0.80972133588598172</v>
      </c>
      <c r="E5533" s="6">
        <v>-2.1334792122538321E-2</v>
      </c>
    </row>
    <row r="5534" spans="2:5" x14ac:dyDescent="0.3">
      <c r="B5534" s="4">
        <v>39982</v>
      </c>
      <c r="C5534" s="7">
        <v>94.02</v>
      </c>
      <c r="D5534" s="6">
        <f t="shared" si="89"/>
        <v>0.9764557494219045</v>
      </c>
      <c r="E5534" s="6">
        <v>-2.133860726553552E-2</v>
      </c>
    </row>
    <row r="5535" spans="2:5" x14ac:dyDescent="0.3">
      <c r="B5535" s="4">
        <v>38901</v>
      </c>
      <c r="C5535" s="7">
        <v>47.57</v>
      </c>
      <c r="D5535" s="6">
        <f t="shared" si="89"/>
        <v>-0.18109829574797731</v>
      </c>
      <c r="E5535" s="6">
        <v>-2.1394774737708275E-2</v>
      </c>
    </row>
    <row r="5536" spans="2:5" x14ac:dyDescent="0.3">
      <c r="B5536" s="4">
        <v>39143</v>
      </c>
      <c r="C5536" s="7">
        <v>58.09</v>
      </c>
      <c r="D5536" s="6">
        <f t="shared" si="89"/>
        <v>-0.82929266214111497</v>
      </c>
      <c r="E5536" s="6">
        <v>-2.1394878706199393E-2</v>
      </c>
    </row>
    <row r="5537" spans="2:5" x14ac:dyDescent="0.3">
      <c r="B5537" s="4">
        <v>41085</v>
      </c>
      <c r="C5537" s="7">
        <v>340.29</v>
      </c>
      <c r="D5537" s="6">
        <f t="shared" si="89"/>
        <v>-0.56075743494423791</v>
      </c>
      <c r="E5537" s="6">
        <v>-2.1395910620308854E-2</v>
      </c>
    </row>
    <row r="5538" spans="2:5" x14ac:dyDescent="0.3">
      <c r="B5538" s="4">
        <v>42416</v>
      </c>
      <c r="C5538" s="7">
        <v>774.72</v>
      </c>
      <c r="D5538" s="6">
        <f t="shared" si="89"/>
        <v>-0.75926990469857458</v>
      </c>
      <c r="E5538" s="6">
        <v>-2.1422797089733128E-2</v>
      </c>
    </row>
    <row r="5539" spans="2:5" x14ac:dyDescent="0.3">
      <c r="B5539" s="4">
        <v>44820</v>
      </c>
      <c r="C5539" s="5">
        <v>3218.21</v>
      </c>
      <c r="D5539" s="6">
        <f t="shared" si="89"/>
        <v>196.0734843845683</v>
      </c>
      <c r="E5539" s="6">
        <v>-2.1454829617151686E-2</v>
      </c>
    </row>
    <row r="5540" spans="2:5" x14ac:dyDescent="0.3">
      <c r="B5540" s="4">
        <v>37636</v>
      </c>
      <c r="C5540" s="7">
        <v>16.329999999999998</v>
      </c>
      <c r="D5540" s="6">
        <f t="shared" si="89"/>
        <v>-0.99418219387936868</v>
      </c>
      <c r="E5540" s="6">
        <v>-2.1569802276812641E-2</v>
      </c>
    </row>
    <row r="5541" spans="2:5" x14ac:dyDescent="0.3">
      <c r="B5541" s="4">
        <v>44494</v>
      </c>
      <c r="C5541" s="5">
        <v>2806.9</v>
      </c>
      <c r="D5541" s="6">
        <f t="shared" si="89"/>
        <v>1.433186834143847</v>
      </c>
      <c r="E5541" s="6">
        <v>-2.1576965978806501E-2</v>
      </c>
    </row>
    <row r="5542" spans="2:5" x14ac:dyDescent="0.3">
      <c r="B5542" s="4">
        <v>43377</v>
      </c>
      <c r="C5542" s="5">
        <v>1153.5899999999999</v>
      </c>
      <c r="D5542" s="6">
        <f t="shared" si="89"/>
        <v>1.585944855413584</v>
      </c>
      <c r="E5542" s="6">
        <v>-2.1610252147879278E-2</v>
      </c>
    </row>
    <row r="5543" spans="2:5" x14ac:dyDescent="0.3">
      <c r="B5543" s="4">
        <v>41478</v>
      </c>
      <c r="C5543" s="7">
        <v>446.1</v>
      </c>
      <c r="D5543" s="6">
        <f t="shared" si="89"/>
        <v>-0.81414435996250389</v>
      </c>
      <c r="E5543" s="6">
        <v>-2.1646160931640249E-2</v>
      </c>
    </row>
    <row r="5544" spans="2:5" x14ac:dyDescent="0.3">
      <c r="B5544" s="4">
        <v>45925</v>
      </c>
      <c r="C5544" s="5">
        <v>2400.25</v>
      </c>
      <c r="D5544" s="6">
        <f t="shared" si="89"/>
        <v>7.7574795680093409</v>
      </c>
      <c r="E5544" s="6">
        <v>-2.1651850312019751E-2</v>
      </c>
    </row>
    <row r="5545" spans="2:5" x14ac:dyDescent="0.3">
      <c r="B5545" s="4">
        <v>40975</v>
      </c>
      <c r="C5545" s="7">
        <v>274.08</v>
      </c>
      <c r="D5545" s="6">
        <f t="shared" si="89"/>
        <v>15.918518518518519</v>
      </c>
      <c r="E5545" s="6">
        <v>-2.1736802655530685E-2</v>
      </c>
    </row>
    <row r="5546" spans="2:5" x14ac:dyDescent="0.3">
      <c r="B5546" s="4">
        <v>37456</v>
      </c>
      <c r="C5546" s="7">
        <v>16.2</v>
      </c>
      <c r="D5546" s="6">
        <f t="shared" si="89"/>
        <v>-0.82497839239412274</v>
      </c>
      <c r="E5546" s="6">
        <v>-2.1739130434782577E-2</v>
      </c>
    </row>
    <row r="5547" spans="2:5" x14ac:dyDescent="0.3">
      <c r="B5547" s="4">
        <v>39462</v>
      </c>
      <c r="C5547" s="7">
        <v>92.56</v>
      </c>
      <c r="D5547" s="6">
        <f t="shared" si="89"/>
        <v>-0.49431818181818177</v>
      </c>
      <c r="E5547" s="6">
        <v>-2.177129570915242E-2</v>
      </c>
    </row>
    <row r="5548" spans="2:5" x14ac:dyDescent="0.3">
      <c r="B5548" s="4">
        <v>40317</v>
      </c>
      <c r="C5548" s="7">
        <v>183.04</v>
      </c>
      <c r="D5548" s="6">
        <f t="shared" si="89"/>
        <v>0.12480796411233333</v>
      </c>
      <c r="E5548" s="6">
        <v>-2.1804189824711481E-2</v>
      </c>
    </row>
    <row r="5549" spans="2:5" x14ac:dyDescent="0.3">
      <c r="B5549" s="4">
        <v>40211</v>
      </c>
      <c r="C5549" s="7">
        <v>162.72999999999999</v>
      </c>
      <c r="D5549" s="6">
        <f t="shared" si="89"/>
        <v>-0.89831726413266932</v>
      </c>
      <c r="E5549" s="6">
        <v>-2.1820149074296847E-2</v>
      </c>
    </row>
    <row r="5550" spans="2:5" x14ac:dyDescent="0.3">
      <c r="B5550" s="4">
        <v>43791</v>
      </c>
      <c r="C5550" s="5">
        <v>1600.37</v>
      </c>
      <c r="D5550" s="6">
        <f t="shared" si="89"/>
        <v>16.486560314685313</v>
      </c>
      <c r="E5550" s="6">
        <v>-2.1856453949258444E-2</v>
      </c>
    </row>
    <row r="5551" spans="2:5" x14ac:dyDescent="0.3">
      <c r="B5551" s="4">
        <v>39498</v>
      </c>
      <c r="C5551" s="7">
        <v>91.52</v>
      </c>
      <c r="D5551" s="6">
        <f t="shared" si="89"/>
        <v>-0.91541511474228043</v>
      </c>
      <c r="E5551" s="6">
        <v>-2.1908731431014187E-2</v>
      </c>
    </row>
    <row r="5552" spans="2:5" x14ac:dyDescent="0.3">
      <c r="B5552" s="4">
        <v>42642</v>
      </c>
      <c r="C5552" s="5">
        <v>1081.99</v>
      </c>
      <c r="D5552" s="6">
        <f t="shared" si="89"/>
        <v>-8.2336078434698479E-2</v>
      </c>
      <c r="E5552" s="6">
        <v>-2.1912260560642913E-2</v>
      </c>
    </row>
    <row r="5553" spans="2:5" x14ac:dyDescent="0.3">
      <c r="B5553" s="4">
        <v>43376</v>
      </c>
      <c r="C5553" s="5">
        <v>1179.07</v>
      </c>
      <c r="D5553" s="6">
        <f t="shared" si="89"/>
        <v>-0.29213044678986116</v>
      </c>
      <c r="E5553" s="6">
        <v>-2.1916399140598487E-2</v>
      </c>
    </row>
    <row r="5554" spans="2:5" x14ac:dyDescent="0.3">
      <c r="B5554" s="4">
        <v>43833</v>
      </c>
      <c r="C5554" s="5">
        <v>1665.66</v>
      </c>
      <c r="D5554" s="6">
        <f t="shared" si="89"/>
        <v>0.69241711458153399</v>
      </c>
      <c r="E5554" s="6">
        <v>-2.1920269643391874E-2</v>
      </c>
    </row>
    <row r="5555" spans="2:5" x14ac:dyDescent="0.3">
      <c r="B5555" s="4">
        <v>42835</v>
      </c>
      <c r="C5555" s="7">
        <v>984.19</v>
      </c>
      <c r="D5555" s="6">
        <f t="shared" si="89"/>
        <v>0.25003492817497108</v>
      </c>
      <c r="E5555" s="6">
        <v>-2.1922981366459572E-2</v>
      </c>
    </row>
    <row r="5556" spans="2:5" x14ac:dyDescent="0.3">
      <c r="B5556" s="4">
        <v>42298</v>
      </c>
      <c r="C5556" s="7">
        <v>787.33</v>
      </c>
      <c r="D5556" s="6">
        <f t="shared" si="89"/>
        <v>0.81579797047970481</v>
      </c>
      <c r="E5556" s="6">
        <v>-2.1926010584113861E-2</v>
      </c>
    </row>
    <row r="5557" spans="2:5" x14ac:dyDescent="0.3">
      <c r="B5557" s="4">
        <v>41660</v>
      </c>
      <c r="C5557" s="7">
        <v>433.6</v>
      </c>
      <c r="D5557" s="6">
        <f t="shared" si="89"/>
        <v>-0.81253458771444387</v>
      </c>
      <c r="E5557" s="6">
        <v>-2.1947533440100968E-2</v>
      </c>
    </row>
    <row r="5558" spans="2:5" x14ac:dyDescent="0.3">
      <c r="B5558" s="4">
        <v>44246</v>
      </c>
      <c r="C5558" s="5">
        <v>2312.96</v>
      </c>
      <c r="D5558" s="6">
        <f t="shared" si="89"/>
        <v>1.1897016917702525</v>
      </c>
      <c r="E5558" s="6">
        <v>-2.197528045227546E-2</v>
      </c>
    </row>
    <row r="5559" spans="2:5" x14ac:dyDescent="0.3">
      <c r="B5559" s="4">
        <v>43130</v>
      </c>
      <c r="C5559" s="5">
        <v>1056.29</v>
      </c>
      <c r="D5559" s="6">
        <f t="shared" si="89"/>
        <v>1.8002704064049202</v>
      </c>
      <c r="E5559" s="6">
        <v>-2.1998981528632926E-2</v>
      </c>
    </row>
    <row r="5560" spans="2:5" x14ac:dyDescent="0.3">
      <c r="B5560" s="4">
        <v>41506</v>
      </c>
      <c r="C5560" s="7">
        <v>377.21</v>
      </c>
      <c r="D5560" s="6">
        <f t="shared" si="89"/>
        <v>-0.63642409638554209</v>
      </c>
      <c r="E5560" s="6">
        <v>-2.2011926367643271E-2</v>
      </c>
    </row>
    <row r="5561" spans="2:5" x14ac:dyDescent="0.3">
      <c r="B5561" s="4">
        <v>42914</v>
      </c>
      <c r="C5561" s="5">
        <v>1037.5</v>
      </c>
      <c r="D5561" s="6">
        <f t="shared" si="89"/>
        <v>-0.65364713737272573</v>
      </c>
      <c r="E5561" s="6">
        <v>-2.2047526133718007E-2</v>
      </c>
    </row>
    <row r="5562" spans="2:5" x14ac:dyDescent="0.3">
      <c r="B5562" s="4">
        <v>44533</v>
      </c>
      <c r="C5562" s="5">
        <v>2995.5</v>
      </c>
      <c r="D5562" s="6">
        <f t="shared" si="89"/>
        <v>18.340779958677686</v>
      </c>
      <c r="E5562" s="6">
        <v>-2.2056374997551451E-2</v>
      </c>
    </row>
    <row r="5563" spans="2:5" x14ac:dyDescent="0.3">
      <c r="B5563" s="4">
        <v>40232</v>
      </c>
      <c r="C5563" s="7">
        <v>154.88</v>
      </c>
      <c r="D5563" s="6">
        <f t="shared" si="89"/>
        <v>-0.73738915170320629</v>
      </c>
      <c r="E5563" s="6">
        <v>-2.2098749842151787E-2</v>
      </c>
    </row>
    <row r="5564" spans="2:5" x14ac:dyDescent="0.3">
      <c r="B5564" s="4">
        <v>41898</v>
      </c>
      <c r="C5564" s="7">
        <v>589.77</v>
      </c>
      <c r="D5564" s="6">
        <f t="shared" si="89"/>
        <v>6.296424594828653</v>
      </c>
      <c r="E5564" s="6">
        <v>-2.2134898527656224E-2</v>
      </c>
    </row>
    <row r="5565" spans="2:5" x14ac:dyDescent="0.3">
      <c r="B5565" s="4">
        <v>39356</v>
      </c>
      <c r="C5565" s="7">
        <v>80.83</v>
      </c>
      <c r="D5565" s="6">
        <f t="shared" si="89"/>
        <v>-0.85654704859262421</v>
      </c>
      <c r="E5565" s="6">
        <v>-2.2138882167916749E-2</v>
      </c>
    </row>
    <row r="5566" spans="2:5" x14ac:dyDescent="0.3">
      <c r="B5566" s="4">
        <v>41859</v>
      </c>
      <c r="C5566" s="7">
        <v>563.46</v>
      </c>
      <c r="D5566" s="6">
        <f t="shared" si="89"/>
        <v>21.386174016686532</v>
      </c>
      <c r="E5566" s="6">
        <v>-2.2144319877824427E-2</v>
      </c>
    </row>
    <row r="5567" spans="2:5" x14ac:dyDescent="0.3">
      <c r="B5567" s="4">
        <v>38007</v>
      </c>
      <c r="C5567" s="7">
        <v>25.17</v>
      </c>
      <c r="D5567" s="6">
        <f t="shared" si="89"/>
        <v>-0.37341299477221807</v>
      </c>
      <c r="E5567" s="6">
        <v>-2.2144522144522019E-2</v>
      </c>
    </row>
    <row r="5568" spans="2:5" x14ac:dyDescent="0.3">
      <c r="B5568" s="4">
        <v>38643</v>
      </c>
      <c r="C5568" s="7">
        <v>40.17</v>
      </c>
      <c r="D5568" s="6">
        <f t="shared" si="89"/>
        <v>-0.94962377727614755</v>
      </c>
      <c r="E5568" s="6">
        <v>-2.2151898734177132E-2</v>
      </c>
    </row>
    <row r="5569" spans="2:5" x14ac:dyDescent="0.3">
      <c r="B5569" s="4">
        <v>42445</v>
      </c>
      <c r="C5569" s="7">
        <v>797.4</v>
      </c>
      <c r="D5569" s="6">
        <f t="shared" si="89"/>
        <v>14.261244019138756</v>
      </c>
      <c r="E5569" s="6">
        <v>-2.2266908627200904E-2</v>
      </c>
    </row>
    <row r="5570" spans="2:5" x14ac:dyDescent="0.3">
      <c r="B5570" s="4">
        <v>38807</v>
      </c>
      <c r="C5570" s="7">
        <v>52.25</v>
      </c>
      <c r="D5570" s="6">
        <f t="shared" si="89"/>
        <v>-0.88540912779349523</v>
      </c>
      <c r="E5570" s="6">
        <v>-2.2267964071856244E-2</v>
      </c>
    </row>
    <row r="5571" spans="2:5" x14ac:dyDescent="0.3">
      <c r="B5571" s="4">
        <v>41477</v>
      </c>
      <c r="C5571" s="7">
        <v>455.97</v>
      </c>
      <c r="D5571" s="6">
        <f t="shared" si="89"/>
        <v>-0.85012129140836079</v>
      </c>
      <c r="E5571" s="6">
        <v>-2.2278926151470937E-2</v>
      </c>
    </row>
    <row r="5572" spans="2:5" x14ac:dyDescent="0.3">
      <c r="B5572" s="4">
        <v>44854</v>
      </c>
      <c r="C5572" s="5">
        <v>3042.26</v>
      </c>
      <c r="D5572" s="6">
        <f t="shared" si="89"/>
        <v>0.26644742319540438</v>
      </c>
      <c r="E5572" s="6">
        <v>-2.2362903096228834E-2</v>
      </c>
    </row>
    <row r="5573" spans="2:5" x14ac:dyDescent="0.3">
      <c r="B5573" s="4">
        <v>45617</v>
      </c>
      <c r="C5573" s="5">
        <v>2402.1999999999998</v>
      </c>
      <c r="D5573" s="6">
        <f t="shared" si="89"/>
        <v>3.0251340482573728</v>
      </c>
      <c r="E5573" s="6">
        <v>-2.2367285809633902E-2</v>
      </c>
    </row>
    <row r="5574" spans="2:5" x14ac:dyDescent="0.3">
      <c r="B5574" s="4">
        <v>41904</v>
      </c>
      <c r="C5574" s="7">
        <v>596.79999999999995</v>
      </c>
      <c r="D5574" s="6">
        <f t="shared" si="89"/>
        <v>-0.45303907911137181</v>
      </c>
      <c r="E5574" s="6">
        <v>-2.2376568489336043E-2</v>
      </c>
    </row>
    <row r="5575" spans="2:5" x14ac:dyDescent="0.3">
      <c r="B5575" s="4">
        <v>42620</v>
      </c>
      <c r="C5575" s="5">
        <v>1091.1199999999999</v>
      </c>
      <c r="D5575" s="6">
        <f t="shared" si="89"/>
        <v>-0.14844067055848661</v>
      </c>
      <c r="E5575" s="6">
        <v>-2.2381507033419963E-2</v>
      </c>
    </row>
    <row r="5576" spans="2:5" x14ac:dyDescent="0.3">
      <c r="B5576" s="4">
        <v>43458</v>
      </c>
      <c r="C5576" s="5">
        <v>1281.32</v>
      </c>
      <c r="D5576" s="6">
        <f t="shared" ref="D5576:D5639" si="90">((C5576-C5577)/C5577)</f>
        <v>2.0902732556737331</v>
      </c>
      <c r="E5576" s="6">
        <v>-2.2437878128981622E-2</v>
      </c>
    </row>
    <row r="5577" spans="2:5" x14ac:dyDescent="0.3">
      <c r="B5577" s="4">
        <v>41547</v>
      </c>
      <c r="C5577" s="7">
        <v>414.63</v>
      </c>
      <c r="D5577" s="6">
        <f t="shared" si="90"/>
        <v>1.9999999999999996</v>
      </c>
      <c r="E5577" s="6">
        <v>-2.2467936627687733E-2</v>
      </c>
    </row>
    <row r="5578" spans="2:5" x14ac:dyDescent="0.3">
      <c r="B5578" s="4">
        <v>40115</v>
      </c>
      <c r="C5578" s="7">
        <v>138.21</v>
      </c>
      <c r="D5578" s="6">
        <f t="shared" si="90"/>
        <v>-0.68565060158755431</v>
      </c>
      <c r="E5578" s="6">
        <v>-2.2490982389136282E-2</v>
      </c>
    </row>
    <row r="5579" spans="2:5" x14ac:dyDescent="0.3">
      <c r="B5579" s="4">
        <v>41627</v>
      </c>
      <c r="C5579" s="7">
        <v>439.67</v>
      </c>
      <c r="D5579" s="6">
        <f t="shared" si="90"/>
        <v>-0.57928328788096251</v>
      </c>
      <c r="E5579" s="6">
        <v>-2.2521120497999099E-2</v>
      </c>
    </row>
    <row r="5580" spans="2:5" x14ac:dyDescent="0.3">
      <c r="B5580" s="4">
        <v>42667</v>
      </c>
      <c r="C5580" s="5">
        <v>1045.05</v>
      </c>
      <c r="D5580" s="6">
        <f t="shared" si="90"/>
        <v>15.987158647594278</v>
      </c>
      <c r="E5580" s="6">
        <v>-2.2541271103212957E-2</v>
      </c>
    </row>
    <row r="5581" spans="2:5" x14ac:dyDescent="0.3">
      <c r="B5581" s="4">
        <v>39881</v>
      </c>
      <c r="C5581" s="7">
        <v>61.52</v>
      </c>
      <c r="D5581" s="6">
        <f t="shared" si="90"/>
        <v>2.6510385756676556</v>
      </c>
      <c r="E5581" s="6">
        <v>-2.2561169367651648E-2</v>
      </c>
    </row>
    <row r="5582" spans="2:5" x14ac:dyDescent="0.3">
      <c r="B5582" s="4">
        <v>37508</v>
      </c>
      <c r="C5582" s="7">
        <v>16.850000000000001</v>
      </c>
      <c r="D5582" s="6">
        <f t="shared" si="90"/>
        <v>-0.99038274944921978</v>
      </c>
      <c r="E5582" s="6">
        <v>-2.2621809744779411E-2</v>
      </c>
    </row>
    <row r="5583" spans="2:5" x14ac:dyDescent="0.3">
      <c r="B5583" s="4">
        <v>43881</v>
      </c>
      <c r="C5583" s="5">
        <v>1752.06</v>
      </c>
      <c r="D5583" s="6">
        <f t="shared" si="90"/>
        <v>-0.42124474364860981</v>
      </c>
      <c r="E5583" s="6">
        <v>-2.2631552523387517E-2</v>
      </c>
    </row>
    <row r="5584" spans="2:5" x14ac:dyDescent="0.3">
      <c r="B5584" s="4">
        <v>44606</v>
      </c>
      <c r="C5584" s="5">
        <v>3027.29</v>
      </c>
      <c r="D5584" s="6">
        <f t="shared" si="90"/>
        <v>6.6803582301603406</v>
      </c>
      <c r="E5584" s="6">
        <v>-2.2647734903662408E-2</v>
      </c>
    </row>
    <row r="5585" spans="2:5" x14ac:dyDescent="0.3">
      <c r="B5585" s="4">
        <v>41331</v>
      </c>
      <c r="C5585" s="7">
        <v>394.16</v>
      </c>
      <c r="D5585" s="6">
        <f t="shared" si="90"/>
        <v>23.092909535452325</v>
      </c>
      <c r="E5585" s="6">
        <v>-2.266303000247951E-2</v>
      </c>
    </row>
    <row r="5586" spans="2:5" x14ac:dyDescent="0.3">
      <c r="B5586" s="4">
        <v>37466</v>
      </c>
      <c r="C5586" s="7">
        <v>16.36</v>
      </c>
      <c r="D5586" s="6">
        <f t="shared" si="90"/>
        <v>-0.98720505541086956</v>
      </c>
      <c r="E5586" s="6">
        <v>-2.2700119474312965E-2</v>
      </c>
    </row>
    <row r="5587" spans="2:5" x14ac:dyDescent="0.3">
      <c r="B5587" s="4">
        <v>43594</v>
      </c>
      <c r="C5587" s="5">
        <v>1278.6300000000001</v>
      </c>
      <c r="D5587" s="6">
        <f t="shared" si="90"/>
        <v>2.0980567939523165</v>
      </c>
      <c r="E5587" s="6">
        <v>-2.2730573155911388E-2</v>
      </c>
    </row>
    <row r="5588" spans="2:5" x14ac:dyDescent="0.3">
      <c r="B5588" s="4">
        <v>41458</v>
      </c>
      <c r="C5588" s="7">
        <v>412.72</v>
      </c>
      <c r="D5588" s="6">
        <f t="shared" si="90"/>
        <v>1.3531558241632935</v>
      </c>
      <c r="E5588" s="6">
        <v>-2.2731577950369307E-2</v>
      </c>
    </row>
    <row r="5589" spans="2:5" x14ac:dyDescent="0.3">
      <c r="B5589" s="4">
        <v>40319</v>
      </c>
      <c r="C5589" s="7">
        <v>175.39</v>
      </c>
      <c r="D5589" s="6">
        <f t="shared" si="90"/>
        <v>1.1621055226824455</v>
      </c>
      <c r="E5589" s="6">
        <v>-2.2733604502145274E-2</v>
      </c>
    </row>
    <row r="5590" spans="2:5" x14ac:dyDescent="0.3">
      <c r="B5590" s="4">
        <v>39745</v>
      </c>
      <c r="C5590" s="7">
        <v>81.12</v>
      </c>
      <c r="D5590" s="6">
        <f t="shared" si="90"/>
        <v>-0.88971367974549309</v>
      </c>
      <c r="E5590" s="6">
        <v>-2.2768341163715219E-2</v>
      </c>
    </row>
    <row r="5591" spans="2:5" x14ac:dyDescent="0.3">
      <c r="B5591" s="4">
        <v>42318</v>
      </c>
      <c r="C5591" s="7">
        <v>735.54</v>
      </c>
      <c r="D5591" s="6">
        <f t="shared" si="90"/>
        <v>-7.4151929007489556E-2</v>
      </c>
      <c r="E5591" s="6">
        <v>-2.2784944665134504E-2</v>
      </c>
    </row>
    <row r="5592" spans="2:5" x14ac:dyDescent="0.3">
      <c r="B5592" s="4">
        <v>42425</v>
      </c>
      <c r="C5592" s="7">
        <v>794.45</v>
      </c>
      <c r="D5592" s="6">
        <f t="shared" si="90"/>
        <v>-0.70934507977507122</v>
      </c>
      <c r="E5592" s="6">
        <v>-2.279268862702646E-2</v>
      </c>
    </row>
    <row r="5593" spans="2:5" x14ac:dyDescent="0.3">
      <c r="B5593" s="4">
        <v>45350</v>
      </c>
      <c r="C5593" s="5">
        <v>2733.31</v>
      </c>
      <c r="D5593" s="6">
        <f t="shared" si="90"/>
        <v>2.4531109847767039</v>
      </c>
      <c r="E5593" s="6">
        <v>-2.280226950151772E-2</v>
      </c>
    </row>
    <row r="5594" spans="2:5" x14ac:dyDescent="0.3">
      <c r="B5594" s="4">
        <v>42396</v>
      </c>
      <c r="C5594" s="7">
        <v>791.55</v>
      </c>
      <c r="D5594" s="6">
        <f t="shared" si="90"/>
        <v>-0.65089355020817163</v>
      </c>
      <c r="E5594" s="6">
        <v>-2.2813969852968432E-2</v>
      </c>
    </row>
    <row r="5595" spans="2:5" x14ac:dyDescent="0.3">
      <c r="B5595" s="4">
        <v>45645</v>
      </c>
      <c r="C5595" s="5">
        <v>2267.36</v>
      </c>
      <c r="D5595" s="6">
        <f t="shared" si="90"/>
        <v>27.599394550958625</v>
      </c>
      <c r="E5595" s="6">
        <v>-2.2853916798469116E-2</v>
      </c>
    </row>
    <row r="5596" spans="2:5" x14ac:dyDescent="0.3">
      <c r="B5596" s="4">
        <v>39372</v>
      </c>
      <c r="C5596" s="7">
        <v>79.28</v>
      </c>
      <c r="D5596" s="6">
        <f t="shared" si="90"/>
        <v>-0.71702894671092554</v>
      </c>
      <c r="E5596" s="6">
        <v>-2.2923342371210246E-2</v>
      </c>
    </row>
    <row r="5597" spans="2:5" x14ac:dyDescent="0.3">
      <c r="B5597" s="4">
        <v>40974</v>
      </c>
      <c r="C5597" s="7">
        <v>280.17</v>
      </c>
      <c r="D5597" s="6">
        <f t="shared" si="90"/>
        <v>1.6521204089360093</v>
      </c>
      <c r="E5597" s="6">
        <v>-2.2946817785527408E-2</v>
      </c>
    </row>
    <row r="5598" spans="2:5" x14ac:dyDescent="0.3">
      <c r="B5598" s="4">
        <v>39674</v>
      </c>
      <c r="C5598" s="7">
        <v>105.64</v>
      </c>
      <c r="D5598" s="6">
        <f t="shared" si="90"/>
        <v>-0.54777397260273974</v>
      </c>
      <c r="E5598" s="6">
        <v>-2.3118180136859626E-2</v>
      </c>
    </row>
    <row r="5599" spans="2:5" x14ac:dyDescent="0.3">
      <c r="B5599" s="4">
        <v>40560</v>
      </c>
      <c r="C5599" s="7">
        <v>233.6</v>
      </c>
      <c r="D5599" s="6">
        <f t="shared" si="90"/>
        <v>-0.92016459217640345</v>
      </c>
      <c r="E5599" s="6">
        <v>-2.3125496591811991E-2</v>
      </c>
    </row>
    <row r="5600" spans="2:5" x14ac:dyDescent="0.3">
      <c r="B5600" s="4">
        <v>44536</v>
      </c>
      <c r="C5600" s="5">
        <v>2926.02</v>
      </c>
      <c r="D5600" s="6">
        <f t="shared" si="90"/>
        <v>-4.6224856005710857E-2</v>
      </c>
      <c r="E5600" s="6">
        <v>-2.319479218828243E-2</v>
      </c>
    </row>
    <row r="5601" spans="2:5" x14ac:dyDescent="0.3">
      <c r="B5601" s="4">
        <v>44523</v>
      </c>
      <c r="C5601" s="5">
        <v>3067.83</v>
      </c>
      <c r="D5601" s="6">
        <f t="shared" si="90"/>
        <v>191.21992481203006</v>
      </c>
      <c r="E5601" s="6">
        <v>-2.3211164283462791E-2</v>
      </c>
    </row>
    <row r="5602" spans="2:5" x14ac:dyDescent="0.3">
      <c r="B5602" s="4">
        <v>37487</v>
      </c>
      <c r="C5602" s="7">
        <v>15.96</v>
      </c>
      <c r="D5602" s="6">
        <f t="shared" si="90"/>
        <v>-0.97967060262142225</v>
      </c>
      <c r="E5602" s="6">
        <v>-2.3255813953488313E-2</v>
      </c>
    </row>
    <row r="5603" spans="2:5" x14ac:dyDescent="0.3">
      <c r="B5603" s="4">
        <v>42286</v>
      </c>
      <c r="C5603" s="7">
        <v>785.07</v>
      </c>
      <c r="D5603" s="6">
        <f t="shared" si="90"/>
        <v>3.3746238716148445</v>
      </c>
      <c r="E5603" s="6">
        <v>-2.3289665211062485E-2</v>
      </c>
    </row>
    <row r="5604" spans="2:5" x14ac:dyDescent="0.3">
      <c r="B5604" s="4">
        <v>40309</v>
      </c>
      <c r="C5604" s="7">
        <v>179.46</v>
      </c>
      <c r="D5604" s="6">
        <f t="shared" si="90"/>
        <v>6.3010577705451585</v>
      </c>
      <c r="E5604" s="6">
        <v>-2.3293784695765762E-2</v>
      </c>
    </row>
    <row r="5605" spans="2:5" x14ac:dyDescent="0.3">
      <c r="B5605" s="4">
        <v>38008</v>
      </c>
      <c r="C5605" s="7">
        <v>24.58</v>
      </c>
      <c r="D5605" s="6">
        <f t="shared" si="90"/>
        <v>-0.92725443191571222</v>
      </c>
      <c r="E5605" s="6">
        <v>-2.3440603893524172E-2</v>
      </c>
    </row>
    <row r="5606" spans="2:5" x14ac:dyDescent="0.3">
      <c r="B5606" s="4">
        <v>41095</v>
      </c>
      <c r="C5606" s="7">
        <v>337.89</v>
      </c>
      <c r="D5606" s="6">
        <f t="shared" si="90"/>
        <v>0.53446866485013622</v>
      </c>
      <c r="E5606" s="6">
        <v>-2.3580407455570076E-2</v>
      </c>
    </row>
    <row r="5607" spans="2:5" x14ac:dyDescent="0.3">
      <c r="B5607" s="4">
        <v>40596</v>
      </c>
      <c r="C5607" s="7">
        <v>220.2</v>
      </c>
      <c r="D5607" s="6">
        <f t="shared" si="90"/>
        <v>-0.92944704683665169</v>
      </c>
      <c r="E5607" s="6">
        <v>-2.3589925505498498E-2</v>
      </c>
    </row>
    <row r="5608" spans="2:5" x14ac:dyDescent="0.3">
      <c r="B5608" s="4">
        <v>44469</v>
      </c>
      <c r="C5608" s="5">
        <v>3121.06</v>
      </c>
      <c r="D5608" s="6">
        <f t="shared" si="90"/>
        <v>5.8779144078628409</v>
      </c>
      <c r="E5608" s="6">
        <v>-2.3591649538397E-2</v>
      </c>
    </row>
    <row r="5609" spans="2:5" x14ac:dyDescent="0.3">
      <c r="B5609" s="4">
        <v>41575</v>
      </c>
      <c r="C5609" s="7">
        <v>453.78</v>
      </c>
      <c r="D5609" s="6">
        <f t="shared" si="90"/>
        <v>-0.2083667701754999</v>
      </c>
      <c r="E5609" s="6">
        <v>-2.3646104524818749E-2</v>
      </c>
    </row>
    <row r="5610" spans="2:5" x14ac:dyDescent="0.3">
      <c r="B5610" s="4">
        <v>41851</v>
      </c>
      <c r="C5610" s="7">
        <v>573.22</v>
      </c>
      <c r="D5610" s="6">
        <f t="shared" si="90"/>
        <v>5.0851380042462848</v>
      </c>
      <c r="E5610" s="6">
        <v>-2.3674887586864656E-2</v>
      </c>
    </row>
    <row r="5611" spans="2:5" x14ac:dyDescent="0.3">
      <c r="B5611" s="4">
        <v>39986</v>
      </c>
      <c r="C5611" s="7">
        <v>94.2</v>
      </c>
      <c r="D5611" s="6">
        <f t="shared" si="90"/>
        <v>-0.88059625817573384</v>
      </c>
      <c r="E5611" s="6">
        <v>-2.3733029329464111E-2</v>
      </c>
    </row>
    <row r="5612" spans="2:5" x14ac:dyDescent="0.3">
      <c r="B5612" s="4">
        <v>42411</v>
      </c>
      <c r="C5612" s="7">
        <v>788.92</v>
      </c>
      <c r="D5612" s="6">
        <f t="shared" si="90"/>
        <v>-0.7338506173672491</v>
      </c>
      <c r="E5612" s="6">
        <v>-2.3783007894671748E-2</v>
      </c>
    </row>
    <row r="5613" spans="2:5" x14ac:dyDescent="0.3">
      <c r="B5613" s="4">
        <v>44911</v>
      </c>
      <c r="C5613" s="5">
        <v>2964.2</v>
      </c>
      <c r="D5613" s="6">
        <f t="shared" si="90"/>
        <v>3.285693631171835</v>
      </c>
      <c r="E5613" s="6">
        <v>-2.3861742835878906E-2</v>
      </c>
    </row>
    <row r="5614" spans="2:5" x14ac:dyDescent="0.3">
      <c r="B5614" s="4">
        <v>42010</v>
      </c>
      <c r="C5614" s="7">
        <v>691.65</v>
      </c>
      <c r="D5614" s="6">
        <f t="shared" si="90"/>
        <v>-0.15258702017912504</v>
      </c>
      <c r="E5614" s="6">
        <v>-2.3879080401371877E-2</v>
      </c>
    </row>
    <row r="5615" spans="2:5" x14ac:dyDescent="0.3">
      <c r="B5615" s="4">
        <v>42723</v>
      </c>
      <c r="C5615" s="7">
        <v>816.19</v>
      </c>
      <c r="D5615" s="6">
        <f t="shared" si="90"/>
        <v>-0.51413791461294855</v>
      </c>
      <c r="E5615" s="6">
        <v>-2.3894662568616318E-2</v>
      </c>
    </row>
    <row r="5616" spans="2:5" x14ac:dyDescent="0.3">
      <c r="B5616" s="4">
        <v>43770</v>
      </c>
      <c r="C5616" s="5">
        <v>1679.88</v>
      </c>
      <c r="D5616" s="6">
        <f t="shared" si="90"/>
        <v>23.795276752767528</v>
      </c>
      <c r="E5616" s="6">
        <v>-2.3898757125176428E-2</v>
      </c>
    </row>
    <row r="5617" spans="2:5" x14ac:dyDescent="0.3">
      <c r="B5617" s="4">
        <v>39262</v>
      </c>
      <c r="C5617" s="7">
        <v>67.75</v>
      </c>
      <c r="D5617" s="6">
        <f t="shared" si="90"/>
        <v>-0.97563992391745979</v>
      </c>
      <c r="E5617" s="6">
        <v>-2.3915862267684725E-2</v>
      </c>
    </row>
    <row r="5618" spans="2:5" x14ac:dyDescent="0.3">
      <c r="B5618" s="4">
        <v>45420</v>
      </c>
      <c r="C5618" s="5">
        <v>2781.19</v>
      </c>
      <c r="D5618" s="6">
        <f t="shared" si="90"/>
        <v>27.689808128739426</v>
      </c>
      <c r="E5618" s="6">
        <v>-2.392809638621865E-2</v>
      </c>
    </row>
    <row r="5619" spans="2:5" x14ac:dyDescent="0.3">
      <c r="B5619" s="4">
        <v>39489</v>
      </c>
      <c r="C5619" s="7">
        <v>96.94</v>
      </c>
      <c r="D5619" s="6">
        <f t="shared" si="90"/>
        <v>-0.87460223009856919</v>
      </c>
      <c r="E5619" s="6">
        <v>-2.3962948046717635E-2</v>
      </c>
    </row>
    <row r="5620" spans="2:5" x14ac:dyDescent="0.3">
      <c r="B5620" s="4">
        <v>42338</v>
      </c>
      <c r="C5620" s="7">
        <v>773.06</v>
      </c>
      <c r="D5620" s="6">
        <f t="shared" si="90"/>
        <v>44.234640140432994</v>
      </c>
      <c r="E5620" s="6">
        <v>-2.3975759106117052E-2</v>
      </c>
    </row>
    <row r="5621" spans="2:5" x14ac:dyDescent="0.3">
      <c r="B5621" s="4">
        <v>37452</v>
      </c>
      <c r="C5621" s="7">
        <v>17.09</v>
      </c>
      <c r="D5621" s="6">
        <f t="shared" si="90"/>
        <v>-0.99370146646371793</v>
      </c>
      <c r="E5621" s="6">
        <v>-2.3986293546544926E-2</v>
      </c>
    </row>
    <row r="5622" spans="2:5" x14ac:dyDescent="0.3">
      <c r="B5622" s="4">
        <v>44718</v>
      </c>
      <c r="C5622" s="5">
        <v>2713.33</v>
      </c>
      <c r="D5622" s="6">
        <f t="shared" si="90"/>
        <v>1.8155338798381238</v>
      </c>
      <c r="E5622" s="6">
        <v>-2.4059247109940896E-2</v>
      </c>
    </row>
    <row r="5623" spans="2:5" x14ac:dyDescent="0.3">
      <c r="B5623" s="4">
        <v>42677</v>
      </c>
      <c r="C5623" s="7">
        <v>963.7</v>
      </c>
      <c r="D5623" s="6">
        <f t="shared" si="90"/>
        <v>0.24438303806621556</v>
      </c>
      <c r="E5623" s="6">
        <v>-2.4091383203880507E-2</v>
      </c>
    </row>
    <row r="5624" spans="2:5" x14ac:dyDescent="0.3">
      <c r="B5624" s="4">
        <v>42347</v>
      </c>
      <c r="C5624" s="7">
        <v>774.44</v>
      </c>
      <c r="D5624" s="6">
        <f t="shared" si="90"/>
        <v>8.9850438370293979</v>
      </c>
      <c r="E5624" s="6">
        <v>-2.410625401665889E-2</v>
      </c>
    </row>
    <row r="5625" spans="2:5" x14ac:dyDescent="0.3">
      <c r="B5625" s="4">
        <v>39374</v>
      </c>
      <c r="C5625" s="7">
        <v>77.56</v>
      </c>
      <c r="D5625" s="6">
        <f t="shared" si="90"/>
        <v>-0.96898344397344638</v>
      </c>
      <c r="E5625" s="6">
        <v>-2.4157020634121812E-2</v>
      </c>
    </row>
    <row r="5626" spans="2:5" x14ac:dyDescent="0.3">
      <c r="B5626" s="4">
        <v>45891</v>
      </c>
      <c r="C5626" s="5">
        <v>2500.6</v>
      </c>
      <c r="D5626" s="6">
        <f t="shared" si="90"/>
        <v>-0.19198381770358736</v>
      </c>
      <c r="E5626" s="6">
        <v>-2.4194177788183877E-2</v>
      </c>
    </row>
    <row r="5627" spans="2:5" x14ac:dyDescent="0.3">
      <c r="B5627" s="4">
        <v>45309</v>
      </c>
      <c r="C5627" s="5">
        <v>3094.74</v>
      </c>
      <c r="D5627" s="6">
        <f t="shared" si="90"/>
        <v>138.59133964817318</v>
      </c>
      <c r="E5627" s="6">
        <v>-2.4196904915055505E-2</v>
      </c>
    </row>
    <row r="5628" spans="2:5" x14ac:dyDescent="0.3">
      <c r="B5628" s="4">
        <v>38148</v>
      </c>
      <c r="C5628" s="7">
        <v>22.17</v>
      </c>
      <c r="D5628" s="6">
        <f t="shared" si="90"/>
        <v>-0.98334547803811678</v>
      </c>
      <c r="E5628" s="6">
        <v>-2.4207746478873117E-2</v>
      </c>
    </row>
    <row r="5629" spans="2:5" x14ac:dyDescent="0.3">
      <c r="B5629" s="4">
        <v>43565</v>
      </c>
      <c r="C5629" s="5">
        <v>1331.17</v>
      </c>
      <c r="D5629" s="6">
        <f t="shared" si="90"/>
        <v>5.4720439517697397</v>
      </c>
      <c r="E5629" s="6">
        <v>-2.4226297811203439E-2</v>
      </c>
    </row>
    <row r="5630" spans="2:5" x14ac:dyDescent="0.3">
      <c r="B5630" s="4">
        <v>40351</v>
      </c>
      <c r="C5630" s="7">
        <v>205.68</v>
      </c>
      <c r="D5630" s="6">
        <f t="shared" si="90"/>
        <v>-0.73290392956393002</v>
      </c>
      <c r="E5630" s="6">
        <v>-2.424213672375343E-2</v>
      </c>
    </row>
    <row r="5631" spans="2:5" x14ac:dyDescent="0.3">
      <c r="B5631" s="4">
        <v>42418</v>
      </c>
      <c r="C5631" s="7">
        <v>770.06</v>
      </c>
      <c r="D5631" s="6">
        <f t="shared" si="90"/>
        <v>-0.62655247498823985</v>
      </c>
      <c r="E5631" s="6">
        <v>-2.4252407501267233E-2</v>
      </c>
    </row>
    <row r="5632" spans="2:5" x14ac:dyDescent="0.3">
      <c r="B5632" s="4">
        <v>44160</v>
      </c>
      <c r="C5632" s="5">
        <v>2062.0300000000002</v>
      </c>
      <c r="D5632" s="6">
        <f t="shared" si="90"/>
        <v>-0.32046452922586138</v>
      </c>
      <c r="E5632" s="6">
        <v>-2.4279103220494546E-2</v>
      </c>
    </row>
    <row r="5633" spans="2:5" x14ac:dyDescent="0.3">
      <c r="B5633" s="4">
        <v>45569</v>
      </c>
      <c r="C5633" s="5">
        <v>3034.47</v>
      </c>
      <c r="D5633" s="6">
        <f t="shared" si="90"/>
        <v>1.0273184615076263</v>
      </c>
      <c r="E5633" s="6">
        <v>-2.4386558296252591E-2</v>
      </c>
    </row>
    <row r="5634" spans="2:5" x14ac:dyDescent="0.3">
      <c r="B5634" s="4">
        <v>43711</v>
      </c>
      <c r="C5634" s="5">
        <v>1496.79</v>
      </c>
      <c r="D5634" s="6">
        <f t="shared" si="90"/>
        <v>-0.50279695192033003</v>
      </c>
      <c r="E5634" s="6">
        <v>-2.4409479612055508E-2</v>
      </c>
    </row>
    <row r="5635" spans="2:5" x14ac:dyDescent="0.3">
      <c r="B5635" s="4">
        <v>44872</v>
      </c>
      <c r="C5635" s="5">
        <v>3010.42</v>
      </c>
      <c r="D5635" s="6">
        <f t="shared" si="90"/>
        <v>1.8846216498500401</v>
      </c>
      <c r="E5635" s="6">
        <v>-2.4456477709834053E-2</v>
      </c>
    </row>
    <row r="5636" spans="2:5" x14ac:dyDescent="0.3">
      <c r="B5636" s="4">
        <v>42874</v>
      </c>
      <c r="C5636" s="5">
        <v>1043.6099999999999</v>
      </c>
      <c r="D5636" s="6">
        <f t="shared" si="90"/>
        <v>4.013258394581352</v>
      </c>
      <c r="E5636" s="6">
        <v>-2.4490330058608581E-2</v>
      </c>
    </row>
    <row r="5637" spans="2:5" x14ac:dyDescent="0.3">
      <c r="B5637" s="4">
        <v>40354</v>
      </c>
      <c r="C5637" s="7">
        <v>208.17</v>
      </c>
      <c r="D5637" s="6">
        <f t="shared" si="90"/>
        <v>0.56967274920826405</v>
      </c>
      <c r="E5637" s="6">
        <v>-2.4599381501265113E-2</v>
      </c>
    </row>
    <row r="5638" spans="2:5" x14ac:dyDescent="0.3">
      <c r="B5638" s="4">
        <v>40107</v>
      </c>
      <c r="C5638" s="7">
        <v>132.62</v>
      </c>
      <c r="D5638" s="6">
        <f t="shared" si="90"/>
        <v>-0.96015658563990713</v>
      </c>
      <c r="E5638" s="6">
        <v>-2.4637787747297156E-2</v>
      </c>
    </row>
    <row r="5639" spans="2:5" x14ac:dyDescent="0.3">
      <c r="B5639" s="4">
        <v>44574</v>
      </c>
      <c r="C5639" s="5">
        <v>3328.53</v>
      </c>
      <c r="D5639" s="6">
        <f t="shared" si="90"/>
        <v>141.97809278350516</v>
      </c>
      <c r="E5639" s="6">
        <v>-2.4703765778647677E-2</v>
      </c>
    </row>
    <row r="5640" spans="2:5" x14ac:dyDescent="0.3">
      <c r="B5640" s="4">
        <v>38271</v>
      </c>
      <c r="C5640" s="7">
        <v>23.28</v>
      </c>
      <c r="D5640" s="6">
        <f t="shared" ref="D5640:D5703" si="91">((C5640-C5641)/C5641)</f>
        <v>-0.53864447086801426</v>
      </c>
      <c r="E5640" s="6">
        <v>-2.4717218265605356E-2</v>
      </c>
    </row>
    <row r="5641" spans="2:5" x14ac:dyDescent="0.3">
      <c r="B5641" s="4">
        <v>38852</v>
      </c>
      <c r="C5641" s="7">
        <v>50.46</v>
      </c>
      <c r="D5641" s="6">
        <f t="shared" si="91"/>
        <v>-0.97060399869506453</v>
      </c>
      <c r="E5641" s="6">
        <v>-2.4739080015461944E-2</v>
      </c>
    </row>
    <row r="5642" spans="2:5" x14ac:dyDescent="0.3">
      <c r="B5642" s="4">
        <v>43903</v>
      </c>
      <c r="C5642" s="5">
        <v>1716.56</v>
      </c>
      <c r="D5642" s="6">
        <f t="shared" si="91"/>
        <v>92.088937093275476</v>
      </c>
      <c r="E5642" s="6">
        <v>-2.4764934806692694E-2</v>
      </c>
    </row>
    <row r="5643" spans="2:5" x14ac:dyDescent="0.3">
      <c r="B5643" s="4">
        <v>37768</v>
      </c>
      <c r="C5643" s="7">
        <v>18.440000000000001</v>
      </c>
      <c r="D5643" s="6">
        <f t="shared" si="91"/>
        <v>-0.98921593281596321</v>
      </c>
      <c r="E5643" s="6">
        <v>-2.4854574299312471E-2</v>
      </c>
    </row>
    <row r="5644" spans="2:5" x14ac:dyDescent="0.3">
      <c r="B5644" s="4">
        <v>43889</v>
      </c>
      <c r="C5644" s="5">
        <v>1709.93</v>
      </c>
      <c r="D5644" s="6">
        <f t="shared" si="91"/>
        <v>15.810165159260716</v>
      </c>
      <c r="E5644" s="6">
        <v>-2.4869692165562177E-2</v>
      </c>
    </row>
    <row r="5645" spans="2:5" x14ac:dyDescent="0.3">
      <c r="B5645" s="4">
        <v>39692</v>
      </c>
      <c r="C5645" s="7">
        <v>101.72</v>
      </c>
      <c r="D5645" s="6">
        <f t="shared" si="91"/>
        <v>0.16919540229885055</v>
      </c>
      <c r="E5645" s="6">
        <v>-2.4923312883435529E-2</v>
      </c>
    </row>
    <row r="5646" spans="2:5" x14ac:dyDescent="0.3">
      <c r="B5646" s="4">
        <v>39637</v>
      </c>
      <c r="C5646" s="7">
        <v>87</v>
      </c>
      <c r="D5646" s="6">
        <f t="shared" si="91"/>
        <v>-0.96163615197375385</v>
      </c>
      <c r="E5646" s="6">
        <v>-2.4991594755127244E-2</v>
      </c>
    </row>
    <row r="5647" spans="2:5" x14ac:dyDescent="0.3">
      <c r="B5647" s="4">
        <v>45691</v>
      </c>
      <c r="C5647" s="5">
        <v>2267.7600000000002</v>
      </c>
      <c r="D5647" s="6">
        <f t="shared" si="91"/>
        <v>97.85614646904969</v>
      </c>
      <c r="E5647" s="6">
        <v>-2.5051267610477927E-2</v>
      </c>
    </row>
    <row r="5648" spans="2:5" x14ac:dyDescent="0.3">
      <c r="B5648" s="4">
        <v>38278</v>
      </c>
      <c r="C5648" s="7">
        <v>22.94</v>
      </c>
      <c r="D5648" s="6">
        <f t="shared" si="91"/>
        <v>-0.99184761363232521</v>
      </c>
      <c r="E5648" s="6">
        <v>-2.5074373140671475E-2</v>
      </c>
    </row>
    <row r="5649" spans="2:5" x14ac:dyDescent="0.3">
      <c r="B5649" s="4">
        <v>46036</v>
      </c>
      <c r="C5649" s="5">
        <v>2813.9</v>
      </c>
      <c r="D5649" s="6">
        <f t="shared" si="91"/>
        <v>124.00666370501997</v>
      </c>
      <c r="E5649" s="6">
        <v>-2.5084017600388069E-2</v>
      </c>
    </row>
    <row r="5650" spans="2:5" x14ac:dyDescent="0.3">
      <c r="B5650" s="4">
        <v>37914</v>
      </c>
      <c r="C5650" s="7">
        <v>22.51</v>
      </c>
      <c r="D5650" s="6">
        <f t="shared" si="91"/>
        <v>-0.77326752618855754</v>
      </c>
      <c r="E5650" s="6">
        <v>-2.5119099177132884E-2</v>
      </c>
    </row>
    <row r="5651" spans="2:5" x14ac:dyDescent="0.3">
      <c r="B5651" s="4">
        <v>39709</v>
      </c>
      <c r="C5651" s="7">
        <v>99.28</v>
      </c>
      <c r="D5651" s="6">
        <f t="shared" si="91"/>
        <v>-0.91713477284678113</v>
      </c>
      <c r="E5651" s="6">
        <v>-2.5137470542026731E-2</v>
      </c>
    </row>
    <row r="5652" spans="2:5" x14ac:dyDescent="0.3">
      <c r="B5652" s="4">
        <v>43367</v>
      </c>
      <c r="C5652" s="5">
        <v>1198.0899999999999</v>
      </c>
      <c r="D5652" s="6">
        <f t="shared" si="91"/>
        <v>12.886068613815484</v>
      </c>
      <c r="E5652" s="6">
        <v>-2.5142596766450573E-2</v>
      </c>
    </row>
    <row r="5653" spans="2:5" x14ac:dyDescent="0.3">
      <c r="B5653" s="4">
        <v>39394</v>
      </c>
      <c r="C5653" s="7">
        <v>86.28</v>
      </c>
      <c r="D5653" s="6">
        <f t="shared" si="91"/>
        <v>-0.94685817760750934</v>
      </c>
      <c r="E5653" s="6">
        <v>-2.5194893232403162E-2</v>
      </c>
    </row>
    <row r="5654" spans="2:5" x14ac:dyDescent="0.3">
      <c r="B5654" s="4">
        <v>43836</v>
      </c>
      <c r="C5654" s="5">
        <v>1623.58</v>
      </c>
      <c r="D5654" s="6">
        <f t="shared" si="91"/>
        <v>3.9711573790569501</v>
      </c>
      <c r="E5654" s="6">
        <v>-2.5263259008441188E-2</v>
      </c>
    </row>
    <row r="5655" spans="2:5" x14ac:dyDescent="0.3">
      <c r="B5655" s="4">
        <v>41064</v>
      </c>
      <c r="C5655" s="7">
        <v>326.60000000000002</v>
      </c>
      <c r="D5655" s="6">
        <f t="shared" si="91"/>
        <v>-0.85712223354783956</v>
      </c>
      <c r="E5655" s="6">
        <v>-2.5307389280171785E-2</v>
      </c>
    </row>
    <row r="5656" spans="2:5" x14ac:dyDescent="0.3">
      <c r="B5656" s="4">
        <v>44244</v>
      </c>
      <c r="C5656" s="5">
        <v>2285.87</v>
      </c>
      <c r="D5656" s="6">
        <f t="shared" si="91"/>
        <v>29.510811532301119</v>
      </c>
      <c r="E5656" s="6">
        <v>-2.5344197568764919E-2</v>
      </c>
    </row>
    <row r="5657" spans="2:5" x14ac:dyDescent="0.3">
      <c r="B5657" s="4">
        <v>39804</v>
      </c>
      <c r="C5657" s="7">
        <v>74.92</v>
      </c>
      <c r="D5657" s="6">
        <f t="shared" si="91"/>
        <v>-0.8800397092259904</v>
      </c>
      <c r="E5657" s="6">
        <v>-2.5367503577468489E-2</v>
      </c>
    </row>
    <row r="5658" spans="2:5" x14ac:dyDescent="0.3">
      <c r="B5658" s="4">
        <v>41962</v>
      </c>
      <c r="C5658" s="7">
        <v>624.54</v>
      </c>
      <c r="D5658" s="6">
        <f t="shared" si="91"/>
        <v>8.5320512820512828</v>
      </c>
      <c r="E5658" s="6">
        <v>-2.5404949907930598E-2</v>
      </c>
    </row>
    <row r="5659" spans="2:5" x14ac:dyDescent="0.3">
      <c r="B5659" s="4">
        <v>39210</v>
      </c>
      <c r="C5659" s="7">
        <v>65.52</v>
      </c>
      <c r="D5659" s="6">
        <f t="shared" si="91"/>
        <v>-0.97198982536391421</v>
      </c>
      <c r="E5659" s="6">
        <v>-2.5435073627844831E-2</v>
      </c>
    </row>
    <row r="5660" spans="2:5" x14ac:dyDescent="0.3">
      <c r="B5660" s="4">
        <v>45926</v>
      </c>
      <c r="C5660" s="5">
        <v>2339.15</v>
      </c>
      <c r="D5660" s="6">
        <f t="shared" si="91"/>
        <v>22.706800445930881</v>
      </c>
      <c r="E5660" s="6">
        <v>-2.5455681699822898E-2</v>
      </c>
    </row>
    <row r="5661" spans="2:5" x14ac:dyDescent="0.3">
      <c r="B5661" s="4">
        <v>39457</v>
      </c>
      <c r="C5661" s="7">
        <v>98.67</v>
      </c>
      <c r="D5661" s="6">
        <f t="shared" si="91"/>
        <v>-0.86719875099261101</v>
      </c>
      <c r="E5661" s="6">
        <v>-2.5481481481481466E-2</v>
      </c>
    </row>
    <row r="5662" spans="2:5" x14ac:dyDescent="0.3">
      <c r="B5662" s="4">
        <v>42072</v>
      </c>
      <c r="C5662" s="7">
        <v>742.99</v>
      </c>
      <c r="D5662" s="6">
        <f t="shared" si="91"/>
        <v>-0.65745043798985703</v>
      </c>
      <c r="E5662" s="6">
        <v>-2.5484641011515898E-2</v>
      </c>
    </row>
    <row r="5663" spans="2:5" x14ac:dyDescent="0.3">
      <c r="B5663" s="4">
        <v>46114</v>
      </c>
      <c r="C5663" s="5">
        <v>2169</v>
      </c>
      <c r="D5663" s="6">
        <f t="shared" si="91"/>
        <v>21.683539008575611</v>
      </c>
      <c r="E5663" s="6">
        <v>-2.5518914547578479E-2</v>
      </c>
    </row>
    <row r="5664" spans="2:5" x14ac:dyDescent="0.3">
      <c r="B5664" s="4">
        <v>39512</v>
      </c>
      <c r="C5664" s="7">
        <v>95.62</v>
      </c>
      <c r="D5664" s="6">
        <f t="shared" si="91"/>
        <v>-0.62254766510085657</v>
      </c>
      <c r="E5664" s="6">
        <v>-2.5677603423680417E-2</v>
      </c>
    </row>
    <row r="5665" spans="2:5" x14ac:dyDescent="0.3">
      <c r="B5665" s="4">
        <v>40536</v>
      </c>
      <c r="C5665" s="7">
        <v>253.33</v>
      </c>
      <c r="D5665" s="6">
        <f t="shared" si="91"/>
        <v>-0.88592849423631126</v>
      </c>
      <c r="E5665" s="6">
        <v>-2.5691319564632047E-2</v>
      </c>
    </row>
    <row r="5666" spans="2:5" x14ac:dyDescent="0.3">
      <c r="B5666" s="4">
        <v>46090</v>
      </c>
      <c r="C5666" s="5">
        <v>2220.8000000000002</v>
      </c>
      <c r="D5666" s="6">
        <f t="shared" si="91"/>
        <v>3.6950381598697706</v>
      </c>
      <c r="E5666" s="6">
        <v>-2.5751261241500248E-2</v>
      </c>
    </row>
    <row r="5667" spans="2:5" x14ac:dyDescent="0.3">
      <c r="B5667" s="4">
        <v>41731</v>
      </c>
      <c r="C5667" s="7">
        <v>473.01</v>
      </c>
      <c r="D5667" s="6">
        <f t="shared" si="91"/>
        <v>-0.82706376568915274</v>
      </c>
      <c r="E5667" s="6">
        <v>-2.5806318737900128E-2</v>
      </c>
    </row>
    <row r="5668" spans="2:5" x14ac:dyDescent="0.3">
      <c r="B5668" s="4">
        <v>45604</v>
      </c>
      <c r="C5668" s="5">
        <v>2735.17</v>
      </c>
      <c r="D5668" s="6">
        <f t="shared" si="91"/>
        <v>33.193899237404679</v>
      </c>
      <c r="E5668" s="6">
        <v>-2.5818653255736016E-2</v>
      </c>
    </row>
    <row r="5669" spans="2:5" x14ac:dyDescent="0.3">
      <c r="B5669" s="4">
        <v>39352</v>
      </c>
      <c r="C5669" s="7">
        <v>79.989999999999995</v>
      </c>
      <c r="D5669" s="6">
        <f t="shared" si="91"/>
        <v>-0.96973824089101768</v>
      </c>
      <c r="E5669" s="6">
        <v>-2.5819023261478561E-2</v>
      </c>
    </row>
    <row r="5670" spans="2:5" x14ac:dyDescent="0.3">
      <c r="B5670" s="4">
        <v>44719</v>
      </c>
      <c r="C5670" s="5">
        <v>2643.27</v>
      </c>
      <c r="D5670" s="6">
        <f t="shared" si="91"/>
        <v>1.5007048183082468</v>
      </c>
      <c r="E5670" s="6">
        <v>-2.5820670541364284E-2</v>
      </c>
    </row>
    <row r="5671" spans="2:5" x14ac:dyDescent="0.3">
      <c r="B5671" s="4">
        <v>43006</v>
      </c>
      <c r="C5671" s="5">
        <v>1057.01</v>
      </c>
      <c r="D5671" s="6">
        <f t="shared" si="91"/>
        <v>1.2898334091549142</v>
      </c>
      <c r="E5671" s="6">
        <v>-2.5860082759637578E-2</v>
      </c>
    </row>
    <row r="5672" spans="2:5" x14ac:dyDescent="0.3">
      <c r="B5672" s="4">
        <v>41787</v>
      </c>
      <c r="C5672" s="7">
        <v>461.61</v>
      </c>
      <c r="D5672" s="6">
        <f t="shared" si="91"/>
        <v>-0.62250680797821445</v>
      </c>
      <c r="E5672" s="6">
        <v>-2.5872074619621394E-2</v>
      </c>
    </row>
    <row r="5673" spans="2:5" x14ac:dyDescent="0.3">
      <c r="B5673" s="4">
        <v>43440</v>
      </c>
      <c r="C5673" s="5">
        <v>1222.83</v>
      </c>
      <c r="D5673" s="6">
        <f t="shared" si="91"/>
        <v>-8.8915711124522331E-2</v>
      </c>
      <c r="E5673" s="6">
        <v>-2.5874086878938284E-2</v>
      </c>
    </row>
    <row r="5674" spans="2:5" x14ac:dyDescent="0.3">
      <c r="B5674" s="4">
        <v>43620</v>
      </c>
      <c r="C5674" s="5">
        <v>1342.17</v>
      </c>
      <c r="D5674" s="6">
        <f t="shared" si="91"/>
        <v>4.5119917864476387</v>
      </c>
      <c r="E5674" s="6">
        <v>-2.5874207080750652E-2</v>
      </c>
    </row>
    <row r="5675" spans="2:5" x14ac:dyDescent="0.3">
      <c r="B5675" s="4">
        <v>40550</v>
      </c>
      <c r="C5675" s="7">
        <v>243.5</v>
      </c>
      <c r="D5675" s="6">
        <f t="shared" si="91"/>
        <v>0.59015215829687195</v>
      </c>
      <c r="E5675" s="6">
        <v>-2.5883105972716723E-2</v>
      </c>
    </row>
    <row r="5676" spans="2:5" x14ac:dyDescent="0.3">
      <c r="B5676" s="4">
        <v>40200</v>
      </c>
      <c r="C5676" s="7">
        <v>153.13</v>
      </c>
      <c r="D5676" s="6">
        <f t="shared" si="91"/>
        <v>1.295457952330985</v>
      </c>
      <c r="E5676" s="6">
        <v>-2.5952547547865992E-2</v>
      </c>
    </row>
    <row r="5677" spans="2:5" x14ac:dyDescent="0.3">
      <c r="B5677" s="4">
        <v>39841</v>
      </c>
      <c r="C5677" s="7">
        <v>66.709999999999994</v>
      </c>
      <c r="D5677" s="6">
        <f t="shared" si="91"/>
        <v>-0.25078616352201272</v>
      </c>
      <c r="E5677" s="6">
        <v>-2.5989195502993157E-2</v>
      </c>
    </row>
    <row r="5678" spans="2:5" x14ac:dyDescent="0.3">
      <c r="B5678" s="4">
        <v>39388</v>
      </c>
      <c r="C5678" s="7">
        <v>89.04</v>
      </c>
      <c r="D5678" s="6">
        <f t="shared" si="91"/>
        <v>-0.93874897674194635</v>
      </c>
      <c r="E5678" s="6">
        <v>-2.6140216559116268E-2</v>
      </c>
    </row>
    <row r="5679" spans="2:5" x14ac:dyDescent="0.3">
      <c r="B5679" s="4">
        <v>43965</v>
      </c>
      <c r="C5679" s="5">
        <v>1453.69</v>
      </c>
      <c r="D5679" s="6">
        <f t="shared" si="91"/>
        <v>9.2156711173576955</v>
      </c>
      <c r="E5679" s="6">
        <v>-2.6159947479132303E-2</v>
      </c>
    </row>
    <row r="5680" spans="2:5" x14ac:dyDescent="0.3">
      <c r="B5680" s="4">
        <v>40144</v>
      </c>
      <c r="C5680" s="7">
        <v>142.30000000000001</v>
      </c>
      <c r="D5680" s="6">
        <f t="shared" si="91"/>
        <v>-0.79543722956169216</v>
      </c>
      <c r="E5680" s="6">
        <v>-2.6276173532229202E-2</v>
      </c>
    </row>
    <row r="5681" spans="2:5" x14ac:dyDescent="0.3">
      <c r="B5681" s="4">
        <v>42130</v>
      </c>
      <c r="C5681" s="7">
        <v>695.63</v>
      </c>
      <c r="D5681" s="6">
        <f t="shared" si="91"/>
        <v>1.8926729873586161</v>
      </c>
      <c r="E5681" s="6">
        <v>-2.6301055401584453E-2</v>
      </c>
    </row>
    <row r="5682" spans="2:5" x14ac:dyDescent="0.3">
      <c r="B5682" s="4">
        <v>40893</v>
      </c>
      <c r="C5682" s="7">
        <v>240.48</v>
      </c>
      <c r="D5682" s="6">
        <f t="shared" si="91"/>
        <v>-0.8165297200796503</v>
      </c>
      <c r="E5682" s="6">
        <v>-2.6357342402526494E-2</v>
      </c>
    </row>
    <row r="5683" spans="2:5" x14ac:dyDescent="0.3">
      <c r="B5683" s="4">
        <v>43455</v>
      </c>
      <c r="C5683" s="5">
        <v>1310.73</v>
      </c>
      <c r="D5683" s="6">
        <f t="shared" si="91"/>
        <v>-0.1005764084265422</v>
      </c>
      <c r="E5683" s="6">
        <v>-2.6369936786433224E-2</v>
      </c>
    </row>
    <row r="5684" spans="2:5" x14ac:dyDescent="0.3">
      <c r="B5684" s="4">
        <v>43712</v>
      </c>
      <c r="C5684" s="5">
        <v>1457.3</v>
      </c>
      <c r="D5684" s="6">
        <f t="shared" si="91"/>
        <v>-0.55022576672726209</v>
      </c>
      <c r="E5684" s="6">
        <v>-2.6383126557499723E-2</v>
      </c>
    </row>
    <row r="5685" spans="2:5" x14ac:dyDescent="0.3">
      <c r="B5685" s="4">
        <v>44575</v>
      </c>
      <c r="C5685" s="5">
        <v>3240.07</v>
      </c>
      <c r="D5685" s="6">
        <f t="shared" si="91"/>
        <v>3.2236257218463624</v>
      </c>
      <c r="E5685" s="6">
        <v>-2.6576296443174625E-2</v>
      </c>
    </row>
    <row r="5686" spans="2:5" x14ac:dyDescent="0.3">
      <c r="B5686" s="4">
        <v>42109</v>
      </c>
      <c r="C5686" s="7">
        <v>767.13</v>
      </c>
      <c r="D5686" s="6">
        <f t="shared" si="91"/>
        <v>1.8038377192982453</v>
      </c>
      <c r="E5686" s="6">
        <v>-2.6670050117363425E-2</v>
      </c>
    </row>
    <row r="5687" spans="2:5" x14ac:dyDescent="0.3">
      <c r="B5687" s="4">
        <v>40703</v>
      </c>
      <c r="C5687" s="7">
        <v>273.60000000000002</v>
      </c>
      <c r="D5687" s="6">
        <f t="shared" si="91"/>
        <v>-0.63950669336987453</v>
      </c>
      <c r="E5687" s="6">
        <v>-2.6680896478121663E-2</v>
      </c>
    </row>
    <row r="5688" spans="2:5" x14ac:dyDescent="0.3">
      <c r="B5688" s="4">
        <v>42202</v>
      </c>
      <c r="C5688" s="7">
        <v>758.96</v>
      </c>
      <c r="D5688" s="6">
        <f t="shared" si="91"/>
        <v>-3.2210349136721828E-2</v>
      </c>
      <c r="E5688" s="6">
        <v>-2.6712319983585232E-2</v>
      </c>
    </row>
    <row r="5689" spans="2:5" x14ac:dyDescent="0.3">
      <c r="B5689" s="4">
        <v>42034</v>
      </c>
      <c r="C5689" s="7">
        <v>784.22</v>
      </c>
      <c r="D5689" s="6">
        <f t="shared" si="91"/>
        <v>12.211253369272237</v>
      </c>
      <c r="E5689" s="6">
        <v>-2.672044678870614E-2</v>
      </c>
    </row>
    <row r="5690" spans="2:5" x14ac:dyDescent="0.3">
      <c r="B5690" s="4">
        <v>39142</v>
      </c>
      <c r="C5690" s="7">
        <v>59.36</v>
      </c>
      <c r="D5690" s="6">
        <f t="shared" si="91"/>
        <v>0.49559082892416234</v>
      </c>
      <c r="E5690" s="6">
        <v>-2.6725692736514223E-2</v>
      </c>
    </row>
    <row r="5691" spans="2:5" x14ac:dyDescent="0.3">
      <c r="B5691" s="4">
        <v>38624</v>
      </c>
      <c r="C5691" s="7">
        <v>39.69</v>
      </c>
      <c r="D5691" s="6">
        <f t="shared" si="91"/>
        <v>-0.19247202441505598</v>
      </c>
      <c r="E5691" s="6">
        <v>-2.6728788621873549E-2</v>
      </c>
    </row>
    <row r="5692" spans="2:5" x14ac:dyDescent="0.3">
      <c r="B5692" s="4">
        <v>38855</v>
      </c>
      <c r="C5692" s="7">
        <v>49.15</v>
      </c>
      <c r="D5692" s="6">
        <f t="shared" si="91"/>
        <v>0.37829500841278751</v>
      </c>
      <c r="E5692" s="6">
        <v>-2.673267326732676E-2</v>
      </c>
    </row>
    <row r="5693" spans="2:5" x14ac:dyDescent="0.3">
      <c r="B5693" s="4">
        <v>38558</v>
      </c>
      <c r="C5693" s="7">
        <v>35.659999999999997</v>
      </c>
      <c r="D5693" s="6">
        <f t="shared" si="91"/>
        <v>-0.40872160504062355</v>
      </c>
      <c r="E5693" s="6">
        <v>-2.6746724890829802E-2</v>
      </c>
    </row>
    <row r="5694" spans="2:5" x14ac:dyDescent="0.3">
      <c r="B5694" s="4">
        <v>39090</v>
      </c>
      <c r="C5694" s="7">
        <v>60.31</v>
      </c>
      <c r="D5694" s="6">
        <f t="shared" si="91"/>
        <v>-0.97532536075050835</v>
      </c>
      <c r="E5694" s="6">
        <v>-2.6787155075036255E-2</v>
      </c>
    </row>
    <row r="5695" spans="2:5" x14ac:dyDescent="0.3">
      <c r="B5695" s="4">
        <v>45608</v>
      </c>
      <c r="C5695" s="5">
        <v>2444.21</v>
      </c>
      <c r="D5695" s="6">
        <f t="shared" si="91"/>
        <v>-0.12083520673344965</v>
      </c>
      <c r="E5695" s="6">
        <v>-2.6839251160605451E-2</v>
      </c>
    </row>
    <row r="5696" spans="2:5" x14ac:dyDescent="0.3">
      <c r="B5696" s="4">
        <v>44945</v>
      </c>
      <c r="C5696" s="5">
        <v>2780.15</v>
      </c>
      <c r="D5696" s="6">
        <f t="shared" si="91"/>
        <v>11.06557590486937</v>
      </c>
      <c r="E5696" s="6">
        <v>-2.6854564610920274E-2</v>
      </c>
    </row>
    <row r="5697" spans="2:5" x14ac:dyDescent="0.3">
      <c r="B5697" s="4">
        <v>40905</v>
      </c>
      <c r="C5697" s="7">
        <v>230.42</v>
      </c>
      <c r="D5697" s="6">
        <f t="shared" si="91"/>
        <v>8.925025999810908E-2</v>
      </c>
      <c r="E5697" s="6">
        <v>-2.6860376721006898E-2</v>
      </c>
    </row>
    <row r="5698" spans="2:5" x14ac:dyDescent="0.3">
      <c r="B5698" s="4">
        <v>40598</v>
      </c>
      <c r="C5698" s="7">
        <v>211.54</v>
      </c>
      <c r="D5698" s="6">
        <f t="shared" si="91"/>
        <v>-0.6272094457661469</v>
      </c>
      <c r="E5698" s="6">
        <v>-2.6910161460968741E-2</v>
      </c>
    </row>
    <row r="5699" spans="2:5" x14ac:dyDescent="0.3">
      <c r="B5699" s="4">
        <v>41907</v>
      </c>
      <c r="C5699" s="7">
        <v>567.45000000000005</v>
      </c>
      <c r="D5699" s="6">
        <f t="shared" si="91"/>
        <v>-0.21625093229468792</v>
      </c>
      <c r="E5699" s="6">
        <v>-2.6956119141931023E-2</v>
      </c>
    </row>
    <row r="5700" spans="2:5" x14ac:dyDescent="0.3">
      <c r="B5700" s="4">
        <v>42061</v>
      </c>
      <c r="C5700" s="7">
        <v>724.02</v>
      </c>
      <c r="D5700" s="6">
        <f t="shared" si="91"/>
        <v>8.3845755022683086</v>
      </c>
      <c r="E5700" s="6">
        <v>-2.6972543643914108E-2</v>
      </c>
    </row>
    <row r="5701" spans="2:5" x14ac:dyDescent="0.3">
      <c r="B5701" s="4">
        <v>39835</v>
      </c>
      <c r="C5701" s="7">
        <v>77.150000000000006</v>
      </c>
      <c r="D5701" s="6">
        <f t="shared" si="91"/>
        <v>-0.67404622079513288</v>
      </c>
      <c r="E5701" s="6">
        <v>-2.698953209736411E-2</v>
      </c>
    </row>
    <row r="5702" spans="2:5" x14ac:dyDescent="0.3">
      <c r="B5702" s="4">
        <v>40667</v>
      </c>
      <c r="C5702" s="7">
        <v>236.69</v>
      </c>
      <c r="D5702" s="6">
        <f t="shared" si="91"/>
        <v>-0.67913836810497918</v>
      </c>
      <c r="E5702" s="6">
        <v>-2.7008139439283044E-2</v>
      </c>
    </row>
    <row r="5703" spans="2:5" x14ac:dyDescent="0.3">
      <c r="B5703" s="4">
        <v>42193</v>
      </c>
      <c r="C5703" s="7">
        <v>737.67</v>
      </c>
      <c r="D5703" s="6">
        <f t="shared" si="91"/>
        <v>7.1241189427312781</v>
      </c>
      <c r="E5703" s="6">
        <v>-2.7102951649916999E-2</v>
      </c>
    </row>
    <row r="5704" spans="2:5" x14ac:dyDescent="0.3">
      <c r="B5704" s="4">
        <v>39961</v>
      </c>
      <c r="C5704" s="7">
        <v>90.8</v>
      </c>
      <c r="D5704" s="6">
        <f t="shared" ref="D5704:D5767" si="92">((C5704-C5705)/C5705)</f>
        <v>-0.96642198102915877</v>
      </c>
      <c r="E5704" s="6">
        <v>-2.7108111003964441E-2</v>
      </c>
    </row>
    <row r="5705" spans="2:5" x14ac:dyDescent="0.3">
      <c r="B5705" s="4">
        <v>44946</v>
      </c>
      <c r="C5705" s="5">
        <v>2704.15</v>
      </c>
      <c r="D5705" s="6">
        <f t="shared" si="92"/>
        <v>96.517129462675797</v>
      </c>
      <c r="E5705" s="6">
        <v>-2.733665449705951E-2</v>
      </c>
    </row>
    <row r="5706" spans="2:5" x14ac:dyDescent="0.3">
      <c r="B5706" s="4">
        <v>38404</v>
      </c>
      <c r="C5706" s="7">
        <v>27.73</v>
      </c>
      <c r="D5706" s="6">
        <f t="shared" si="92"/>
        <v>-0.9888182327726992</v>
      </c>
      <c r="E5706" s="6">
        <v>-2.7358821466152265E-2</v>
      </c>
    </row>
    <row r="5707" spans="2:5" x14ac:dyDescent="0.3">
      <c r="B5707" s="4">
        <v>44211</v>
      </c>
      <c r="C5707" s="5">
        <v>2479.9299999999998</v>
      </c>
      <c r="D5707" s="6">
        <f t="shared" si="92"/>
        <v>106.91688424717144</v>
      </c>
      <c r="E5707" s="6">
        <v>-2.7405963581600242E-2</v>
      </c>
    </row>
    <row r="5708" spans="2:5" x14ac:dyDescent="0.3">
      <c r="B5708" s="4">
        <v>38294</v>
      </c>
      <c r="C5708" s="7">
        <v>22.98</v>
      </c>
      <c r="D5708" s="6">
        <f t="shared" si="92"/>
        <v>-0.96040525173162405</v>
      </c>
      <c r="E5708" s="6">
        <v>-2.7507405840033795E-2</v>
      </c>
    </row>
    <row r="5709" spans="2:5" x14ac:dyDescent="0.3">
      <c r="B5709" s="4">
        <v>41905</v>
      </c>
      <c r="C5709" s="7">
        <v>580.38</v>
      </c>
      <c r="D5709" s="6">
        <f t="shared" si="92"/>
        <v>-0.80476860043460996</v>
      </c>
      <c r="E5709" s="6">
        <v>-2.7513404825737199E-2</v>
      </c>
    </row>
    <row r="5710" spans="2:5" x14ac:dyDescent="0.3">
      <c r="B5710" s="4">
        <v>44705</v>
      </c>
      <c r="C5710" s="5">
        <v>2972.78</v>
      </c>
      <c r="D5710" s="6">
        <f t="shared" si="92"/>
        <v>0.57691267193227214</v>
      </c>
      <c r="E5710" s="6">
        <v>-2.7518073865680882E-2</v>
      </c>
    </row>
    <row r="5711" spans="2:5" x14ac:dyDescent="0.3">
      <c r="B5711" s="4">
        <v>44095</v>
      </c>
      <c r="C5711" s="5">
        <v>1885.19</v>
      </c>
      <c r="D5711" s="6">
        <f t="shared" si="92"/>
        <v>26.329515801681644</v>
      </c>
      <c r="E5711" s="6">
        <v>-2.7535760895918065E-2</v>
      </c>
    </row>
    <row r="5712" spans="2:5" x14ac:dyDescent="0.3">
      <c r="B5712" s="4">
        <v>39860</v>
      </c>
      <c r="C5712" s="7">
        <v>68.98</v>
      </c>
      <c r="D5712" s="6">
        <f t="shared" si="92"/>
        <v>-0.97816515097319867</v>
      </c>
      <c r="E5712" s="6">
        <v>-2.7628982238511332E-2</v>
      </c>
    </row>
    <row r="5713" spans="2:5" x14ac:dyDescent="0.3">
      <c r="B5713" s="4">
        <v>44580</v>
      </c>
      <c r="C5713" s="5">
        <v>3159.17</v>
      </c>
      <c r="D5713" s="6">
        <f t="shared" si="92"/>
        <v>0.43117242004167794</v>
      </c>
      <c r="E5713" s="6">
        <v>-2.7657485464892637E-2</v>
      </c>
    </row>
    <row r="5714" spans="2:5" x14ac:dyDescent="0.3">
      <c r="B5714" s="4">
        <v>46108</v>
      </c>
      <c r="C5714" s="5">
        <v>2207.4</v>
      </c>
      <c r="D5714" s="6">
        <f t="shared" si="92"/>
        <v>3.7379265936896333</v>
      </c>
      <c r="E5714" s="6">
        <v>-2.7662760990221007E-2</v>
      </c>
    </row>
    <row r="5715" spans="2:5" x14ac:dyDescent="0.3">
      <c r="B5715" s="4">
        <v>41754</v>
      </c>
      <c r="C5715" s="7">
        <v>465.9</v>
      </c>
      <c r="D5715" s="6">
        <f t="shared" si="92"/>
        <v>2.8749337572866945E-2</v>
      </c>
      <c r="E5715" s="6">
        <v>-2.7673428499874878E-2</v>
      </c>
    </row>
    <row r="5716" spans="2:5" x14ac:dyDescent="0.3">
      <c r="B5716" s="4">
        <v>41757</v>
      </c>
      <c r="C5716" s="7">
        <v>452.88</v>
      </c>
      <c r="D5716" s="6">
        <f t="shared" si="92"/>
        <v>-0.85675879126787824</v>
      </c>
      <c r="E5716" s="6">
        <v>-2.7945911139729517E-2</v>
      </c>
    </row>
    <row r="5717" spans="2:5" x14ac:dyDescent="0.3">
      <c r="B5717" s="4">
        <v>45148</v>
      </c>
      <c r="C5717" s="5">
        <v>3161.66</v>
      </c>
      <c r="D5717" s="6">
        <f t="shared" si="92"/>
        <v>10.773077639173337</v>
      </c>
      <c r="E5717" s="6">
        <v>-2.7947216961408887E-2</v>
      </c>
    </row>
    <row r="5718" spans="2:5" x14ac:dyDescent="0.3">
      <c r="B5718" s="4">
        <v>40802</v>
      </c>
      <c r="C5718" s="7">
        <v>268.55</v>
      </c>
      <c r="D5718" s="6">
        <f t="shared" si="92"/>
        <v>1.7492833742833742</v>
      </c>
      <c r="E5718" s="6">
        <v>-2.7978862024033452E-2</v>
      </c>
    </row>
    <row r="5719" spans="2:5" x14ac:dyDescent="0.3">
      <c r="B5719" s="4">
        <v>39724</v>
      </c>
      <c r="C5719" s="7">
        <v>97.68</v>
      </c>
      <c r="D5719" s="6">
        <f t="shared" si="92"/>
        <v>0.356478266907374</v>
      </c>
      <c r="E5719" s="6">
        <v>-2.8059701492537246E-2</v>
      </c>
    </row>
    <row r="5720" spans="2:5" x14ac:dyDescent="0.3">
      <c r="B5720" s="4">
        <v>39295</v>
      </c>
      <c r="C5720" s="7">
        <v>72.010000000000005</v>
      </c>
      <c r="D5720" s="6">
        <f t="shared" si="92"/>
        <v>0.24477095937770102</v>
      </c>
      <c r="E5720" s="6">
        <v>-2.8073964097718965E-2</v>
      </c>
    </row>
    <row r="5721" spans="2:5" x14ac:dyDescent="0.3">
      <c r="B5721" s="4">
        <v>39058</v>
      </c>
      <c r="C5721" s="7">
        <v>57.85</v>
      </c>
      <c r="D5721" s="6">
        <f t="shared" si="92"/>
        <v>-0.94883700362607237</v>
      </c>
      <c r="E5721" s="6">
        <v>-2.8221065009239033E-2</v>
      </c>
    </row>
    <row r="5722" spans="2:5" x14ac:dyDescent="0.3">
      <c r="B5722" s="4">
        <v>43395</v>
      </c>
      <c r="C5722" s="5">
        <v>1130.7</v>
      </c>
      <c r="D5722" s="6">
        <f t="shared" si="92"/>
        <v>23.801491555165608</v>
      </c>
      <c r="E5722" s="6">
        <v>-2.8332774755729737E-2</v>
      </c>
    </row>
    <row r="5723" spans="2:5" x14ac:dyDescent="0.3">
      <c r="B5723" s="4">
        <v>38889</v>
      </c>
      <c r="C5723" s="7">
        <v>45.59</v>
      </c>
      <c r="D5723" s="6">
        <f t="shared" si="92"/>
        <v>-0.40209836065573767</v>
      </c>
      <c r="E5723" s="6">
        <v>-2.8346121057118461E-2</v>
      </c>
    </row>
    <row r="5724" spans="2:5" x14ac:dyDescent="0.3">
      <c r="B5724" s="4">
        <v>39820</v>
      </c>
      <c r="C5724" s="7">
        <v>76.25</v>
      </c>
      <c r="D5724" s="6">
        <f t="shared" si="92"/>
        <v>-0.82642840883223312</v>
      </c>
      <c r="E5724" s="6">
        <v>-2.8414882772680988E-2</v>
      </c>
    </row>
    <row r="5725" spans="2:5" x14ac:dyDescent="0.3">
      <c r="B5725" s="4">
        <v>41641</v>
      </c>
      <c r="C5725" s="7">
        <v>439.3</v>
      </c>
      <c r="D5725" s="6">
        <f t="shared" si="92"/>
        <v>-0.83581252803109574</v>
      </c>
      <c r="E5725" s="6">
        <v>-2.8419772199491246E-2</v>
      </c>
    </row>
    <row r="5726" spans="2:5" x14ac:dyDescent="0.3">
      <c r="B5726" s="4">
        <v>46042</v>
      </c>
      <c r="C5726" s="5">
        <v>2675.6</v>
      </c>
      <c r="D5726" s="6">
        <f t="shared" si="92"/>
        <v>35.712403951701425</v>
      </c>
      <c r="E5726" s="6">
        <v>-2.8467683369644187E-2</v>
      </c>
    </row>
    <row r="5727" spans="2:5" x14ac:dyDescent="0.3">
      <c r="B5727" s="4">
        <v>39288</v>
      </c>
      <c r="C5727" s="7">
        <v>72.88</v>
      </c>
      <c r="D5727" s="6">
        <f t="shared" si="92"/>
        <v>-0.22976114986260843</v>
      </c>
      <c r="E5727" s="6">
        <v>-2.8525726472940559E-2</v>
      </c>
    </row>
    <row r="5728" spans="2:5" x14ac:dyDescent="0.3">
      <c r="B5728" s="4">
        <v>39461</v>
      </c>
      <c r="C5728" s="7">
        <v>94.62</v>
      </c>
      <c r="D5728" s="6">
        <f t="shared" si="92"/>
        <v>-0.79463917525773198</v>
      </c>
      <c r="E5728" s="6">
        <v>-2.8542094455852166E-2</v>
      </c>
    </row>
    <row r="5729" spans="2:5" x14ac:dyDescent="0.3">
      <c r="B5729" s="4">
        <v>41599</v>
      </c>
      <c r="C5729" s="7">
        <v>460.75</v>
      </c>
      <c r="D5729" s="6">
        <f t="shared" si="92"/>
        <v>-0.56232010715201719</v>
      </c>
      <c r="E5729" s="6">
        <v>-2.8691289316131238E-2</v>
      </c>
    </row>
    <row r="5730" spans="2:5" x14ac:dyDescent="0.3">
      <c r="B5730" s="4">
        <v>42867</v>
      </c>
      <c r="C5730" s="5">
        <v>1052.71</v>
      </c>
      <c r="D5730" s="6">
        <f t="shared" si="92"/>
        <v>35.225395732966284</v>
      </c>
      <c r="E5730" s="6">
        <v>-2.8721951579568833E-2</v>
      </c>
    </row>
    <row r="5731" spans="2:5" x14ac:dyDescent="0.3">
      <c r="B5731" s="4">
        <v>38470</v>
      </c>
      <c r="C5731" s="7">
        <v>29.06</v>
      </c>
      <c r="D5731" s="6">
        <f t="shared" si="92"/>
        <v>-0.8827611247831525</v>
      </c>
      <c r="E5731" s="6">
        <v>-2.8743315508021488E-2</v>
      </c>
    </row>
    <row r="5732" spans="2:5" x14ac:dyDescent="0.3">
      <c r="B5732" s="4">
        <v>40878</v>
      </c>
      <c r="C5732" s="7">
        <v>247.87</v>
      </c>
      <c r="D5732" s="6">
        <f t="shared" si="92"/>
        <v>-0.91549502250102277</v>
      </c>
      <c r="E5732" s="6">
        <v>-2.8912830558276183E-2</v>
      </c>
    </row>
    <row r="5733" spans="2:5" x14ac:dyDescent="0.3">
      <c r="B5733" s="4">
        <v>44641</v>
      </c>
      <c r="C5733" s="5">
        <v>2933.2</v>
      </c>
      <c r="D5733" s="6">
        <f t="shared" si="92"/>
        <v>0.17366965832656431</v>
      </c>
      <c r="E5733" s="6">
        <v>-2.8963581168541041E-2</v>
      </c>
    </row>
    <row r="5734" spans="2:5" x14ac:dyDescent="0.3">
      <c r="B5734" s="4">
        <v>44729</v>
      </c>
      <c r="C5734" s="5">
        <v>2499.17</v>
      </c>
      <c r="D5734" s="6">
        <f t="shared" si="92"/>
        <v>8.3251701269992706E-2</v>
      </c>
      <c r="E5734" s="6">
        <v>-2.9067711995772988E-2</v>
      </c>
    </row>
    <row r="5735" spans="2:5" x14ac:dyDescent="0.3">
      <c r="B5735" s="4">
        <v>46083</v>
      </c>
      <c r="C5735" s="5">
        <v>2307.1</v>
      </c>
      <c r="D5735" s="6">
        <f t="shared" si="92"/>
        <v>36.307567917205688</v>
      </c>
      <c r="E5735" s="6">
        <v>-2.9080043767359613E-2</v>
      </c>
    </row>
    <row r="5736" spans="2:5" x14ac:dyDescent="0.3">
      <c r="B5736" s="4">
        <v>39174</v>
      </c>
      <c r="C5736" s="7">
        <v>61.84</v>
      </c>
      <c r="D5736" s="6">
        <f t="shared" si="92"/>
        <v>-0.9722513887767098</v>
      </c>
      <c r="E5736" s="6">
        <v>-2.9199372056514905E-2</v>
      </c>
    </row>
    <row r="5737" spans="2:5" x14ac:dyDescent="0.3">
      <c r="B5737" s="4">
        <v>45670</v>
      </c>
      <c r="C5737" s="5">
        <v>2228.58</v>
      </c>
      <c r="D5737" s="6">
        <f t="shared" si="92"/>
        <v>3.643552184693601</v>
      </c>
      <c r="E5737" s="6">
        <v>-2.9342973496809553E-2</v>
      </c>
    </row>
    <row r="5738" spans="2:5" x14ac:dyDescent="0.3">
      <c r="B5738" s="4">
        <v>41590</v>
      </c>
      <c r="C5738" s="7">
        <v>479.93</v>
      </c>
      <c r="D5738" s="6">
        <f t="shared" si="92"/>
        <v>-0.78602446810407856</v>
      </c>
      <c r="E5738" s="6">
        <v>-2.9365962180200187E-2</v>
      </c>
    </row>
    <row r="5739" spans="2:5" x14ac:dyDescent="0.3">
      <c r="B5739" s="4">
        <v>45663</v>
      </c>
      <c r="C5739" s="5">
        <v>2242.92</v>
      </c>
      <c r="D5739" s="6">
        <f t="shared" si="92"/>
        <v>0.54194967688711693</v>
      </c>
      <c r="E5739" s="6">
        <v>-2.9454908935131575E-2</v>
      </c>
    </row>
    <row r="5740" spans="2:5" x14ac:dyDescent="0.3">
      <c r="B5740" s="4">
        <v>43963</v>
      </c>
      <c r="C5740" s="5">
        <v>1454.6</v>
      </c>
      <c r="D5740" s="6">
        <f t="shared" si="92"/>
        <v>-0.40084933910543424</v>
      </c>
      <c r="E5740" s="6">
        <v>-2.9464357201953669E-2</v>
      </c>
    </row>
    <row r="5741" spans="2:5" x14ac:dyDescent="0.3">
      <c r="B5741" s="4">
        <v>44316</v>
      </c>
      <c r="C5741" s="5">
        <v>2427.77</v>
      </c>
      <c r="D5741" s="6">
        <f t="shared" si="92"/>
        <v>102.0900212314225</v>
      </c>
      <c r="E5741" s="6">
        <v>-2.9482074898461736E-2</v>
      </c>
    </row>
    <row r="5742" spans="2:5" x14ac:dyDescent="0.3">
      <c r="B5742" s="4">
        <v>38104</v>
      </c>
      <c r="C5742" s="7">
        <v>23.55</v>
      </c>
      <c r="D5742" s="6">
        <f t="shared" si="92"/>
        <v>-0.96819802301085733</v>
      </c>
      <c r="E5742" s="6">
        <v>-2.9666254635352239E-2</v>
      </c>
    </row>
    <row r="5743" spans="2:5" x14ac:dyDescent="0.3">
      <c r="B5743" s="4">
        <v>42083</v>
      </c>
      <c r="C5743" s="7">
        <v>740.52</v>
      </c>
      <c r="D5743" s="6">
        <f t="shared" si="92"/>
        <v>5.6346466577273116E-2</v>
      </c>
      <c r="E5743" s="6">
        <v>-2.976783187463973E-2</v>
      </c>
    </row>
    <row r="5744" spans="2:5" x14ac:dyDescent="0.3">
      <c r="B5744" s="4">
        <v>42142</v>
      </c>
      <c r="C5744" s="7">
        <v>701.02</v>
      </c>
      <c r="D5744" s="6">
        <f t="shared" si="92"/>
        <v>0.64992468461683295</v>
      </c>
      <c r="E5744" s="6">
        <v>-2.9797245865338003E-2</v>
      </c>
    </row>
    <row r="5745" spans="2:5" x14ac:dyDescent="0.3">
      <c r="B5745" s="4">
        <v>41561</v>
      </c>
      <c r="C5745" s="7">
        <v>424.88</v>
      </c>
      <c r="D5745" s="6">
        <f t="shared" si="92"/>
        <v>17.976328718177758</v>
      </c>
      <c r="E5745" s="6">
        <v>-2.9799282990432285E-2</v>
      </c>
    </row>
    <row r="5746" spans="2:5" x14ac:dyDescent="0.3">
      <c r="B5746" s="4">
        <v>38135</v>
      </c>
      <c r="C5746" s="7">
        <v>22.39</v>
      </c>
      <c r="D5746" s="6">
        <f t="shared" si="92"/>
        <v>-0.99146332164099438</v>
      </c>
      <c r="E5746" s="6">
        <v>-2.9896013864817928E-2</v>
      </c>
    </row>
    <row r="5747" spans="2:5" x14ac:dyDescent="0.3">
      <c r="B5747" s="4">
        <v>46049</v>
      </c>
      <c r="C5747" s="5">
        <v>2622.8</v>
      </c>
      <c r="D5747" s="6">
        <f t="shared" si="92"/>
        <v>42.266248762784564</v>
      </c>
      <c r="E5747" s="6">
        <v>-2.9921958797203701E-2</v>
      </c>
    </row>
    <row r="5748" spans="2:5" x14ac:dyDescent="0.3">
      <c r="B5748" s="4">
        <v>39136</v>
      </c>
      <c r="C5748" s="7">
        <v>60.62</v>
      </c>
      <c r="D5748" s="6">
        <f t="shared" si="92"/>
        <v>-0.91807333126106527</v>
      </c>
      <c r="E5748" s="6">
        <v>-2.9924787966074645E-2</v>
      </c>
    </row>
    <row r="5749" spans="2:5" x14ac:dyDescent="0.3">
      <c r="B5749" s="4">
        <v>42269</v>
      </c>
      <c r="C5749" s="7">
        <v>739.93</v>
      </c>
      <c r="D5749" s="6">
        <f t="shared" si="92"/>
        <v>-0.59232282271527659</v>
      </c>
      <c r="E5749" s="6">
        <v>-3.012150843480885E-2</v>
      </c>
    </row>
    <row r="5750" spans="2:5" x14ac:dyDescent="0.3">
      <c r="B5750" s="4">
        <v>44074</v>
      </c>
      <c r="C5750" s="5">
        <v>1814.99</v>
      </c>
      <c r="D5750" s="6">
        <f t="shared" si="92"/>
        <v>72.421925566343049</v>
      </c>
      <c r="E5750" s="6">
        <v>-3.0132843142493825E-2</v>
      </c>
    </row>
    <row r="5751" spans="2:5" x14ac:dyDescent="0.3">
      <c r="B5751" s="4">
        <v>38016</v>
      </c>
      <c r="C5751" s="7">
        <v>24.72</v>
      </c>
      <c r="D5751" s="6">
        <f t="shared" si="92"/>
        <v>-0.94030139103554877</v>
      </c>
      <c r="E5751" s="6">
        <v>-3.0207924676343648E-2</v>
      </c>
    </row>
    <row r="5752" spans="2:5" x14ac:dyDescent="0.3">
      <c r="B5752" s="4">
        <v>41372</v>
      </c>
      <c r="C5752" s="7">
        <v>414.08</v>
      </c>
      <c r="D5752" s="6">
        <f t="shared" si="92"/>
        <v>16.825226000860955</v>
      </c>
      <c r="E5752" s="6">
        <v>-3.0439261964971435E-2</v>
      </c>
    </row>
    <row r="5753" spans="2:5" x14ac:dyDescent="0.3">
      <c r="B5753" s="4">
        <v>38042</v>
      </c>
      <c r="C5753" s="7">
        <v>23.23</v>
      </c>
      <c r="D5753" s="6">
        <f t="shared" si="92"/>
        <v>-0.96793960555915926</v>
      </c>
      <c r="E5753" s="6">
        <v>-3.0467445742904858E-2</v>
      </c>
    </row>
    <row r="5754" spans="2:5" x14ac:dyDescent="0.3">
      <c r="B5754" s="4">
        <v>42254</v>
      </c>
      <c r="C5754" s="7">
        <v>724.57</v>
      </c>
      <c r="D5754" s="6">
        <f t="shared" si="92"/>
        <v>5.0618254831423082</v>
      </c>
      <c r="E5754" s="6">
        <v>-3.0571833774852036E-2</v>
      </c>
    </row>
    <row r="5755" spans="2:5" x14ac:dyDescent="0.3">
      <c r="B5755" s="4">
        <v>40031</v>
      </c>
      <c r="C5755" s="7">
        <v>119.53</v>
      </c>
      <c r="D5755" s="6">
        <f t="shared" si="92"/>
        <v>1.9689518132141086</v>
      </c>
      <c r="E5755" s="6">
        <v>-3.0575831305758281E-2</v>
      </c>
    </row>
    <row r="5756" spans="2:5" x14ac:dyDescent="0.3">
      <c r="B5756" s="4">
        <v>38635</v>
      </c>
      <c r="C5756" s="7">
        <v>40.26</v>
      </c>
      <c r="D5756" s="6">
        <f t="shared" si="92"/>
        <v>-0.56742237025894482</v>
      </c>
      <c r="E5756" s="6">
        <v>-3.0580303395136121E-2</v>
      </c>
    </row>
    <row r="5757" spans="2:5" x14ac:dyDescent="0.3">
      <c r="B5757" s="4">
        <v>39524</v>
      </c>
      <c r="C5757" s="7">
        <v>93.07</v>
      </c>
      <c r="D5757" s="6">
        <f t="shared" si="92"/>
        <v>-0.96009415840565282</v>
      </c>
      <c r="E5757" s="6">
        <v>-3.0722766090397865E-2</v>
      </c>
    </row>
    <row r="5758" spans="2:5" x14ac:dyDescent="0.3">
      <c r="B5758" s="4">
        <v>44223</v>
      </c>
      <c r="C5758" s="5">
        <v>2332.2399999999998</v>
      </c>
      <c r="D5758" s="6">
        <f t="shared" si="92"/>
        <v>25.293573844419392</v>
      </c>
      <c r="E5758" s="6">
        <v>-3.0769486510298226E-2</v>
      </c>
    </row>
    <row r="5759" spans="2:5" x14ac:dyDescent="0.3">
      <c r="B5759" s="4">
        <v>39499</v>
      </c>
      <c r="C5759" s="7">
        <v>88.7</v>
      </c>
      <c r="D5759" s="6">
        <f t="shared" si="92"/>
        <v>-0.72447426459168152</v>
      </c>
      <c r="E5759" s="6">
        <v>-3.0812937062936991E-2</v>
      </c>
    </row>
    <row r="5760" spans="2:5" x14ac:dyDescent="0.3">
      <c r="B5760" s="4">
        <v>41113</v>
      </c>
      <c r="C5760" s="7">
        <v>321.93</v>
      </c>
      <c r="D5760" s="6">
        <f t="shared" si="92"/>
        <v>-0.37934026104224106</v>
      </c>
      <c r="E5760" s="6">
        <v>-3.085676440484075E-2</v>
      </c>
    </row>
    <row r="5761" spans="2:5" x14ac:dyDescent="0.3">
      <c r="B5761" s="4">
        <v>41831</v>
      </c>
      <c r="C5761" s="7">
        <v>518.69000000000005</v>
      </c>
      <c r="D5761" s="6">
        <f t="shared" si="92"/>
        <v>5.5982699402111695</v>
      </c>
      <c r="E5761" s="6">
        <v>-3.0920708467229569E-2</v>
      </c>
    </row>
    <row r="5762" spans="2:5" x14ac:dyDescent="0.3">
      <c r="B5762" s="4">
        <v>39748</v>
      </c>
      <c r="C5762" s="7">
        <v>78.61</v>
      </c>
      <c r="D5762" s="6">
        <f t="shared" si="92"/>
        <v>-0.97351593558385552</v>
      </c>
      <c r="E5762" s="6">
        <v>-3.094181459566081E-2</v>
      </c>
    </row>
    <row r="5763" spans="2:5" x14ac:dyDescent="0.3">
      <c r="B5763" s="4">
        <v>45512</v>
      </c>
      <c r="C5763" s="5">
        <v>2968.2</v>
      </c>
      <c r="D5763" s="6">
        <f t="shared" si="92"/>
        <v>-6.0476984589420881E-3</v>
      </c>
      <c r="E5763" s="6">
        <v>-3.096903096903101E-2</v>
      </c>
    </row>
    <row r="5764" spans="2:5" x14ac:dyDescent="0.3">
      <c r="B5764" s="4">
        <v>44685</v>
      </c>
      <c r="C5764" s="5">
        <v>2986.26</v>
      </c>
      <c r="D5764" s="6">
        <f t="shared" si="92"/>
        <v>0.76939439365301332</v>
      </c>
      <c r="E5764" s="6">
        <v>-3.098564127524938E-2</v>
      </c>
    </row>
    <row r="5765" spans="2:5" x14ac:dyDescent="0.3">
      <c r="B5765" s="4">
        <v>43950</v>
      </c>
      <c r="C5765" s="5">
        <v>1687.73</v>
      </c>
      <c r="D5765" s="6">
        <f t="shared" si="92"/>
        <v>80.179894179894191</v>
      </c>
      <c r="E5765" s="6">
        <v>-3.1187215136103192E-2</v>
      </c>
    </row>
    <row r="5766" spans="2:5" x14ac:dyDescent="0.3">
      <c r="B5766" s="4">
        <v>37925</v>
      </c>
      <c r="C5766" s="7">
        <v>20.79</v>
      </c>
      <c r="D5766" s="6">
        <f t="shared" si="92"/>
        <v>-0.96366972477064228</v>
      </c>
      <c r="E5766" s="6">
        <v>-3.1220876048462333E-2</v>
      </c>
    </row>
    <row r="5767" spans="2:5" x14ac:dyDescent="0.3">
      <c r="B5767" s="4">
        <v>41928</v>
      </c>
      <c r="C5767" s="7">
        <v>572.25</v>
      </c>
      <c r="D5767" s="6">
        <f t="shared" si="92"/>
        <v>1.457274132600481</v>
      </c>
      <c r="E5767" s="6">
        <v>-3.1266928494041217E-2</v>
      </c>
    </row>
    <row r="5768" spans="2:5" x14ac:dyDescent="0.3">
      <c r="B5768" s="4">
        <v>40451</v>
      </c>
      <c r="C5768" s="7">
        <v>232.88</v>
      </c>
      <c r="D5768" s="6">
        <f t="shared" ref="D5768:D5831" si="93">((C5768-C5769)/C5769)</f>
        <v>-0.50841196462119775</v>
      </c>
      <c r="E5768" s="6">
        <v>-3.1321492450397247E-2</v>
      </c>
    </row>
    <row r="5769" spans="2:5" x14ac:dyDescent="0.3">
      <c r="B5769" s="4">
        <v>41785</v>
      </c>
      <c r="C5769" s="7">
        <v>473.73</v>
      </c>
      <c r="D5769" s="6">
        <f t="shared" si="93"/>
        <v>7.3979790817230997</v>
      </c>
      <c r="E5769" s="6">
        <v>-3.1365653178481556E-2</v>
      </c>
    </row>
    <row r="5770" spans="2:5" x14ac:dyDescent="0.3">
      <c r="B5770" s="4">
        <v>39041</v>
      </c>
      <c r="C5770" s="7">
        <v>56.41</v>
      </c>
      <c r="D5770" s="6">
        <f t="shared" si="93"/>
        <v>-0.3799736205759508</v>
      </c>
      <c r="E5770" s="6">
        <v>-3.1421703296703386E-2</v>
      </c>
    </row>
    <row r="5771" spans="2:5" x14ac:dyDescent="0.3">
      <c r="B5771" s="4">
        <v>39955</v>
      </c>
      <c r="C5771" s="7">
        <v>90.98</v>
      </c>
      <c r="D5771" s="6">
        <f t="shared" si="93"/>
        <v>4.5105996365838879</v>
      </c>
      <c r="E5771" s="6">
        <v>-3.1509474132424886E-2</v>
      </c>
    </row>
    <row r="5772" spans="2:5" x14ac:dyDescent="0.3">
      <c r="B5772" s="4">
        <v>37454</v>
      </c>
      <c r="C5772" s="7">
        <v>16.510000000000002</v>
      </c>
      <c r="D5772" s="6">
        <f t="shared" si="93"/>
        <v>-0.9810803997066373</v>
      </c>
      <c r="E5772" s="6">
        <v>-3.1671554252199363E-2</v>
      </c>
    </row>
    <row r="5773" spans="2:5" x14ac:dyDescent="0.3">
      <c r="B5773" s="4">
        <v>42705</v>
      </c>
      <c r="C5773" s="7">
        <v>872.64</v>
      </c>
      <c r="D5773" s="6">
        <f t="shared" si="93"/>
        <v>8.3015823766676988E-2</v>
      </c>
      <c r="E5773" s="6">
        <v>-3.1701823104492904E-2</v>
      </c>
    </row>
    <row r="5774" spans="2:5" x14ac:dyDescent="0.3">
      <c r="B5774" s="4">
        <v>42033</v>
      </c>
      <c r="C5774" s="7">
        <v>805.75</v>
      </c>
      <c r="D5774" s="6">
        <f t="shared" si="93"/>
        <v>10.72170497526913</v>
      </c>
      <c r="E5774" s="6">
        <v>-3.1806493475283013E-2</v>
      </c>
    </row>
    <row r="5775" spans="2:5" x14ac:dyDescent="0.3">
      <c r="B5775" s="4">
        <v>39855</v>
      </c>
      <c r="C5775" s="7">
        <v>68.739999999999995</v>
      </c>
      <c r="D5775" s="6">
        <f t="shared" si="93"/>
        <v>-0.97143308343168722</v>
      </c>
      <c r="E5775" s="6">
        <v>-3.1830985915493028E-2</v>
      </c>
    </row>
    <row r="5776" spans="2:5" x14ac:dyDescent="0.3">
      <c r="B5776" s="4">
        <v>44221</v>
      </c>
      <c r="C5776" s="5">
        <v>2406.2800000000002</v>
      </c>
      <c r="D5776" s="6">
        <f t="shared" si="93"/>
        <v>107.48872858431021</v>
      </c>
      <c r="E5776" s="6">
        <v>-3.1849491438135646E-2</v>
      </c>
    </row>
    <row r="5777" spans="2:5" x14ac:dyDescent="0.3">
      <c r="B5777" s="4">
        <v>37853</v>
      </c>
      <c r="C5777" s="7">
        <v>22.18</v>
      </c>
      <c r="D5777" s="6">
        <f t="shared" si="93"/>
        <v>-0.78642272508425604</v>
      </c>
      <c r="E5777" s="6">
        <v>-3.1863814927979066E-2</v>
      </c>
    </row>
    <row r="5778" spans="2:5" x14ac:dyDescent="0.3">
      <c r="B5778" s="4">
        <v>39576</v>
      </c>
      <c r="C5778" s="7">
        <v>103.85</v>
      </c>
      <c r="D5778" s="6">
        <f t="shared" si="93"/>
        <v>4.6440217391304346</v>
      </c>
      <c r="E5778" s="6">
        <v>-3.1882166495758382E-2</v>
      </c>
    </row>
    <row r="5779" spans="2:5" x14ac:dyDescent="0.3">
      <c r="B5779" s="4">
        <v>37782</v>
      </c>
      <c r="C5779" s="7">
        <v>18.399999999999999</v>
      </c>
      <c r="D5779" s="6">
        <f t="shared" si="93"/>
        <v>-0.83673469387755106</v>
      </c>
      <c r="E5779" s="6">
        <v>-3.2088374539716094E-2</v>
      </c>
    </row>
    <row r="5780" spans="2:5" x14ac:dyDescent="0.3">
      <c r="B5780" s="4">
        <v>40044</v>
      </c>
      <c r="C5780" s="7">
        <v>112.7</v>
      </c>
      <c r="D5780" s="6">
        <f t="shared" si="93"/>
        <v>-0.49027589326096788</v>
      </c>
      <c r="E5780" s="6">
        <v>-3.2119546547578107E-2</v>
      </c>
    </row>
    <row r="5781" spans="2:5" x14ac:dyDescent="0.3">
      <c r="B5781" s="4">
        <v>40507</v>
      </c>
      <c r="C5781" s="7">
        <v>221.1</v>
      </c>
      <c r="D5781" s="6">
        <f t="shared" si="93"/>
        <v>3.0405701754385963</v>
      </c>
      <c r="E5781" s="6">
        <v>-3.2130975310803729E-2</v>
      </c>
    </row>
    <row r="5782" spans="2:5" x14ac:dyDescent="0.3">
      <c r="B5782" s="4">
        <v>39148</v>
      </c>
      <c r="C5782" s="7">
        <v>54.72</v>
      </c>
      <c r="D5782" s="6">
        <f t="shared" si="93"/>
        <v>-0.97915230021906852</v>
      </c>
      <c r="E5782" s="6">
        <v>-3.2189600282985502E-2</v>
      </c>
    </row>
    <row r="5783" spans="2:5" x14ac:dyDescent="0.3">
      <c r="B5783" s="4">
        <v>44980</v>
      </c>
      <c r="C5783" s="5">
        <v>2624.75</v>
      </c>
      <c r="D5783" s="6">
        <f t="shared" si="93"/>
        <v>5.869454840482609</v>
      </c>
      <c r="E5783" s="6">
        <v>-3.2189672019321242E-2</v>
      </c>
    </row>
    <row r="5784" spans="2:5" x14ac:dyDescent="0.3">
      <c r="B5784" s="4">
        <v>41493</v>
      </c>
      <c r="C5784" s="7">
        <v>382.09</v>
      </c>
      <c r="D5784" s="6">
        <f t="shared" si="93"/>
        <v>3.3023308186015083</v>
      </c>
      <c r="E5784" s="6">
        <v>-3.2340576406827831E-2</v>
      </c>
    </row>
    <row r="5785" spans="2:5" x14ac:dyDescent="0.3">
      <c r="B5785" s="4">
        <v>39631</v>
      </c>
      <c r="C5785" s="7">
        <v>88.81</v>
      </c>
      <c r="D5785" s="6">
        <f t="shared" si="93"/>
        <v>4.6102337334175623</v>
      </c>
      <c r="E5785" s="6">
        <v>-3.2359991283504017E-2</v>
      </c>
    </row>
    <row r="5786" spans="2:5" x14ac:dyDescent="0.3">
      <c r="B5786" s="4">
        <v>37467</v>
      </c>
      <c r="C5786" s="7">
        <v>15.83</v>
      </c>
      <c r="D5786" s="6">
        <f t="shared" si="93"/>
        <v>-0.98496076307739089</v>
      </c>
      <c r="E5786" s="6">
        <v>-3.2396088019559864E-2</v>
      </c>
    </row>
    <row r="5787" spans="2:5" x14ac:dyDescent="0.3">
      <c r="B5787" s="4">
        <v>43175</v>
      </c>
      <c r="C5787" s="5">
        <v>1052.58</v>
      </c>
      <c r="D5787" s="6">
        <f t="shared" si="93"/>
        <v>-0.63585980716739499</v>
      </c>
      <c r="E5787" s="6">
        <v>-3.2786282689798454E-2</v>
      </c>
    </row>
    <row r="5788" spans="2:5" x14ac:dyDescent="0.3">
      <c r="B5788" s="4">
        <v>45225</v>
      </c>
      <c r="C5788" s="5">
        <v>2890.59</v>
      </c>
      <c r="D5788" s="6">
        <f t="shared" si="93"/>
        <v>2.6872592290226294</v>
      </c>
      <c r="E5788" s="6">
        <v>-3.2836689831466835E-2</v>
      </c>
    </row>
    <row r="5789" spans="2:5" x14ac:dyDescent="0.3">
      <c r="B5789" s="4">
        <v>42387</v>
      </c>
      <c r="C5789" s="7">
        <v>783.94</v>
      </c>
      <c r="D5789" s="6">
        <f t="shared" si="93"/>
        <v>-0.51391704954829265</v>
      </c>
      <c r="E5789" s="6">
        <v>-3.292500894366103E-2</v>
      </c>
    </row>
    <row r="5790" spans="2:5" x14ac:dyDescent="0.3">
      <c r="B5790" s="4">
        <v>44007</v>
      </c>
      <c r="C5790" s="5">
        <v>1612.77</v>
      </c>
      <c r="D5790" s="6">
        <f t="shared" si="93"/>
        <v>0.12517528865943425</v>
      </c>
      <c r="E5790" s="6">
        <v>-3.3337528995019218E-2</v>
      </c>
    </row>
    <row r="5791" spans="2:5" x14ac:dyDescent="0.3">
      <c r="B5791" s="4">
        <v>43969</v>
      </c>
      <c r="C5791" s="5">
        <v>1433.35</v>
      </c>
      <c r="D5791" s="6">
        <f t="shared" si="93"/>
        <v>0.6946878066659572</v>
      </c>
      <c r="E5791" s="6">
        <v>-3.338818229637322E-2</v>
      </c>
    </row>
    <row r="5792" spans="2:5" x14ac:dyDescent="0.3">
      <c r="B5792" s="4">
        <v>42716</v>
      </c>
      <c r="C5792" s="7">
        <v>845.79</v>
      </c>
      <c r="D5792" s="6">
        <f t="shared" si="93"/>
        <v>9.489768076398363</v>
      </c>
      <c r="E5792" s="6">
        <v>-3.3438089252042731E-2</v>
      </c>
    </row>
    <row r="5793" spans="2:5" x14ac:dyDescent="0.3">
      <c r="B5793" s="4">
        <v>39758</v>
      </c>
      <c r="C5793" s="7">
        <v>80.63</v>
      </c>
      <c r="D5793" s="6">
        <f t="shared" si="93"/>
        <v>-0.96946851049650118</v>
      </c>
      <c r="E5793" s="6">
        <v>-3.3445216974346756E-2</v>
      </c>
    </row>
    <row r="5794" spans="2:5" x14ac:dyDescent="0.3">
      <c r="B5794" s="4">
        <v>44740</v>
      </c>
      <c r="C5794" s="5">
        <v>2640.88</v>
      </c>
      <c r="D5794" s="6">
        <f t="shared" si="93"/>
        <v>1.62492048346056</v>
      </c>
      <c r="E5794" s="6">
        <v>-3.3480214905795724E-2</v>
      </c>
    </row>
    <row r="5795" spans="2:5" x14ac:dyDescent="0.3">
      <c r="B5795" s="4">
        <v>42670</v>
      </c>
      <c r="C5795" s="5">
        <v>1006.08</v>
      </c>
      <c r="D5795" s="6">
        <f t="shared" si="93"/>
        <v>7.7091412742382275</v>
      </c>
      <c r="E5795" s="6">
        <v>-3.3526100405387206E-2</v>
      </c>
    </row>
    <row r="5796" spans="2:5" x14ac:dyDescent="0.3">
      <c r="B5796" s="4">
        <v>40032</v>
      </c>
      <c r="C5796" s="7">
        <v>115.52</v>
      </c>
      <c r="D5796" s="6">
        <f t="shared" si="93"/>
        <v>-0.94867807844896912</v>
      </c>
      <c r="E5796" s="6">
        <v>-3.3548063247720278E-2</v>
      </c>
    </row>
    <row r="5797" spans="2:5" x14ac:dyDescent="0.3">
      <c r="B5797" s="4">
        <v>45693</v>
      </c>
      <c r="C5797" s="5">
        <v>2250.89</v>
      </c>
      <c r="D5797" s="6">
        <f t="shared" si="93"/>
        <v>2.9684354986276244E-2</v>
      </c>
      <c r="E5797" s="6">
        <v>-3.3616836754408262E-2</v>
      </c>
    </row>
    <row r="5798" spans="2:5" x14ac:dyDescent="0.3">
      <c r="B5798" s="4">
        <v>46100</v>
      </c>
      <c r="C5798" s="5">
        <v>2186</v>
      </c>
      <c r="D5798" s="6">
        <f t="shared" si="93"/>
        <v>22.362188735705889</v>
      </c>
      <c r="E5798" s="6">
        <v>-3.3641306750364669E-2</v>
      </c>
    </row>
    <row r="5799" spans="2:5" x14ac:dyDescent="0.3">
      <c r="B5799" s="4">
        <v>39497</v>
      </c>
      <c r="C5799" s="7">
        <v>93.57</v>
      </c>
      <c r="D5799" s="6">
        <f t="shared" si="93"/>
        <v>-0.92222526992993048</v>
      </c>
      <c r="E5799" s="6">
        <v>-3.3667251884746514E-2</v>
      </c>
    </row>
    <row r="5800" spans="2:5" x14ac:dyDescent="0.3">
      <c r="B5800" s="4">
        <v>43444</v>
      </c>
      <c r="C5800" s="5">
        <v>1203.0899999999999</v>
      </c>
      <c r="D5800" s="6">
        <f t="shared" si="93"/>
        <v>-0.43285249611087551</v>
      </c>
      <c r="E5800" s="6">
        <v>-3.3709218832827355E-2</v>
      </c>
    </row>
    <row r="5801" spans="2:5" x14ac:dyDescent="0.3">
      <c r="B5801" s="4">
        <v>46104</v>
      </c>
      <c r="C5801" s="5">
        <v>2121.3000000000002</v>
      </c>
      <c r="D5801" s="6">
        <f t="shared" si="93"/>
        <v>2.0130390318731894</v>
      </c>
      <c r="E5801" s="6">
        <v>-3.3752391363760549E-2</v>
      </c>
    </row>
    <row r="5802" spans="2:5" x14ac:dyDescent="0.3">
      <c r="B5802" s="4">
        <v>41975</v>
      </c>
      <c r="C5802" s="7">
        <v>704.04</v>
      </c>
      <c r="D5802" s="6">
        <f t="shared" si="93"/>
        <v>2.3019416565050181</v>
      </c>
      <c r="E5802" s="6">
        <v>-3.3880861224321837E-2</v>
      </c>
    </row>
    <row r="5803" spans="2:5" x14ac:dyDescent="0.3">
      <c r="B5803" s="4">
        <v>40386</v>
      </c>
      <c r="C5803" s="7">
        <v>213.22</v>
      </c>
      <c r="D5803" s="6">
        <f t="shared" si="93"/>
        <v>-0.86757673245804712</v>
      </c>
      <c r="E5803" s="6">
        <v>-3.3979702790866255E-2</v>
      </c>
    </row>
    <row r="5804" spans="2:5" x14ac:dyDescent="0.3">
      <c r="B5804" s="4">
        <v>44020</v>
      </c>
      <c r="C5804" s="5">
        <v>1610.14</v>
      </c>
      <c r="D5804" s="6">
        <f t="shared" si="93"/>
        <v>4.1440555731629337E-2</v>
      </c>
      <c r="E5804" s="6">
        <v>-3.4086000863847922E-2</v>
      </c>
    </row>
    <row r="5805" spans="2:5" x14ac:dyDescent="0.3">
      <c r="B5805" s="4">
        <v>43956</v>
      </c>
      <c r="C5805" s="5">
        <v>1546.07</v>
      </c>
      <c r="D5805" s="6">
        <f t="shared" si="93"/>
        <v>39.80416996569015</v>
      </c>
      <c r="E5805" s="6">
        <v>-3.4382182472269388E-2</v>
      </c>
    </row>
    <row r="5806" spans="2:5" x14ac:dyDescent="0.3">
      <c r="B5806" s="4">
        <v>38653</v>
      </c>
      <c r="C5806" s="7">
        <v>37.89</v>
      </c>
      <c r="D5806" s="6">
        <f t="shared" si="93"/>
        <v>-0.97222588732022686</v>
      </c>
      <c r="E5806" s="6">
        <v>-3.4403669724770679E-2</v>
      </c>
    </row>
    <row r="5807" spans="2:5" x14ac:dyDescent="0.3">
      <c r="B5807" s="4">
        <v>43564</v>
      </c>
      <c r="C5807" s="5">
        <v>1364.22</v>
      </c>
      <c r="D5807" s="6">
        <f t="shared" si="93"/>
        <v>1.0034070049195976</v>
      </c>
      <c r="E5807" s="6">
        <v>-3.4419789786601471E-2</v>
      </c>
    </row>
    <row r="5808" spans="2:5" x14ac:dyDescent="0.3">
      <c r="B5808" s="4">
        <v>42121</v>
      </c>
      <c r="C5808" s="7">
        <v>680.95</v>
      </c>
      <c r="D5808" s="6">
        <f t="shared" si="93"/>
        <v>2.1116340705538295</v>
      </c>
      <c r="E5808" s="6">
        <v>-3.4428484324262966E-2</v>
      </c>
    </row>
    <row r="5809" spans="2:5" x14ac:dyDescent="0.3">
      <c r="B5809" s="4">
        <v>40478</v>
      </c>
      <c r="C5809" s="7">
        <v>218.84</v>
      </c>
      <c r="D5809" s="6">
        <f t="shared" si="93"/>
        <v>-0.91110388950949517</v>
      </c>
      <c r="E5809" s="6">
        <v>-3.4458416060004424E-2</v>
      </c>
    </row>
    <row r="5810" spans="2:5" x14ac:dyDescent="0.3">
      <c r="B5810" s="4">
        <v>44305</v>
      </c>
      <c r="C5810" s="5">
        <v>2461.75</v>
      </c>
      <c r="D5810" s="6">
        <f t="shared" si="93"/>
        <v>9.4271676055741445</v>
      </c>
      <c r="E5810" s="6">
        <v>-3.4463959335116562E-2</v>
      </c>
    </row>
    <row r="5811" spans="2:5" x14ac:dyDescent="0.3">
      <c r="B5811" s="4">
        <v>40900</v>
      </c>
      <c r="C5811" s="7">
        <v>236.09</v>
      </c>
      <c r="D5811" s="6">
        <f t="shared" si="93"/>
        <v>0.56579121899456164</v>
      </c>
      <c r="E5811" s="6">
        <v>-3.4475707508588284E-2</v>
      </c>
    </row>
    <row r="5812" spans="2:5" x14ac:dyDescent="0.3">
      <c r="B5812" s="4">
        <v>40168</v>
      </c>
      <c r="C5812" s="7">
        <v>150.78</v>
      </c>
      <c r="D5812" s="6">
        <f t="shared" si="93"/>
        <v>-0.93470352855583838</v>
      </c>
      <c r="E5812" s="6">
        <v>-3.4513670999551688E-2</v>
      </c>
    </row>
    <row r="5813" spans="2:5" x14ac:dyDescent="0.3">
      <c r="B5813" s="4">
        <v>45784</v>
      </c>
      <c r="C5813" s="5">
        <v>2309.16</v>
      </c>
      <c r="D5813" s="6">
        <f t="shared" si="93"/>
        <v>4.4912013697327113</v>
      </c>
      <c r="E5813" s="6">
        <v>-3.4696675807638286E-2</v>
      </c>
    </row>
    <row r="5814" spans="2:5" x14ac:dyDescent="0.3">
      <c r="B5814" s="4">
        <v>41428</v>
      </c>
      <c r="C5814" s="7">
        <v>420.52</v>
      </c>
      <c r="D5814" s="6">
        <f t="shared" si="93"/>
        <v>-0.44166655602320859</v>
      </c>
      <c r="E5814" s="6">
        <v>-3.4707556698191179E-2</v>
      </c>
    </row>
    <row r="5815" spans="2:5" x14ac:dyDescent="0.3">
      <c r="B5815" s="4">
        <v>42248</v>
      </c>
      <c r="C5815" s="7">
        <v>753.17</v>
      </c>
      <c r="D5815" s="6">
        <f t="shared" si="93"/>
        <v>2.450950744558992</v>
      </c>
      <c r="E5815" s="6">
        <v>-3.4756308551948639E-2</v>
      </c>
    </row>
    <row r="5816" spans="2:5" x14ac:dyDescent="0.3">
      <c r="B5816" s="4">
        <v>40575</v>
      </c>
      <c r="C5816" s="7">
        <v>218.25</v>
      </c>
      <c r="D5816" s="6">
        <f t="shared" si="93"/>
        <v>5.4820314820314815</v>
      </c>
      <c r="E5816" s="6">
        <v>-3.4761841581531172E-2</v>
      </c>
    </row>
    <row r="5817" spans="2:5" x14ac:dyDescent="0.3">
      <c r="B5817" s="4">
        <v>38545</v>
      </c>
      <c r="C5817" s="7">
        <v>33.67</v>
      </c>
      <c r="D5817" s="6">
        <f t="shared" si="93"/>
        <v>-0.85757793663550619</v>
      </c>
      <c r="E5817" s="6">
        <v>-3.4967039266265369E-2</v>
      </c>
    </row>
    <row r="5818" spans="2:5" x14ac:dyDescent="0.3">
      <c r="B5818" s="4">
        <v>40485</v>
      </c>
      <c r="C5818" s="7">
        <v>236.41</v>
      </c>
      <c r="D5818" s="6">
        <f t="shared" si="93"/>
        <v>-0.92087965782903503</v>
      </c>
      <c r="E5818" s="6">
        <v>-3.5061224489795935E-2</v>
      </c>
    </row>
    <row r="5819" spans="2:5" x14ac:dyDescent="0.3">
      <c r="B5819" s="4">
        <v>45314</v>
      </c>
      <c r="C5819" s="5">
        <v>2987.98</v>
      </c>
      <c r="D5819" s="6">
        <f t="shared" si="93"/>
        <v>11.848763706729734</v>
      </c>
      <c r="E5819" s="6">
        <v>-3.5108341137339689E-2</v>
      </c>
    </row>
    <row r="5820" spans="2:5" x14ac:dyDescent="0.3">
      <c r="B5820" s="4">
        <v>40493</v>
      </c>
      <c r="C5820" s="7">
        <v>232.55</v>
      </c>
      <c r="D5820" s="6">
        <f t="shared" si="93"/>
        <v>-1.0046400749223043E-2</v>
      </c>
      <c r="E5820" s="6">
        <v>-3.5142311841340965E-2</v>
      </c>
    </row>
    <row r="5821" spans="2:5" x14ac:dyDescent="0.3">
      <c r="B5821" s="4">
        <v>40553</v>
      </c>
      <c r="C5821" s="7">
        <v>234.91</v>
      </c>
      <c r="D5821" s="6">
        <f t="shared" si="93"/>
        <v>8.3366454689984106</v>
      </c>
      <c r="E5821" s="6">
        <v>-3.5277207392197141E-2</v>
      </c>
    </row>
    <row r="5822" spans="2:5" x14ac:dyDescent="0.3">
      <c r="B5822" s="4">
        <v>37992</v>
      </c>
      <c r="C5822" s="7">
        <v>25.16</v>
      </c>
      <c r="D5822" s="6">
        <f t="shared" si="93"/>
        <v>-0.60082500396636529</v>
      </c>
      <c r="E5822" s="6">
        <v>-3.5645841318512832E-2</v>
      </c>
    </row>
    <row r="5823" spans="2:5" x14ac:dyDescent="0.3">
      <c r="B5823" s="4">
        <v>39133</v>
      </c>
      <c r="C5823" s="7">
        <v>63.03</v>
      </c>
      <c r="D5823" s="6">
        <f t="shared" si="93"/>
        <v>-0.84109015732150072</v>
      </c>
      <c r="E5823" s="6">
        <v>-3.5943713673906308E-2</v>
      </c>
    </row>
    <row r="5824" spans="2:5" x14ac:dyDescent="0.3">
      <c r="B5824" s="4">
        <v>41449</v>
      </c>
      <c r="C5824" s="7">
        <v>396.64</v>
      </c>
      <c r="D5824" s="6">
        <f t="shared" si="93"/>
        <v>3.6647065741503</v>
      </c>
      <c r="E5824" s="6">
        <v>-3.6088361807091358E-2</v>
      </c>
    </row>
    <row r="5825" spans="2:5" x14ac:dyDescent="0.3">
      <c r="B5825" s="4">
        <v>39645</v>
      </c>
      <c r="C5825" s="7">
        <v>85.03</v>
      </c>
      <c r="D5825" s="6">
        <f t="shared" si="93"/>
        <v>-0.16019753086419752</v>
      </c>
      <c r="E5825" s="6">
        <v>-3.615960099750621E-2</v>
      </c>
    </row>
    <row r="5826" spans="2:5" x14ac:dyDescent="0.3">
      <c r="B5826" s="4">
        <v>39456</v>
      </c>
      <c r="C5826" s="7">
        <v>101.25</v>
      </c>
      <c r="D5826" s="6">
        <f t="shared" si="93"/>
        <v>-0.84856642885987343</v>
      </c>
      <c r="E5826" s="6">
        <v>-3.6264991433466613E-2</v>
      </c>
    </row>
    <row r="5827" spans="2:5" x14ac:dyDescent="0.3">
      <c r="B5827" s="4">
        <v>41990</v>
      </c>
      <c r="C5827" s="7">
        <v>668.61</v>
      </c>
      <c r="D5827" s="6">
        <f t="shared" si="93"/>
        <v>-0.49390668523676873</v>
      </c>
      <c r="E5827" s="6">
        <v>-3.6307293168059876E-2</v>
      </c>
    </row>
    <row r="5828" spans="2:5" x14ac:dyDescent="0.3">
      <c r="B5828" s="4">
        <v>43510</v>
      </c>
      <c r="C5828" s="5">
        <v>1321.12</v>
      </c>
      <c r="D5828" s="6">
        <f t="shared" si="93"/>
        <v>4.072841070537188</v>
      </c>
      <c r="E5828" s="6">
        <v>-3.6431400293201695E-2</v>
      </c>
    </row>
    <row r="5829" spans="2:5" x14ac:dyDescent="0.3">
      <c r="B5829" s="4">
        <v>40868</v>
      </c>
      <c r="C5829" s="7">
        <v>260.43</v>
      </c>
      <c r="D5829" s="6">
        <f t="shared" si="93"/>
        <v>-0.69024822484151427</v>
      </c>
      <c r="E5829" s="6">
        <v>-3.6514983351831315E-2</v>
      </c>
    </row>
    <row r="5830" spans="2:5" x14ac:dyDescent="0.3">
      <c r="B5830" s="4">
        <v>42706</v>
      </c>
      <c r="C5830" s="7">
        <v>840.77</v>
      </c>
      <c r="D5830" s="6">
        <f t="shared" si="93"/>
        <v>-0.72329894192953881</v>
      </c>
      <c r="E5830" s="6">
        <v>-3.652136046938028E-2</v>
      </c>
    </row>
    <row r="5831" spans="2:5" x14ac:dyDescent="0.3">
      <c r="B5831" s="4">
        <v>44585</v>
      </c>
      <c r="C5831" s="5">
        <v>3038.55</v>
      </c>
      <c r="D5831" s="6">
        <f t="shared" si="93"/>
        <v>7.0380667689540246</v>
      </c>
      <c r="E5831" s="6">
        <v>-3.655238234147045E-2</v>
      </c>
    </row>
    <row r="5832" spans="2:5" x14ac:dyDescent="0.3">
      <c r="B5832" s="4">
        <v>41502</v>
      </c>
      <c r="C5832" s="7">
        <v>378.02</v>
      </c>
      <c r="D5832" s="6">
        <f t="shared" ref="D5832:D5895" si="94">((C5832-C5833)/C5833)</f>
        <v>-0.69395058130120801</v>
      </c>
      <c r="E5832" s="6">
        <v>-3.6916256910651979E-2</v>
      </c>
    </row>
    <row r="5833" spans="2:5" x14ac:dyDescent="0.3">
      <c r="B5833" s="4">
        <v>43347</v>
      </c>
      <c r="C5833" s="5">
        <v>1235.1600000000001</v>
      </c>
      <c r="D5833" s="6">
        <f t="shared" si="94"/>
        <v>9.1477855148280343E-2</v>
      </c>
      <c r="E5833" s="6">
        <v>-3.694231758853516E-2</v>
      </c>
    </row>
    <row r="5834" spans="2:5" x14ac:dyDescent="0.3">
      <c r="B5834" s="4">
        <v>43382</v>
      </c>
      <c r="C5834" s="5">
        <v>1131.6400000000001</v>
      </c>
      <c r="D5834" s="6">
        <f t="shared" si="94"/>
        <v>1.7045552315854882</v>
      </c>
      <c r="E5834" s="6">
        <v>-3.7188922448632165E-2</v>
      </c>
    </row>
    <row r="5835" spans="2:5" x14ac:dyDescent="0.3">
      <c r="B5835" s="4">
        <v>41403</v>
      </c>
      <c r="C5835" s="7">
        <v>418.42</v>
      </c>
      <c r="D5835" s="6">
        <f t="shared" si="94"/>
        <v>-0.55472075600204329</v>
      </c>
      <c r="E5835" s="6">
        <v>-3.7628225769354519E-2</v>
      </c>
    </row>
    <row r="5836" spans="2:5" x14ac:dyDescent="0.3">
      <c r="B5836" s="4">
        <v>42684</v>
      </c>
      <c r="C5836" s="7">
        <v>939.68</v>
      </c>
      <c r="D5836" s="6">
        <f t="shared" si="94"/>
        <v>-0.38616707167306841</v>
      </c>
      <c r="E5836" s="6">
        <v>-3.7725801826895541E-2</v>
      </c>
    </row>
    <row r="5837" spans="2:5" x14ac:dyDescent="0.3">
      <c r="B5837" s="4">
        <v>43922</v>
      </c>
      <c r="C5837" s="5">
        <v>1530.84</v>
      </c>
      <c r="D5837" s="6">
        <f t="shared" si="94"/>
        <v>-0.5281811036969688</v>
      </c>
      <c r="E5837" s="6">
        <v>-3.7988047433214593E-2</v>
      </c>
    </row>
    <row r="5838" spans="2:5" x14ac:dyDescent="0.3">
      <c r="B5838" s="4">
        <v>44795</v>
      </c>
      <c r="C5838" s="5">
        <v>3244.55</v>
      </c>
      <c r="D5838" s="6">
        <f t="shared" si="94"/>
        <v>0.34294288079470209</v>
      </c>
      <c r="E5838" s="6">
        <v>-3.8133156250185186E-2</v>
      </c>
    </row>
    <row r="5839" spans="2:5" x14ac:dyDescent="0.3">
      <c r="B5839" s="4">
        <v>46051</v>
      </c>
      <c r="C5839" s="5">
        <v>2416</v>
      </c>
      <c r="D5839" s="6">
        <f t="shared" si="94"/>
        <v>149.2487562189055</v>
      </c>
      <c r="E5839" s="6">
        <v>-3.8139979297714857E-2</v>
      </c>
    </row>
    <row r="5840" spans="2:5" x14ac:dyDescent="0.3">
      <c r="B5840" s="4">
        <v>37567</v>
      </c>
      <c r="C5840" s="7">
        <v>16.079999999999998</v>
      </c>
      <c r="D5840" s="6">
        <f t="shared" si="94"/>
        <v>-0.80437956204379568</v>
      </c>
      <c r="E5840" s="6">
        <v>-3.8277511961722521E-2</v>
      </c>
    </row>
    <row r="5841" spans="2:5" x14ac:dyDescent="0.3">
      <c r="B5841" s="4">
        <v>39731</v>
      </c>
      <c r="C5841" s="7">
        <v>82.2</v>
      </c>
      <c r="D5841" s="6">
        <f t="shared" si="94"/>
        <v>2.3619631901840492</v>
      </c>
      <c r="E5841" s="6">
        <v>-3.8484033220259589E-2</v>
      </c>
    </row>
    <row r="5842" spans="2:5" x14ac:dyDescent="0.3">
      <c r="B5842" s="4">
        <v>38358</v>
      </c>
      <c r="C5842" s="7">
        <v>24.45</v>
      </c>
      <c r="D5842" s="6">
        <f t="shared" si="94"/>
        <v>-0.96477554313375202</v>
      </c>
      <c r="E5842" s="6">
        <v>-3.8537160833661051E-2</v>
      </c>
    </row>
    <row r="5843" spans="2:5" x14ac:dyDescent="0.3">
      <c r="B5843" s="4">
        <v>42157</v>
      </c>
      <c r="C5843" s="7">
        <v>694.12</v>
      </c>
      <c r="D5843" s="6">
        <f t="shared" si="94"/>
        <v>-0.77683325188405061</v>
      </c>
      <c r="E5843" s="6">
        <v>-3.8681531749878748E-2</v>
      </c>
    </row>
    <row r="5844" spans="2:5" x14ac:dyDescent="0.3">
      <c r="B5844" s="4">
        <v>45568</v>
      </c>
      <c r="C5844" s="5">
        <v>3110.32</v>
      </c>
      <c r="D5844" s="6">
        <f t="shared" si="94"/>
        <v>80.14583876858859</v>
      </c>
      <c r="E5844" s="6">
        <v>-3.9069692719307471E-2</v>
      </c>
    </row>
    <row r="5845" spans="2:5" x14ac:dyDescent="0.3">
      <c r="B5845" s="4">
        <v>38617</v>
      </c>
      <c r="C5845" s="7">
        <v>38.33</v>
      </c>
      <c r="D5845" s="6">
        <f t="shared" si="94"/>
        <v>-0.98633896335791349</v>
      </c>
      <c r="E5845" s="6">
        <v>-3.91075457508148E-2</v>
      </c>
    </row>
    <row r="5846" spans="2:5" x14ac:dyDescent="0.3">
      <c r="B5846" s="4">
        <v>45348</v>
      </c>
      <c r="C5846" s="5">
        <v>2805.79</v>
      </c>
      <c r="D5846" s="6">
        <f t="shared" si="94"/>
        <v>42.785736579275905</v>
      </c>
      <c r="E5846" s="6">
        <v>-3.9353175404778958E-2</v>
      </c>
    </row>
    <row r="5847" spans="2:5" x14ac:dyDescent="0.3">
      <c r="B5847" s="4">
        <v>39842</v>
      </c>
      <c r="C5847" s="7">
        <v>64.08</v>
      </c>
      <c r="D5847" s="6">
        <f t="shared" si="94"/>
        <v>-0.19019335271072915</v>
      </c>
      <c r="E5847" s="6">
        <v>-3.9424374156798017E-2</v>
      </c>
    </row>
    <row r="5848" spans="2:5" x14ac:dyDescent="0.3">
      <c r="B5848" s="4">
        <v>39360</v>
      </c>
      <c r="C5848" s="7">
        <v>79.13</v>
      </c>
      <c r="D5848" s="6">
        <f t="shared" si="94"/>
        <v>-0.97443873760377298</v>
      </c>
      <c r="E5848" s="6">
        <v>-3.9800995024875635E-2</v>
      </c>
    </row>
    <row r="5849" spans="2:5" x14ac:dyDescent="0.3">
      <c r="B5849" s="4">
        <v>45197</v>
      </c>
      <c r="C5849" s="5">
        <v>3095.7</v>
      </c>
      <c r="D5849" s="6">
        <f t="shared" si="94"/>
        <v>47.797288776796968</v>
      </c>
      <c r="E5849" s="6">
        <v>-3.9810176641181236E-2</v>
      </c>
    </row>
    <row r="5850" spans="2:5" x14ac:dyDescent="0.3">
      <c r="B5850" s="4">
        <v>39875</v>
      </c>
      <c r="C5850" s="7">
        <v>63.44</v>
      </c>
      <c r="D5850" s="6">
        <f t="shared" si="94"/>
        <v>2.7361601884570077</v>
      </c>
      <c r="E5850" s="6">
        <v>-4.0096837645634827E-2</v>
      </c>
    </row>
    <row r="5851" spans="2:5" x14ac:dyDescent="0.3">
      <c r="B5851" s="4">
        <v>37746</v>
      </c>
      <c r="C5851" s="7">
        <v>16.98</v>
      </c>
      <c r="D5851" s="6">
        <f t="shared" si="94"/>
        <v>-0.8250206100577081</v>
      </c>
      <c r="E5851" s="6">
        <v>-4.0135669869983084E-2</v>
      </c>
    </row>
    <row r="5852" spans="2:5" x14ac:dyDescent="0.3">
      <c r="B5852" s="4">
        <v>40007</v>
      </c>
      <c r="C5852" s="7">
        <v>97.04</v>
      </c>
      <c r="D5852" s="6">
        <f t="shared" si="94"/>
        <v>-0.97077398933238568</v>
      </c>
      <c r="E5852" s="6">
        <v>-4.0253189595489992E-2</v>
      </c>
    </row>
    <row r="5853" spans="2:5" x14ac:dyDescent="0.3">
      <c r="B5853" s="4">
        <v>45132</v>
      </c>
      <c r="C5853" s="5">
        <v>3320.33</v>
      </c>
      <c r="D5853" s="6">
        <f t="shared" si="94"/>
        <v>63.497474747474747</v>
      </c>
      <c r="E5853" s="6">
        <v>-4.0436384654288005E-2</v>
      </c>
    </row>
    <row r="5854" spans="2:5" x14ac:dyDescent="0.3">
      <c r="B5854" s="4">
        <v>38848</v>
      </c>
      <c r="C5854" s="7">
        <v>51.48</v>
      </c>
      <c r="D5854" s="6">
        <f t="shared" si="94"/>
        <v>-0.97638174586061188</v>
      </c>
      <c r="E5854" s="6">
        <v>-4.044734389561979E-2</v>
      </c>
    </row>
    <row r="5855" spans="2:5" x14ac:dyDescent="0.3">
      <c r="B5855" s="4">
        <v>44253</v>
      </c>
      <c r="C5855" s="5">
        <v>2179.67</v>
      </c>
      <c r="D5855" s="6">
        <f t="shared" si="94"/>
        <v>24.496198385776118</v>
      </c>
      <c r="E5855" s="6">
        <v>-4.0671983380866805E-2</v>
      </c>
    </row>
    <row r="5856" spans="2:5" x14ac:dyDescent="0.3">
      <c r="B5856" s="4">
        <v>39729</v>
      </c>
      <c r="C5856" s="7">
        <v>85.49</v>
      </c>
      <c r="D5856" s="6">
        <f t="shared" si="94"/>
        <v>-0.86800376735065699</v>
      </c>
      <c r="E5856" s="6">
        <v>-4.1591928251121166E-2</v>
      </c>
    </row>
    <row r="5857" spans="2:5" x14ac:dyDescent="0.3">
      <c r="B5857" s="4">
        <v>42166</v>
      </c>
      <c r="C5857" s="7">
        <v>647.66999999999996</v>
      </c>
      <c r="D5857" s="6">
        <f t="shared" si="94"/>
        <v>0.74965556365993979</v>
      </c>
      <c r="E5857" s="6">
        <v>-4.161055949333374E-2</v>
      </c>
    </row>
    <row r="5858" spans="2:5" x14ac:dyDescent="0.3">
      <c r="B5858" s="4">
        <v>41513</v>
      </c>
      <c r="C5858" s="7">
        <v>370.17</v>
      </c>
      <c r="D5858" s="6">
        <f t="shared" si="94"/>
        <v>-0.85262759773867347</v>
      </c>
      <c r="E5858" s="6">
        <v>-4.1705498602050216E-2</v>
      </c>
    </row>
    <row r="5859" spans="2:5" x14ac:dyDescent="0.3">
      <c r="B5859" s="4">
        <v>46050</v>
      </c>
      <c r="C5859" s="5">
        <v>2511.8000000000002</v>
      </c>
      <c r="D5859" s="6">
        <f t="shared" si="94"/>
        <v>2.3474598859214244</v>
      </c>
      <c r="E5859" s="6">
        <v>-4.232118346804941E-2</v>
      </c>
    </row>
    <row r="5860" spans="2:5" x14ac:dyDescent="0.3">
      <c r="B5860" s="4">
        <v>42206</v>
      </c>
      <c r="C5860" s="7">
        <v>750.36</v>
      </c>
      <c r="D5860" s="6">
        <f t="shared" si="94"/>
        <v>1.754322211210219</v>
      </c>
      <c r="E5860" s="6">
        <v>-4.2529571641848229E-2</v>
      </c>
    </row>
    <row r="5861" spans="2:5" x14ac:dyDescent="0.3">
      <c r="B5861" s="4">
        <v>40987</v>
      </c>
      <c r="C5861" s="7">
        <v>272.43</v>
      </c>
      <c r="D5861" s="6">
        <f t="shared" si="94"/>
        <v>2.1120630568882794</v>
      </c>
      <c r="E5861" s="6">
        <v>-4.2660856731208445E-2</v>
      </c>
    </row>
    <row r="5862" spans="2:5" x14ac:dyDescent="0.3">
      <c r="B5862" s="4">
        <v>39465</v>
      </c>
      <c r="C5862" s="7">
        <v>87.54</v>
      </c>
      <c r="D5862" s="6">
        <f t="shared" si="94"/>
        <v>0.15305584826132776</v>
      </c>
      <c r="E5862" s="6">
        <v>-4.2964906526729997E-2</v>
      </c>
    </row>
    <row r="5863" spans="2:5" x14ac:dyDescent="0.3">
      <c r="B5863" s="4">
        <v>39924</v>
      </c>
      <c r="C5863" s="7">
        <v>75.92</v>
      </c>
      <c r="D5863" s="6">
        <f t="shared" si="94"/>
        <v>-0.78548824593128386</v>
      </c>
      <c r="E5863" s="6">
        <v>-4.3828715365239343E-2</v>
      </c>
    </row>
    <row r="5864" spans="2:5" x14ac:dyDescent="0.3">
      <c r="B5864" s="4">
        <v>41514</v>
      </c>
      <c r="C5864" s="7">
        <v>353.92</v>
      </c>
      <c r="D5864" s="6">
        <f t="shared" si="94"/>
        <v>-0.85760267799665246</v>
      </c>
      <c r="E5864" s="6">
        <v>-4.3898749223329821E-2</v>
      </c>
    </row>
    <row r="5865" spans="2:5" x14ac:dyDescent="0.3">
      <c r="B5865" s="4">
        <v>44218</v>
      </c>
      <c r="C5865" s="5">
        <v>2485.44</v>
      </c>
      <c r="D5865" s="6">
        <f t="shared" si="94"/>
        <v>25.624959828602037</v>
      </c>
      <c r="E5865" s="6">
        <v>-4.4065215133788006E-2</v>
      </c>
    </row>
    <row r="5866" spans="2:5" x14ac:dyDescent="0.3">
      <c r="B5866" s="4">
        <v>39727</v>
      </c>
      <c r="C5866" s="7">
        <v>93.35</v>
      </c>
      <c r="D5866" s="6">
        <f t="shared" si="94"/>
        <v>4.652466367712995E-2</v>
      </c>
      <c r="E5866" s="6">
        <v>-4.4328419328419452E-2</v>
      </c>
    </row>
    <row r="5867" spans="2:5" x14ac:dyDescent="0.3">
      <c r="B5867" s="4">
        <v>39728</v>
      </c>
      <c r="C5867" s="7">
        <v>89.2</v>
      </c>
      <c r="D5867" s="6">
        <f t="shared" si="94"/>
        <v>-0.66527824683853054</v>
      </c>
      <c r="E5867" s="6">
        <v>-4.4456347080878325E-2</v>
      </c>
    </row>
    <row r="5868" spans="2:5" x14ac:dyDescent="0.3">
      <c r="B5868" s="4">
        <v>40837</v>
      </c>
      <c r="C5868" s="7">
        <v>266.49</v>
      </c>
      <c r="D5868" s="6">
        <f t="shared" si="94"/>
        <v>-0.90468884120171678</v>
      </c>
      <c r="E5868" s="6">
        <v>-4.4804473278612138E-2</v>
      </c>
    </row>
    <row r="5869" spans="2:5" x14ac:dyDescent="0.3">
      <c r="B5869" s="4">
        <v>46000</v>
      </c>
      <c r="C5869" s="5">
        <v>2796</v>
      </c>
      <c r="D5869" s="6">
        <f t="shared" si="94"/>
        <v>7.3720348843907241E-2</v>
      </c>
      <c r="E5869" s="6">
        <v>-4.5179797151931211E-2</v>
      </c>
    </row>
    <row r="5870" spans="2:5" x14ac:dyDescent="0.3">
      <c r="B5870" s="4">
        <v>44208</v>
      </c>
      <c r="C5870" s="5">
        <v>2604.0300000000002</v>
      </c>
      <c r="D5870" s="6">
        <f t="shared" si="94"/>
        <v>57.781715575620773</v>
      </c>
      <c r="E5870" s="6">
        <v>-4.518804518804511E-2</v>
      </c>
    </row>
    <row r="5871" spans="2:5" x14ac:dyDescent="0.3">
      <c r="B5871" s="4">
        <v>38859</v>
      </c>
      <c r="C5871" s="7">
        <v>44.3</v>
      </c>
      <c r="D5871" s="6">
        <f t="shared" si="94"/>
        <v>-0.98481326833549299</v>
      </c>
      <c r="E5871" s="6">
        <v>-4.5875511522722436E-2</v>
      </c>
    </row>
    <row r="5872" spans="2:5" x14ac:dyDescent="0.3">
      <c r="B5872" s="4">
        <v>44622</v>
      </c>
      <c r="C5872" s="5">
        <v>2917.02</v>
      </c>
      <c r="D5872" s="6">
        <f t="shared" si="94"/>
        <v>36.834241245136191</v>
      </c>
      <c r="E5872" s="6">
        <v>-4.5892985055587705E-2</v>
      </c>
    </row>
    <row r="5873" spans="2:5" x14ac:dyDescent="0.3">
      <c r="B5873" s="4">
        <v>39772</v>
      </c>
      <c r="C5873" s="7">
        <v>77.099999999999994</v>
      </c>
      <c r="D5873" s="6">
        <f t="shared" si="94"/>
        <v>-0.95184620765464178</v>
      </c>
      <c r="E5873" s="6">
        <v>-4.6146232834343735E-2</v>
      </c>
    </row>
    <row r="5874" spans="2:5" x14ac:dyDescent="0.3">
      <c r="B5874" s="4">
        <v>43955</v>
      </c>
      <c r="C5874" s="5">
        <v>1601.12</v>
      </c>
      <c r="D5874" s="6">
        <f t="shared" si="94"/>
        <v>-0.39281596990473883</v>
      </c>
      <c r="E5874" s="6">
        <v>-4.6566467379653698E-2</v>
      </c>
    </row>
    <row r="5875" spans="2:5" x14ac:dyDescent="0.3">
      <c r="B5875" s="4">
        <v>44624</v>
      </c>
      <c r="C5875" s="5">
        <v>2636.96</v>
      </c>
      <c r="D5875" s="6">
        <f t="shared" si="94"/>
        <v>-5.2585914217813026E-3</v>
      </c>
      <c r="E5875" s="6">
        <v>-4.6572925442101093E-2</v>
      </c>
    </row>
    <row r="5876" spans="2:5" x14ac:dyDescent="0.3">
      <c r="B5876" s="4">
        <v>45421</v>
      </c>
      <c r="C5876" s="5">
        <v>2650.9</v>
      </c>
      <c r="D5876" s="6">
        <f t="shared" si="94"/>
        <v>2.5256955897217641</v>
      </c>
      <c r="E5876" s="6">
        <v>-4.6846853325375096E-2</v>
      </c>
    </row>
    <row r="5877" spans="2:5" x14ac:dyDescent="0.3">
      <c r="B5877" s="4">
        <v>42303</v>
      </c>
      <c r="C5877" s="7">
        <v>751.88</v>
      </c>
      <c r="D5877" s="6">
        <f t="shared" si="94"/>
        <v>16.026268115942031</v>
      </c>
      <c r="E5877" s="6">
        <v>-4.7638348807457993E-2</v>
      </c>
    </row>
    <row r="5878" spans="2:5" x14ac:dyDescent="0.3">
      <c r="B5878" s="4">
        <v>38881</v>
      </c>
      <c r="C5878" s="7">
        <v>44.16</v>
      </c>
      <c r="D5878" s="6">
        <f t="shared" si="94"/>
        <v>-0.97169248915071049</v>
      </c>
      <c r="E5878" s="6">
        <v>-4.8070704893296054E-2</v>
      </c>
    </row>
    <row r="5879" spans="2:5" x14ac:dyDescent="0.3">
      <c r="B5879" s="4">
        <v>43986</v>
      </c>
      <c r="C5879" s="5">
        <v>1560.01</v>
      </c>
      <c r="D5879" s="6">
        <f t="shared" si="94"/>
        <v>0.74468489627020074</v>
      </c>
      <c r="E5879" s="6">
        <v>-4.8240476364789966E-2</v>
      </c>
    </row>
    <row r="5880" spans="2:5" x14ac:dyDescent="0.3">
      <c r="B5880" s="4">
        <v>42685</v>
      </c>
      <c r="C5880" s="7">
        <v>894.15</v>
      </c>
      <c r="D5880" s="6">
        <f t="shared" si="94"/>
        <v>16.331847257220389</v>
      </c>
      <c r="E5880" s="6">
        <v>-4.8452664736931696E-2</v>
      </c>
    </row>
    <row r="5881" spans="2:5" x14ac:dyDescent="0.3">
      <c r="B5881" s="4">
        <v>38804</v>
      </c>
      <c r="C5881" s="7">
        <v>51.59</v>
      </c>
      <c r="D5881" s="6">
        <f t="shared" si="94"/>
        <v>-0.8791435331599784</v>
      </c>
      <c r="E5881" s="6">
        <v>-4.9207519351271559E-2</v>
      </c>
    </row>
    <row r="5882" spans="2:5" x14ac:dyDescent="0.3">
      <c r="B5882" s="4">
        <v>41491</v>
      </c>
      <c r="C5882" s="7">
        <v>426.87</v>
      </c>
      <c r="D5882" s="6">
        <f t="shared" si="94"/>
        <v>-0.10819788576442572</v>
      </c>
      <c r="E5882" s="6">
        <v>-4.9541325258282864E-2</v>
      </c>
    </row>
    <row r="5883" spans="2:5" x14ac:dyDescent="0.3">
      <c r="B5883" s="4">
        <v>41774</v>
      </c>
      <c r="C5883" s="7">
        <v>478.66</v>
      </c>
      <c r="D5883" s="6">
        <f t="shared" si="94"/>
        <v>5.1014659018483117</v>
      </c>
      <c r="E5883" s="6">
        <v>-5.0013892747985525E-2</v>
      </c>
    </row>
    <row r="5884" spans="2:5" x14ac:dyDescent="0.3">
      <c r="B5884" s="4">
        <v>39310</v>
      </c>
      <c r="C5884" s="7">
        <v>78.45</v>
      </c>
      <c r="D5884" s="6">
        <f t="shared" si="94"/>
        <v>-0.17299177735610369</v>
      </c>
      <c r="E5884" s="6">
        <v>-5.0127134035597536E-2</v>
      </c>
    </row>
    <row r="5885" spans="2:5" x14ac:dyDescent="0.3">
      <c r="B5885" s="4">
        <v>39980</v>
      </c>
      <c r="C5885" s="7">
        <v>94.86</v>
      </c>
      <c r="D5885" s="6">
        <f t="shared" si="94"/>
        <v>0.14275388507408737</v>
      </c>
      <c r="E5885" s="6">
        <v>-5.0355390930023038E-2</v>
      </c>
    </row>
    <row r="5886" spans="2:5" x14ac:dyDescent="0.3">
      <c r="B5886" s="4">
        <v>39744</v>
      </c>
      <c r="C5886" s="7">
        <v>83.01</v>
      </c>
      <c r="D5886" s="6">
        <f t="shared" si="94"/>
        <v>-0.94284081362841365</v>
      </c>
      <c r="E5886" s="6">
        <v>-5.0446122168840042E-2</v>
      </c>
    </row>
    <row r="5887" spans="2:5" x14ac:dyDescent="0.3">
      <c r="B5887" s="4">
        <v>43924</v>
      </c>
      <c r="C5887" s="5">
        <v>1452.26</v>
      </c>
      <c r="D5887" s="6">
        <f t="shared" si="94"/>
        <v>0.35427798759733309</v>
      </c>
      <c r="E5887" s="6">
        <v>-5.1331295236602084E-2</v>
      </c>
    </row>
    <row r="5888" spans="2:5" x14ac:dyDescent="0.3">
      <c r="B5888" s="4">
        <v>43396</v>
      </c>
      <c r="C5888" s="5">
        <v>1072.3499999999999</v>
      </c>
      <c r="D5888" s="6">
        <f t="shared" si="94"/>
        <v>-0.61227795514449868</v>
      </c>
      <c r="E5888" s="6">
        <v>-5.160520031838696E-2</v>
      </c>
    </row>
    <row r="5889" spans="2:5" x14ac:dyDescent="0.3">
      <c r="B5889" s="4">
        <v>44623</v>
      </c>
      <c r="C5889" s="5">
        <v>2765.77</v>
      </c>
      <c r="D5889" s="6">
        <f t="shared" si="94"/>
        <v>27.918548724383104</v>
      </c>
      <c r="E5889" s="6">
        <v>-5.1850861495635961E-2</v>
      </c>
    </row>
    <row r="5890" spans="2:5" x14ac:dyDescent="0.3">
      <c r="B5890" s="4">
        <v>39506</v>
      </c>
      <c r="C5890" s="7">
        <v>95.64</v>
      </c>
      <c r="D5890" s="6">
        <f t="shared" si="94"/>
        <v>-0.96764141655078617</v>
      </c>
      <c r="E5890" s="6">
        <v>-5.194290245836633E-2</v>
      </c>
    </row>
    <row r="5891" spans="2:5" x14ac:dyDescent="0.3">
      <c r="B5891" s="4">
        <v>44616</v>
      </c>
      <c r="C5891" s="5">
        <v>2955.63</v>
      </c>
      <c r="D5891" s="6">
        <f t="shared" si="94"/>
        <v>-9.8481012658227812E-2</v>
      </c>
      <c r="E5891" s="6">
        <v>-5.1944302774276134E-2</v>
      </c>
    </row>
    <row r="5892" spans="2:5" x14ac:dyDescent="0.3">
      <c r="B5892" s="4">
        <v>44833</v>
      </c>
      <c r="C5892" s="5">
        <v>3278.5</v>
      </c>
      <c r="D5892" s="6">
        <f t="shared" si="94"/>
        <v>32.294404387122981</v>
      </c>
      <c r="E5892" s="6">
        <v>-5.2048425478023831E-2</v>
      </c>
    </row>
    <row r="5893" spans="2:5" x14ac:dyDescent="0.3">
      <c r="B5893" s="4">
        <v>39624</v>
      </c>
      <c r="C5893" s="7">
        <v>98.47</v>
      </c>
      <c r="D5893" s="6">
        <f t="shared" si="94"/>
        <v>-0.96589960694682531</v>
      </c>
      <c r="E5893" s="6">
        <v>-5.2717652717652753E-2</v>
      </c>
    </row>
    <row r="5894" spans="2:5" x14ac:dyDescent="0.3">
      <c r="B5894" s="4">
        <v>44490</v>
      </c>
      <c r="C5894" s="5">
        <v>2887.65</v>
      </c>
      <c r="D5894" s="6">
        <f t="shared" si="94"/>
        <v>27.735695094039212</v>
      </c>
      <c r="E5894" s="6">
        <v>-5.2878607484084204E-2</v>
      </c>
    </row>
    <row r="5895" spans="2:5" x14ac:dyDescent="0.3">
      <c r="B5895" s="4">
        <v>39679</v>
      </c>
      <c r="C5895" s="7">
        <v>100.49</v>
      </c>
      <c r="D5895" s="6">
        <f t="shared" si="94"/>
        <v>0.23225015328019619</v>
      </c>
      <c r="E5895" s="6">
        <v>-5.3499105208627738E-2</v>
      </c>
    </row>
    <row r="5896" spans="2:5" x14ac:dyDescent="0.3">
      <c r="B5896" s="4">
        <v>39398</v>
      </c>
      <c r="C5896" s="7">
        <v>81.55</v>
      </c>
      <c r="D5896" s="6">
        <f t="shared" ref="D5896:D5916" si="95">((C5896-C5897)/C5897)</f>
        <v>0.75640749515399519</v>
      </c>
      <c r="E5896" s="6">
        <v>-5.4821511358368151E-2</v>
      </c>
    </row>
    <row r="5897" spans="2:5" x14ac:dyDescent="0.3">
      <c r="B5897" s="4">
        <v>38856</v>
      </c>
      <c r="C5897" s="7">
        <v>46.43</v>
      </c>
      <c r="D5897" s="6">
        <f t="shared" si="95"/>
        <v>-0.9397083457777663</v>
      </c>
      <c r="E5897" s="6">
        <v>-5.5340793489318391E-2</v>
      </c>
    </row>
    <row r="5898" spans="2:5" x14ac:dyDescent="0.3">
      <c r="B5898" s="4">
        <v>42240</v>
      </c>
      <c r="C5898" s="7">
        <v>770.09</v>
      </c>
      <c r="D5898" s="6">
        <f t="shared" si="95"/>
        <v>7.021770833333334</v>
      </c>
      <c r="E5898" s="6">
        <v>-5.553307087579868E-2</v>
      </c>
    </row>
    <row r="5899" spans="2:5" x14ac:dyDescent="0.3">
      <c r="B5899" s="4">
        <v>39485</v>
      </c>
      <c r="C5899" s="7">
        <v>96</v>
      </c>
      <c r="D5899" s="6">
        <f t="shared" si="95"/>
        <v>-0.73294016190502687</v>
      </c>
      <c r="E5899" s="6">
        <v>-5.5675782018492985E-2</v>
      </c>
    </row>
    <row r="5900" spans="2:5" x14ac:dyDescent="0.3">
      <c r="B5900" s="4">
        <v>41520</v>
      </c>
      <c r="C5900" s="7">
        <v>359.47</v>
      </c>
      <c r="D5900" s="6">
        <f t="shared" si="95"/>
        <v>-0.5134604712856814</v>
      </c>
      <c r="E5900" s="6">
        <v>-5.7399832179567824E-2</v>
      </c>
    </row>
    <row r="5901" spans="2:5" x14ac:dyDescent="0.3">
      <c r="B5901" s="4">
        <v>42037</v>
      </c>
      <c r="C5901" s="7">
        <v>738.83</v>
      </c>
      <c r="D5901" s="6">
        <f t="shared" si="95"/>
        <v>7.0500108956199616</v>
      </c>
      <c r="E5901" s="6">
        <v>-5.7879166560403948E-2</v>
      </c>
    </row>
    <row r="5902" spans="2:5" x14ac:dyDescent="0.3">
      <c r="B5902" s="4">
        <v>39630</v>
      </c>
      <c r="C5902" s="7">
        <v>91.78</v>
      </c>
      <c r="D5902" s="6">
        <f t="shared" si="95"/>
        <v>-0.72609526083323384</v>
      </c>
      <c r="E5902" s="6">
        <v>-5.8956218599405308E-2</v>
      </c>
    </row>
    <row r="5903" spans="2:5" x14ac:dyDescent="0.3">
      <c r="B5903" s="4">
        <v>41061</v>
      </c>
      <c r="C5903" s="7">
        <v>335.08</v>
      </c>
      <c r="D5903" s="6">
        <f t="shared" si="95"/>
        <v>2.4025182778229079</v>
      </c>
      <c r="E5903" s="6">
        <v>-6.0110515834057972E-2</v>
      </c>
    </row>
    <row r="5904" spans="2:5" x14ac:dyDescent="0.3">
      <c r="B5904" s="4">
        <v>39479</v>
      </c>
      <c r="C5904" s="7">
        <v>98.48</v>
      </c>
      <c r="D5904" s="6">
        <f t="shared" si="95"/>
        <v>0.20775079715477063</v>
      </c>
      <c r="E5904" s="6">
        <v>-6.1111640766517268E-2</v>
      </c>
    </row>
    <row r="5905" spans="2:5" x14ac:dyDescent="0.3">
      <c r="B5905" s="4">
        <v>39736</v>
      </c>
      <c r="C5905" s="7">
        <v>81.540000000000006</v>
      </c>
      <c r="D5905" s="6">
        <f t="shared" si="95"/>
        <v>-0.94927274763285263</v>
      </c>
      <c r="E5905" s="6">
        <v>-6.1139896373056862E-2</v>
      </c>
    </row>
    <row r="5906" spans="2:5" x14ac:dyDescent="0.3">
      <c r="B5906" s="4">
        <v>43906</v>
      </c>
      <c r="C5906" s="5">
        <v>1607.42</v>
      </c>
      <c r="D5906" s="6">
        <f t="shared" si="95"/>
        <v>4.0286829280920547E-2</v>
      </c>
      <c r="E5906" s="6">
        <v>-6.3580649671435827E-2</v>
      </c>
    </row>
    <row r="5907" spans="2:5" x14ac:dyDescent="0.3">
      <c r="B5907" s="4">
        <v>43908</v>
      </c>
      <c r="C5907" s="5">
        <v>1545.17</v>
      </c>
      <c r="D5907" s="6">
        <f t="shared" si="95"/>
        <v>27.471899760456974</v>
      </c>
      <c r="E5907" s="6">
        <v>-6.5487314403217492E-2</v>
      </c>
    </row>
    <row r="5908" spans="2:5" x14ac:dyDescent="0.3">
      <c r="B5908" s="4">
        <v>39146</v>
      </c>
      <c r="C5908" s="7">
        <v>54.27</v>
      </c>
      <c r="D5908" s="6">
        <f t="shared" si="95"/>
        <v>-0.93443355764700198</v>
      </c>
      <c r="E5908" s="6">
        <v>-6.5760027543467034E-2</v>
      </c>
    </row>
    <row r="5909" spans="2:5" x14ac:dyDescent="0.3">
      <c r="B5909" s="4">
        <v>42689</v>
      </c>
      <c r="C5909" s="7">
        <v>827.71</v>
      </c>
      <c r="D5909" s="6">
        <f t="shared" si="95"/>
        <v>1.0962113154029276</v>
      </c>
      <c r="E5909" s="6">
        <v>-7.4305206061622706E-2</v>
      </c>
    </row>
    <row r="5910" spans="2:5" x14ac:dyDescent="0.3">
      <c r="B5910" s="4">
        <v>41492</v>
      </c>
      <c r="C5910" s="7">
        <v>394.86</v>
      </c>
      <c r="D5910" s="6">
        <f t="shared" si="95"/>
        <v>17.874760994263859</v>
      </c>
      <c r="E5910" s="6">
        <v>-7.498770117365941E-2</v>
      </c>
    </row>
    <row r="5911" spans="2:5" x14ac:dyDescent="0.3">
      <c r="B5911" s="4">
        <v>38124</v>
      </c>
      <c r="C5911" s="7">
        <v>20.92</v>
      </c>
      <c r="D5911" s="6">
        <f t="shared" si="95"/>
        <v>-0.99234588408331714</v>
      </c>
      <c r="E5911" s="6">
        <v>-7.7601410934744181E-2</v>
      </c>
    </row>
    <row r="5912" spans="2:5" x14ac:dyDescent="0.3">
      <c r="B5912" s="4">
        <v>44706</v>
      </c>
      <c r="C5912" s="5">
        <v>2733.17</v>
      </c>
      <c r="D5912" s="6">
        <f t="shared" si="95"/>
        <v>31.170080037664786</v>
      </c>
      <c r="E5912" s="6">
        <v>-8.060132266767138E-2</v>
      </c>
    </row>
    <row r="5913" spans="2:5" x14ac:dyDescent="0.3">
      <c r="B5913" s="4">
        <v>39381</v>
      </c>
      <c r="C5913" s="7">
        <v>84.96</v>
      </c>
      <c r="D5913" s="6">
        <f t="shared" si="95"/>
        <v>-0.96617322684164009</v>
      </c>
      <c r="E5913" s="6">
        <v>-8.1314878892733672E-2</v>
      </c>
    </row>
    <row r="5914" spans="2:5" x14ac:dyDescent="0.3">
      <c r="B5914" s="4">
        <v>45607</v>
      </c>
      <c r="C5914" s="5">
        <v>2511.62</v>
      </c>
      <c r="D5914" s="6">
        <f t="shared" si="95"/>
        <v>30.41095547773887</v>
      </c>
      <c r="E5914" s="6">
        <v>-8.1731665673431694E-2</v>
      </c>
    </row>
    <row r="5915" spans="2:5" x14ac:dyDescent="0.3">
      <c r="B5915" s="4">
        <v>39469</v>
      </c>
      <c r="C5915" s="7">
        <v>79.959999999999994</v>
      </c>
      <c r="D5915" s="6">
        <f t="shared" si="95"/>
        <v>0.92211538461538445</v>
      </c>
      <c r="E5915" s="6">
        <v>-9.1466878763776974E-2</v>
      </c>
    </row>
    <row r="5916" spans="2:5" x14ac:dyDescent="0.3">
      <c r="B5916" s="4">
        <v>38876</v>
      </c>
      <c r="C5916" s="7">
        <v>41.6</v>
      </c>
      <c r="D5916" s="6">
        <f t="shared" si="95"/>
        <v>-0.39261206015476707</v>
      </c>
      <c r="E5916" s="6">
        <v>-0.11319548070773813</v>
      </c>
    </row>
    <row r="5917" spans="2:5" x14ac:dyDescent="0.3">
      <c r="B5917" s="4">
        <v>39840</v>
      </c>
      <c r="C5917" s="7">
        <v>68.489999999999995</v>
      </c>
      <c r="D5917" s="6">
        <f>((C5917-C5918)/C5918)</f>
        <v>-0.95213234369103028</v>
      </c>
      <c r="E5917" s="6">
        <v>-0.12962256957682047</v>
      </c>
    </row>
    <row r="5918" spans="2:5" x14ac:dyDescent="0.3">
      <c r="B5918" s="4">
        <v>43913</v>
      </c>
      <c r="C5918" s="5">
        <v>1430.82</v>
      </c>
      <c r="D5918" s="6" t="e">
        <f>((C5918-C5919)/C5919)</f>
        <v>#DIV/0!</v>
      </c>
      <c r="E5918" s="6">
        <v>-0.14028204219216606</v>
      </c>
    </row>
  </sheetData>
  <mergeCells count="2">
    <mergeCell ref="B4:D5"/>
    <mergeCell ref="E3:I4"/>
  </mergeCells>
  <pageMargins left="0.7" right="0.7" top="0.75" bottom="0.75" header="0.3" footer="0.3"/>
  <pageSetup paperSize="9" orientation="portrait" r:id="rId1"/>
  <rowBreaks count="1" manualBreakCount="1">
    <brk id="8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DC1F-E471-4830-8C2D-9CFD4B6EFA63}">
  <sheetPr>
    <pageSetUpPr fitToPage="1"/>
  </sheetPr>
  <dimension ref="A2:N6007"/>
  <sheetViews>
    <sheetView showGridLines="0" workbookViewId="0">
      <pane ySplit="7" topLeftCell="A50" activePane="bottomLeft" state="frozen"/>
      <selection pane="bottomLeft" activeCell="A2" sqref="A2:N60"/>
    </sheetView>
  </sheetViews>
  <sheetFormatPr defaultRowHeight="14.4" x14ac:dyDescent="0.3"/>
  <cols>
    <col min="1" max="1" width="1.75" style="1" customWidth="1"/>
    <col min="2" max="2" width="11.625" style="14" bestFit="1" customWidth="1"/>
    <col min="3" max="3" width="13.5" style="1" customWidth="1"/>
    <col min="4" max="4" width="14.875" style="1" customWidth="1"/>
    <col min="5" max="5" width="17.25" style="1" customWidth="1"/>
    <col min="6" max="6" width="1" style="1" customWidth="1"/>
    <col min="7" max="7" width="13.75" style="1" customWidth="1"/>
    <col min="8" max="8" width="18.625" style="1" customWidth="1"/>
    <col min="9" max="9" width="1" style="1" customWidth="1"/>
    <col min="10" max="10" width="11.375" style="1" customWidth="1"/>
    <col min="11" max="11" width="12.5" style="1" customWidth="1"/>
    <col min="12" max="12" width="9.875" style="1" customWidth="1"/>
    <col min="13" max="13" width="14.75" style="1" customWidth="1"/>
    <col min="14" max="14" width="13.5" style="1" customWidth="1"/>
    <col min="15" max="16384" width="9" style="1"/>
  </cols>
  <sheetData>
    <row r="2" spans="1:14" x14ac:dyDescent="0.3">
      <c r="B2" s="36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 x14ac:dyDescent="0.3">
      <c r="B3" s="3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B4" s="39" t="s">
        <v>21</v>
      </c>
      <c r="C4" s="42"/>
      <c r="D4" s="4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B5" s="42"/>
      <c r="C5" s="42"/>
      <c r="D5" s="42"/>
      <c r="E5" s="2"/>
      <c r="F5" s="2"/>
      <c r="G5" s="2"/>
      <c r="H5" s="2"/>
      <c r="I5" s="2"/>
      <c r="J5" s="2"/>
      <c r="K5" s="2"/>
      <c r="L5" s="2"/>
      <c r="M5" s="2"/>
      <c r="N5" s="2"/>
    </row>
    <row r="7" spans="1:14" x14ac:dyDescent="0.3">
      <c r="A7" s="3"/>
      <c r="B7" s="8" t="s">
        <v>0</v>
      </c>
      <c r="C7" s="35" t="s">
        <v>1</v>
      </c>
      <c r="D7" s="10" t="s">
        <v>2</v>
      </c>
      <c r="E7" s="10" t="s">
        <v>3</v>
      </c>
      <c r="F7" s="10"/>
      <c r="G7" s="10" t="s">
        <v>16</v>
      </c>
      <c r="H7" s="10" t="s">
        <v>17</v>
      </c>
      <c r="I7" s="12"/>
      <c r="J7" s="13" t="s">
        <v>18</v>
      </c>
      <c r="K7" s="12"/>
      <c r="L7" s="12"/>
      <c r="M7" s="12"/>
      <c r="N7" s="12"/>
    </row>
    <row r="8" spans="1:14" x14ac:dyDescent="0.3">
      <c r="B8" s="4">
        <v>40109</v>
      </c>
      <c r="C8" s="7">
        <v>144.88999999999999</v>
      </c>
      <c r="D8" s="6">
        <f t="shared" ref="D8:D71" si="0">((C8-C9)/C9)</f>
        <v>1.2446165762974437</v>
      </c>
      <c r="E8" s="6">
        <v>9.6571558313781822E-2</v>
      </c>
      <c r="F8" s="6"/>
      <c r="G8" s="6">
        <v>1</v>
      </c>
      <c r="H8" s="6">
        <f ca="1">_xlfn.NORM.INV(RAND(),N$10,N$11)</f>
        <v>-1.9737030101732025E-2</v>
      </c>
    </row>
    <row r="9" spans="1:14" x14ac:dyDescent="0.3">
      <c r="B9" s="4">
        <v>39097</v>
      </c>
      <c r="C9" s="7">
        <v>64.55</v>
      </c>
      <c r="D9" s="6">
        <f t="shared" si="0"/>
        <v>-0.30201124567474052</v>
      </c>
      <c r="E9" s="6">
        <v>9.2956315611242707E-2</v>
      </c>
      <c r="F9" s="6"/>
      <c r="G9" s="6">
        <v>2</v>
      </c>
      <c r="H9" s="6">
        <f t="shared" ref="H9:H72" ca="1" si="1">_xlfn.NORM.INV(RAND(),N$10,N$11)</f>
        <v>-1.0165706934822003E-2</v>
      </c>
      <c r="J9" s="30" t="s">
        <v>19</v>
      </c>
      <c r="K9" s="31"/>
      <c r="L9" s="31"/>
      <c r="M9" s="31"/>
      <c r="N9" s="31"/>
    </row>
    <row r="10" spans="1:14" x14ac:dyDescent="0.3">
      <c r="B10" s="4">
        <v>39380</v>
      </c>
      <c r="C10" s="7">
        <v>92.48</v>
      </c>
      <c r="D10" s="6">
        <f t="shared" si="0"/>
        <v>-0.96804091647371882</v>
      </c>
      <c r="E10" s="6">
        <v>9.1338210998348004E-2</v>
      </c>
      <c r="F10" s="6"/>
      <c r="G10" s="6">
        <v>3</v>
      </c>
      <c r="H10" s="6">
        <f t="shared" ca="1" si="1"/>
        <v>-1.1025133051665633E-2</v>
      </c>
      <c r="J10" s="28" t="s">
        <v>5</v>
      </c>
      <c r="K10" s="29"/>
      <c r="L10" s="29"/>
      <c r="M10" s="29"/>
      <c r="N10" s="24">
        <f>AVERAGE(E8:E5918)</f>
        <v>9.8397655929276392E-4</v>
      </c>
    </row>
    <row r="11" spans="1:14" x14ac:dyDescent="0.3">
      <c r="B11" s="4">
        <v>45980</v>
      </c>
      <c r="C11" s="5">
        <v>2893.7</v>
      </c>
      <c r="D11" s="6">
        <f t="shared" si="0"/>
        <v>0.73869938532347124</v>
      </c>
      <c r="E11" s="6">
        <v>9.0702811093605076E-2</v>
      </c>
      <c r="F11" s="6"/>
      <c r="G11" s="6">
        <v>4</v>
      </c>
      <c r="H11" s="6">
        <f t="shared" ca="1" si="1"/>
        <v>-2.0305211638391676E-2</v>
      </c>
      <c r="J11" s="15" t="s">
        <v>6</v>
      </c>
      <c r="K11" s="16"/>
      <c r="L11" s="16"/>
      <c r="M11" s="16"/>
      <c r="N11" s="17">
        <f>_xlfn.STDEV.S(E8:E5918)</f>
        <v>1.6462571010812325E-2</v>
      </c>
    </row>
    <row r="12" spans="1:14" x14ac:dyDescent="0.3">
      <c r="B12" s="4">
        <v>43910</v>
      </c>
      <c r="C12" s="5">
        <v>1664.29</v>
      </c>
      <c r="D12" s="6">
        <f t="shared" si="0"/>
        <v>-0.37330692442961666</v>
      </c>
      <c r="E12" s="6">
        <v>8.8532503123099085E-2</v>
      </c>
      <c r="F12" s="6"/>
      <c r="G12" s="6">
        <v>5</v>
      </c>
      <c r="H12" s="6">
        <f t="shared" ca="1" si="1"/>
        <v>-1.2346611663595521E-2</v>
      </c>
      <c r="J12" s="15" t="s">
        <v>7</v>
      </c>
      <c r="K12" s="16"/>
      <c r="L12" s="16"/>
      <c r="M12" s="16"/>
      <c r="N12" s="17">
        <f>MIN(E8:E5918)</f>
        <v>-0.14028204219216606</v>
      </c>
    </row>
    <row r="13" spans="1:14" x14ac:dyDescent="0.3">
      <c r="B13" s="4">
        <v>44330</v>
      </c>
      <c r="C13" s="5">
        <v>2655.67</v>
      </c>
      <c r="D13" s="6">
        <f t="shared" si="0"/>
        <v>143.32989130434783</v>
      </c>
      <c r="E13" s="6">
        <v>8.5400045775569047E-2</v>
      </c>
      <c r="F13" s="6"/>
      <c r="G13" s="6">
        <v>6</v>
      </c>
      <c r="H13" s="6">
        <f t="shared" ca="1" si="1"/>
        <v>-3.1626861989161141E-3</v>
      </c>
      <c r="J13" s="15" t="s">
        <v>8</v>
      </c>
      <c r="K13" s="16"/>
      <c r="L13" s="16"/>
      <c r="M13" s="16"/>
      <c r="N13" s="17">
        <f>MAX(E8:E5918)</f>
        <v>9.6571558313781822E-2</v>
      </c>
    </row>
    <row r="14" spans="1:14" x14ac:dyDescent="0.3">
      <c r="B14" s="4">
        <v>37757</v>
      </c>
      <c r="C14" s="7">
        <v>18.399999999999999</v>
      </c>
      <c r="D14" s="6">
        <f t="shared" si="0"/>
        <v>-0.59138352209638023</v>
      </c>
      <c r="E14" s="6">
        <v>8.2989994114184826E-2</v>
      </c>
      <c r="F14" s="6"/>
      <c r="G14" s="6">
        <v>7</v>
      </c>
      <c r="H14" s="6">
        <f t="shared" ca="1" si="1"/>
        <v>-4.5283657209353408E-2</v>
      </c>
      <c r="J14" s="15" t="s">
        <v>13</v>
      </c>
      <c r="K14" s="16"/>
      <c r="L14" s="16"/>
      <c r="M14" s="16"/>
      <c r="N14" s="18">
        <v>2519</v>
      </c>
    </row>
    <row r="15" spans="1:14" x14ac:dyDescent="0.3">
      <c r="B15" s="4">
        <v>38877</v>
      </c>
      <c r="C15" s="7">
        <v>45.03</v>
      </c>
      <c r="D15" s="6">
        <f t="shared" si="0"/>
        <v>-0.97368713223048742</v>
      </c>
      <c r="E15" s="6">
        <v>8.2451923076923062E-2</v>
      </c>
      <c r="F15" s="6"/>
      <c r="G15" s="6">
        <v>8</v>
      </c>
      <c r="H15" s="6">
        <f t="shared" ca="1" si="1"/>
        <v>-1.988831215998059E-2</v>
      </c>
      <c r="J15" s="32"/>
      <c r="K15" s="33"/>
      <c r="L15" s="33"/>
      <c r="M15" s="33"/>
      <c r="N15" s="34"/>
    </row>
    <row r="16" spans="1:14" x14ac:dyDescent="0.3">
      <c r="B16" s="4">
        <v>43731</v>
      </c>
      <c r="C16" s="5">
        <v>1711.33</v>
      </c>
      <c r="D16" s="6">
        <f t="shared" si="0"/>
        <v>17.038684515652999</v>
      </c>
      <c r="E16" s="6">
        <v>7.8845838639315075E-2</v>
      </c>
      <c r="F16" s="6"/>
      <c r="G16" s="6">
        <v>9</v>
      </c>
      <c r="H16" s="6">
        <f t="shared" ca="1" si="1"/>
        <v>-9.2108029084061634E-3</v>
      </c>
      <c r="J16" s="30" t="s">
        <v>20</v>
      </c>
      <c r="K16" s="31"/>
      <c r="L16" s="31"/>
      <c r="M16" s="31"/>
      <c r="N16" s="31"/>
    </row>
    <row r="17" spans="2:14" x14ac:dyDescent="0.3">
      <c r="B17" s="4">
        <v>39475</v>
      </c>
      <c r="C17" s="7">
        <v>94.87</v>
      </c>
      <c r="D17" s="6">
        <f t="shared" si="0"/>
        <v>-0.78067782504161276</v>
      </c>
      <c r="E17" s="6">
        <v>7.6600090785292785E-2</v>
      </c>
      <c r="F17" s="6"/>
      <c r="G17" s="6">
        <v>10</v>
      </c>
      <c r="H17" s="6">
        <f t="shared" ca="1" si="1"/>
        <v>3.2478614434040664E-3</v>
      </c>
      <c r="J17" s="28" t="s">
        <v>5</v>
      </c>
      <c r="K17" s="29"/>
      <c r="L17" s="29"/>
      <c r="M17" s="29"/>
      <c r="N17" s="24">
        <f ca="1">AVERAGE(H8:H6007)</f>
        <v>1.0689761646388021E-3</v>
      </c>
    </row>
    <row r="18" spans="2:14" x14ac:dyDescent="0.3">
      <c r="B18" s="4">
        <v>41536</v>
      </c>
      <c r="C18" s="7">
        <v>432.56</v>
      </c>
      <c r="D18" s="6">
        <f t="shared" si="0"/>
        <v>-0.72730825968000201</v>
      </c>
      <c r="E18" s="6">
        <v>7.5431355974342335E-2</v>
      </c>
      <c r="F18" s="6"/>
      <c r="G18" s="6">
        <v>11</v>
      </c>
      <c r="H18" s="6">
        <f t="shared" ca="1" si="1"/>
        <v>3.6736595426633038E-2</v>
      </c>
      <c r="J18" s="15" t="s">
        <v>6</v>
      </c>
      <c r="K18" s="16"/>
      <c r="L18" s="16"/>
      <c r="M18" s="16"/>
      <c r="N18" s="17">
        <f ca="1">_xlfn.STDEV.S(H8:H6007)</f>
        <v>1.627389772843392E-2</v>
      </c>
    </row>
    <row r="19" spans="2:14" x14ac:dyDescent="0.3">
      <c r="B19" s="4">
        <v>43728</v>
      </c>
      <c r="C19" s="5">
        <v>1586.26</v>
      </c>
      <c r="D19" s="6">
        <f t="shared" si="0"/>
        <v>15.885884607196083</v>
      </c>
      <c r="E19" s="6">
        <v>7.5357602874381452E-2</v>
      </c>
      <c r="F19" s="6"/>
      <c r="G19" s="6">
        <v>12</v>
      </c>
      <c r="H19" s="6">
        <f t="shared" ca="1" si="1"/>
        <v>-2.9451175363798179E-3</v>
      </c>
      <c r="J19" s="15" t="s">
        <v>7</v>
      </c>
      <c r="K19" s="16"/>
      <c r="L19" s="16"/>
      <c r="M19" s="16"/>
      <c r="N19" s="17">
        <f ca="1">MIN(H8:H6007)</f>
        <v>-6.727063159947895E-2</v>
      </c>
    </row>
    <row r="20" spans="2:14" x14ac:dyDescent="0.3">
      <c r="B20" s="4">
        <v>39954</v>
      </c>
      <c r="C20" s="7">
        <v>93.94</v>
      </c>
      <c r="D20" s="6">
        <f t="shared" si="0"/>
        <v>4.3103448275862064</v>
      </c>
      <c r="E20" s="6">
        <v>7.5197436190912126E-2</v>
      </c>
      <c r="F20" s="6"/>
      <c r="G20" s="6">
        <v>13</v>
      </c>
      <c r="H20" s="6">
        <f t="shared" ca="1" si="1"/>
        <v>1.5059904911636819E-2</v>
      </c>
      <c r="J20" s="15" t="s">
        <v>8</v>
      </c>
      <c r="K20" s="16"/>
      <c r="L20" s="16"/>
      <c r="M20" s="16"/>
      <c r="N20" s="17">
        <f ca="1">MAX(H8:H6007)</f>
        <v>5.5058003965191345E-2</v>
      </c>
    </row>
    <row r="21" spans="2:14" x14ac:dyDescent="0.3">
      <c r="B21" s="4">
        <v>37743</v>
      </c>
      <c r="C21" s="7">
        <v>17.690000000000001</v>
      </c>
      <c r="D21" s="6">
        <f t="shared" si="0"/>
        <v>-0.79831262113784063</v>
      </c>
      <c r="E21" s="6">
        <v>7.4726609963548019E-2</v>
      </c>
      <c r="F21" s="6"/>
      <c r="G21" s="6">
        <v>14</v>
      </c>
      <c r="H21" s="6">
        <f t="shared" ca="1" si="1"/>
        <v>-1.4682189284321081E-2</v>
      </c>
      <c r="J21" s="15" t="s">
        <v>13</v>
      </c>
      <c r="K21" s="16"/>
      <c r="L21" s="16"/>
      <c r="M21" s="16"/>
      <c r="N21" s="18">
        <v>2519</v>
      </c>
    </row>
    <row r="22" spans="2:14" x14ac:dyDescent="0.3">
      <c r="B22" s="4">
        <v>39742</v>
      </c>
      <c r="C22" s="7">
        <v>87.71</v>
      </c>
      <c r="D22" s="6">
        <f t="shared" si="0"/>
        <v>-0.87963992150727977</v>
      </c>
      <c r="E22" s="6">
        <v>7.2249388753056198E-2</v>
      </c>
      <c r="F22" s="6"/>
      <c r="G22" s="6">
        <v>15</v>
      </c>
      <c r="H22" s="6">
        <f t="shared" ca="1" si="1"/>
        <v>-1.8158918250339186E-2</v>
      </c>
      <c r="J22" s="32"/>
      <c r="K22" s="33"/>
      <c r="L22" s="33"/>
      <c r="M22" s="33"/>
      <c r="N22" s="34"/>
    </row>
    <row r="23" spans="2:14" x14ac:dyDescent="0.3">
      <c r="B23" s="4">
        <v>41974</v>
      </c>
      <c r="C23" s="7">
        <v>728.73</v>
      </c>
      <c r="D23" s="6">
        <f t="shared" si="0"/>
        <v>31.561662198391424</v>
      </c>
      <c r="E23" s="6">
        <v>7.0308139705666364E-2</v>
      </c>
      <c r="F23" s="6"/>
      <c r="G23" s="6">
        <v>16</v>
      </c>
      <c r="H23" s="6">
        <f t="shared" ca="1" si="1"/>
        <v>8.3960450730343299E-3</v>
      </c>
      <c r="J23" s="26" t="s">
        <v>10</v>
      </c>
      <c r="K23" s="27" t="s">
        <v>15</v>
      </c>
      <c r="L23" s="27" t="s">
        <v>11</v>
      </c>
      <c r="M23" s="27" t="s">
        <v>12</v>
      </c>
      <c r="N23" s="27" t="s">
        <v>14</v>
      </c>
    </row>
    <row r="24" spans="2:14" x14ac:dyDescent="0.3">
      <c r="B24" s="4">
        <v>38125</v>
      </c>
      <c r="C24" s="7">
        <v>22.38</v>
      </c>
      <c r="D24" s="6">
        <f t="shared" si="0"/>
        <v>-0.98556603956117661</v>
      </c>
      <c r="E24" s="6">
        <v>6.9789674952198719E-2</v>
      </c>
      <c r="F24" s="6"/>
      <c r="G24" s="6">
        <v>17</v>
      </c>
      <c r="H24" s="6">
        <f t="shared" ca="1" si="1"/>
        <v>1.0312020144560383E-2</v>
      </c>
      <c r="J24" s="22">
        <v>0.1</v>
      </c>
      <c r="K24" s="23">
        <f>100%-J24</f>
        <v>0.9</v>
      </c>
      <c r="L24" s="24">
        <f ca="1">_xlfn.PERCENTILE.INC($H$8:$H$5918,J24)</f>
        <v>-1.9602045293907227E-2</v>
      </c>
      <c r="M24" s="25">
        <f ca="1" xml:space="preserve"> $N$21*(1-L24)</f>
        <v>2568.3775520953523</v>
      </c>
      <c r="N24" s="25">
        <f ca="1">$N$14-M24</f>
        <v>-49.377552095352257</v>
      </c>
    </row>
    <row r="25" spans="2:14" x14ac:dyDescent="0.3">
      <c r="B25" s="4">
        <v>43928</v>
      </c>
      <c r="C25" s="5">
        <v>1550.51</v>
      </c>
      <c r="D25" s="6">
        <f t="shared" si="0"/>
        <v>58.134630053394353</v>
      </c>
      <c r="E25" s="6">
        <v>6.765317505129935E-2</v>
      </c>
      <c r="F25" s="6"/>
      <c r="G25" s="6">
        <v>18</v>
      </c>
      <c r="H25" s="6">
        <f t="shared" ca="1" si="1"/>
        <v>1.8821221101216253E-2</v>
      </c>
      <c r="J25" s="19">
        <v>0.05</v>
      </c>
      <c r="K25" s="20">
        <f>100%-J25</f>
        <v>0.95</v>
      </c>
      <c r="L25" s="24">
        <f ca="1">_xlfn.PERCENTILE.INC($H$8:$H$5918,J25)</f>
        <v>-2.5837099812698043E-2</v>
      </c>
      <c r="M25" s="25">
        <f t="shared" ref="M25:M27" ca="1" si="2" xml:space="preserve"> $N$21*(1-L25)</f>
        <v>2584.083654428186</v>
      </c>
      <c r="N25" s="21">
        <f ca="1">$N$14-M25</f>
        <v>-65.083654428186037</v>
      </c>
    </row>
    <row r="26" spans="2:14" x14ac:dyDescent="0.3">
      <c r="B26" s="4">
        <v>38009</v>
      </c>
      <c r="C26" s="7">
        <v>26.22</v>
      </c>
      <c r="D26" s="6">
        <f t="shared" si="0"/>
        <v>-0.64946524064171118</v>
      </c>
      <c r="E26" s="6">
        <v>6.6720911310008166E-2</v>
      </c>
      <c r="F26" s="6"/>
      <c r="G26" s="6">
        <v>19</v>
      </c>
      <c r="H26" s="6">
        <f t="shared" ca="1" si="1"/>
        <v>1.2069927698662471E-2</v>
      </c>
      <c r="J26" s="19">
        <v>0.01</v>
      </c>
      <c r="K26" s="20">
        <f t="shared" ref="K26:K27" si="3">100%-J26</f>
        <v>0.99</v>
      </c>
      <c r="L26" s="24">
        <f t="shared" ref="L25:L27" ca="1" si="4">_xlfn.PERCENTILE.INC($H$8:$H$5918,J26)</f>
        <v>-3.7218605581254394E-2</v>
      </c>
      <c r="M26" s="25">
        <f t="shared" ca="1" si="2"/>
        <v>2612.7536674591802</v>
      </c>
      <c r="N26" s="21">
        <f t="shared" ref="N25:N27" ca="1" si="5">$N$14-M26</f>
        <v>-93.753667459180178</v>
      </c>
    </row>
    <row r="27" spans="2:14" x14ac:dyDescent="0.3">
      <c r="B27" s="4">
        <v>39918</v>
      </c>
      <c r="C27" s="7">
        <v>74.8</v>
      </c>
      <c r="D27" s="6">
        <f t="shared" si="0"/>
        <v>-0.24687877567458716</v>
      </c>
      <c r="E27" s="6">
        <v>6.6438551468491536E-2</v>
      </c>
      <c r="F27" s="6"/>
      <c r="G27" s="6">
        <v>20</v>
      </c>
      <c r="H27" s="6">
        <f t="shared" ca="1" si="1"/>
        <v>1.8349390649793688E-2</v>
      </c>
      <c r="J27" s="19">
        <v>5.0000000000000001E-3</v>
      </c>
      <c r="K27" s="20">
        <f t="shared" si="3"/>
        <v>0.995</v>
      </c>
      <c r="L27" s="24">
        <f t="shared" ca="1" si="4"/>
        <v>-4.2657390993784634E-2</v>
      </c>
      <c r="M27" s="25">
        <f ca="1" xml:space="preserve"> $N$21*(1-L27)</f>
        <v>2626.4539679133436</v>
      </c>
      <c r="N27" s="21">
        <f t="shared" ca="1" si="5"/>
        <v>-107.4539679133436</v>
      </c>
    </row>
    <row r="28" spans="2:14" x14ac:dyDescent="0.3">
      <c r="B28" s="4">
        <v>39477</v>
      </c>
      <c r="C28" s="7">
        <v>99.32</v>
      </c>
      <c r="D28" s="6">
        <f t="shared" si="0"/>
        <v>0.73242630385487517</v>
      </c>
      <c r="E28" s="6">
        <v>6.5093833780160787E-2</v>
      </c>
      <c r="F28" s="6"/>
      <c r="G28" s="6">
        <v>21</v>
      </c>
      <c r="H28" s="6">
        <f t="shared" ca="1" si="1"/>
        <v>-2.2039744488554884E-2</v>
      </c>
    </row>
    <row r="29" spans="2:14" x14ac:dyDescent="0.3">
      <c r="B29" s="4">
        <v>38754</v>
      </c>
      <c r="C29" s="7">
        <v>57.33</v>
      </c>
      <c r="D29" s="6">
        <f t="shared" si="0"/>
        <v>-0.92356305747770084</v>
      </c>
      <c r="E29" s="6">
        <v>6.3439065108514228E-2</v>
      </c>
      <c r="F29" s="6"/>
      <c r="G29" s="6">
        <v>22</v>
      </c>
      <c r="H29" s="6">
        <f t="shared" ca="1" si="1"/>
        <v>2.9259811421356981E-2</v>
      </c>
    </row>
    <row r="30" spans="2:14" x14ac:dyDescent="0.3">
      <c r="B30" s="4">
        <v>42012</v>
      </c>
      <c r="C30" s="7">
        <v>750.03</v>
      </c>
      <c r="D30" s="6">
        <f t="shared" si="0"/>
        <v>6.3496325330720236</v>
      </c>
      <c r="E30" s="6">
        <v>6.3043016086740872E-2</v>
      </c>
      <c r="F30" s="6"/>
      <c r="G30" s="6">
        <v>23</v>
      </c>
      <c r="H30" s="6">
        <f t="shared" ca="1" si="1"/>
        <v>6.1814370272864679E-4</v>
      </c>
    </row>
    <row r="31" spans="2:14" x14ac:dyDescent="0.3">
      <c r="B31" s="4">
        <v>39454</v>
      </c>
      <c r="C31" s="7">
        <v>102.05</v>
      </c>
      <c r="D31" s="6">
        <f t="shared" si="0"/>
        <v>-0.90239306756446558</v>
      </c>
      <c r="E31" s="6">
        <v>6.2688743101114192E-2</v>
      </c>
      <c r="F31" s="6"/>
      <c r="G31" s="6">
        <v>24</v>
      </c>
      <c r="H31" s="6">
        <f t="shared" ca="1" si="1"/>
        <v>5.5591134119708646E-3</v>
      </c>
    </row>
    <row r="32" spans="2:14" x14ac:dyDescent="0.3">
      <c r="B32" s="4">
        <v>42579</v>
      </c>
      <c r="C32" s="5">
        <v>1045.52</v>
      </c>
      <c r="D32" s="6">
        <f t="shared" si="0"/>
        <v>3.623330680109667</v>
      </c>
      <c r="E32" s="6">
        <v>6.2347585758413281E-2</v>
      </c>
      <c r="F32" s="6"/>
      <c r="G32" s="6">
        <v>25</v>
      </c>
      <c r="H32" s="6">
        <f t="shared" ca="1" si="1"/>
        <v>1.8382954438210565E-3</v>
      </c>
    </row>
    <row r="33" spans="2:8" x14ac:dyDescent="0.3">
      <c r="B33" s="4">
        <v>40387</v>
      </c>
      <c r="C33" s="7">
        <v>226.14</v>
      </c>
      <c r="D33" s="6">
        <f t="shared" si="0"/>
        <v>1.2416732751784298</v>
      </c>
      <c r="E33" s="6">
        <v>6.0594690929556272E-2</v>
      </c>
      <c r="F33" s="6"/>
      <c r="G33" s="6">
        <v>26</v>
      </c>
      <c r="H33" s="6">
        <f t="shared" ca="1" si="1"/>
        <v>2.2377791248863334E-2</v>
      </c>
    </row>
    <row r="34" spans="2:8" x14ac:dyDescent="0.3">
      <c r="B34" s="4">
        <v>39505</v>
      </c>
      <c r="C34" s="7">
        <v>100.88</v>
      </c>
      <c r="D34" s="6">
        <f t="shared" si="0"/>
        <v>-0.41307889225040728</v>
      </c>
      <c r="E34" s="6">
        <v>5.9775186469166908E-2</v>
      </c>
      <c r="F34" s="6"/>
      <c r="G34" s="6">
        <v>27</v>
      </c>
      <c r="H34" s="6">
        <f t="shared" ca="1" si="1"/>
        <v>2.2283332412064562E-2</v>
      </c>
    </row>
    <row r="35" spans="2:8" x14ac:dyDescent="0.3">
      <c r="B35" s="4">
        <v>40240</v>
      </c>
      <c r="C35" s="7">
        <v>171.88</v>
      </c>
      <c r="D35" s="6">
        <f t="shared" si="0"/>
        <v>-0.94343671019376574</v>
      </c>
      <c r="E35" s="6">
        <v>5.9483449423657811E-2</v>
      </c>
      <c r="F35" s="6"/>
      <c r="G35" s="6">
        <v>28</v>
      </c>
      <c r="H35" s="6">
        <f t="shared" ca="1" si="1"/>
        <v>1.7397015182385754E-2</v>
      </c>
    </row>
    <row r="36" spans="2:8" x14ac:dyDescent="0.3">
      <c r="B36" s="4">
        <v>44397</v>
      </c>
      <c r="C36" s="5">
        <v>3038.72</v>
      </c>
      <c r="D36" s="6">
        <f t="shared" si="0"/>
        <v>5.5251991668277176</v>
      </c>
      <c r="E36" s="6">
        <v>5.9389130412045833E-2</v>
      </c>
      <c r="F36" s="6"/>
      <c r="G36" s="6">
        <v>29</v>
      </c>
      <c r="H36" s="6">
        <f t="shared" ca="1" si="1"/>
        <v>-1.0554852003225276E-2</v>
      </c>
    </row>
    <row r="37" spans="2:8" x14ac:dyDescent="0.3">
      <c r="B37" s="4">
        <v>41568</v>
      </c>
      <c r="C37" s="7">
        <v>465.69</v>
      </c>
      <c r="D37" s="6">
        <f t="shared" si="0"/>
        <v>1.0108381190897706</v>
      </c>
      <c r="E37" s="6">
        <v>5.9349408553230149E-2</v>
      </c>
      <c r="F37" s="6"/>
      <c r="G37" s="6">
        <v>30</v>
      </c>
      <c r="H37" s="6">
        <f t="shared" ca="1" si="1"/>
        <v>-2.4000927559250235E-2</v>
      </c>
    </row>
    <row r="38" spans="2:8" x14ac:dyDescent="0.3">
      <c r="B38" s="4">
        <v>40479</v>
      </c>
      <c r="C38" s="7">
        <v>231.59</v>
      </c>
      <c r="D38" s="6">
        <f t="shared" si="0"/>
        <v>1.8542026127680551</v>
      </c>
      <c r="E38" s="6">
        <v>5.8261743739718513E-2</v>
      </c>
      <c r="F38" s="6"/>
      <c r="G38" s="6">
        <v>31</v>
      </c>
      <c r="H38" s="6">
        <f t="shared" ca="1" si="1"/>
        <v>-4.0977329408877919E-3</v>
      </c>
    </row>
    <row r="39" spans="2:8" x14ac:dyDescent="0.3">
      <c r="B39" s="4">
        <v>39946</v>
      </c>
      <c r="C39" s="7">
        <v>81.14</v>
      </c>
      <c r="D39" s="6">
        <f t="shared" si="0"/>
        <v>-0.93272252394179334</v>
      </c>
      <c r="E39" s="6">
        <v>5.8025818229234617E-2</v>
      </c>
      <c r="F39" s="6"/>
      <c r="G39" s="6">
        <v>32</v>
      </c>
      <c r="H39" s="6">
        <f t="shared" ca="1" si="1"/>
        <v>-2.2598797129371158E-3</v>
      </c>
    </row>
    <row r="40" spans="2:8" x14ac:dyDescent="0.3">
      <c r="B40" s="4">
        <v>43231</v>
      </c>
      <c r="C40" s="5">
        <v>1206.05</v>
      </c>
      <c r="D40" s="6">
        <f t="shared" si="0"/>
        <v>-0.42581624977385907</v>
      </c>
      <c r="E40" s="6">
        <v>5.645585143658028E-2</v>
      </c>
      <c r="F40" s="6"/>
      <c r="G40" s="6">
        <v>33</v>
      </c>
      <c r="H40" s="6">
        <f t="shared" ca="1" si="1"/>
        <v>3.6842231847403926E-3</v>
      </c>
    </row>
    <row r="41" spans="2:8" x14ac:dyDescent="0.3">
      <c r="B41" s="4">
        <v>44131</v>
      </c>
      <c r="C41" s="5">
        <v>2100.46</v>
      </c>
      <c r="D41" s="6">
        <f t="shared" si="0"/>
        <v>19.025359900848507</v>
      </c>
      <c r="E41" s="6">
        <v>5.6404685386081697E-2</v>
      </c>
      <c r="F41" s="6"/>
      <c r="G41" s="6">
        <v>34</v>
      </c>
      <c r="H41" s="6">
        <f t="shared" ca="1" si="1"/>
        <v>-1.3167178863154416E-2</v>
      </c>
    </row>
    <row r="42" spans="2:8" x14ac:dyDescent="0.3">
      <c r="B42" s="4">
        <v>39478</v>
      </c>
      <c r="C42" s="7">
        <v>104.89</v>
      </c>
      <c r="D42" s="6">
        <f t="shared" si="0"/>
        <v>-0.9621159312459594</v>
      </c>
      <c r="E42" s="6">
        <v>5.6081353201772127E-2</v>
      </c>
      <c r="F42" s="6"/>
      <c r="G42" s="6">
        <v>35</v>
      </c>
      <c r="H42" s="6">
        <f t="shared" ca="1" si="1"/>
        <v>-2.7880384725615642E-2</v>
      </c>
    </row>
    <row r="43" spans="2:8" x14ac:dyDescent="0.3">
      <c r="B43" s="4">
        <v>44629</v>
      </c>
      <c r="C43" s="5">
        <v>2768.71</v>
      </c>
      <c r="D43" s="6">
        <f t="shared" si="0"/>
        <v>31.808508117075483</v>
      </c>
      <c r="E43" s="6">
        <v>5.5647485854595849E-2</v>
      </c>
      <c r="F43" s="6"/>
      <c r="G43" s="6">
        <v>36</v>
      </c>
      <c r="H43" s="6">
        <f t="shared" ca="1" si="1"/>
        <v>8.1589373437862406E-3</v>
      </c>
    </row>
    <row r="44" spans="2:8" x14ac:dyDescent="0.3">
      <c r="B44" s="4">
        <v>39470</v>
      </c>
      <c r="C44" s="7">
        <v>84.39</v>
      </c>
      <c r="D44" s="6">
        <f t="shared" si="0"/>
        <v>-0.87605381429368745</v>
      </c>
      <c r="E44" s="6">
        <v>5.5402701350675425E-2</v>
      </c>
      <c r="F44" s="6"/>
      <c r="G44" s="6">
        <v>37</v>
      </c>
      <c r="H44" s="6">
        <f t="shared" ca="1" si="1"/>
        <v>9.5304691542514395E-3</v>
      </c>
    </row>
    <row r="45" spans="2:8" x14ac:dyDescent="0.3">
      <c r="B45" s="4">
        <v>41971</v>
      </c>
      <c r="C45" s="7">
        <v>680.86</v>
      </c>
      <c r="D45" s="6">
        <f t="shared" si="0"/>
        <v>2.0643143255772087</v>
      </c>
      <c r="E45" s="6">
        <v>5.525332837370775E-2</v>
      </c>
      <c r="F45" s="6"/>
      <c r="G45" s="6">
        <v>38</v>
      </c>
      <c r="H45" s="6">
        <f t="shared" ca="1" si="1"/>
        <v>1.1617246184403416E-2</v>
      </c>
    </row>
    <row r="46" spans="2:8" x14ac:dyDescent="0.3">
      <c r="B46" s="4">
        <v>40603</v>
      </c>
      <c r="C46" s="7">
        <v>222.19</v>
      </c>
      <c r="D46" s="6">
        <f t="shared" si="0"/>
        <v>-0.13145962004534437</v>
      </c>
      <c r="E46" s="6">
        <v>5.5033238366571716E-2</v>
      </c>
      <c r="F46" s="6"/>
      <c r="G46" s="6">
        <v>39</v>
      </c>
      <c r="H46" s="6">
        <f t="shared" ca="1" si="1"/>
        <v>-4.5891289541986147E-3</v>
      </c>
    </row>
    <row r="47" spans="2:8" x14ac:dyDescent="0.3">
      <c r="B47" s="4">
        <v>40533</v>
      </c>
      <c r="C47" s="7">
        <v>255.82</v>
      </c>
      <c r="D47" s="6">
        <f t="shared" si="0"/>
        <v>-0.28243247033743796</v>
      </c>
      <c r="E47" s="6">
        <v>5.4753855034221165E-2</v>
      </c>
      <c r="F47" s="6"/>
      <c r="G47" s="6">
        <v>40</v>
      </c>
      <c r="H47" s="6">
        <f t="shared" ca="1" si="1"/>
        <v>1.3251041775809439E-2</v>
      </c>
    </row>
    <row r="48" spans="2:8" x14ac:dyDescent="0.3">
      <c r="B48" s="4">
        <v>41060</v>
      </c>
      <c r="C48" s="7">
        <v>356.51</v>
      </c>
      <c r="D48" s="6">
        <f t="shared" si="0"/>
        <v>12.818217054263565</v>
      </c>
      <c r="E48" s="6">
        <v>5.3765665641995738E-2</v>
      </c>
      <c r="F48" s="6"/>
      <c r="G48" s="6">
        <v>41</v>
      </c>
      <c r="H48" s="6">
        <f t="shared" ca="1" si="1"/>
        <v>-1.1816206190835694E-2</v>
      </c>
    </row>
    <row r="49" spans="2:8" x14ac:dyDescent="0.3">
      <c r="B49" s="4">
        <v>38328</v>
      </c>
      <c r="C49" s="7">
        <v>25.8</v>
      </c>
      <c r="D49" s="6">
        <f t="shared" si="0"/>
        <v>-0.68421052631578949</v>
      </c>
      <c r="E49" s="6">
        <v>5.349122090649254E-2</v>
      </c>
      <c r="F49" s="6"/>
      <c r="G49" s="6">
        <v>42</v>
      </c>
      <c r="H49" s="6">
        <f t="shared" ca="1" si="1"/>
        <v>5.9537146576194118E-3</v>
      </c>
    </row>
    <row r="50" spans="2:8" x14ac:dyDescent="0.3">
      <c r="B50" s="4">
        <v>39377</v>
      </c>
      <c r="C50" s="7">
        <v>81.7</v>
      </c>
      <c r="D50" s="6">
        <f t="shared" si="0"/>
        <v>-1.2450139006406395E-2</v>
      </c>
      <c r="E50" s="6">
        <v>5.3378029912325944E-2</v>
      </c>
      <c r="F50" s="6"/>
      <c r="G50" s="6">
        <v>43</v>
      </c>
      <c r="H50" s="6">
        <f t="shared" ca="1" si="1"/>
        <v>7.80977840734312E-3</v>
      </c>
    </row>
    <row r="51" spans="2:8" x14ac:dyDescent="0.3">
      <c r="B51" s="4">
        <v>39750</v>
      </c>
      <c r="C51" s="7">
        <v>82.73</v>
      </c>
      <c r="D51" s="6">
        <f t="shared" si="0"/>
        <v>-0.89088918783466542</v>
      </c>
      <c r="E51" s="6">
        <v>5.2410634779290227E-2</v>
      </c>
      <c r="F51" s="6"/>
      <c r="G51" s="6">
        <v>44</v>
      </c>
      <c r="H51" s="6">
        <f t="shared" ca="1" si="1"/>
        <v>-4.7205567279303591E-3</v>
      </c>
    </row>
    <row r="52" spans="2:8" x14ac:dyDescent="0.3">
      <c r="B52" s="4">
        <v>42192</v>
      </c>
      <c r="C52" s="7">
        <v>758.22</v>
      </c>
      <c r="D52" s="6">
        <f t="shared" si="0"/>
        <v>7.2929016734113521</v>
      </c>
      <c r="E52" s="6">
        <v>5.2381745502998012E-2</v>
      </c>
      <c r="F52" s="6"/>
      <c r="G52" s="6">
        <v>45</v>
      </c>
      <c r="H52" s="6">
        <f t="shared" ca="1" si="1"/>
        <v>1.2733094296897788E-3</v>
      </c>
    </row>
    <row r="53" spans="2:8" x14ac:dyDescent="0.3">
      <c r="B53" s="4">
        <v>39387</v>
      </c>
      <c r="C53" s="7">
        <v>91.43</v>
      </c>
      <c r="D53" s="6">
        <f t="shared" si="0"/>
        <v>0.35632695445779577</v>
      </c>
      <c r="E53" s="6">
        <v>5.2249971227989481E-2</v>
      </c>
      <c r="F53" s="6"/>
      <c r="G53" s="6">
        <v>46</v>
      </c>
      <c r="H53" s="6">
        <f t="shared" ca="1" si="1"/>
        <v>2.2615722171199237E-2</v>
      </c>
    </row>
    <row r="54" spans="2:8" x14ac:dyDescent="0.3">
      <c r="B54" s="4">
        <v>39843</v>
      </c>
      <c r="C54" s="7">
        <v>67.41</v>
      </c>
      <c r="D54" s="6">
        <f t="shared" si="0"/>
        <v>-0.92246644353196927</v>
      </c>
      <c r="E54" s="6">
        <v>5.1966292134831435E-2</v>
      </c>
      <c r="F54" s="6"/>
      <c r="G54" s="6">
        <v>47</v>
      </c>
      <c r="H54" s="6">
        <f t="shared" ca="1" si="1"/>
        <v>-2.5757729035642274E-2</v>
      </c>
    </row>
    <row r="55" spans="2:8" x14ac:dyDescent="0.3">
      <c r="B55" s="4">
        <v>42690</v>
      </c>
      <c r="C55" s="7">
        <v>869.43</v>
      </c>
      <c r="D55" s="6">
        <f t="shared" si="0"/>
        <v>-0.49777895873888761</v>
      </c>
      <c r="E55" s="6">
        <v>5.0404127049328763E-2</v>
      </c>
      <c r="F55" s="6"/>
      <c r="G55" s="6">
        <v>48</v>
      </c>
      <c r="H55" s="6">
        <f t="shared" ca="1" si="1"/>
        <v>3.9950615324897597E-2</v>
      </c>
    </row>
    <row r="56" spans="2:8" x14ac:dyDescent="0.3">
      <c r="B56" s="4">
        <v>43943</v>
      </c>
      <c r="C56" s="5">
        <v>1731.17</v>
      </c>
      <c r="D56" s="6">
        <f t="shared" si="0"/>
        <v>72.88689714041827</v>
      </c>
      <c r="E56" s="6">
        <v>5.0403494933559959E-2</v>
      </c>
      <c r="F56" s="6"/>
      <c r="G56" s="6">
        <v>49</v>
      </c>
      <c r="H56" s="6">
        <f t="shared" ca="1" si="1"/>
        <v>3.9544694236371188E-3</v>
      </c>
    </row>
    <row r="57" spans="2:8" x14ac:dyDescent="0.3">
      <c r="B57" s="4">
        <v>37931</v>
      </c>
      <c r="C57" s="7">
        <v>23.43</v>
      </c>
      <c r="D57" s="6">
        <f t="shared" si="0"/>
        <v>-0.98441377016464326</v>
      </c>
      <c r="E57" s="6">
        <v>5.0201703272075349E-2</v>
      </c>
      <c r="F57" s="6"/>
      <c r="G57" s="6">
        <v>50</v>
      </c>
      <c r="H57" s="6">
        <f t="shared" ca="1" si="1"/>
        <v>1.5850751267162764E-3</v>
      </c>
    </row>
    <row r="58" spans="2:8" x14ac:dyDescent="0.3">
      <c r="B58" s="4">
        <v>43972</v>
      </c>
      <c r="C58" s="5">
        <v>1503.25</v>
      </c>
      <c r="D58" s="6">
        <f t="shared" si="0"/>
        <v>10.685712064676618</v>
      </c>
      <c r="E58" s="6">
        <v>4.9499074946765871E-2</v>
      </c>
      <c r="F58" s="6"/>
      <c r="G58" s="6">
        <v>51</v>
      </c>
      <c r="H58" s="6">
        <f t="shared" ca="1" si="1"/>
        <v>2.1036578216718196E-2</v>
      </c>
    </row>
    <row r="59" spans="2:8" x14ac:dyDescent="0.3">
      <c r="B59" s="4">
        <v>40093</v>
      </c>
      <c r="C59" s="7">
        <v>128.63999999999999</v>
      </c>
      <c r="D59" s="6">
        <f t="shared" si="0"/>
        <v>-0.68038957489627072</v>
      </c>
      <c r="E59" s="6">
        <v>4.9437102300538327E-2</v>
      </c>
      <c r="F59" s="6"/>
      <c r="G59" s="6">
        <v>52</v>
      </c>
      <c r="H59" s="6">
        <f t="shared" ca="1" si="1"/>
        <v>-2.1237033901386263E-2</v>
      </c>
    </row>
    <row r="60" spans="2:8" x14ac:dyDescent="0.3">
      <c r="B60" s="4">
        <v>41527</v>
      </c>
      <c r="C60" s="7">
        <v>402.49</v>
      </c>
      <c r="D60" s="6">
        <f t="shared" si="0"/>
        <v>6.014464970372952</v>
      </c>
      <c r="E60" s="6">
        <v>4.8697238144867108E-2</v>
      </c>
      <c r="F60" s="6"/>
      <c r="G60" s="6">
        <v>53</v>
      </c>
      <c r="H60" s="6">
        <f t="shared" ca="1" si="1"/>
        <v>1.0710205620305138E-2</v>
      </c>
    </row>
    <row r="61" spans="2:8" x14ac:dyDescent="0.3">
      <c r="B61" s="4">
        <v>39149</v>
      </c>
      <c r="C61" s="7">
        <v>57.38</v>
      </c>
      <c r="D61" s="6">
        <f t="shared" si="0"/>
        <v>1.4743423889607588</v>
      </c>
      <c r="E61" s="6">
        <v>4.8611111111111181E-2</v>
      </c>
      <c r="F61" s="6"/>
      <c r="G61" s="6">
        <v>54</v>
      </c>
      <c r="H61" s="6">
        <f t="shared" ca="1" si="1"/>
        <v>-2.6570779048495124E-2</v>
      </c>
    </row>
    <row r="62" spans="2:8" x14ac:dyDescent="0.3">
      <c r="B62" s="4">
        <v>37851</v>
      </c>
      <c r="C62" s="7">
        <v>23.19</v>
      </c>
      <c r="D62" s="6">
        <f t="shared" si="0"/>
        <v>-0.73298791018998277</v>
      </c>
      <c r="E62" s="6">
        <v>4.837251356238699E-2</v>
      </c>
      <c r="F62" s="6"/>
      <c r="G62" s="6">
        <v>55</v>
      </c>
      <c r="H62" s="6">
        <f t="shared" ca="1" si="1"/>
        <v>-1.3309560125720349E-2</v>
      </c>
    </row>
    <row r="63" spans="2:8" x14ac:dyDescent="0.3">
      <c r="B63" s="4">
        <v>39735</v>
      </c>
      <c r="C63" s="7">
        <v>86.85</v>
      </c>
      <c r="D63" s="6">
        <f t="shared" si="0"/>
        <v>-0.96324385175655036</v>
      </c>
      <c r="E63" s="6">
        <v>4.8280024140012076E-2</v>
      </c>
      <c r="F63" s="6"/>
      <c r="G63" s="6">
        <v>56</v>
      </c>
      <c r="H63" s="6">
        <f t="shared" ca="1" si="1"/>
        <v>-1.1628978410280891E-2</v>
      </c>
    </row>
    <row r="64" spans="2:8" x14ac:dyDescent="0.3">
      <c r="B64" s="4">
        <v>44271</v>
      </c>
      <c r="C64" s="5">
        <v>2362.87</v>
      </c>
      <c r="D64" s="6">
        <f t="shared" si="0"/>
        <v>5.1565138092756637</v>
      </c>
      <c r="E64" s="6">
        <v>4.8235690773421359E-2</v>
      </c>
      <c r="F64" s="6"/>
      <c r="G64" s="6">
        <v>57</v>
      </c>
      <c r="H64" s="6">
        <f t="shared" ca="1" si="1"/>
        <v>-5.4756913101654588E-3</v>
      </c>
    </row>
    <row r="65" spans="2:8" x14ac:dyDescent="0.3">
      <c r="B65" s="4">
        <v>41523</v>
      </c>
      <c r="C65" s="7">
        <v>383.8</v>
      </c>
      <c r="D65" s="6">
        <f t="shared" si="0"/>
        <v>-0.82892572666449738</v>
      </c>
      <c r="E65" s="6">
        <v>4.8061168760240372E-2</v>
      </c>
      <c r="F65" s="6"/>
      <c r="G65" s="6">
        <v>58</v>
      </c>
      <c r="H65" s="6">
        <f t="shared" ca="1" si="1"/>
        <v>2.6097628116561189E-2</v>
      </c>
    </row>
    <row r="66" spans="2:8" x14ac:dyDescent="0.3">
      <c r="B66" s="4">
        <v>45722</v>
      </c>
      <c r="C66" s="5">
        <v>2243.4699999999998</v>
      </c>
      <c r="D66" s="6">
        <f t="shared" si="0"/>
        <v>41.667744389501713</v>
      </c>
      <c r="E66" s="6">
        <v>4.7851024278147712E-2</v>
      </c>
      <c r="F66" s="6"/>
      <c r="G66" s="6">
        <v>59</v>
      </c>
      <c r="H66" s="6">
        <f t="shared" ca="1" si="1"/>
        <v>-5.5927105262355186E-3</v>
      </c>
    </row>
    <row r="67" spans="2:8" x14ac:dyDescent="0.3">
      <c r="B67" s="4">
        <v>38750</v>
      </c>
      <c r="C67" s="7">
        <v>52.58</v>
      </c>
      <c r="D67" s="6">
        <f t="shared" si="0"/>
        <v>-0.86412383388893199</v>
      </c>
      <c r="E67" s="6">
        <v>4.7827819848545207E-2</v>
      </c>
      <c r="F67" s="6"/>
      <c r="G67" s="6">
        <v>60</v>
      </c>
      <c r="H67" s="6">
        <f t="shared" ca="1" si="1"/>
        <v>1.1781475563567316E-2</v>
      </c>
    </row>
    <row r="68" spans="2:8" x14ac:dyDescent="0.3">
      <c r="B68" s="4">
        <v>41242</v>
      </c>
      <c r="C68" s="7">
        <v>386.97</v>
      </c>
      <c r="D68" s="6">
        <f t="shared" si="0"/>
        <v>21.201376936316699</v>
      </c>
      <c r="E68" s="6">
        <v>4.7506902712359945E-2</v>
      </c>
      <c r="F68" s="6"/>
      <c r="G68" s="6">
        <v>61</v>
      </c>
      <c r="H68" s="6">
        <f t="shared" ca="1" si="1"/>
        <v>2.1038927758297191E-2</v>
      </c>
    </row>
    <row r="69" spans="2:8" x14ac:dyDescent="0.3">
      <c r="B69" s="4">
        <v>37442</v>
      </c>
      <c r="C69" s="7">
        <v>17.43</v>
      </c>
      <c r="D69" s="6">
        <f t="shared" si="0"/>
        <v>-0.99329316156439029</v>
      </c>
      <c r="E69" s="6">
        <v>4.7475961538461488E-2</v>
      </c>
      <c r="F69" s="6"/>
      <c r="G69" s="6">
        <v>62</v>
      </c>
      <c r="H69" s="6">
        <f t="shared" ca="1" si="1"/>
        <v>8.7360655123765053E-3</v>
      </c>
    </row>
    <row r="70" spans="2:8" x14ac:dyDescent="0.3">
      <c r="B70" s="4">
        <v>45967</v>
      </c>
      <c r="C70" s="5">
        <v>2598.84</v>
      </c>
      <c r="D70" s="6">
        <f t="shared" si="0"/>
        <v>154.61916167664674</v>
      </c>
      <c r="E70" s="6">
        <v>4.6729122530026333E-2</v>
      </c>
      <c r="F70" s="6"/>
      <c r="G70" s="6">
        <v>63</v>
      </c>
      <c r="H70" s="6">
        <f t="shared" ca="1" si="1"/>
        <v>1.725296071309846E-2</v>
      </c>
    </row>
    <row r="71" spans="2:8" x14ac:dyDescent="0.3">
      <c r="B71" s="4">
        <v>37488</v>
      </c>
      <c r="C71" s="7">
        <v>16.7</v>
      </c>
      <c r="D71" s="6">
        <f t="shared" si="0"/>
        <v>-0.76478873239436618</v>
      </c>
      <c r="E71" s="6">
        <v>4.6365914786967319E-2</v>
      </c>
      <c r="F71" s="6"/>
      <c r="G71" s="6">
        <v>64</v>
      </c>
      <c r="H71" s="6">
        <f t="shared" ca="1" si="1"/>
        <v>1.5303890808381066E-2</v>
      </c>
    </row>
    <row r="72" spans="2:8" x14ac:dyDescent="0.3">
      <c r="B72" s="4">
        <v>39854</v>
      </c>
      <c r="C72" s="7">
        <v>71</v>
      </c>
      <c r="D72" s="6">
        <f t="shared" ref="D72:D135" si="6">((C72-C73)/C73)</f>
        <v>1.8018942383583267</v>
      </c>
      <c r="E72" s="6">
        <v>4.627173592690835E-2</v>
      </c>
      <c r="F72" s="6"/>
      <c r="G72" s="6">
        <v>65</v>
      </c>
      <c r="H72" s="6">
        <f t="shared" ca="1" si="1"/>
        <v>1.4949271155307043E-2</v>
      </c>
    </row>
    <row r="73" spans="2:8" x14ac:dyDescent="0.3">
      <c r="B73" s="4">
        <v>38259</v>
      </c>
      <c r="C73" s="7">
        <v>25.34</v>
      </c>
      <c r="D73" s="6">
        <f t="shared" si="6"/>
        <v>-0.96725505905460929</v>
      </c>
      <c r="E73" s="6">
        <v>4.5810978126289696E-2</v>
      </c>
      <c r="F73" s="6"/>
      <c r="G73" s="6">
        <v>66</v>
      </c>
      <c r="H73" s="6">
        <f t="shared" ref="H73:H136" ca="1" si="7">_xlfn.NORM.INV(RAND(),N$10,N$11)</f>
        <v>-9.053706679804957E-3</v>
      </c>
    </row>
    <row r="74" spans="2:8" x14ac:dyDescent="0.3">
      <c r="B74" s="4">
        <v>42277</v>
      </c>
      <c r="C74" s="7">
        <v>773.86</v>
      </c>
      <c r="D74" s="6">
        <f t="shared" si="6"/>
        <v>7.357019438444925</v>
      </c>
      <c r="E74" s="6">
        <v>4.5728493824491276E-2</v>
      </c>
      <c r="F74" s="6"/>
      <c r="G74" s="6">
        <v>67</v>
      </c>
      <c r="H74" s="6">
        <f t="shared" ca="1" si="7"/>
        <v>3.9389035015917643E-4</v>
      </c>
    </row>
    <row r="75" spans="2:8" x14ac:dyDescent="0.3">
      <c r="B75" s="4">
        <v>39442</v>
      </c>
      <c r="C75" s="7">
        <v>92.6</v>
      </c>
      <c r="D75" s="6">
        <f t="shared" si="6"/>
        <v>-0.94635802254585066</v>
      </c>
      <c r="E75" s="6">
        <v>4.5618789521228456E-2</v>
      </c>
      <c r="F75" s="6"/>
      <c r="G75" s="6">
        <v>68</v>
      </c>
      <c r="H75" s="6">
        <f t="shared" ca="1" si="7"/>
        <v>-9.6721986943117295E-3</v>
      </c>
    </row>
    <row r="76" spans="2:8" x14ac:dyDescent="0.3">
      <c r="B76" s="4">
        <v>44050</v>
      </c>
      <c r="C76" s="5">
        <v>1726.26</v>
      </c>
      <c r="D76" s="6">
        <f t="shared" si="6"/>
        <v>-0.22145853064537957</v>
      </c>
      <c r="E76" s="6">
        <v>4.55591627095649E-2</v>
      </c>
      <c r="F76" s="6"/>
      <c r="G76" s="6">
        <v>69</v>
      </c>
      <c r="H76" s="6">
        <f t="shared" ca="1" si="7"/>
        <v>1.5813111328279599E-2</v>
      </c>
    </row>
    <row r="77" spans="2:8" x14ac:dyDescent="0.3">
      <c r="B77" s="4">
        <v>46105</v>
      </c>
      <c r="C77" s="5">
        <v>2217.3000000000002</v>
      </c>
      <c r="D77" s="6">
        <f t="shared" si="6"/>
        <v>27.844802914010671</v>
      </c>
      <c r="E77" s="6">
        <v>4.5255267996040162E-2</v>
      </c>
      <c r="F77" s="6"/>
      <c r="G77" s="6">
        <v>70</v>
      </c>
      <c r="H77" s="6">
        <f t="shared" ca="1" si="7"/>
        <v>6.9916649745223524E-3</v>
      </c>
    </row>
    <row r="78" spans="2:8" x14ac:dyDescent="0.3">
      <c r="B78" s="4">
        <v>39801</v>
      </c>
      <c r="C78" s="7">
        <v>76.87</v>
      </c>
      <c r="D78" s="6">
        <f t="shared" si="6"/>
        <v>-0.72068602158351802</v>
      </c>
      <c r="E78" s="6">
        <v>4.5139360978926006E-2</v>
      </c>
      <c r="F78" s="6"/>
      <c r="G78" s="6">
        <v>71</v>
      </c>
      <c r="H78" s="6">
        <f t="shared" ca="1" si="7"/>
        <v>4.9792275414904949E-3</v>
      </c>
    </row>
    <row r="79" spans="2:8" x14ac:dyDescent="0.3">
      <c r="B79" s="4">
        <v>40721</v>
      </c>
      <c r="C79" s="7">
        <v>275.20999999999998</v>
      </c>
      <c r="D79" s="6">
        <f t="shared" si="6"/>
        <v>-0.42400586019254927</v>
      </c>
      <c r="E79" s="6">
        <v>4.5114495120191382E-2</v>
      </c>
      <c r="F79" s="6"/>
      <c r="G79" s="6">
        <v>72</v>
      </c>
      <c r="H79" s="6">
        <f t="shared" ca="1" si="7"/>
        <v>3.3132664969612258E-2</v>
      </c>
    </row>
    <row r="80" spans="2:8" x14ac:dyDescent="0.3">
      <c r="B80" s="4">
        <v>41799</v>
      </c>
      <c r="C80" s="7">
        <v>477.8</v>
      </c>
      <c r="D80" s="6">
        <f t="shared" si="6"/>
        <v>-0.6997404621407789</v>
      </c>
      <c r="E80" s="6">
        <v>4.5011154367700416E-2</v>
      </c>
      <c r="F80" s="6"/>
      <c r="G80" s="6">
        <v>73</v>
      </c>
      <c r="H80" s="6">
        <f t="shared" ca="1" si="7"/>
        <v>-3.6953519208869565E-2</v>
      </c>
    </row>
    <row r="81" spans="2:8" x14ac:dyDescent="0.3">
      <c r="B81" s="4">
        <v>43921</v>
      </c>
      <c r="C81" s="5">
        <v>1591.29</v>
      </c>
      <c r="D81" s="6">
        <f t="shared" si="6"/>
        <v>4.6041084634346731E-2</v>
      </c>
      <c r="E81" s="6">
        <v>4.4866575615905818E-2</v>
      </c>
      <c r="F81" s="6"/>
      <c r="G81" s="6">
        <v>74</v>
      </c>
      <c r="H81" s="6">
        <f t="shared" ca="1" si="7"/>
        <v>1.4185370763329276E-2</v>
      </c>
    </row>
    <row r="82" spans="2:8" x14ac:dyDescent="0.3">
      <c r="B82" s="4">
        <v>43915</v>
      </c>
      <c r="C82" s="5">
        <v>1521.25</v>
      </c>
      <c r="D82" s="6">
        <f t="shared" si="6"/>
        <v>15.137159223506949</v>
      </c>
      <c r="E82" s="6">
        <v>4.4793033110581533E-2</v>
      </c>
      <c r="F82" s="6"/>
      <c r="G82" s="6">
        <v>75</v>
      </c>
      <c r="H82" s="6">
        <f t="shared" ca="1" si="7"/>
        <v>-1.5899064513417362E-3</v>
      </c>
    </row>
    <row r="83" spans="2:8" x14ac:dyDescent="0.3">
      <c r="B83" s="4">
        <v>39652</v>
      </c>
      <c r="C83" s="7">
        <v>94.27</v>
      </c>
      <c r="D83" s="6">
        <f t="shared" si="6"/>
        <v>-0.84706111390515748</v>
      </c>
      <c r="E83" s="6">
        <v>4.4774465255458182E-2</v>
      </c>
      <c r="F83" s="6"/>
      <c r="G83" s="6">
        <v>76</v>
      </c>
      <c r="H83" s="6">
        <f t="shared" ca="1" si="7"/>
        <v>2.6924396547859941E-3</v>
      </c>
    </row>
    <row r="84" spans="2:8" x14ac:dyDescent="0.3">
      <c r="B84" s="4">
        <v>41890</v>
      </c>
      <c r="C84" s="7">
        <v>616.39</v>
      </c>
      <c r="D84" s="6">
        <f t="shared" si="6"/>
        <v>-0.15351973413167069</v>
      </c>
      <c r="E84" s="6">
        <v>4.47465211274767E-2</v>
      </c>
      <c r="F84" s="6"/>
      <c r="G84" s="6">
        <v>77</v>
      </c>
      <c r="H84" s="6">
        <f t="shared" ca="1" si="7"/>
        <v>-1.5190894243832605E-2</v>
      </c>
    </row>
    <row r="85" spans="2:8" x14ac:dyDescent="0.3">
      <c r="B85" s="4">
        <v>42138</v>
      </c>
      <c r="C85" s="7">
        <v>728.18</v>
      </c>
      <c r="D85" s="6">
        <f t="shared" si="6"/>
        <v>9.0535689631368204</v>
      </c>
      <c r="E85" s="6">
        <v>4.4524772642510778E-2</v>
      </c>
      <c r="F85" s="6"/>
      <c r="G85" s="6">
        <v>78</v>
      </c>
      <c r="H85" s="6">
        <f t="shared" ca="1" si="7"/>
        <v>2.5594489778017697E-2</v>
      </c>
    </row>
    <row r="86" spans="2:8" x14ac:dyDescent="0.3">
      <c r="B86" s="4">
        <v>39234</v>
      </c>
      <c r="C86" s="7">
        <v>72.430000000000007</v>
      </c>
      <c r="D86" s="6">
        <f t="shared" si="6"/>
        <v>-0.9612938737121115</v>
      </c>
      <c r="E86" s="6">
        <v>4.4412400865176824E-2</v>
      </c>
      <c r="F86" s="6"/>
      <c r="G86" s="6">
        <v>79</v>
      </c>
      <c r="H86" s="6">
        <f t="shared" ca="1" si="7"/>
        <v>2.1362311651157019E-2</v>
      </c>
    </row>
    <row r="87" spans="2:8" x14ac:dyDescent="0.3">
      <c r="B87" s="4">
        <v>44064</v>
      </c>
      <c r="C87" s="5">
        <v>1871.28</v>
      </c>
      <c r="D87" s="6">
        <f t="shared" si="6"/>
        <v>3.9236436352154924</v>
      </c>
      <c r="E87" s="6">
        <v>4.4322659136316493E-2</v>
      </c>
      <c r="F87" s="6"/>
      <c r="G87" s="6">
        <v>80</v>
      </c>
      <c r="H87" s="6">
        <f t="shared" ca="1" si="7"/>
        <v>-1.1678567875640485E-2</v>
      </c>
    </row>
    <row r="88" spans="2:8" x14ac:dyDescent="0.3">
      <c r="B88" s="4">
        <v>41516</v>
      </c>
      <c r="C88" s="7">
        <v>380.06</v>
      </c>
      <c r="D88" s="6">
        <f t="shared" si="6"/>
        <v>-0.52695907597331482</v>
      </c>
      <c r="E88" s="6">
        <v>4.4034832294041787E-2</v>
      </c>
      <c r="F88" s="6"/>
      <c r="G88" s="6">
        <v>81</v>
      </c>
      <c r="H88" s="6">
        <f t="shared" ca="1" si="7"/>
        <v>1.4832584814726275E-4</v>
      </c>
    </row>
    <row r="89" spans="2:8" x14ac:dyDescent="0.3">
      <c r="B89" s="4">
        <v>42345</v>
      </c>
      <c r="C89" s="7">
        <v>803.44</v>
      </c>
      <c r="D89" s="6">
        <f t="shared" si="6"/>
        <v>-0.64798457763757444</v>
      </c>
      <c r="E89" s="6">
        <v>4.4025157232704545E-2</v>
      </c>
      <c r="F89" s="6"/>
      <c r="G89" s="6">
        <v>82</v>
      </c>
      <c r="H89" s="6">
        <f t="shared" ca="1" si="7"/>
        <v>3.2726380584522851E-3</v>
      </c>
    </row>
    <row r="90" spans="2:8" x14ac:dyDescent="0.3">
      <c r="B90" s="4">
        <v>46120</v>
      </c>
      <c r="C90" s="5">
        <v>2282.4</v>
      </c>
      <c r="D90" s="6">
        <f t="shared" si="6"/>
        <v>22.693553410152603</v>
      </c>
      <c r="E90" s="6">
        <v>4.4003293385783682E-2</v>
      </c>
      <c r="F90" s="6"/>
      <c r="G90" s="6">
        <v>83</v>
      </c>
      <c r="H90" s="6">
        <f t="shared" ca="1" si="7"/>
        <v>1.8390898031201124E-2</v>
      </c>
    </row>
    <row r="91" spans="2:8" x14ac:dyDescent="0.3">
      <c r="B91" s="4">
        <v>39965</v>
      </c>
      <c r="C91" s="7">
        <v>96.33</v>
      </c>
      <c r="D91" s="6">
        <f t="shared" si="6"/>
        <v>0.45469646632437333</v>
      </c>
      <c r="E91" s="6">
        <v>4.3661971830985927E-2</v>
      </c>
      <c r="F91" s="6"/>
      <c r="G91" s="6">
        <v>84</v>
      </c>
      <c r="H91" s="6">
        <f t="shared" ca="1" si="7"/>
        <v>1.8444409102043816E-2</v>
      </c>
    </row>
    <row r="92" spans="2:8" x14ac:dyDescent="0.3">
      <c r="B92" s="4">
        <v>39121</v>
      </c>
      <c r="C92" s="7">
        <v>66.22</v>
      </c>
      <c r="D92" s="6">
        <f t="shared" si="6"/>
        <v>0.32175648702594806</v>
      </c>
      <c r="E92" s="6">
        <v>4.2998897464167532E-2</v>
      </c>
      <c r="F92" s="6"/>
      <c r="G92" s="6">
        <v>85</v>
      </c>
      <c r="H92" s="6">
        <f t="shared" ca="1" si="7"/>
        <v>-1.2023744362870886E-2</v>
      </c>
    </row>
    <row r="93" spans="2:8" x14ac:dyDescent="0.3">
      <c r="B93" s="4">
        <v>38929</v>
      </c>
      <c r="C93" s="7">
        <v>50.1</v>
      </c>
      <c r="D93" s="6">
        <f t="shared" si="6"/>
        <v>-0.9791063698464465</v>
      </c>
      <c r="E93" s="6">
        <v>4.2880932556203212E-2</v>
      </c>
      <c r="F93" s="6"/>
      <c r="G93" s="6">
        <v>86</v>
      </c>
      <c r="H93" s="6">
        <f t="shared" ca="1" si="7"/>
        <v>1.7993968393184151E-2</v>
      </c>
    </row>
    <row r="94" spans="2:8" x14ac:dyDescent="0.3">
      <c r="B94" s="4">
        <v>44281</v>
      </c>
      <c r="C94" s="5">
        <v>2397.86</v>
      </c>
      <c r="D94" s="6">
        <f t="shared" si="6"/>
        <v>1.144814755183456</v>
      </c>
      <c r="E94" s="6">
        <v>4.2856148774420247E-2</v>
      </c>
      <c r="F94" s="6"/>
      <c r="G94" s="6">
        <v>87</v>
      </c>
      <c r="H94" s="6">
        <f t="shared" ca="1" si="7"/>
        <v>1.2400121580630087E-2</v>
      </c>
    </row>
    <row r="95" spans="2:8" x14ac:dyDescent="0.3">
      <c r="B95" s="4">
        <v>43397</v>
      </c>
      <c r="C95" s="5">
        <v>1117.98</v>
      </c>
      <c r="D95" s="6">
        <f t="shared" si="6"/>
        <v>0.81909596797813133</v>
      </c>
      <c r="E95" s="6">
        <v>4.2551405791019827E-2</v>
      </c>
      <c r="F95" s="6"/>
      <c r="G95" s="6">
        <v>88</v>
      </c>
      <c r="H95" s="6">
        <f t="shared" ca="1" si="7"/>
        <v>1.6751963885391657E-2</v>
      </c>
    </row>
    <row r="96" spans="2:8" x14ac:dyDescent="0.3">
      <c r="B96" s="4">
        <v>41957</v>
      </c>
      <c r="C96" s="7">
        <v>614.58000000000004</v>
      </c>
      <c r="D96" s="6">
        <f t="shared" si="6"/>
        <v>10.427668278170325</v>
      </c>
      <c r="E96" s="6">
        <v>4.2491476260750206E-2</v>
      </c>
      <c r="F96" s="6"/>
      <c r="G96" s="6">
        <v>89</v>
      </c>
      <c r="H96" s="6">
        <f t="shared" ca="1" si="7"/>
        <v>1.350183942455445E-2</v>
      </c>
    </row>
    <row r="97" spans="2:8" x14ac:dyDescent="0.3">
      <c r="B97" s="4">
        <v>38805</v>
      </c>
      <c r="C97" s="7">
        <v>53.78</v>
      </c>
      <c r="D97" s="6">
        <f t="shared" si="6"/>
        <v>-0.97156964327250428</v>
      </c>
      <c r="E97" s="6">
        <v>4.2450087226206586E-2</v>
      </c>
      <c r="F97" s="6"/>
      <c r="G97" s="6">
        <v>90</v>
      </c>
      <c r="H97" s="6">
        <f t="shared" ca="1" si="7"/>
        <v>1.5930149985298722E-2</v>
      </c>
    </row>
    <row r="98" spans="2:8" x14ac:dyDescent="0.3">
      <c r="B98" s="4">
        <v>44075</v>
      </c>
      <c r="C98" s="5">
        <v>1891.64</v>
      </c>
      <c r="D98" s="6">
        <f t="shared" si="6"/>
        <v>25.969489592244084</v>
      </c>
      <c r="E98" s="6">
        <v>4.2231637639876855E-2</v>
      </c>
      <c r="F98" s="6"/>
      <c r="G98" s="6">
        <v>91</v>
      </c>
      <c r="H98" s="6">
        <f t="shared" ca="1" si="7"/>
        <v>-1.9436185932329677E-2</v>
      </c>
    </row>
    <row r="99" spans="2:8" x14ac:dyDescent="0.3">
      <c r="B99" s="4">
        <v>39916</v>
      </c>
      <c r="C99" s="7">
        <v>70.14</v>
      </c>
      <c r="D99" s="6">
        <f t="shared" si="6"/>
        <v>1.2001254705144293</v>
      </c>
      <c r="E99" s="6">
        <v>4.2199108469539427E-2</v>
      </c>
      <c r="F99" s="6"/>
      <c r="G99" s="6">
        <v>92</v>
      </c>
      <c r="H99" s="6">
        <f t="shared" ca="1" si="7"/>
        <v>-1.0048660981869028E-2</v>
      </c>
    </row>
    <row r="100" spans="2:8" x14ac:dyDescent="0.3">
      <c r="B100" s="4">
        <v>38524</v>
      </c>
      <c r="C100" s="7">
        <v>31.88</v>
      </c>
      <c r="D100" s="6">
        <f t="shared" si="6"/>
        <v>-0.98929040537226587</v>
      </c>
      <c r="E100" s="6">
        <v>4.2170644001307586E-2</v>
      </c>
      <c r="F100" s="6"/>
      <c r="G100" s="6">
        <v>93</v>
      </c>
      <c r="H100" s="6">
        <f t="shared" ca="1" si="7"/>
        <v>1.1657037098101664E-2</v>
      </c>
    </row>
    <row r="101" spans="2:8" x14ac:dyDescent="0.3">
      <c r="B101" s="4">
        <v>44496</v>
      </c>
      <c r="C101" s="5">
        <v>2976.77</v>
      </c>
      <c r="D101" s="6">
        <f t="shared" si="6"/>
        <v>3.2979021382885025</v>
      </c>
      <c r="E101" s="6">
        <v>4.2038310206253468E-2</v>
      </c>
      <c r="F101" s="6"/>
      <c r="G101" s="6">
        <v>94</v>
      </c>
      <c r="H101" s="6">
        <f t="shared" ca="1" si="7"/>
        <v>8.4291053276670698E-3</v>
      </c>
    </row>
    <row r="102" spans="2:8" x14ac:dyDescent="0.3">
      <c r="B102" s="4">
        <v>42002</v>
      </c>
      <c r="C102" s="7">
        <v>692.61</v>
      </c>
      <c r="D102" s="6">
        <f t="shared" si="6"/>
        <v>11.249911567032191</v>
      </c>
      <c r="E102" s="6">
        <v>4.1941841048245145E-2</v>
      </c>
      <c r="F102" s="6"/>
      <c r="G102" s="6">
        <v>95</v>
      </c>
      <c r="H102" s="6">
        <f t="shared" ca="1" si="7"/>
        <v>2.0576614653461493E-2</v>
      </c>
    </row>
    <row r="103" spans="2:8" x14ac:dyDescent="0.3">
      <c r="B103" s="4">
        <v>39147</v>
      </c>
      <c r="C103" s="7">
        <v>56.54</v>
      </c>
      <c r="D103" s="6">
        <f t="shared" si="6"/>
        <v>-0.95057303459188225</v>
      </c>
      <c r="E103" s="6">
        <v>4.1827897549290512E-2</v>
      </c>
      <c r="F103" s="6"/>
      <c r="G103" s="6">
        <v>96</v>
      </c>
      <c r="H103" s="6">
        <f t="shared" ca="1" si="7"/>
        <v>-1.5349349587349055E-2</v>
      </c>
    </row>
    <row r="104" spans="2:8" x14ac:dyDescent="0.3">
      <c r="B104" s="4">
        <v>43032</v>
      </c>
      <c r="C104" s="5">
        <v>1143.9100000000001</v>
      </c>
      <c r="D104" s="6">
        <f t="shared" si="6"/>
        <v>46.722569879015438</v>
      </c>
      <c r="E104" s="6">
        <v>4.1527815715196328E-2</v>
      </c>
      <c r="F104" s="6"/>
      <c r="G104" s="6">
        <v>97</v>
      </c>
      <c r="H104" s="6">
        <f t="shared" ca="1" si="7"/>
        <v>-1.248360104845188E-2</v>
      </c>
    </row>
    <row r="105" spans="2:8" x14ac:dyDescent="0.3">
      <c r="B105" s="4">
        <v>38292</v>
      </c>
      <c r="C105" s="7">
        <v>23.97</v>
      </c>
      <c r="D105" s="6">
        <f t="shared" si="6"/>
        <v>-0.98961492470062229</v>
      </c>
      <c r="E105" s="6">
        <v>4.1268462206776685E-2</v>
      </c>
      <c r="F105" s="6"/>
      <c r="G105" s="6">
        <v>98</v>
      </c>
      <c r="H105" s="6">
        <f t="shared" ca="1" si="7"/>
        <v>-3.0714653389708378E-2</v>
      </c>
    </row>
    <row r="106" spans="2:8" x14ac:dyDescent="0.3">
      <c r="B106" s="4">
        <v>44168</v>
      </c>
      <c r="C106" s="5">
        <v>2308.12</v>
      </c>
      <c r="D106" s="6">
        <f t="shared" si="6"/>
        <v>0.77919955599407986</v>
      </c>
      <c r="E106" s="6">
        <v>4.1260274466990897E-2</v>
      </c>
      <c r="F106" s="6"/>
      <c r="G106" s="6">
        <v>99</v>
      </c>
      <c r="H106" s="6">
        <f t="shared" ca="1" si="7"/>
        <v>-1.0966280143691175E-2</v>
      </c>
    </row>
    <row r="107" spans="2:8" x14ac:dyDescent="0.3">
      <c r="B107" s="4">
        <v>43605</v>
      </c>
      <c r="C107" s="5">
        <v>1297.28</v>
      </c>
      <c r="D107" s="6">
        <f t="shared" si="6"/>
        <v>14.308945008260562</v>
      </c>
      <c r="E107" s="6">
        <v>4.087167225636669E-2</v>
      </c>
      <c r="F107" s="6"/>
      <c r="G107" s="6">
        <v>100</v>
      </c>
      <c r="H107" s="6">
        <f t="shared" ca="1" si="7"/>
        <v>-2.7809214183407142E-2</v>
      </c>
    </row>
    <row r="108" spans="2:8" x14ac:dyDescent="0.3">
      <c r="B108" s="4">
        <v>39379</v>
      </c>
      <c r="C108" s="7">
        <v>84.74</v>
      </c>
      <c r="D108" s="6">
        <f t="shared" si="6"/>
        <v>-0.96615666023667179</v>
      </c>
      <c r="E108" s="6">
        <v>4.0776222058462208E-2</v>
      </c>
      <c r="F108" s="6"/>
      <c r="G108" s="6">
        <v>101</v>
      </c>
      <c r="H108" s="6">
        <f t="shared" ca="1" si="7"/>
        <v>-8.9705596410077654E-3</v>
      </c>
    </row>
    <row r="109" spans="2:8" x14ac:dyDescent="0.3">
      <c r="B109" s="4">
        <v>45947</v>
      </c>
      <c r="C109" s="5">
        <v>2503.89</v>
      </c>
      <c r="D109" s="6">
        <f t="shared" si="6"/>
        <v>9.978121711680112</v>
      </c>
      <c r="E109" s="6">
        <v>4.0707412872254226E-2</v>
      </c>
      <c r="F109" s="6"/>
      <c r="G109" s="6">
        <v>102</v>
      </c>
      <c r="H109" s="6">
        <f t="shared" ca="1" si="7"/>
        <v>-4.4664571468575609E-3</v>
      </c>
    </row>
    <row r="110" spans="2:8" x14ac:dyDescent="0.3">
      <c r="B110" s="4">
        <v>40588</v>
      </c>
      <c r="C110" s="7">
        <v>228.08</v>
      </c>
      <c r="D110" s="6">
        <f t="shared" si="6"/>
        <v>1.3354495187384807</v>
      </c>
      <c r="E110" s="6">
        <v>4.0605894698421414E-2</v>
      </c>
      <c r="F110" s="6"/>
      <c r="G110" s="6">
        <v>103</v>
      </c>
      <c r="H110" s="6">
        <f t="shared" ca="1" si="7"/>
        <v>-6.2699843158069528E-3</v>
      </c>
    </row>
    <row r="111" spans="2:8" x14ac:dyDescent="0.3">
      <c r="B111" s="4">
        <v>39510</v>
      </c>
      <c r="C111" s="7">
        <v>97.66</v>
      </c>
      <c r="D111" s="6">
        <f t="shared" si="6"/>
        <v>-0.91413448688190191</v>
      </c>
      <c r="E111" s="6">
        <v>4.059669685668623E-2</v>
      </c>
      <c r="F111" s="6"/>
      <c r="G111" s="6">
        <v>104</v>
      </c>
      <c r="H111" s="6">
        <f t="shared" ca="1" si="7"/>
        <v>-8.8193051923975835E-3</v>
      </c>
    </row>
    <row r="112" spans="2:8" x14ac:dyDescent="0.3">
      <c r="B112" s="4">
        <v>42979</v>
      </c>
      <c r="C112" s="5">
        <v>1137.3599999999999</v>
      </c>
      <c r="D112" s="6">
        <f t="shared" si="6"/>
        <v>2.8836304036058178</v>
      </c>
      <c r="E112" s="6">
        <v>4.0518905468085273E-2</v>
      </c>
      <c r="F112" s="6"/>
      <c r="G112" s="6">
        <v>105</v>
      </c>
      <c r="H112" s="6">
        <f t="shared" ca="1" si="7"/>
        <v>2.3439280605399994E-2</v>
      </c>
    </row>
    <row r="113" spans="2:8" x14ac:dyDescent="0.3">
      <c r="B113" s="4">
        <v>40725</v>
      </c>
      <c r="C113" s="7">
        <v>292.86</v>
      </c>
      <c r="D113" s="6">
        <f t="shared" si="6"/>
        <v>2.173946027961418</v>
      </c>
      <c r="E113" s="6">
        <v>4.0429160153474475E-2</v>
      </c>
      <c r="F113" s="6"/>
      <c r="G113" s="6">
        <v>106</v>
      </c>
      <c r="H113" s="6">
        <f t="shared" ca="1" si="7"/>
        <v>-7.5500909868031988E-3</v>
      </c>
    </row>
    <row r="114" spans="2:8" x14ac:dyDescent="0.3">
      <c r="B114" s="4">
        <v>39500</v>
      </c>
      <c r="C114" s="7">
        <v>92.27</v>
      </c>
      <c r="D114" s="6">
        <f t="shared" si="6"/>
        <v>-0.80396031189580819</v>
      </c>
      <c r="E114" s="6">
        <v>4.0248027057497103E-2</v>
      </c>
      <c r="F114" s="6"/>
      <c r="G114" s="6">
        <v>107</v>
      </c>
      <c r="H114" s="6">
        <f t="shared" ca="1" si="7"/>
        <v>-2.079173614509139E-3</v>
      </c>
    </row>
    <row r="115" spans="2:8" x14ac:dyDescent="0.3">
      <c r="B115" s="4">
        <v>41473</v>
      </c>
      <c r="C115" s="7">
        <v>470.67</v>
      </c>
      <c r="D115" s="6">
        <f t="shared" si="6"/>
        <v>-0.81171317131713172</v>
      </c>
      <c r="E115" s="6">
        <v>4.0223661237209066E-2</v>
      </c>
      <c r="F115" s="6"/>
      <c r="G115" s="6">
        <v>108</v>
      </c>
      <c r="H115" s="6">
        <f t="shared" ca="1" si="7"/>
        <v>1.5408808727193897E-2</v>
      </c>
    </row>
    <row r="116" spans="2:8" x14ac:dyDescent="0.3">
      <c r="B116" s="4">
        <v>44292</v>
      </c>
      <c r="C116" s="5">
        <v>2499.75</v>
      </c>
      <c r="D116" s="6">
        <f t="shared" si="6"/>
        <v>5.8902020587114072E-2</v>
      </c>
      <c r="E116" s="6">
        <v>4.0210226705283181E-2</v>
      </c>
      <c r="F116" s="6"/>
      <c r="G116" s="6">
        <v>109</v>
      </c>
      <c r="H116" s="6">
        <f t="shared" ca="1" si="7"/>
        <v>5.7723729953774007E-3</v>
      </c>
    </row>
    <row r="117" spans="2:8" x14ac:dyDescent="0.3">
      <c r="B117" s="4">
        <v>46122</v>
      </c>
      <c r="C117" s="5">
        <v>2360.6999999999998</v>
      </c>
      <c r="D117" s="6">
        <f t="shared" si="6"/>
        <v>0.32905833736811868</v>
      </c>
      <c r="E117" s="6">
        <v>4.0139231582657697E-2</v>
      </c>
      <c r="F117" s="6"/>
      <c r="G117" s="6">
        <v>110</v>
      </c>
      <c r="H117" s="6">
        <f t="shared" ca="1" si="7"/>
        <v>-7.408466759201952E-3</v>
      </c>
    </row>
    <row r="118" spans="2:8" x14ac:dyDescent="0.3">
      <c r="B118" s="4">
        <v>43864</v>
      </c>
      <c r="C118" s="5">
        <v>1776.22</v>
      </c>
      <c r="D118" s="6">
        <f t="shared" si="6"/>
        <v>19.056684733514004</v>
      </c>
      <c r="E118" s="6">
        <v>4.0093690528473155E-2</v>
      </c>
      <c r="F118" s="6"/>
      <c r="G118" s="6">
        <v>111</v>
      </c>
      <c r="H118" s="6">
        <f t="shared" ca="1" si="7"/>
        <v>-1.2677527310639577E-4</v>
      </c>
    </row>
    <row r="119" spans="2:8" x14ac:dyDescent="0.3">
      <c r="B119" s="4">
        <v>39440</v>
      </c>
      <c r="C119" s="7">
        <v>88.56</v>
      </c>
      <c r="D119" s="6">
        <f t="shared" si="6"/>
        <v>-0.91104146576663458</v>
      </c>
      <c r="E119" s="6">
        <v>4.0046975924838475E-2</v>
      </c>
      <c r="F119" s="6"/>
      <c r="G119" s="6">
        <v>112</v>
      </c>
      <c r="H119" s="6">
        <f t="shared" ca="1" si="7"/>
        <v>7.8663743202550031E-4</v>
      </c>
    </row>
    <row r="120" spans="2:8" x14ac:dyDescent="0.3">
      <c r="B120" s="4">
        <v>42808</v>
      </c>
      <c r="C120" s="7">
        <v>995.52</v>
      </c>
      <c r="D120" s="6">
        <f t="shared" si="6"/>
        <v>9.2083675143560306</v>
      </c>
      <c r="E120" s="6">
        <v>3.9935651683397945E-2</v>
      </c>
      <c r="F120" s="6"/>
      <c r="G120" s="6">
        <v>113</v>
      </c>
      <c r="H120" s="6">
        <f t="shared" ca="1" si="7"/>
        <v>1.117067422413218E-2</v>
      </c>
    </row>
    <row r="121" spans="2:8" x14ac:dyDescent="0.3">
      <c r="B121" s="4">
        <v>39988</v>
      </c>
      <c r="C121" s="7">
        <v>97.52</v>
      </c>
      <c r="D121" s="6">
        <f t="shared" si="6"/>
        <v>-0.95038336886342711</v>
      </c>
      <c r="E121" s="6">
        <v>3.943722020891071E-2</v>
      </c>
      <c r="F121" s="6"/>
      <c r="G121" s="6">
        <v>114</v>
      </c>
      <c r="H121" s="6">
        <f t="shared" ca="1" si="7"/>
        <v>-3.4691090542959255E-2</v>
      </c>
    </row>
    <row r="122" spans="2:8" x14ac:dyDescent="0.3">
      <c r="B122" s="4">
        <v>44084</v>
      </c>
      <c r="C122" s="5">
        <v>1965.47</v>
      </c>
      <c r="D122" s="6">
        <f t="shared" si="6"/>
        <v>5.3876178095547615</v>
      </c>
      <c r="E122" s="6">
        <v>3.9161467695886611E-2</v>
      </c>
      <c r="F122" s="6"/>
      <c r="G122" s="6">
        <v>115</v>
      </c>
      <c r="H122" s="6">
        <f t="shared" ca="1" si="7"/>
        <v>-5.9094733344016246E-3</v>
      </c>
    </row>
    <row r="123" spans="2:8" x14ac:dyDescent="0.3">
      <c r="B123" s="4">
        <v>41022</v>
      </c>
      <c r="C123" s="7">
        <v>307.7</v>
      </c>
      <c r="D123" s="6">
        <f t="shared" si="6"/>
        <v>-0.89074550128534713</v>
      </c>
      <c r="E123" s="6">
        <v>3.9035591274397256E-2</v>
      </c>
      <c r="F123" s="6"/>
      <c r="G123" s="6">
        <v>116</v>
      </c>
      <c r="H123" s="6">
        <f t="shared" ca="1" si="7"/>
        <v>1.3310694114987191E-2</v>
      </c>
    </row>
    <row r="124" spans="2:8" x14ac:dyDescent="0.3">
      <c r="B124" s="4">
        <v>45425</v>
      </c>
      <c r="C124" s="5">
        <v>2816.36</v>
      </c>
      <c r="D124" s="6">
        <f t="shared" si="6"/>
        <v>1.253556739801879</v>
      </c>
      <c r="E124" s="6">
        <v>3.8971195844646561E-2</v>
      </c>
      <c r="F124" s="6"/>
      <c r="G124" s="6">
        <v>117</v>
      </c>
      <c r="H124" s="6">
        <f t="shared" ca="1" si="7"/>
        <v>4.1468602727405546E-5</v>
      </c>
    </row>
    <row r="125" spans="2:8" x14ac:dyDescent="0.3">
      <c r="B125" s="4">
        <v>43445</v>
      </c>
      <c r="C125" s="5">
        <v>1249.74</v>
      </c>
      <c r="D125" s="6">
        <f t="shared" si="6"/>
        <v>-0.26459927033070496</v>
      </c>
      <c r="E125" s="6">
        <v>3.8775153978505429E-2</v>
      </c>
      <c r="F125" s="6"/>
      <c r="G125" s="6">
        <v>118</v>
      </c>
      <c r="H125" s="6">
        <f t="shared" ca="1" si="7"/>
        <v>-8.8347252153422734E-3</v>
      </c>
    </row>
    <row r="126" spans="2:8" x14ac:dyDescent="0.3">
      <c r="B126" s="4">
        <v>44039</v>
      </c>
      <c r="C126" s="5">
        <v>1699.4</v>
      </c>
      <c r="D126" s="6">
        <f t="shared" si="6"/>
        <v>100.88249400479617</v>
      </c>
      <c r="E126" s="6">
        <v>3.8607041797302379E-2</v>
      </c>
      <c r="F126" s="6"/>
      <c r="G126" s="6">
        <v>119</v>
      </c>
      <c r="H126" s="6">
        <f t="shared" ca="1" si="7"/>
        <v>-1.7517615156626913E-2</v>
      </c>
    </row>
    <row r="127" spans="2:8" x14ac:dyDescent="0.3">
      <c r="B127" s="4">
        <v>37564</v>
      </c>
      <c r="C127" s="7">
        <v>16.68</v>
      </c>
      <c r="D127" s="6">
        <f t="shared" si="6"/>
        <v>-0.99469458898968188</v>
      </c>
      <c r="E127" s="6">
        <v>3.8605230386052368E-2</v>
      </c>
      <c r="F127" s="6"/>
      <c r="G127" s="6">
        <v>120</v>
      </c>
      <c r="H127" s="6">
        <f t="shared" ca="1" si="7"/>
        <v>-1.9092586470566032E-2</v>
      </c>
    </row>
    <row r="128" spans="2:8" x14ac:dyDescent="0.3">
      <c r="B128" s="4">
        <v>44607</v>
      </c>
      <c r="C128" s="5">
        <v>3143.96</v>
      </c>
      <c r="D128" s="6">
        <f t="shared" si="6"/>
        <v>-5.223619635600673E-2</v>
      </c>
      <c r="E128" s="6">
        <v>3.8539419745052532E-2</v>
      </c>
      <c r="F128" s="6"/>
      <c r="G128" s="6">
        <v>121</v>
      </c>
      <c r="H128" s="6">
        <f t="shared" ca="1" si="7"/>
        <v>-7.6552713586144419E-3</v>
      </c>
    </row>
    <row r="129" spans="2:8" x14ac:dyDescent="0.3">
      <c r="B129" s="4">
        <v>44463</v>
      </c>
      <c r="C129" s="5">
        <v>3317.24</v>
      </c>
      <c r="D129" s="6">
        <f t="shared" si="6"/>
        <v>0.49650374888345528</v>
      </c>
      <c r="E129" s="6">
        <v>3.8529571062279E-2</v>
      </c>
      <c r="F129" s="6"/>
      <c r="G129" s="6">
        <v>122</v>
      </c>
      <c r="H129" s="6">
        <f t="shared" ca="1" si="7"/>
        <v>3.253892678438103E-3</v>
      </c>
    </row>
    <row r="130" spans="2:8" x14ac:dyDescent="0.3">
      <c r="B130" s="4">
        <v>44167</v>
      </c>
      <c r="C130" s="5">
        <v>2216.66</v>
      </c>
      <c r="D130" s="6">
        <f t="shared" si="6"/>
        <v>3.3364438445135662</v>
      </c>
      <c r="E130" s="6">
        <v>3.8471989281062852E-2</v>
      </c>
      <c r="F130" s="6"/>
      <c r="G130" s="6">
        <v>123</v>
      </c>
      <c r="H130" s="6">
        <f t="shared" ca="1" si="7"/>
        <v>1.5396791952959094E-2</v>
      </c>
    </row>
    <row r="131" spans="2:8" x14ac:dyDescent="0.3">
      <c r="B131" s="4">
        <v>41807</v>
      </c>
      <c r="C131" s="7">
        <v>511.17</v>
      </c>
      <c r="D131" s="6">
        <f t="shared" si="6"/>
        <v>7.9663216979477296</v>
      </c>
      <c r="E131" s="6">
        <v>3.8435754189944167E-2</v>
      </c>
      <c r="F131" s="6"/>
      <c r="G131" s="6">
        <v>124</v>
      </c>
      <c r="H131" s="6">
        <f t="shared" ca="1" si="7"/>
        <v>-2.1353024004513034E-2</v>
      </c>
    </row>
    <row r="132" spans="2:8" x14ac:dyDescent="0.3">
      <c r="B132" s="4">
        <v>39022</v>
      </c>
      <c r="C132" s="7">
        <v>57.01</v>
      </c>
      <c r="D132" s="6">
        <f t="shared" si="6"/>
        <v>-0.25545252709938615</v>
      </c>
      <c r="E132" s="6">
        <v>3.8433515482695801E-2</v>
      </c>
      <c r="F132" s="6"/>
      <c r="G132" s="6">
        <v>125</v>
      </c>
      <c r="H132" s="6">
        <f t="shared" ca="1" si="7"/>
        <v>-1.6082362301436857E-2</v>
      </c>
    </row>
    <row r="133" spans="2:8" x14ac:dyDescent="0.3">
      <c r="B133" s="4">
        <v>39786</v>
      </c>
      <c r="C133" s="7">
        <v>76.569999999999993</v>
      </c>
      <c r="D133" s="6">
        <f t="shared" si="6"/>
        <v>0.65485195591095713</v>
      </c>
      <c r="E133" s="6">
        <v>3.795580859427948E-2</v>
      </c>
      <c r="F133" s="6"/>
      <c r="G133" s="6">
        <v>126</v>
      </c>
      <c r="H133" s="6">
        <f t="shared" ca="1" si="7"/>
        <v>2.5769270698824238E-3</v>
      </c>
    </row>
    <row r="134" spans="2:8" x14ac:dyDescent="0.3">
      <c r="B134" s="4">
        <v>38866</v>
      </c>
      <c r="C134" s="7">
        <v>46.27</v>
      </c>
      <c r="D134" s="6">
        <f t="shared" si="6"/>
        <v>-0.96714198468945733</v>
      </c>
      <c r="E134" s="6">
        <v>3.7909376401974088E-2</v>
      </c>
      <c r="F134" s="6"/>
      <c r="G134" s="6">
        <v>127</v>
      </c>
      <c r="H134" s="6">
        <f t="shared" ca="1" si="7"/>
        <v>3.8367202496998381E-3</v>
      </c>
    </row>
    <row r="135" spans="2:8" x14ac:dyDescent="0.3">
      <c r="B135" s="4">
        <v>43670</v>
      </c>
      <c r="C135" s="5">
        <v>1408.18</v>
      </c>
      <c r="D135" s="6">
        <f t="shared" si="6"/>
        <v>0.60874184593239122</v>
      </c>
      <c r="E135" s="6">
        <v>3.7814971220529729E-2</v>
      </c>
      <c r="F135" s="6"/>
      <c r="G135" s="6">
        <v>128</v>
      </c>
      <c r="H135" s="6">
        <f t="shared" ca="1" si="7"/>
        <v>-2.0073708147679357E-2</v>
      </c>
    </row>
    <row r="136" spans="2:8" x14ac:dyDescent="0.3">
      <c r="B136" s="4">
        <v>42697</v>
      </c>
      <c r="C136" s="7">
        <v>875.33</v>
      </c>
      <c r="D136" s="6">
        <f t="shared" ref="D136:D199" si="8">((C136-C137)/C137)</f>
        <v>17.277928586343705</v>
      </c>
      <c r="E136" s="6">
        <v>3.7784838640836559E-2</v>
      </c>
      <c r="F136" s="6"/>
      <c r="G136" s="6">
        <v>129</v>
      </c>
      <c r="H136" s="6">
        <f t="shared" ca="1" si="7"/>
        <v>3.1437239133053553E-2</v>
      </c>
    </row>
    <row r="137" spans="2:8" x14ac:dyDescent="0.3">
      <c r="B137" s="4">
        <v>38870</v>
      </c>
      <c r="C137" s="7">
        <v>47.89</v>
      </c>
      <c r="D137" s="6">
        <f t="shared" si="8"/>
        <v>-0.93512861845224393</v>
      </c>
      <c r="E137" s="6">
        <v>3.7703141928494083E-2</v>
      </c>
      <c r="F137" s="6"/>
      <c r="G137" s="6">
        <v>130</v>
      </c>
      <c r="H137" s="6">
        <f t="shared" ref="H137:H200" ca="1" si="9">_xlfn.NORM.INV(RAND(),N$10,N$11)</f>
        <v>1.0155987316869343E-2</v>
      </c>
    </row>
    <row r="138" spans="2:8" x14ac:dyDescent="0.3">
      <c r="B138" s="4">
        <v>42093</v>
      </c>
      <c r="C138" s="7">
        <v>738.23</v>
      </c>
      <c r="D138" s="6">
        <f t="shared" si="8"/>
        <v>-0.55751952481134504</v>
      </c>
      <c r="E138" s="6">
        <v>3.7641436502916535E-2</v>
      </c>
      <c r="F138" s="6"/>
      <c r="G138" s="6">
        <v>131</v>
      </c>
      <c r="H138" s="6">
        <f t="shared" ca="1" si="9"/>
        <v>1.2370022932392409E-2</v>
      </c>
    </row>
    <row r="139" spans="2:8" x14ac:dyDescent="0.3">
      <c r="B139" s="4">
        <v>44006</v>
      </c>
      <c r="C139" s="5">
        <v>1668.39</v>
      </c>
      <c r="D139" s="6">
        <f t="shared" si="8"/>
        <v>19.331342919814769</v>
      </c>
      <c r="E139" s="6">
        <v>3.7620498787238013E-2</v>
      </c>
      <c r="F139" s="6"/>
      <c r="G139" s="6">
        <v>132</v>
      </c>
      <c r="H139" s="6">
        <f t="shared" ca="1" si="9"/>
        <v>-1.9564509996267417E-2</v>
      </c>
    </row>
    <row r="140" spans="2:8" x14ac:dyDescent="0.3">
      <c r="B140" s="4">
        <v>39307</v>
      </c>
      <c r="C140" s="7">
        <v>82.06</v>
      </c>
      <c r="D140" s="6">
        <f t="shared" si="8"/>
        <v>-0.89131845573140855</v>
      </c>
      <c r="E140" s="6">
        <v>3.7552155771905411E-2</v>
      </c>
      <c r="F140" s="6"/>
      <c r="G140" s="6">
        <v>133</v>
      </c>
      <c r="H140" s="6">
        <f t="shared" ca="1" si="9"/>
        <v>-3.8108468607491418E-3</v>
      </c>
    </row>
    <row r="141" spans="2:8" x14ac:dyDescent="0.3">
      <c r="B141" s="4">
        <v>42256</v>
      </c>
      <c r="C141" s="7">
        <v>755.05</v>
      </c>
      <c r="D141" s="6">
        <f t="shared" si="8"/>
        <v>-0.19842668478491662</v>
      </c>
      <c r="E141" s="6">
        <v>3.7455859519916451E-2</v>
      </c>
      <c r="F141" s="6"/>
      <c r="G141" s="6">
        <v>134</v>
      </c>
      <c r="H141" s="6">
        <f t="shared" ca="1" si="9"/>
        <v>-7.5579445020662554E-3</v>
      </c>
    </row>
    <row r="142" spans="2:8" x14ac:dyDescent="0.3">
      <c r="B142" s="4">
        <v>42522</v>
      </c>
      <c r="C142" s="7">
        <v>941.96</v>
      </c>
      <c r="D142" s="6">
        <f t="shared" si="8"/>
        <v>-0.58341183390605578</v>
      </c>
      <c r="E142" s="6">
        <v>3.741230630293288E-2</v>
      </c>
      <c r="F142" s="6"/>
      <c r="G142" s="6">
        <v>135</v>
      </c>
      <c r="H142" s="6">
        <f t="shared" ca="1" si="9"/>
        <v>2.7660240802114183E-2</v>
      </c>
    </row>
    <row r="143" spans="2:8" x14ac:dyDescent="0.3">
      <c r="B143" s="4">
        <v>44256</v>
      </c>
      <c r="C143" s="5">
        <v>2261.13</v>
      </c>
      <c r="D143" s="6">
        <f t="shared" si="8"/>
        <v>113.54559270516719</v>
      </c>
      <c r="E143" s="6">
        <v>3.7372629801758997E-2</v>
      </c>
      <c r="F143" s="6"/>
      <c r="G143" s="6">
        <v>136</v>
      </c>
      <c r="H143" s="6">
        <f t="shared" ca="1" si="9"/>
        <v>5.7436893825990563E-3</v>
      </c>
    </row>
    <row r="144" spans="2:8" x14ac:dyDescent="0.3">
      <c r="B144" s="4">
        <v>37805</v>
      </c>
      <c r="C144" s="7">
        <v>19.739999999999998</v>
      </c>
      <c r="D144" s="6">
        <f t="shared" si="8"/>
        <v>-0.99177321753046499</v>
      </c>
      <c r="E144" s="6">
        <v>3.730951129795046E-2</v>
      </c>
      <c r="F144" s="6"/>
      <c r="G144" s="6">
        <v>137</v>
      </c>
      <c r="H144" s="6">
        <f t="shared" ca="1" si="9"/>
        <v>-1.759891997641078E-2</v>
      </c>
    </row>
    <row r="145" spans="2:8" x14ac:dyDescent="0.3">
      <c r="B145" s="4">
        <v>44236</v>
      </c>
      <c r="C145" s="5">
        <v>2399.48</v>
      </c>
      <c r="D145" s="6">
        <f t="shared" si="8"/>
        <v>5.905177127399349</v>
      </c>
      <c r="E145" s="6">
        <v>3.7236203930247985E-2</v>
      </c>
      <c r="F145" s="6"/>
      <c r="G145" s="6">
        <v>138</v>
      </c>
      <c r="H145" s="6">
        <f t="shared" ca="1" si="9"/>
        <v>2.4411519159321982E-2</v>
      </c>
    </row>
    <row r="146" spans="2:8" x14ac:dyDescent="0.3">
      <c r="B146" s="4">
        <v>41089</v>
      </c>
      <c r="C146" s="7">
        <v>347.49</v>
      </c>
      <c r="D146" s="6">
        <f t="shared" si="8"/>
        <v>-0.88395260454584934</v>
      </c>
      <c r="E146" s="6">
        <v>3.7221658408453311E-2</v>
      </c>
      <c r="F146" s="6"/>
      <c r="G146" s="6">
        <v>139</v>
      </c>
      <c r="H146" s="6">
        <f t="shared" ca="1" si="9"/>
        <v>2.2586881938167293E-2</v>
      </c>
    </row>
    <row r="147" spans="2:8" x14ac:dyDescent="0.3">
      <c r="B147" s="4">
        <v>44428</v>
      </c>
      <c r="C147" s="5">
        <v>2994.38</v>
      </c>
      <c r="D147" s="6">
        <f t="shared" si="8"/>
        <v>1.1732737222568987</v>
      </c>
      <c r="E147" s="6">
        <v>3.7115287369857621E-2</v>
      </c>
      <c r="F147" s="6"/>
      <c r="G147" s="6">
        <v>140</v>
      </c>
      <c r="H147" s="6">
        <f t="shared" ca="1" si="9"/>
        <v>-1.4517597973011801E-3</v>
      </c>
    </row>
    <row r="148" spans="2:8" x14ac:dyDescent="0.3">
      <c r="B148" s="4">
        <v>43619</v>
      </c>
      <c r="C148" s="5">
        <v>1377.82</v>
      </c>
      <c r="D148" s="6">
        <f t="shared" si="8"/>
        <v>15.293992431409649</v>
      </c>
      <c r="E148" s="6">
        <v>3.6913837609217515E-2</v>
      </c>
      <c r="F148" s="6"/>
      <c r="G148" s="6">
        <v>141</v>
      </c>
      <c r="H148" s="6">
        <f t="shared" ca="1" si="9"/>
        <v>2.897989697948692E-2</v>
      </c>
    </row>
    <row r="149" spans="2:8" x14ac:dyDescent="0.3">
      <c r="B149" s="4">
        <v>39399</v>
      </c>
      <c r="C149" s="7">
        <v>84.56</v>
      </c>
      <c r="D149" s="6">
        <f t="shared" si="8"/>
        <v>-0.24446032880629021</v>
      </c>
      <c r="E149" s="6">
        <v>3.690987124463526E-2</v>
      </c>
      <c r="F149" s="6"/>
      <c r="G149" s="6">
        <v>142</v>
      </c>
      <c r="H149" s="6">
        <f t="shared" ca="1" si="9"/>
        <v>1.1247303016990199E-2</v>
      </c>
    </row>
    <row r="150" spans="2:8" x14ac:dyDescent="0.3">
      <c r="B150" s="4">
        <v>40016</v>
      </c>
      <c r="C150" s="7">
        <v>111.92</v>
      </c>
      <c r="D150" s="6">
        <f t="shared" si="8"/>
        <v>-0.61521006669875533</v>
      </c>
      <c r="E150" s="6">
        <v>3.687233648323146E-2</v>
      </c>
      <c r="F150" s="6"/>
      <c r="G150" s="6">
        <v>143</v>
      </c>
      <c r="H150" s="6">
        <f t="shared" ca="1" si="9"/>
        <v>-9.9398749178809843E-3</v>
      </c>
    </row>
    <row r="151" spans="2:8" x14ac:dyDescent="0.3">
      <c r="B151" s="4">
        <v>40777</v>
      </c>
      <c r="C151" s="7">
        <v>290.86</v>
      </c>
      <c r="D151" s="6">
        <f t="shared" si="8"/>
        <v>-0.89960166513637962</v>
      </c>
      <c r="E151" s="6">
        <v>3.6490627895374557E-2</v>
      </c>
      <c r="F151" s="6"/>
      <c r="G151" s="6">
        <v>144</v>
      </c>
      <c r="H151" s="6">
        <f t="shared" ca="1" si="9"/>
        <v>1.9513981136355212E-3</v>
      </c>
    </row>
    <row r="152" spans="2:8" x14ac:dyDescent="0.3">
      <c r="B152" s="4">
        <v>45448</v>
      </c>
      <c r="C152" s="5">
        <v>2897.06</v>
      </c>
      <c r="D152" s="6">
        <f t="shared" si="8"/>
        <v>28.289859468203421</v>
      </c>
      <c r="E152" s="6">
        <v>3.6429918110495355E-2</v>
      </c>
      <c r="F152" s="6"/>
      <c r="G152" s="6">
        <v>145</v>
      </c>
      <c r="H152" s="6">
        <f t="shared" ca="1" si="9"/>
        <v>-2.8691694950606226E-2</v>
      </c>
    </row>
    <row r="153" spans="2:8" x14ac:dyDescent="0.3">
      <c r="B153" s="4">
        <v>39526</v>
      </c>
      <c r="C153" s="7">
        <v>98.91</v>
      </c>
      <c r="D153" s="6">
        <f t="shared" si="8"/>
        <v>2.2124066255277688</v>
      </c>
      <c r="E153" s="6">
        <v>3.6357921207041059E-2</v>
      </c>
      <c r="F153" s="6"/>
      <c r="G153" s="6">
        <v>146</v>
      </c>
      <c r="H153" s="6">
        <f t="shared" ca="1" si="9"/>
        <v>1.1415886032657977E-2</v>
      </c>
    </row>
    <row r="154" spans="2:8" x14ac:dyDescent="0.3">
      <c r="B154" s="4">
        <v>38428</v>
      </c>
      <c r="C154" s="7">
        <v>30.79</v>
      </c>
      <c r="D154" s="6">
        <f t="shared" si="8"/>
        <v>-0.9319512895882599</v>
      </c>
      <c r="E154" s="6">
        <v>3.6351396836082066E-2</v>
      </c>
      <c r="F154" s="6"/>
      <c r="G154" s="6">
        <v>147</v>
      </c>
      <c r="H154" s="6">
        <f t="shared" ca="1" si="9"/>
        <v>-2.0163766828879312E-2</v>
      </c>
    </row>
    <row r="155" spans="2:8" x14ac:dyDescent="0.3">
      <c r="B155" s="4">
        <v>41472</v>
      </c>
      <c r="C155" s="7">
        <v>452.47</v>
      </c>
      <c r="D155" s="6">
        <f t="shared" si="8"/>
        <v>-0.15822667063551116</v>
      </c>
      <c r="E155" s="6">
        <v>3.632532466045215E-2</v>
      </c>
      <c r="F155" s="6"/>
      <c r="G155" s="6">
        <v>148</v>
      </c>
      <c r="H155" s="6">
        <f t="shared" ca="1" si="9"/>
        <v>2.1480540366212813E-2</v>
      </c>
    </row>
    <row r="156" spans="2:8" x14ac:dyDescent="0.3">
      <c r="B156" s="4">
        <v>41834</v>
      </c>
      <c r="C156" s="7">
        <v>537.52</v>
      </c>
      <c r="D156" s="6">
        <f t="shared" si="8"/>
        <v>4.3452665075576764</v>
      </c>
      <c r="E156" s="6">
        <v>3.630299408124299E-2</v>
      </c>
      <c r="F156" s="6"/>
      <c r="G156" s="6">
        <v>149</v>
      </c>
      <c r="H156" s="6">
        <f t="shared" ca="1" si="9"/>
        <v>1.1342606899617627E-2</v>
      </c>
    </row>
    <row r="157" spans="2:8" x14ac:dyDescent="0.3">
      <c r="B157" s="4">
        <v>40008</v>
      </c>
      <c r="C157" s="7">
        <v>100.56</v>
      </c>
      <c r="D157" s="6">
        <f t="shared" si="8"/>
        <v>-0.90627097159048553</v>
      </c>
      <c r="E157" s="6">
        <v>3.6273701566364343E-2</v>
      </c>
      <c r="F157" s="6"/>
      <c r="G157" s="6">
        <v>150</v>
      </c>
      <c r="H157" s="6">
        <f t="shared" ca="1" si="9"/>
        <v>-2.9239493458863581E-2</v>
      </c>
    </row>
    <row r="158" spans="2:8" x14ac:dyDescent="0.3">
      <c r="B158" s="4">
        <v>43076</v>
      </c>
      <c r="C158" s="5">
        <v>1072.8800000000001</v>
      </c>
      <c r="D158" s="6">
        <f t="shared" si="8"/>
        <v>0.23144024608603841</v>
      </c>
      <c r="E158" s="6">
        <v>3.626862932591559E-2</v>
      </c>
      <c r="F158" s="6"/>
      <c r="G158" s="6">
        <v>151</v>
      </c>
      <c r="H158" s="6">
        <f t="shared" ca="1" si="9"/>
        <v>-1.3978680825543939E-2</v>
      </c>
    </row>
    <row r="159" spans="2:8" x14ac:dyDescent="0.3">
      <c r="B159" s="4">
        <v>42709</v>
      </c>
      <c r="C159" s="7">
        <v>871.24</v>
      </c>
      <c r="D159" s="6">
        <f t="shared" si="8"/>
        <v>30.716053876956682</v>
      </c>
      <c r="E159" s="6">
        <v>3.624058898390764E-2</v>
      </c>
      <c r="F159" s="6"/>
      <c r="G159" s="6">
        <v>152</v>
      </c>
      <c r="H159" s="6">
        <f t="shared" ca="1" si="9"/>
        <v>1.4625741616209602E-2</v>
      </c>
    </row>
    <row r="160" spans="2:8" x14ac:dyDescent="0.3">
      <c r="B160" s="4">
        <v>38379</v>
      </c>
      <c r="C160" s="7">
        <v>27.47</v>
      </c>
      <c r="D160" s="6">
        <f t="shared" si="8"/>
        <v>-0.93537382957700099</v>
      </c>
      <c r="E160" s="6">
        <v>3.6212749905695861E-2</v>
      </c>
      <c r="F160" s="6"/>
      <c r="G160" s="6">
        <v>153</v>
      </c>
      <c r="H160" s="6">
        <f t="shared" ca="1" si="9"/>
        <v>8.185031011751694E-3</v>
      </c>
    </row>
    <row r="161" spans="2:8" x14ac:dyDescent="0.3">
      <c r="B161" s="4">
        <v>41550</v>
      </c>
      <c r="C161" s="7">
        <v>425.06</v>
      </c>
      <c r="D161" s="6">
        <f t="shared" si="8"/>
        <v>11.246038605589169</v>
      </c>
      <c r="E161" s="6">
        <v>3.6200970234757865E-2</v>
      </c>
      <c r="F161" s="6"/>
      <c r="G161" s="6">
        <v>154</v>
      </c>
      <c r="H161" s="6">
        <f t="shared" ca="1" si="9"/>
        <v>1.5702519605363525E-2</v>
      </c>
    </row>
    <row r="162" spans="2:8" x14ac:dyDescent="0.3">
      <c r="B162" s="4">
        <v>38551</v>
      </c>
      <c r="C162" s="7">
        <v>34.71</v>
      </c>
      <c r="D162" s="6">
        <f t="shared" si="8"/>
        <v>-0.97162592986184904</v>
      </c>
      <c r="E162" s="6">
        <v>3.5810205908684063E-2</v>
      </c>
      <c r="F162" s="6"/>
      <c r="G162" s="6">
        <v>155</v>
      </c>
      <c r="H162" s="6">
        <f t="shared" ca="1" si="9"/>
        <v>1.7049963122845756E-2</v>
      </c>
    </row>
    <row r="163" spans="2:8" x14ac:dyDescent="0.3">
      <c r="B163" s="4">
        <v>43413</v>
      </c>
      <c r="C163" s="5">
        <v>1223.3</v>
      </c>
      <c r="D163" s="6">
        <f t="shared" si="8"/>
        <v>49.445360824742266</v>
      </c>
      <c r="E163" s="6">
        <v>3.5694329207375801E-2</v>
      </c>
      <c r="F163" s="6"/>
      <c r="G163" s="6">
        <v>156</v>
      </c>
      <c r="H163" s="6">
        <f t="shared" ca="1" si="9"/>
        <v>-4.1029278712551638E-2</v>
      </c>
    </row>
    <row r="164" spans="2:8" x14ac:dyDescent="0.3">
      <c r="B164" s="4">
        <v>38051</v>
      </c>
      <c r="C164" s="7">
        <v>24.25</v>
      </c>
      <c r="D164" s="6">
        <f t="shared" si="8"/>
        <v>-0.70491603796544178</v>
      </c>
      <c r="E164" s="6">
        <v>3.5439795046968328E-2</v>
      </c>
      <c r="F164" s="6"/>
      <c r="G164" s="6">
        <v>157</v>
      </c>
      <c r="H164" s="6">
        <f t="shared" ca="1" si="9"/>
        <v>-5.2427366045515898E-3</v>
      </c>
    </row>
    <row r="165" spans="2:8" x14ac:dyDescent="0.3">
      <c r="B165" s="4">
        <v>39366</v>
      </c>
      <c r="C165" s="7">
        <v>82.18</v>
      </c>
      <c r="D165" s="6">
        <f t="shared" si="8"/>
        <v>-0.1397466764367214</v>
      </c>
      <c r="E165" s="6">
        <v>3.5403804964092254E-2</v>
      </c>
      <c r="F165" s="6"/>
      <c r="G165" s="6">
        <v>158</v>
      </c>
      <c r="H165" s="6">
        <f t="shared" ca="1" si="9"/>
        <v>-1.6400287247925856E-2</v>
      </c>
    </row>
    <row r="166" spans="2:8" x14ac:dyDescent="0.3">
      <c r="B166" s="4">
        <v>39503</v>
      </c>
      <c r="C166" s="7">
        <v>95.53</v>
      </c>
      <c r="D166" s="6">
        <f t="shared" si="8"/>
        <v>-0.42576340466458285</v>
      </c>
      <c r="E166" s="6">
        <v>3.5331093529858082E-2</v>
      </c>
      <c r="F166" s="6"/>
      <c r="G166" s="6">
        <v>159</v>
      </c>
      <c r="H166" s="6">
        <f t="shared" ca="1" si="9"/>
        <v>-1.6743657627612749E-2</v>
      </c>
    </row>
    <row r="167" spans="2:8" x14ac:dyDescent="0.3">
      <c r="B167" s="4">
        <v>40210</v>
      </c>
      <c r="C167" s="7">
        <v>166.36</v>
      </c>
      <c r="D167" s="6">
        <f t="shared" si="8"/>
        <v>5.4832424006235394</v>
      </c>
      <c r="E167" s="6">
        <v>3.5285332005725409E-2</v>
      </c>
      <c r="F167" s="6"/>
      <c r="G167" s="6">
        <v>160</v>
      </c>
      <c r="H167" s="6">
        <f t="shared" ca="1" si="9"/>
        <v>4.6434673600600444E-3</v>
      </c>
    </row>
    <row r="168" spans="2:8" x14ac:dyDescent="0.3">
      <c r="B168" s="4">
        <v>37986</v>
      </c>
      <c r="C168" s="7">
        <v>25.66</v>
      </c>
      <c r="D168" s="6">
        <f t="shared" si="8"/>
        <v>-0.93005506187646503</v>
      </c>
      <c r="E168" s="6">
        <v>3.5094796288826183E-2</v>
      </c>
      <c r="F168" s="6"/>
      <c r="G168" s="6">
        <v>161</v>
      </c>
      <c r="H168" s="6">
        <f t="shared" ca="1" si="9"/>
        <v>-1.3316927850280765E-2</v>
      </c>
    </row>
    <row r="169" spans="2:8" x14ac:dyDescent="0.3">
      <c r="B169" s="4">
        <v>41219</v>
      </c>
      <c r="C169" s="7">
        <v>366.86</v>
      </c>
      <c r="D169" s="6">
        <f t="shared" si="8"/>
        <v>2.632636894742054</v>
      </c>
      <c r="E169" s="6">
        <v>3.4953592687674513E-2</v>
      </c>
      <c r="F169" s="6"/>
      <c r="G169" s="6">
        <v>162</v>
      </c>
      <c r="H169" s="6">
        <f t="shared" ca="1" si="9"/>
        <v>1.4571201524222943E-3</v>
      </c>
    </row>
    <row r="170" spans="2:8" x14ac:dyDescent="0.3">
      <c r="B170" s="4">
        <v>39659</v>
      </c>
      <c r="C170" s="7">
        <v>100.99</v>
      </c>
      <c r="D170" s="6">
        <f t="shared" si="8"/>
        <v>-0.78493089422237361</v>
      </c>
      <c r="E170" s="6">
        <v>3.4839635208525378E-2</v>
      </c>
      <c r="F170" s="6"/>
      <c r="G170" s="6">
        <v>163</v>
      </c>
      <c r="H170" s="6">
        <f t="shared" ca="1" si="9"/>
        <v>1.1634347708387281E-2</v>
      </c>
    </row>
    <row r="171" spans="2:8" x14ac:dyDescent="0.3">
      <c r="B171" s="4">
        <v>41576</v>
      </c>
      <c r="C171" s="7">
        <v>469.57</v>
      </c>
      <c r="D171" s="6">
        <f t="shared" si="8"/>
        <v>4.0312868316725599</v>
      </c>
      <c r="E171" s="6">
        <v>3.4796597470139759E-2</v>
      </c>
      <c r="F171" s="6"/>
      <c r="G171" s="6">
        <v>164</v>
      </c>
      <c r="H171" s="6">
        <f t="shared" ca="1" si="9"/>
        <v>9.7671498890914959E-3</v>
      </c>
    </row>
    <row r="172" spans="2:8" x14ac:dyDescent="0.3">
      <c r="B172" s="4">
        <v>39960</v>
      </c>
      <c r="C172" s="7">
        <v>93.33</v>
      </c>
      <c r="D172" s="6">
        <f t="shared" si="8"/>
        <v>-0.96793235317360782</v>
      </c>
      <c r="E172" s="6">
        <v>3.4700665188470016E-2</v>
      </c>
      <c r="F172" s="6"/>
      <c r="G172" s="6">
        <v>165</v>
      </c>
      <c r="H172" s="6">
        <f t="shared" ca="1" si="9"/>
        <v>-9.9541606796671421E-3</v>
      </c>
    </row>
    <row r="173" spans="2:8" x14ac:dyDescent="0.3">
      <c r="B173" s="4">
        <v>45414</v>
      </c>
      <c r="C173" s="5">
        <v>2910.41</v>
      </c>
      <c r="D173" s="6">
        <f t="shared" si="8"/>
        <v>0.230653761422114</v>
      </c>
      <c r="E173" s="6">
        <v>3.4599087121589121E-2</v>
      </c>
      <c r="F173" s="6"/>
      <c r="G173" s="6">
        <v>166</v>
      </c>
      <c r="H173" s="6">
        <f t="shared" ca="1" si="9"/>
        <v>-1.2416174850072601E-2</v>
      </c>
    </row>
    <row r="174" spans="2:8" x14ac:dyDescent="0.3">
      <c r="B174" s="4">
        <v>44245</v>
      </c>
      <c r="C174" s="5">
        <v>2364.9299999999998</v>
      </c>
      <c r="D174" s="6">
        <f t="shared" si="8"/>
        <v>22.811216270640351</v>
      </c>
      <c r="E174" s="6">
        <v>3.4586393801922223E-2</v>
      </c>
      <c r="F174" s="6"/>
      <c r="G174" s="6">
        <v>167</v>
      </c>
      <c r="H174" s="6">
        <f t="shared" ca="1" si="9"/>
        <v>-1.7729238259130461E-2</v>
      </c>
    </row>
    <row r="175" spans="2:8" x14ac:dyDescent="0.3">
      <c r="B175" s="4">
        <v>39486</v>
      </c>
      <c r="C175" s="7">
        <v>99.32</v>
      </c>
      <c r="D175" s="6">
        <f t="shared" si="8"/>
        <v>-0.91639519516486112</v>
      </c>
      <c r="E175" s="6">
        <v>3.4583333333333265E-2</v>
      </c>
      <c r="F175" s="6"/>
      <c r="G175" s="6">
        <v>168</v>
      </c>
      <c r="H175" s="6">
        <f t="shared" ca="1" si="9"/>
        <v>-1.131202097188806E-2</v>
      </c>
    </row>
    <row r="176" spans="2:8" x14ac:dyDescent="0.3">
      <c r="B176" s="4">
        <v>43385</v>
      </c>
      <c r="C176" s="5">
        <v>1187.97</v>
      </c>
      <c r="D176" s="6">
        <f t="shared" si="8"/>
        <v>0.67647930455398597</v>
      </c>
      <c r="E176" s="6">
        <v>3.4573750076201629E-2</v>
      </c>
      <c r="F176" s="6"/>
      <c r="G176" s="6">
        <v>169</v>
      </c>
      <c r="H176" s="6">
        <f t="shared" ca="1" si="9"/>
        <v>-2.2849043311085889E-2</v>
      </c>
    </row>
    <row r="177" spans="2:8" x14ac:dyDescent="0.3">
      <c r="B177" s="4">
        <v>42006</v>
      </c>
      <c r="C177" s="7">
        <v>708.61</v>
      </c>
      <c r="D177" s="6">
        <f t="shared" si="8"/>
        <v>-0.73475995478331169</v>
      </c>
      <c r="E177" s="6">
        <v>3.4572876060327426E-2</v>
      </c>
      <c r="F177" s="6"/>
      <c r="G177" s="6">
        <v>170</v>
      </c>
      <c r="H177" s="6">
        <f t="shared" ca="1" si="9"/>
        <v>1.1741427843891658E-3</v>
      </c>
    </row>
    <row r="178" spans="2:8" x14ac:dyDescent="0.3">
      <c r="B178" s="4">
        <v>44735</v>
      </c>
      <c r="C178" s="5">
        <v>2671.58</v>
      </c>
      <c r="D178" s="6">
        <f t="shared" si="8"/>
        <v>104.63780150257018</v>
      </c>
      <c r="E178" s="6">
        <v>3.4449645900852158E-2</v>
      </c>
      <c r="F178" s="6"/>
      <c r="G178" s="6">
        <v>171</v>
      </c>
      <c r="H178" s="6">
        <f t="shared" ca="1" si="9"/>
        <v>1.0104706714848758E-2</v>
      </c>
    </row>
    <row r="179" spans="2:8" x14ac:dyDescent="0.3">
      <c r="B179" s="4">
        <v>38359</v>
      </c>
      <c r="C179" s="7">
        <v>25.29</v>
      </c>
      <c r="D179" s="6">
        <f t="shared" si="8"/>
        <v>-0.99087510914509624</v>
      </c>
      <c r="E179" s="6">
        <v>3.4355828220858892E-2</v>
      </c>
      <c r="F179" s="6"/>
      <c r="G179" s="6">
        <v>172</v>
      </c>
      <c r="H179" s="6">
        <f t="shared" ca="1" si="9"/>
        <v>6.5567699731902554E-3</v>
      </c>
    </row>
    <row r="180" spans="2:8" x14ac:dyDescent="0.3">
      <c r="B180" s="4">
        <v>44748</v>
      </c>
      <c r="C180" s="5">
        <v>2771.54</v>
      </c>
      <c r="D180" s="6">
        <f t="shared" si="8"/>
        <v>5.3713563218390803</v>
      </c>
      <c r="E180" s="6">
        <v>3.4264773931604861E-2</v>
      </c>
      <c r="F180" s="6"/>
      <c r="G180" s="6">
        <v>173</v>
      </c>
      <c r="H180" s="6">
        <f t="shared" ca="1" si="9"/>
        <v>2.4750860543986127E-2</v>
      </c>
    </row>
    <row r="181" spans="2:8" x14ac:dyDescent="0.3">
      <c r="B181" s="4">
        <v>41400</v>
      </c>
      <c r="C181" s="7">
        <v>435</v>
      </c>
      <c r="D181" s="6">
        <f t="shared" si="8"/>
        <v>-0.81982131244641232</v>
      </c>
      <c r="E181" s="6">
        <v>3.4236804564907221E-2</v>
      </c>
      <c r="F181" s="6"/>
      <c r="G181" s="6">
        <v>174</v>
      </c>
      <c r="H181" s="6">
        <f t="shared" ca="1" si="9"/>
        <v>7.7908711797470621E-4</v>
      </c>
    </row>
    <row r="182" spans="2:8" x14ac:dyDescent="0.3">
      <c r="B182" s="4">
        <v>44174</v>
      </c>
      <c r="C182" s="5">
        <v>2414.27</v>
      </c>
      <c r="D182" s="6">
        <f t="shared" si="8"/>
        <v>22.462293488824098</v>
      </c>
      <c r="E182" s="6">
        <v>3.4196638165898428E-2</v>
      </c>
      <c r="F182" s="6"/>
      <c r="G182" s="6">
        <v>175</v>
      </c>
      <c r="H182" s="6">
        <f t="shared" ca="1" si="9"/>
        <v>1.8531678315205336E-3</v>
      </c>
    </row>
    <row r="183" spans="2:8" x14ac:dyDescent="0.3">
      <c r="B183" s="4">
        <v>39547</v>
      </c>
      <c r="C183" s="7">
        <v>102.9</v>
      </c>
      <c r="D183" s="6">
        <f t="shared" si="8"/>
        <v>1.2219822932412006</v>
      </c>
      <c r="E183" s="6">
        <v>3.417085427135684E-2</v>
      </c>
      <c r="F183" s="6"/>
      <c r="G183" s="6">
        <v>176</v>
      </c>
      <c r="H183" s="6">
        <f t="shared" ca="1" si="9"/>
        <v>-4.3243056397856841E-3</v>
      </c>
    </row>
    <row r="184" spans="2:8" x14ac:dyDescent="0.3">
      <c r="B184" s="4">
        <v>38884</v>
      </c>
      <c r="C184" s="7">
        <v>46.31</v>
      </c>
      <c r="D184" s="6">
        <f t="shared" si="8"/>
        <v>-0.98339893460664329</v>
      </c>
      <c r="E184" s="6">
        <v>3.4167038856632449E-2</v>
      </c>
      <c r="F184" s="6"/>
      <c r="G184" s="6">
        <v>177</v>
      </c>
      <c r="H184" s="6">
        <f t="shared" ca="1" si="9"/>
        <v>3.5833835215896889E-3</v>
      </c>
    </row>
    <row r="185" spans="2:8" x14ac:dyDescent="0.3">
      <c r="B185" s="4">
        <v>44341</v>
      </c>
      <c r="C185" s="5">
        <v>2789.58</v>
      </c>
      <c r="D185" s="6">
        <f t="shared" si="8"/>
        <v>15.326700222404305</v>
      </c>
      <c r="E185" s="6">
        <v>3.3767408077199544E-2</v>
      </c>
      <c r="F185" s="6"/>
      <c r="G185" s="6">
        <v>178</v>
      </c>
      <c r="H185" s="6">
        <f t="shared" ca="1" si="9"/>
        <v>1.4493175585568532E-2</v>
      </c>
    </row>
    <row r="186" spans="2:8" x14ac:dyDescent="0.3">
      <c r="B186" s="4">
        <v>40254</v>
      </c>
      <c r="C186" s="7">
        <v>170.86</v>
      </c>
      <c r="D186" s="6">
        <f t="shared" si="8"/>
        <v>1.0143834001414764</v>
      </c>
      <c r="E186" s="6">
        <v>3.3760890609874229E-2</v>
      </c>
      <c r="F186" s="6"/>
      <c r="G186" s="6">
        <v>179</v>
      </c>
      <c r="H186" s="6">
        <f t="shared" ca="1" si="9"/>
        <v>3.4417428995600153E-3</v>
      </c>
    </row>
    <row r="187" spans="2:8" x14ac:dyDescent="0.3">
      <c r="B187" s="4">
        <v>39951</v>
      </c>
      <c r="C187" s="7">
        <v>84.82</v>
      </c>
      <c r="D187" s="6">
        <f t="shared" si="8"/>
        <v>0.14482386286948293</v>
      </c>
      <c r="E187" s="6">
        <v>3.3633926395320382E-2</v>
      </c>
      <c r="F187" s="6"/>
      <c r="G187" s="6">
        <v>180</v>
      </c>
      <c r="H187" s="6">
        <f t="shared" ca="1" si="9"/>
        <v>8.7289199893676641E-3</v>
      </c>
    </row>
    <row r="188" spans="2:8" x14ac:dyDescent="0.3">
      <c r="B188" s="4">
        <v>39294</v>
      </c>
      <c r="C188" s="7">
        <v>74.09</v>
      </c>
      <c r="D188" s="6">
        <f t="shared" si="8"/>
        <v>1.6060499472388323</v>
      </c>
      <c r="E188" s="6">
        <v>3.3477472450830041E-2</v>
      </c>
      <c r="F188" s="6"/>
      <c r="G188" s="6">
        <v>181</v>
      </c>
      <c r="H188" s="6">
        <f t="shared" ca="1" si="9"/>
        <v>4.6329622217899987E-3</v>
      </c>
    </row>
    <row r="189" spans="2:8" x14ac:dyDescent="0.3">
      <c r="B189" s="4">
        <v>38383</v>
      </c>
      <c r="C189" s="7">
        <v>28.43</v>
      </c>
      <c r="D189" s="6">
        <f t="shared" si="8"/>
        <v>-0.96333599855562158</v>
      </c>
      <c r="E189" s="6">
        <v>3.3442384587422685E-2</v>
      </c>
      <c r="F189" s="6"/>
      <c r="G189" s="6">
        <v>182</v>
      </c>
      <c r="H189" s="6">
        <f t="shared" ca="1" si="9"/>
        <v>2.5051741229134807E-2</v>
      </c>
    </row>
    <row r="190" spans="2:8" x14ac:dyDescent="0.3">
      <c r="B190" s="4">
        <v>42207</v>
      </c>
      <c r="C190" s="7">
        <v>775.42</v>
      </c>
      <c r="D190" s="6">
        <f t="shared" si="8"/>
        <v>8.380837164287442</v>
      </c>
      <c r="E190" s="6">
        <v>3.3397302628071786E-2</v>
      </c>
      <c r="F190" s="6"/>
      <c r="G190" s="6">
        <v>183</v>
      </c>
      <c r="H190" s="6">
        <f t="shared" ca="1" si="9"/>
        <v>1.6455128543080316E-2</v>
      </c>
    </row>
    <row r="191" spans="2:8" x14ac:dyDescent="0.3">
      <c r="B191" s="4">
        <v>39353</v>
      </c>
      <c r="C191" s="7">
        <v>82.66</v>
      </c>
      <c r="D191" s="6">
        <f t="shared" si="8"/>
        <v>-0.29241568224619069</v>
      </c>
      <c r="E191" s="6">
        <v>3.337917239654959E-2</v>
      </c>
      <c r="F191" s="6"/>
      <c r="G191" s="6">
        <v>184</v>
      </c>
      <c r="H191" s="6">
        <f t="shared" ca="1" si="9"/>
        <v>-4.5760928280803503E-3</v>
      </c>
    </row>
    <row r="192" spans="2:8" x14ac:dyDescent="0.3">
      <c r="B192" s="4">
        <v>40021</v>
      </c>
      <c r="C192" s="7">
        <v>116.82</v>
      </c>
      <c r="D192" s="6">
        <f t="shared" si="8"/>
        <v>-0.90702375741175545</v>
      </c>
      <c r="E192" s="6">
        <v>3.334807607253424E-2</v>
      </c>
      <c r="F192" s="6"/>
      <c r="G192" s="6">
        <v>185</v>
      </c>
      <c r="H192" s="6">
        <f t="shared" ca="1" si="9"/>
        <v>4.1966040457104212E-3</v>
      </c>
    </row>
    <row r="193" spans="2:8" x14ac:dyDescent="0.3">
      <c r="B193" s="4">
        <v>43357</v>
      </c>
      <c r="C193" s="5">
        <v>1256.45</v>
      </c>
      <c r="D193" s="6">
        <f t="shared" si="8"/>
        <v>1.6647366969947617</v>
      </c>
      <c r="E193" s="6">
        <v>3.3230814775829808E-2</v>
      </c>
      <c r="F193" s="6"/>
      <c r="G193" s="6">
        <v>186</v>
      </c>
      <c r="H193" s="6">
        <f t="shared" ca="1" si="9"/>
        <v>1.1930674765079122E-2</v>
      </c>
    </row>
    <row r="194" spans="2:8" x14ac:dyDescent="0.3">
      <c r="B194" s="4">
        <v>41768</v>
      </c>
      <c r="C194" s="7">
        <v>471.51</v>
      </c>
      <c r="D194" s="6">
        <f t="shared" si="8"/>
        <v>0.70521861777150918</v>
      </c>
      <c r="E194" s="6">
        <v>3.319747567709698E-2</v>
      </c>
      <c r="F194" s="6"/>
      <c r="G194" s="6">
        <v>187</v>
      </c>
      <c r="H194" s="6">
        <f t="shared" ca="1" si="9"/>
        <v>7.4494923814738701E-3</v>
      </c>
    </row>
    <row r="195" spans="2:8" x14ac:dyDescent="0.3">
      <c r="B195" s="4">
        <v>40823</v>
      </c>
      <c r="C195" s="7">
        <v>276.51</v>
      </c>
      <c r="D195" s="6">
        <f t="shared" si="8"/>
        <v>0.7044319792886643</v>
      </c>
      <c r="E195" s="6">
        <v>3.3180136755969043E-2</v>
      </c>
      <c r="F195" s="6"/>
      <c r="G195" s="6">
        <v>188</v>
      </c>
      <c r="H195" s="6">
        <f t="shared" ca="1" si="9"/>
        <v>-1.9979290958300453E-2</v>
      </c>
    </row>
    <row r="196" spans="2:8" x14ac:dyDescent="0.3">
      <c r="B196" s="4">
        <v>40239</v>
      </c>
      <c r="C196" s="7">
        <v>162.22999999999999</v>
      </c>
      <c r="D196" s="6">
        <f t="shared" si="8"/>
        <v>0.97648635477582835</v>
      </c>
      <c r="E196" s="6">
        <v>3.311469146023046E-2</v>
      </c>
      <c r="F196" s="6"/>
      <c r="G196" s="6">
        <v>189</v>
      </c>
      <c r="H196" s="6">
        <f t="shared" ca="1" si="9"/>
        <v>7.9346025519926294E-3</v>
      </c>
    </row>
    <row r="197" spans="2:8" x14ac:dyDescent="0.3">
      <c r="B197" s="4">
        <v>39350</v>
      </c>
      <c r="C197" s="7">
        <v>82.08</v>
      </c>
      <c r="D197" s="6">
        <f t="shared" si="8"/>
        <v>0.15703411333521286</v>
      </c>
      <c r="E197" s="6">
        <v>3.3102580239144058E-2</v>
      </c>
      <c r="F197" s="6"/>
      <c r="G197" s="6">
        <v>190</v>
      </c>
      <c r="H197" s="6">
        <f t="shared" ca="1" si="9"/>
        <v>9.6821735009193131E-5</v>
      </c>
    </row>
    <row r="198" spans="2:8" x14ac:dyDescent="0.3">
      <c r="B198" s="4">
        <v>39857</v>
      </c>
      <c r="C198" s="7">
        <v>70.94</v>
      </c>
      <c r="D198" s="6">
        <f t="shared" si="8"/>
        <v>0.81246806336228916</v>
      </c>
      <c r="E198" s="6">
        <v>3.3056647735546757E-2</v>
      </c>
      <c r="F198" s="6"/>
      <c r="G198" s="6">
        <v>191</v>
      </c>
      <c r="H198" s="6">
        <f t="shared" ca="1" si="9"/>
        <v>-1.4449685344998938E-2</v>
      </c>
    </row>
    <row r="199" spans="2:8" x14ac:dyDescent="0.3">
      <c r="B199" s="4">
        <v>38656</v>
      </c>
      <c r="C199" s="7">
        <v>39.14</v>
      </c>
      <c r="D199" s="6">
        <f t="shared" si="8"/>
        <v>-0.95192591136877269</v>
      </c>
      <c r="E199" s="6">
        <v>3.2990234890472418E-2</v>
      </c>
      <c r="F199" s="6"/>
      <c r="G199" s="6">
        <v>192</v>
      </c>
      <c r="H199" s="6">
        <f t="shared" ca="1" si="9"/>
        <v>2.9268322424437661E-2</v>
      </c>
    </row>
    <row r="200" spans="2:8" x14ac:dyDescent="0.3">
      <c r="B200" s="4">
        <v>42031</v>
      </c>
      <c r="C200" s="7">
        <v>814.16</v>
      </c>
      <c r="D200" s="6">
        <f t="shared" ref="D200:D263" si="10">((C200-C201)/C201)</f>
        <v>0.64719687620126654</v>
      </c>
      <c r="E200" s="6">
        <v>3.2935803095660902E-2</v>
      </c>
      <c r="F200" s="6"/>
      <c r="G200" s="6">
        <v>193</v>
      </c>
      <c r="H200" s="6">
        <f t="shared" ca="1" si="9"/>
        <v>3.5772035629696095E-3</v>
      </c>
    </row>
    <row r="201" spans="2:8" x14ac:dyDescent="0.3">
      <c r="B201" s="4">
        <v>41780</v>
      </c>
      <c r="C201" s="7">
        <v>494.27</v>
      </c>
      <c r="D201" s="6">
        <f t="shared" si="10"/>
        <v>5.3974889981879359</v>
      </c>
      <c r="E201" s="6">
        <v>3.2892399640565922E-2</v>
      </c>
      <c r="F201" s="6"/>
      <c r="G201" s="6">
        <v>194</v>
      </c>
      <c r="H201" s="6">
        <f t="shared" ref="H201:H264" ca="1" si="11">_xlfn.NORM.INV(RAND(),N$10,N$11)</f>
        <v>1.5657938531544392E-2</v>
      </c>
    </row>
    <row r="202" spans="2:8" x14ac:dyDescent="0.3">
      <c r="B202" s="4">
        <v>39919</v>
      </c>
      <c r="C202" s="7">
        <v>77.260000000000005</v>
      </c>
      <c r="D202" s="6">
        <f t="shared" si="10"/>
        <v>-0.97556470640327397</v>
      </c>
      <c r="E202" s="6">
        <v>3.2887700534759465E-2</v>
      </c>
      <c r="F202" s="6"/>
      <c r="G202" s="6">
        <v>195</v>
      </c>
      <c r="H202" s="6">
        <f t="shared" ca="1" si="11"/>
        <v>5.0222348922057082E-3</v>
      </c>
    </row>
    <row r="203" spans="2:8" x14ac:dyDescent="0.3">
      <c r="B203" s="4">
        <v>44540</v>
      </c>
      <c r="C203" s="5">
        <v>3161.82</v>
      </c>
      <c r="D203" s="6">
        <f t="shared" si="10"/>
        <v>1.3914954126358627</v>
      </c>
      <c r="E203" s="6">
        <v>3.2859340853186508E-2</v>
      </c>
      <c r="F203" s="6"/>
      <c r="G203" s="6">
        <v>196</v>
      </c>
      <c r="H203" s="6">
        <f t="shared" ca="1" si="11"/>
        <v>1.485030962617241E-2</v>
      </c>
    </row>
    <row r="204" spans="2:8" x14ac:dyDescent="0.3">
      <c r="B204" s="4">
        <v>43453</v>
      </c>
      <c r="C204" s="5">
        <v>1322.11</v>
      </c>
      <c r="D204" s="6">
        <f t="shared" si="10"/>
        <v>11.248564017046506</v>
      </c>
      <c r="E204" s="6">
        <v>3.2858091480801488E-2</v>
      </c>
      <c r="F204" s="6"/>
      <c r="G204" s="6">
        <v>197</v>
      </c>
      <c r="H204" s="6">
        <f t="shared" ca="1" si="11"/>
        <v>-2.8006566609081436E-3</v>
      </c>
    </row>
    <row r="205" spans="2:8" x14ac:dyDescent="0.3">
      <c r="B205" s="4">
        <v>40015</v>
      </c>
      <c r="C205" s="7">
        <v>107.94</v>
      </c>
      <c r="D205" s="6">
        <f t="shared" si="10"/>
        <v>-0.77832997905286072</v>
      </c>
      <c r="E205" s="6">
        <v>3.2819825853985192E-2</v>
      </c>
      <c r="F205" s="6"/>
      <c r="G205" s="6">
        <v>198</v>
      </c>
      <c r="H205" s="6">
        <f t="shared" ca="1" si="11"/>
        <v>2.4972704819836815E-2</v>
      </c>
    </row>
    <row r="206" spans="2:8" x14ac:dyDescent="0.3">
      <c r="B206" s="4">
        <v>41771</v>
      </c>
      <c r="C206" s="7">
        <v>486.94</v>
      </c>
      <c r="D206" s="6">
        <f t="shared" si="10"/>
        <v>-0.37865737727928139</v>
      </c>
      <c r="E206" s="6">
        <v>3.2724650590655567E-2</v>
      </c>
      <c r="F206" s="6"/>
      <c r="G206" s="6">
        <v>199</v>
      </c>
      <c r="H206" s="6">
        <f t="shared" ca="1" si="11"/>
        <v>-1.2912306507304499E-2</v>
      </c>
    </row>
    <row r="207" spans="2:8" x14ac:dyDescent="0.3">
      <c r="B207" s="4">
        <v>42205</v>
      </c>
      <c r="C207" s="7">
        <v>783.69</v>
      </c>
      <c r="D207" s="6">
        <f t="shared" si="10"/>
        <v>5.5575265668144924</v>
      </c>
      <c r="E207" s="6">
        <v>3.2584062401180586E-2</v>
      </c>
      <c r="F207" s="6"/>
      <c r="G207" s="6">
        <v>200</v>
      </c>
      <c r="H207" s="6">
        <f t="shared" ca="1" si="11"/>
        <v>1.9102048035748893E-2</v>
      </c>
    </row>
    <row r="208" spans="2:8" x14ac:dyDescent="0.3">
      <c r="B208" s="4">
        <v>40038</v>
      </c>
      <c r="C208" s="7">
        <v>119.51</v>
      </c>
      <c r="D208" s="6">
        <f t="shared" si="10"/>
        <v>2.0873159390338416</v>
      </c>
      <c r="E208" s="6">
        <v>3.2573008467254277E-2</v>
      </c>
      <c r="F208" s="6"/>
      <c r="G208" s="6">
        <v>201</v>
      </c>
      <c r="H208" s="6">
        <f t="shared" ca="1" si="11"/>
        <v>1.3928458126397033E-2</v>
      </c>
    </row>
    <row r="209" spans="2:8" x14ac:dyDescent="0.3">
      <c r="B209" s="4">
        <v>38593</v>
      </c>
      <c r="C209" s="7">
        <v>38.71</v>
      </c>
      <c r="D209" s="6">
        <f t="shared" si="10"/>
        <v>-0.84199999999999997</v>
      </c>
      <c r="E209" s="6">
        <v>3.2542011202987428E-2</v>
      </c>
      <c r="F209" s="6"/>
      <c r="G209" s="6">
        <v>202</v>
      </c>
      <c r="H209" s="6">
        <f t="shared" ca="1" si="11"/>
        <v>9.0451047950768568E-3</v>
      </c>
    </row>
    <row r="210" spans="2:8" x14ac:dyDescent="0.3">
      <c r="B210" s="4">
        <v>40484</v>
      </c>
      <c r="C210" s="7">
        <v>245</v>
      </c>
      <c r="D210" s="6">
        <f t="shared" si="10"/>
        <v>-0.91955449608279649</v>
      </c>
      <c r="E210" s="6">
        <v>3.2448377581120895E-2</v>
      </c>
      <c r="F210" s="6"/>
      <c r="G210" s="6">
        <v>203</v>
      </c>
      <c r="H210" s="6">
        <f t="shared" ca="1" si="11"/>
        <v>1.6462336589404505E-2</v>
      </c>
    </row>
    <row r="211" spans="2:8" x14ac:dyDescent="0.3">
      <c r="B211" s="4">
        <v>45057</v>
      </c>
      <c r="C211" s="5">
        <v>3045.54</v>
      </c>
      <c r="D211" s="6">
        <f t="shared" si="10"/>
        <v>81.916961611761508</v>
      </c>
      <c r="E211" s="6">
        <v>3.233744839227972E-2</v>
      </c>
      <c r="F211" s="6"/>
      <c r="G211" s="6">
        <v>204</v>
      </c>
      <c r="H211" s="6">
        <f t="shared" ca="1" si="11"/>
        <v>7.7593288433691178E-3</v>
      </c>
    </row>
    <row r="212" spans="2:8" x14ac:dyDescent="0.3">
      <c r="B212" s="4">
        <v>38553</v>
      </c>
      <c r="C212" s="7">
        <v>36.729999999999997</v>
      </c>
      <c r="D212" s="6">
        <f t="shared" si="10"/>
        <v>-0.95182129412227656</v>
      </c>
      <c r="E212" s="6">
        <v>3.2321528948847628E-2</v>
      </c>
      <c r="F212" s="6"/>
      <c r="G212" s="6">
        <v>205</v>
      </c>
      <c r="H212" s="6">
        <f t="shared" ca="1" si="11"/>
        <v>2.5709554986207979E-2</v>
      </c>
    </row>
    <row r="213" spans="2:8" x14ac:dyDescent="0.3">
      <c r="B213" s="4">
        <v>42017</v>
      </c>
      <c r="C213" s="7">
        <v>762.37</v>
      </c>
      <c r="D213" s="6">
        <f t="shared" si="10"/>
        <v>-8.4570124879923089E-2</v>
      </c>
      <c r="E213" s="6">
        <v>3.2308296434713155E-2</v>
      </c>
      <c r="F213" s="6"/>
      <c r="G213" s="6">
        <v>206</v>
      </c>
      <c r="H213" s="6">
        <f t="shared" ca="1" si="11"/>
        <v>2.2262960257744636E-2</v>
      </c>
    </row>
    <row r="214" spans="2:8" x14ac:dyDescent="0.3">
      <c r="B214" s="4">
        <v>42220</v>
      </c>
      <c r="C214" s="7">
        <v>832.8</v>
      </c>
      <c r="D214" s="6">
        <f t="shared" si="10"/>
        <v>1.9733300010710846</v>
      </c>
      <c r="E214" s="6">
        <v>3.2136527569496885E-2</v>
      </c>
      <c r="F214" s="6"/>
      <c r="G214" s="6">
        <v>207</v>
      </c>
      <c r="H214" s="6">
        <f t="shared" ca="1" si="11"/>
        <v>1.5117588886989639E-2</v>
      </c>
    </row>
    <row r="215" spans="2:8" x14ac:dyDescent="0.3">
      <c r="B215" s="4">
        <v>40847</v>
      </c>
      <c r="C215" s="7">
        <v>280.08999999999997</v>
      </c>
      <c r="D215" s="6">
        <f t="shared" si="10"/>
        <v>2.1915451230628986</v>
      </c>
      <c r="E215" s="6">
        <v>3.213324980653709E-2</v>
      </c>
      <c r="F215" s="6"/>
      <c r="G215" s="6">
        <v>208</v>
      </c>
      <c r="H215" s="6">
        <f t="shared" ca="1" si="11"/>
        <v>-1.4454807620476264E-2</v>
      </c>
    </row>
    <row r="216" spans="2:8" x14ac:dyDescent="0.3">
      <c r="B216" s="4">
        <v>39646</v>
      </c>
      <c r="C216" s="7">
        <v>87.76</v>
      </c>
      <c r="D216" s="6">
        <f t="shared" si="10"/>
        <v>-0.10091179182460808</v>
      </c>
      <c r="E216" s="6">
        <v>3.2106315418087783E-2</v>
      </c>
      <c r="F216" s="6"/>
      <c r="G216" s="6">
        <v>209</v>
      </c>
      <c r="H216" s="6">
        <f t="shared" ca="1" si="11"/>
        <v>-2.837857548247422E-2</v>
      </c>
    </row>
    <row r="217" spans="2:8" x14ac:dyDescent="0.3">
      <c r="B217" s="4">
        <v>39517</v>
      </c>
      <c r="C217" s="7">
        <v>97.61</v>
      </c>
      <c r="D217" s="6">
        <f t="shared" si="10"/>
        <v>-0.9544397976139356</v>
      </c>
      <c r="E217" s="6">
        <v>3.1818181818181877E-2</v>
      </c>
      <c r="F217" s="6"/>
      <c r="G217" s="6">
        <v>210</v>
      </c>
      <c r="H217" s="6">
        <f t="shared" ca="1" si="11"/>
        <v>-1.3540776489318201E-2</v>
      </c>
    </row>
    <row r="218" spans="2:8" x14ac:dyDescent="0.3">
      <c r="B218" s="4">
        <v>44140</v>
      </c>
      <c r="C218" s="5">
        <v>2142.44</v>
      </c>
      <c r="D218" s="6">
        <f t="shared" si="10"/>
        <v>-0.32562992807566998</v>
      </c>
      <c r="E218" s="6">
        <v>3.1735483063172434E-2</v>
      </c>
      <c r="F218" s="6"/>
      <c r="G218" s="6">
        <v>211</v>
      </c>
      <c r="H218" s="6">
        <f t="shared" ca="1" si="11"/>
        <v>1.0781206669804495E-2</v>
      </c>
    </row>
    <row r="219" spans="2:8" x14ac:dyDescent="0.3">
      <c r="B219" s="4">
        <v>44440</v>
      </c>
      <c r="C219" s="5">
        <v>3176.95</v>
      </c>
      <c r="D219" s="6">
        <f t="shared" si="10"/>
        <v>1.7029820904411452</v>
      </c>
      <c r="E219" s="6">
        <v>3.1674898763074735E-2</v>
      </c>
      <c r="F219" s="6"/>
      <c r="G219" s="6">
        <v>212</v>
      </c>
      <c r="H219" s="6">
        <f t="shared" ca="1" si="11"/>
        <v>1.3511998770724578E-3</v>
      </c>
    </row>
    <row r="220" spans="2:8" x14ac:dyDescent="0.3">
      <c r="B220" s="4">
        <v>43381</v>
      </c>
      <c r="C220" s="5">
        <v>1175.3499999999999</v>
      </c>
      <c r="D220" s="6">
        <f t="shared" si="10"/>
        <v>3.7036577557227468</v>
      </c>
      <c r="E220" s="6">
        <v>3.1669402336583892E-2</v>
      </c>
      <c r="F220" s="6"/>
      <c r="G220" s="6">
        <v>213</v>
      </c>
      <c r="H220" s="6">
        <f t="shared" ca="1" si="11"/>
        <v>-1.8615950127830058E-2</v>
      </c>
    </row>
    <row r="221" spans="2:8" x14ac:dyDescent="0.3">
      <c r="B221" s="4">
        <v>40931</v>
      </c>
      <c r="C221" s="7">
        <v>249.88</v>
      </c>
      <c r="D221" s="6">
        <f t="shared" si="10"/>
        <v>-0.81838532430153788</v>
      </c>
      <c r="E221" s="6">
        <v>3.1581554720720002E-2</v>
      </c>
      <c r="F221" s="6"/>
      <c r="G221" s="6">
        <v>214</v>
      </c>
      <c r="H221" s="6">
        <f t="shared" ca="1" si="11"/>
        <v>-3.4511860694278931E-2</v>
      </c>
    </row>
    <row r="222" spans="2:8" x14ac:dyDescent="0.3">
      <c r="B222" s="4">
        <v>43497</v>
      </c>
      <c r="C222" s="5">
        <v>1375.88</v>
      </c>
      <c r="D222" s="6">
        <f t="shared" si="10"/>
        <v>-0.5600956619603028</v>
      </c>
      <c r="E222" s="6">
        <v>3.1572160117561594E-2</v>
      </c>
      <c r="F222" s="6"/>
      <c r="G222" s="6">
        <v>215</v>
      </c>
      <c r="H222" s="6">
        <f t="shared" ca="1" si="11"/>
        <v>-1.1964406542589081E-3</v>
      </c>
    </row>
    <row r="223" spans="2:8" x14ac:dyDescent="0.3">
      <c r="B223" s="4">
        <v>44679</v>
      </c>
      <c r="C223" s="5">
        <v>3127.68</v>
      </c>
      <c r="D223" s="6">
        <f t="shared" si="10"/>
        <v>5.6877162629757685E-2</v>
      </c>
      <c r="E223" s="6">
        <v>3.1556728232189919E-2</v>
      </c>
      <c r="F223" s="6"/>
      <c r="G223" s="6">
        <v>216</v>
      </c>
      <c r="H223" s="6">
        <f t="shared" ca="1" si="11"/>
        <v>2.527001244878576E-2</v>
      </c>
    </row>
    <row r="224" spans="2:8" x14ac:dyDescent="0.3">
      <c r="B224" s="4">
        <v>45483</v>
      </c>
      <c r="C224" s="5">
        <v>2959.36</v>
      </c>
      <c r="D224" s="6">
        <f t="shared" si="10"/>
        <v>30.001047559187096</v>
      </c>
      <c r="E224" s="6">
        <v>3.1480913476284809E-2</v>
      </c>
      <c r="F224" s="6"/>
      <c r="G224" s="6">
        <v>217</v>
      </c>
      <c r="H224" s="6">
        <f t="shared" ca="1" si="11"/>
        <v>-1.2465984631671374E-2</v>
      </c>
    </row>
    <row r="225" spans="2:8" x14ac:dyDescent="0.3">
      <c r="B225" s="4">
        <v>39448</v>
      </c>
      <c r="C225" s="7">
        <v>95.46</v>
      </c>
      <c r="D225" s="6">
        <f t="shared" si="10"/>
        <v>-0.91447002956724299</v>
      </c>
      <c r="E225" s="6">
        <v>3.1442463533225246E-2</v>
      </c>
      <c r="F225" s="6"/>
      <c r="G225" s="6">
        <v>218</v>
      </c>
      <c r="H225" s="6">
        <f t="shared" ca="1" si="11"/>
        <v>-3.559450816968332E-3</v>
      </c>
    </row>
    <row r="226" spans="2:8" x14ac:dyDescent="0.3">
      <c r="B226" s="4">
        <v>42619</v>
      </c>
      <c r="C226" s="5">
        <v>1116.0999999999999</v>
      </c>
      <c r="D226" s="6">
        <f t="shared" si="10"/>
        <v>1.8125393745432554</v>
      </c>
      <c r="E226" s="6">
        <v>3.1344138683028558E-2</v>
      </c>
      <c r="F226" s="6"/>
      <c r="G226" s="6">
        <v>219</v>
      </c>
      <c r="H226" s="6">
        <f t="shared" ca="1" si="11"/>
        <v>3.8904191654955546E-2</v>
      </c>
    </row>
    <row r="227" spans="2:8" x14ac:dyDescent="0.3">
      <c r="B227" s="4">
        <v>41262</v>
      </c>
      <c r="C227" s="7">
        <v>396.83</v>
      </c>
      <c r="D227" s="6">
        <f t="shared" si="10"/>
        <v>-0.86439282101752379</v>
      </c>
      <c r="E227" s="6">
        <v>3.1289794433327175E-2</v>
      </c>
      <c r="F227" s="6"/>
      <c r="G227" s="6">
        <v>220</v>
      </c>
      <c r="H227" s="6">
        <f t="shared" ca="1" si="11"/>
        <v>1.1258933284956311E-2</v>
      </c>
    </row>
    <row r="228" spans="2:8" x14ac:dyDescent="0.3">
      <c r="B228" s="4">
        <v>44362</v>
      </c>
      <c r="C228" s="5">
        <v>2926.32</v>
      </c>
      <c r="D228" s="6">
        <f t="shared" si="10"/>
        <v>3.8854237967244862</v>
      </c>
      <c r="E228" s="6">
        <v>3.1287664667282292E-2</v>
      </c>
      <c r="F228" s="6"/>
      <c r="G228" s="6">
        <v>221</v>
      </c>
      <c r="H228" s="6">
        <f t="shared" ca="1" si="11"/>
        <v>1.079948219115272E-2</v>
      </c>
    </row>
    <row r="229" spans="2:8" x14ac:dyDescent="0.3">
      <c r="B229" s="4">
        <v>41921</v>
      </c>
      <c r="C229" s="7">
        <v>598.99</v>
      </c>
      <c r="D229" s="6">
        <f t="shared" si="10"/>
        <v>-0.76757568467370807</v>
      </c>
      <c r="E229" s="6">
        <v>3.1247847944356408E-2</v>
      </c>
      <c r="F229" s="6"/>
      <c r="G229" s="6">
        <v>222</v>
      </c>
      <c r="H229" s="6">
        <f t="shared" ca="1" si="11"/>
        <v>2.0568142736757118E-2</v>
      </c>
    </row>
    <row r="230" spans="2:8" x14ac:dyDescent="0.3">
      <c r="B230" s="4">
        <v>44732</v>
      </c>
      <c r="C230" s="5">
        <v>2577.14</v>
      </c>
      <c r="D230" s="6">
        <f t="shared" si="10"/>
        <v>9.5880854560394404</v>
      </c>
      <c r="E230" s="6">
        <v>3.1198357854807714E-2</v>
      </c>
      <c r="F230" s="6"/>
      <c r="G230" s="6">
        <v>223</v>
      </c>
      <c r="H230" s="6">
        <f t="shared" ca="1" si="11"/>
        <v>-7.385370408526732E-3</v>
      </c>
    </row>
    <row r="231" spans="2:8" x14ac:dyDescent="0.3">
      <c r="B231" s="4">
        <v>40662</v>
      </c>
      <c r="C231" s="7">
        <v>243.4</v>
      </c>
      <c r="D231" s="6">
        <f t="shared" si="10"/>
        <v>-0.91942238362758177</v>
      </c>
      <c r="E231" s="6">
        <v>3.1137470874814631E-2</v>
      </c>
      <c r="F231" s="6"/>
      <c r="G231" s="6">
        <v>224</v>
      </c>
      <c r="H231" s="6">
        <f t="shared" ca="1" si="11"/>
        <v>-3.4196909287326327E-2</v>
      </c>
    </row>
    <row r="232" spans="2:8" x14ac:dyDescent="0.3">
      <c r="B232" s="4">
        <v>44637</v>
      </c>
      <c r="C232" s="5">
        <v>3020.69</v>
      </c>
      <c r="D232" s="6">
        <f t="shared" si="10"/>
        <v>120.16686722823908</v>
      </c>
      <c r="E232" s="6">
        <v>3.1100021163443268E-2</v>
      </c>
      <c r="F232" s="6"/>
      <c r="G232" s="6">
        <v>225</v>
      </c>
      <c r="H232" s="6">
        <f t="shared" ca="1" si="11"/>
        <v>2.1454201424554744E-3</v>
      </c>
    </row>
    <row r="233" spans="2:8" x14ac:dyDescent="0.3">
      <c r="B233" s="4">
        <v>38197</v>
      </c>
      <c r="C233" s="7">
        <v>24.93</v>
      </c>
      <c r="D233" s="6">
        <f t="shared" si="10"/>
        <v>-0.81350987432675037</v>
      </c>
      <c r="E233" s="6">
        <v>3.1017369727047148E-2</v>
      </c>
      <c r="F233" s="6"/>
      <c r="G233" s="6">
        <v>226</v>
      </c>
      <c r="H233" s="6">
        <f t="shared" ca="1" si="11"/>
        <v>7.7079794225144976E-3</v>
      </c>
    </row>
    <row r="234" spans="2:8" x14ac:dyDescent="0.3">
      <c r="B234" s="4">
        <v>40098</v>
      </c>
      <c r="C234" s="7">
        <v>133.68</v>
      </c>
      <c r="D234" s="6">
        <f t="shared" si="10"/>
        <v>-0.87417050235789118</v>
      </c>
      <c r="E234" s="6">
        <v>3.1004164738547047E-2</v>
      </c>
      <c r="F234" s="6"/>
      <c r="G234" s="6">
        <v>227</v>
      </c>
      <c r="H234" s="6">
        <f t="shared" ca="1" si="11"/>
        <v>-1.2248892217670738E-2</v>
      </c>
    </row>
    <row r="235" spans="2:8" x14ac:dyDescent="0.3">
      <c r="B235" s="4">
        <v>42612</v>
      </c>
      <c r="C235" s="5">
        <v>1062.3900000000001</v>
      </c>
      <c r="D235" s="6">
        <f t="shared" si="10"/>
        <v>6.4564149354295353</v>
      </c>
      <c r="E235" s="6">
        <v>3.089612342923696E-2</v>
      </c>
      <c r="F235" s="6"/>
      <c r="G235" s="6">
        <v>228</v>
      </c>
      <c r="H235" s="6">
        <f t="shared" ca="1" si="11"/>
        <v>3.2721526329214084E-3</v>
      </c>
    </row>
    <row r="236" spans="2:8" x14ac:dyDescent="0.3">
      <c r="B236" s="4">
        <v>40116</v>
      </c>
      <c r="C236" s="7">
        <v>142.47999999999999</v>
      </c>
      <c r="D236" s="6">
        <f t="shared" si="10"/>
        <v>5.1759861291720846</v>
      </c>
      <c r="E236" s="6">
        <v>3.0895014832501132E-2</v>
      </c>
      <c r="F236" s="6"/>
      <c r="G236" s="6">
        <v>229</v>
      </c>
      <c r="H236" s="6">
        <f t="shared" ca="1" si="11"/>
        <v>2.2269648920103944E-2</v>
      </c>
    </row>
    <row r="237" spans="2:8" x14ac:dyDescent="0.3">
      <c r="B237" s="4">
        <v>37859</v>
      </c>
      <c r="C237" s="7">
        <v>23.07</v>
      </c>
      <c r="D237" s="6">
        <f t="shared" si="10"/>
        <v>-0.99222989016762819</v>
      </c>
      <c r="E237" s="6">
        <v>3.0831099195710514E-2</v>
      </c>
      <c r="F237" s="6"/>
      <c r="G237" s="6">
        <v>230</v>
      </c>
      <c r="H237" s="6">
        <f t="shared" ca="1" si="11"/>
        <v>1.3964072908867482E-2</v>
      </c>
    </row>
    <row r="238" spans="2:8" x14ac:dyDescent="0.3">
      <c r="B238" s="4">
        <v>44671</v>
      </c>
      <c r="C238" s="5">
        <v>2969.07</v>
      </c>
      <c r="D238" s="6">
        <f t="shared" si="10"/>
        <v>40.065975103734438</v>
      </c>
      <c r="E238" s="6">
        <v>3.0690883339234868E-2</v>
      </c>
      <c r="F238" s="6"/>
      <c r="G238" s="6">
        <v>231</v>
      </c>
      <c r="H238" s="6">
        <f t="shared" ca="1" si="11"/>
        <v>1.7207902811567012E-2</v>
      </c>
    </row>
    <row r="239" spans="2:8" x14ac:dyDescent="0.3">
      <c r="B239" s="4">
        <v>39245</v>
      </c>
      <c r="C239" s="7">
        <v>72.3</v>
      </c>
      <c r="D239" s="6">
        <f t="shared" si="10"/>
        <v>-0.85650776009208907</v>
      </c>
      <c r="E239" s="6">
        <v>3.06486101211688E-2</v>
      </c>
      <c r="F239" s="6"/>
      <c r="G239" s="6">
        <v>232</v>
      </c>
      <c r="H239" s="6">
        <f t="shared" ca="1" si="11"/>
        <v>1.4521197335453036E-2</v>
      </c>
    </row>
    <row r="240" spans="2:8" x14ac:dyDescent="0.3">
      <c r="B240" s="4">
        <v>41773</v>
      </c>
      <c r="C240" s="7">
        <v>503.86</v>
      </c>
      <c r="D240" s="6">
        <f t="shared" si="10"/>
        <v>-0.74774711630887525</v>
      </c>
      <c r="E240" s="6">
        <v>3.0620384953670615E-2</v>
      </c>
      <c r="F240" s="6"/>
      <c r="G240" s="6">
        <v>233</v>
      </c>
      <c r="H240" s="6">
        <f t="shared" ca="1" si="11"/>
        <v>-5.336347357635678E-3</v>
      </c>
    </row>
    <row r="241" spans="2:8" x14ac:dyDescent="0.3">
      <c r="B241" s="4">
        <v>44110</v>
      </c>
      <c r="C241" s="5">
        <v>1997.44</v>
      </c>
      <c r="D241" s="6">
        <f t="shared" si="10"/>
        <v>1.4846871501430525</v>
      </c>
      <c r="E241" s="6">
        <v>3.0575075586374841E-2</v>
      </c>
      <c r="F241" s="6"/>
      <c r="G241" s="6">
        <v>234</v>
      </c>
      <c r="H241" s="6">
        <f t="shared" ca="1" si="11"/>
        <v>-3.4945297609733465E-3</v>
      </c>
    </row>
    <row r="242" spans="2:8" x14ac:dyDescent="0.3">
      <c r="B242" s="4">
        <v>42430</v>
      </c>
      <c r="C242" s="7">
        <v>803.9</v>
      </c>
      <c r="D242" s="6">
        <f t="shared" si="10"/>
        <v>-0.62260696480043554</v>
      </c>
      <c r="E242" s="6">
        <v>3.054854051559466E-2</v>
      </c>
      <c r="F242" s="6"/>
      <c r="G242" s="6">
        <v>235</v>
      </c>
      <c r="H242" s="6">
        <f t="shared" ca="1" si="11"/>
        <v>2.8215388813505075E-3</v>
      </c>
    </row>
    <row r="243" spans="2:8" x14ac:dyDescent="0.3">
      <c r="B243" s="4">
        <v>44133</v>
      </c>
      <c r="C243" s="5">
        <v>2130.14</v>
      </c>
      <c r="D243" s="6">
        <f t="shared" si="10"/>
        <v>34.915359973023094</v>
      </c>
      <c r="E243" s="6">
        <v>3.0516772614244351E-2</v>
      </c>
      <c r="F243" s="6"/>
      <c r="G243" s="6">
        <v>236</v>
      </c>
      <c r="H243" s="6">
        <f t="shared" ca="1" si="11"/>
        <v>-1.0225140580492717E-2</v>
      </c>
    </row>
    <row r="244" spans="2:8" x14ac:dyDescent="0.3">
      <c r="B244" s="4">
        <v>39161</v>
      </c>
      <c r="C244" s="7">
        <v>59.31</v>
      </c>
      <c r="D244" s="6">
        <f t="shared" si="10"/>
        <v>2.4970518867924527</v>
      </c>
      <c r="E244" s="6">
        <v>3.0403057678943711E-2</v>
      </c>
      <c r="F244" s="6"/>
      <c r="G244" s="6">
        <v>237</v>
      </c>
      <c r="H244" s="6">
        <f t="shared" ca="1" si="11"/>
        <v>-2.5861148388203022E-2</v>
      </c>
    </row>
    <row r="245" spans="2:8" x14ac:dyDescent="0.3">
      <c r="B245" s="4">
        <v>37462</v>
      </c>
      <c r="C245" s="7">
        <v>16.96</v>
      </c>
      <c r="D245" s="6">
        <f t="shared" si="10"/>
        <v>-0.8075351793009532</v>
      </c>
      <c r="E245" s="6">
        <v>3.0376670716889428E-2</v>
      </c>
      <c r="F245" s="6"/>
      <c r="G245" s="6">
        <v>238</v>
      </c>
      <c r="H245" s="6">
        <f t="shared" ca="1" si="11"/>
        <v>2.6533867892074431E-3</v>
      </c>
    </row>
    <row r="246" spans="2:8" x14ac:dyDescent="0.3">
      <c r="B246" s="4">
        <v>39472</v>
      </c>
      <c r="C246" s="7">
        <v>88.12</v>
      </c>
      <c r="D246" s="6">
        <f t="shared" si="10"/>
        <v>0.28849246965930697</v>
      </c>
      <c r="E246" s="6">
        <v>3.0281772477493318E-2</v>
      </c>
      <c r="F246" s="6"/>
      <c r="G246" s="6">
        <v>239</v>
      </c>
      <c r="H246" s="6">
        <f t="shared" ca="1" si="11"/>
        <v>2.5020630218695099E-2</v>
      </c>
    </row>
    <row r="247" spans="2:8" x14ac:dyDescent="0.3">
      <c r="B247" s="4">
        <v>39218</v>
      </c>
      <c r="C247" s="7">
        <v>68.39</v>
      </c>
      <c r="D247" s="6">
        <f t="shared" si="10"/>
        <v>2.0917721518987338</v>
      </c>
      <c r="E247" s="6">
        <v>3.0280204880988329E-2</v>
      </c>
      <c r="F247" s="6"/>
      <c r="G247" s="6">
        <v>240</v>
      </c>
      <c r="H247" s="6">
        <f t="shared" ca="1" si="11"/>
        <v>1.2493575782427553E-2</v>
      </c>
    </row>
    <row r="248" spans="2:8" x14ac:dyDescent="0.3">
      <c r="B248" s="4">
        <v>37847</v>
      </c>
      <c r="C248" s="7">
        <v>22.12</v>
      </c>
      <c r="D248" s="6">
        <f t="shared" si="10"/>
        <v>-0.99251286217167622</v>
      </c>
      <c r="E248" s="6">
        <v>3.0274802049371316E-2</v>
      </c>
      <c r="F248" s="6"/>
      <c r="G248" s="6">
        <v>241</v>
      </c>
      <c r="H248" s="6">
        <f t="shared" ca="1" si="11"/>
        <v>2.016193375958707E-2</v>
      </c>
    </row>
    <row r="249" spans="2:8" x14ac:dyDescent="0.3">
      <c r="B249" s="4">
        <v>45993</v>
      </c>
      <c r="C249" s="5">
        <v>2954.4</v>
      </c>
      <c r="D249" s="6">
        <f t="shared" si="10"/>
        <v>5.0627949928175662</v>
      </c>
      <c r="E249" s="6">
        <v>3.0269214674292156E-2</v>
      </c>
      <c r="F249" s="6"/>
      <c r="G249" s="6">
        <v>242</v>
      </c>
      <c r="H249" s="6">
        <f t="shared" ca="1" si="11"/>
        <v>1.9627355553213127E-2</v>
      </c>
    </row>
    <row r="250" spans="2:8" x14ac:dyDescent="0.3">
      <c r="B250" s="4">
        <v>41732</v>
      </c>
      <c r="C250" s="7">
        <v>487.3</v>
      </c>
      <c r="D250" s="6">
        <f t="shared" si="10"/>
        <v>9.5044190558309989</v>
      </c>
      <c r="E250" s="6">
        <v>3.021077778482489E-2</v>
      </c>
      <c r="F250" s="6"/>
      <c r="G250" s="6">
        <v>243</v>
      </c>
      <c r="H250" s="6">
        <f t="shared" ca="1" si="11"/>
        <v>2.4304467515024852E-2</v>
      </c>
    </row>
    <row r="251" spans="2:8" x14ac:dyDescent="0.3">
      <c r="B251" s="4">
        <v>38880</v>
      </c>
      <c r="C251" s="7">
        <v>46.39</v>
      </c>
      <c r="D251" s="6">
        <f t="shared" si="10"/>
        <v>-0.94216143430666033</v>
      </c>
      <c r="E251" s="6">
        <v>3.020208749722406E-2</v>
      </c>
      <c r="F251" s="6"/>
      <c r="G251" s="6">
        <v>244</v>
      </c>
      <c r="H251" s="6">
        <f t="shared" ca="1" si="11"/>
        <v>8.7703914802086773E-3</v>
      </c>
    </row>
    <row r="252" spans="2:8" x14ac:dyDescent="0.3">
      <c r="B252" s="4">
        <v>42391</v>
      </c>
      <c r="C252" s="7">
        <v>802.06</v>
      </c>
      <c r="D252" s="6">
        <f t="shared" si="10"/>
        <v>-0.37531835351843923</v>
      </c>
      <c r="E252" s="6">
        <v>3.019716138976301E-2</v>
      </c>
      <c r="F252" s="6"/>
      <c r="G252" s="6">
        <v>245</v>
      </c>
      <c r="H252" s="6">
        <f t="shared" ca="1" si="11"/>
        <v>-4.8385733208385516E-3</v>
      </c>
    </row>
    <row r="253" spans="2:8" x14ac:dyDescent="0.3">
      <c r="B253" s="4">
        <v>43290</v>
      </c>
      <c r="C253" s="5">
        <v>1283.95</v>
      </c>
      <c r="D253" s="6">
        <f t="shared" si="10"/>
        <v>2.1651670159004071</v>
      </c>
      <c r="E253" s="6">
        <v>3.0192887861865421E-2</v>
      </c>
      <c r="F253" s="6"/>
      <c r="G253" s="6">
        <v>246</v>
      </c>
      <c r="H253" s="6">
        <f t="shared" ca="1" si="11"/>
        <v>-2.3163229423827245E-2</v>
      </c>
    </row>
    <row r="254" spans="2:8" x14ac:dyDescent="0.3">
      <c r="B254" s="4">
        <v>41451</v>
      </c>
      <c r="C254" s="7">
        <v>405.65</v>
      </c>
      <c r="D254" s="6">
        <f t="shared" si="10"/>
        <v>-0.82775093205153238</v>
      </c>
      <c r="E254" s="6">
        <v>3.0143735080501818E-2</v>
      </c>
      <c r="F254" s="6"/>
      <c r="G254" s="6">
        <v>247</v>
      </c>
      <c r="H254" s="6">
        <f t="shared" ca="1" si="11"/>
        <v>6.9176718830085845E-4</v>
      </c>
    </row>
    <row r="255" spans="2:8" x14ac:dyDescent="0.3">
      <c r="B255" s="4">
        <v>45835</v>
      </c>
      <c r="C255" s="5">
        <v>2355.02</v>
      </c>
      <c r="D255" s="6">
        <f t="shared" si="10"/>
        <v>1.8965966815492663</v>
      </c>
      <c r="E255" s="6">
        <v>3.0088836206330929E-2</v>
      </c>
      <c r="F255" s="6"/>
      <c r="G255" s="6">
        <v>248</v>
      </c>
      <c r="H255" s="6">
        <f t="shared" ca="1" si="11"/>
        <v>-2.2417996395267484E-2</v>
      </c>
    </row>
    <row r="256" spans="2:8" x14ac:dyDescent="0.3">
      <c r="B256" s="4">
        <v>42459</v>
      </c>
      <c r="C256" s="7">
        <v>813.03</v>
      </c>
      <c r="D256" s="6">
        <f t="shared" si="10"/>
        <v>-0.66446700507614209</v>
      </c>
      <c r="E256" s="6">
        <v>3.0077664736662076E-2</v>
      </c>
      <c r="F256" s="6"/>
      <c r="G256" s="6">
        <v>249</v>
      </c>
      <c r="H256" s="6">
        <f t="shared" ca="1" si="11"/>
        <v>1.9938239580577648E-2</v>
      </c>
    </row>
    <row r="257" spans="2:8" x14ac:dyDescent="0.3">
      <c r="B257" s="4">
        <v>46127</v>
      </c>
      <c r="C257" s="5">
        <v>2423.1</v>
      </c>
      <c r="D257" s="6">
        <f t="shared" si="10"/>
        <v>-0.11648241059448108</v>
      </c>
      <c r="E257" s="6">
        <v>3.0054412514878344E-2</v>
      </c>
      <c r="F257" s="6"/>
      <c r="G257" s="6">
        <v>250</v>
      </c>
      <c r="H257" s="6">
        <f t="shared" ca="1" si="11"/>
        <v>3.2328414626373531E-3</v>
      </c>
    </row>
    <row r="258" spans="2:8" x14ac:dyDescent="0.3">
      <c r="B258" s="4">
        <v>45000</v>
      </c>
      <c r="C258" s="5">
        <v>2742.56</v>
      </c>
      <c r="D258" s="6">
        <f t="shared" si="10"/>
        <v>-0.109387837280518</v>
      </c>
      <c r="E258" s="6">
        <v>2.9794871602314466E-2</v>
      </c>
      <c r="F258" s="6"/>
      <c r="G258" s="6">
        <v>251</v>
      </c>
      <c r="H258" s="6">
        <f t="shared" ca="1" si="11"/>
        <v>-1.1839601610296784E-2</v>
      </c>
    </row>
    <row r="259" spans="2:8" x14ac:dyDescent="0.3">
      <c r="B259" s="4">
        <v>44439</v>
      </c>
      <c r="C259" s="5">
        <v>3079.41</v>
      </c>
      <c r="D259" s="6">
        <f t="shared" si="10"/>
        <v>2.7556528526477542</v>
      </c>
      <c r="E259" s="6">
        <v>2.97859106322357E-2</v>
      </c>
      <c r="F259" s="6"/>
      <c r="G259" s="6">
        <v>252</v>
      </c>
      <c r="H259" s="6">
        <f t="shared" ca="1" si="11"/>
        <v>-8.6872819423696648E-3</v>
      </c>
    </row>
    <row r="260" spans="2:8" x14ac:dyDescent="0.3">
      <c r="B260" s="4">
        <v>42404</v>
      </c>
      <c r="C260" s="7">
        <v>819.94</v>
      </c>
      <c r="D260" s="6">
        <f t="shared" si="10"/>
        <v>6.1259885323772717E-2</v>
      </c>
      <c r="E260" s="6">
        <v>2.9700234839066284E-2</v>
      </c>
      <c r="F260" s="6"/>
      <c r="G260" s="6">
        <v>253</v>
      </c>
      <c r="H260" s="6">
        <f t="shared" ca="1" si="11"/>
        <v>-1.87659756747992E-2</v>
      </c>
    </row>
    <row r="261" spans="2:8" x14ac:dyDescent="0.3">
      <c r="B261" s="4">
        <v>42261</v>
      </c>
      <c r="C261" s="7">
        <v>772.61</v>
      </c>
      <c r="D261" s="6">
        <f t="shared" si="10"/>
        <v>6.3539881972206356</v>
      </c>
      <c r="E261" s="6">
        <v>2.952894929708837E-2</v>
      </c>
      <c r="F261" s="6"/>
      <c r="G261" s="6">
        <v>254</v>
      </c>
      <c r="H261" s="6">
        <f t="shared" ca="1" si="11"/>
        <v>-1.2358845388699673E-2</v>
      </c>
    </row>
    <row r="262" spans="2:8" x14ac:dyDescent="0.3">
      <c r="B262" s="4">
        <v>39455</v>
      </c>
      <c r="C262" s="7">
        <v>105.06</v>
      </c>
      <c r="D262" s="6">
        <f t="shared" si="10"/>
        <v>-0.61248201836892779</v>
      </c>
      <c r="E262" s="6">
        <v>2.9495345418912348E-2</v>
      </c>
      <c r="F262" s="6"/>
      <c r="G262" s="6">
        <v>255</v>
      </c>
      <c r="H262" s="6">
        <f t="shared" ca="1" si="11"/>
        <v>2.5495522216583438E-2</v>
      </c>
    </row>
    <row r="263" spans="2:8" x14ac:dyDescent="0.3">
      <c r="B263" s="4">
        <v>40948</v>
      </c>
      <c r="C263" s="7">
        <v>271.11</v>
      </c>
      <c r="D263" s="6">
        <f t="shared" si="10"/>
        <v>-0.66601374824451176</v>
      </c>
      <c r="E263" s="6">
        <v>2.9466489462692199E-2</v>
      </c>
      <c r="F263" s="6"/>
      <c r="G263" s="6">
        <v>256</v>
      </c>
      <c r="H263" s="6">
        <f t="shared" ca="1" si="11"/>
        <v>9.9063086543799183E-4</v>
      </c>
    </row>
    <row r="264" spans="2:8" x14ac:dyDescent="0.3">
      <c r="B264" s="4">
        <v>42216</v>
      </c>
      <c r="C264" s="7">
        <v>811.74</v>
      </c>
      <c r="D264" s="6">
        <f t="shared" ref="D264:D327" si="12">((C264-C265)/C265)</f>
        <v>15.699033120757045</v>
      </c>
      <c r="E264" s="6">
        <v>2.9447572667782716E-2</v>
      </c>
      <c r="F264" s="6"/>
      <c r="G264" s="6">
        <v>257</v>
      </c>
      <c r="H264" s="6">
        <f t="shared" ca="1" si="11"/>
        <v>2.0718600815218201E-3</v>
      </c>
    </row>
    <row r="265" spans="2:8" x14ac:dyDescent="0.3">
      <c r="B265" s="4">
        <v>38898</v>
      </c>
      <c r="C265" s="7">
        <v>48.61</v>
      </c>
      <c r="D265" s="6">
        <f t="shared" si="12"/>
        <v>-0.98093441375577528</v>
      </c>
      <c r="E265" s="6">
        <v>2.9436679373146986E-2</v>
      </c>
      <c r="F265" s="6"/>
      <c r="G265" s="6">
        <v>258</v>
      </c>
      <c r="H265" s="6">
        <f t="shared" ref="H265:H328" ca="1" si="13">_xlfn.NORM.INV(RAND(),N$10,N$11)</f>
        <v>-1.493469728420077E-3</v>
      </c>
    </row>
    <row r="266" spans="2:8" x14ac:dyDescent="0.3">
      <c r="B266" s="4">
        <v>44302</v>
      </c>
      <c r="C266" s="5">
        <v>2549.62</v>
      </c>
      <c r="D266" s="6">
        <f t="shared" si="12"/>
        <v>3.0301914231067131</v>
      </c>
      <c r="E266" s="6">
        <v>2.9371747407009655E-2</v>
      </c>
      <c r="F266" s="6"/>
      <c r="G266" s="6">
        <v>259</v>
      </c>
      <c r="H266" s="6">
        <f t="shared" ca="1" si="13"/>
        <v>5.0011136635508885E-3</v>
      </c>
    </row>
    <row r="267" spans="2:8" x14ac:dyDescent="0.3">
      <c r="B267" s="4">
        <v>41960</v>
      </c>
      <c r="C267" s="7">
        <v>632.63</v>
      </c>
      <c r="D267" s="6">
        <f t="shared" si="12"/>
        <v>1.6218658046334289</v>
      </c>
      <c r="E267" s="6">
        <v>2.9369650818445042E-2</v>
      </c>
      <c r="F267" s="6"/>
      <c r="G267" s="6">
        <v>260</v>
      </c>
      <c r="H267" s="6">
        <f t="shared" ca="1" si="13"/>
        <v>-1.9043734193884422E-2</v>
      </c>
    </row>
    <row r="268" spans="2:8" x14ac:dyDescent="0.3">
      <c r="B268" s="4">
        <v>40675</v>
      </c>
      <c r="C268" s="7">
        <v>241.29</v>
      </c>
      <c r="D268" s="6">
        <f t="shared" si="12"/>
        <v>7.1793220338983046</v>
      </c>
      <c r="E268" s="6">
        <v>2.9350283690968797E-2</v>
      </c>
      <c r="F268" s="6"/>
      <c r="G268" s="6">
        <v>261</v>
      </c>
      <c r="H268" s="6">
        <f t="shared" ca="1" si="13"/>
        <v>-1.4167830399776982E-2</v>
      </c>
    </row>
    <row r="269" spans="2:8" x14ac:dyDescent="0.3">
      <c r="B269" s="4">
        <v>38426</v>
      </c>
      <c r="C269" s="7">
        <v>29.5</v>
      </c>
      <c r="D269" s="6">
        <f t="shared" si="12"/>
        <v>-0.99090553159479977</v>
      </c>
      <c r="E269" s="6">
        <v>2.9309141660851357E-2</v>
      </c>
      <c r="F269" s="6"/>
      <c r="G269" s="6">
        <v>262</v>
      </c>
      <c r="H269" s="6">
        <f t="shared" ca="1" si="13"/>
        <v>2.502659389523685E-3</v>
      </c>
    </row>
    <row r="270" spans="2:8" x14ac:dyDescent="0.3">
      <c r="B270" s="4">
        <v>44558</v>
      </c>
      <c r="C270" s="5">
        <v>3243.73</v>
      </c>
      <c r="D270" s="6">
        <f t="shared" si="12"/>
        <v>12.490808517717518</v>
      </c>
      <c r="E270" s="6">
        <v>2.9275227116234717E-2</v>
      </c>
      <c r="F270" s="6"/>
      <c r="G270" s="6">
        <v>263</v>
      </c>
      <c r="H270" s="6">
        <f t="shared" ca="1" si="13"/>
        <v>5.8655563949409368E-3</v>
      </c>
    </row>
    <row r="271" spans="2:8" x14ac:dyDescent="0.3">
      <c r="B271" s="4">
        <v>40490</v>
      </c>
      <c r="C271" s="7">
        <v>240.44</v>
      </c>
      <c r="D271" s="6">
        <f t="shared" si="12"/>
        <v>-0.39178387129414144</v>
      </c>
      <c r="E271" s="6">
        <v>2.919270610392943E-2</v>
      </c>
      <c r="F271" s="6"/>
      <c r="G271" s="6">
        <v>264</v>
      </c>
      <c r="H271" s="6">
        <f t="shared" ca="1" si="13"/>
        <v>-4.3492299640792362E-3</v>
      </c>
    </row>
    <row r="272" spans="2:8" x14ac:dyDescent="0.3">
      <c r="B272" s="4">
        <v>41296</v>
      </c>
      <c r="C272" s="7">
        <v>395.32</v>
      </c>
      <c r="D272" s="6">
        <f t="shared" si="12"/>
        <v>-0.83979834984033319</v>
      </c>
      <c r="E272" s="6">
        <v>2.9184348233578867E-2</v>
      </c>
      <c r="F272" s="6"/>
      <c r="G272" s="6">
        <v>265</v>
      </c>
      <c r="H272" s="6">
        <f t="shared" ca="1" si="13"/>
        <v>1.7323541593513958E-2</v>
      </c>
    </row>
    <row r="273" spans="2:8" x14ac:dyDescent="0.3">
      <c r="B273" s="4">
        <v>44285</v>
      </c>
      <c r="C273" s="5">
        <v>2467.64</v>
      </c>
      <c r="D273" s="6">
        <f t="shared" si="12"/>
        <v>1.6028859541791485</v>
      </c>
      <c r="E273" s="6">
        <v>2.9100948345608061E-2</v>
      </c>
      <c r="F273" s="6"/>
      <c r="G273" s="6">
        <v>266</v>
      </c>
      <c r="H273" s="6">
        <f t="shared" ca="1" si="13"/>
        <v>9.1127414478068981E-3</v>
      </c>
    </row>
    <row r="274" spans="2:8" x14ac:dyDescent="0.3">
      <c r="B274" s="4">
        <v>42788</v>
      </c>
      <c r="C274" s="7">
        <v>948.04</v>
      </c>
      <c r="D274" s="6">
        <f t="shared" si="12"/>
        <v>0.24653535645725408</v>
      </c>
      <c r="E274" s="6">
        <v>2.9046543938867655E-2</v>
      </c>
      <c r="F274" s="6"/>
      <c r="G274" s="6">
        <v>267</v>
      </c>
      <c r="H274" s="6">
        <f t="shared" ca="1" si="13"/>
        <v>1.5633920840951793E-2</v>
      </c>
    </row>
    <row r="275" spans="2:8" x14ac:dyDescent="0.3">
      <c r="B275" s="4">
        <v>42079</v>
      </c>
      <c r="C275" s="7">
        <v>760.54</v>
      </c>
      <c r="D275" s="6">
        <f t="shared" si="12"/>
        <v>1.2651973194341026</v>
      </c>
      <c r="E275" s="6">
        <v>2.9008253281017374E-2</v>
      </c>
      <c r="F275" s="6"/>
      <c r="G275" s="6">
        <v>268</v>
      </c>
      <c r="H275" s="6">
        <f t="shared" ca="1" si="13"/>
        <v>1.3425957013519422E-2</v>
      </c>
    </row>
    <row r="276" spans="2:8" x14ac:dyDescent="0.3">
      <c r="B276" s="4">
        <v>41124</v>
      </c>
      <c r="C276" s="7">
        <v>335.75</v>
      </c>
      <c r="D276" s="6">
        <f t="shared" si="12"/>
        <v>-0.87500279219377075</v>
      </c>
      <c r="E276" s="6">
        <v>2.8992613932391366E-2</v>
      </c>
      <c r="F276" s="6"/>
      <c r="G276" s="6">
        <v>269</v>
      </c>
      <c r="H276" s="6">
        <f t="shared" ca="1" si="13"/>
        <v>2.1648489383101115E-3</v>
      </c>
    </row>
    <row r="277" spans="2:8" x14ac:dyDescent="0.3">
      <c r="B277" s="4">
        <v>44743</v>
      </c>
      <c r="C277" s="5">
        <v>2686.06</v>
      </c>
      <c r="D277" s="6">
        <f t="shared" si="12"/>
        <v>-0.22334762657907603</v>
      </c>
      <c r="E277" s="6">
        <v>2.8920997793576857E-2</v>
      </c>
      <c r="F277" s="6"/>
      <c r="G277" s="6">
        <v>270</v>
      </c>
      <c r="H277" s="6">
        <f t="shared" ca="1" si="13"/>
        <v>1.4867672671168232E-3</v>
      </c>
    </row>
    <row r="278" spans="2:8" x14ac:dyDescent="0.3">
      <c r="B278" s="4">
        <v>44832</v>
      </c>
      <c r="C278" s="5">
        <v>3458.51</v>
      </c>
      <c r="D278" s="6">
        <f t="shared" si="12"/>
        <v>0.26042668882474712</v>
      </c>
      <c r="E278" s="6">
        <v>2.8813231597578606E-2</v>
      </c>
      <c r="F278" s="6"/>
      <c r="G278" s="6">
        <v>271</v>
      </c>
      <c r="H278" s="6">
        <f t="shared" ca="1" si="13"/>
        <v>1.2194300752085468E-2</v>
      </c>
    </row>
    <row r="279" spans="2:8" x14ac:dyDescent="0.3">
      <c r="B279" s="4">
        <v>44985</v>
      </c>
      <c r="C279" s="5">
        <v>2743.92</v>
      </c>
      <c r="D279" s="6">
        <f t="shared" si="12"/>
        <v>94.606968641114989</v>
      </c>
      <c r="E279" s="6">
        <v>2.8694824134543995E-2</v>
      </c>
      <c r="F279" s="6"/>
      <c r="G279" s="6">
        <v>272</v>
      </c>
      <c r="H279" s="6">
        <f t="shared" ca="1" si="13"/>
        <v>5.5485733289425652E-3</v>
      </c>
    </row>
    <row r="280" spans="2:8" x14ac:dyDescent="0.3">
      <c r="B280" s="4">
        <v>38419</v>
      </c>
      <c r="C280" s="7">
        <v>28.7</v>
      </c>
      <c r="D280" s="6">
        <f t="shared" si="12"/>
        <v>-0.39001062699256106</v>
      </c>
      <c r="E280" s="6">
        <v>2.8673835125448056E-2</v>
      </c>
      <c r="F280" s="6"/>
      <c r="G280" s="6">
        <v>273</v>
      </c>
      <c r="H280" s="6">
        <f t="shared" ca="1" si="13"/>
        <v>-6.275472300036525E-3</v>
      </c>
    </row>
    <row r="281" spans="2:8" x14ac:dyDescent="0.3">
      <c r="B281" s="4">
        <v>38891</v>
      </c>
      <c r="C281" s="7">
        <v>47.05</v>
      </c>
      <c r="D281" s="6">
        <f t="shared" si="12"/>
        <v>-0.97154434666908585</v>
      </c>
      <c r="E281" s="6">
        <v>2.8640139921294164E-2</v>
      </c>
      <c r="F281" s="6"/>
      <c r="G281" s="6">
        <v>274</v>
      </c>
      <c r="H281" s="6">
        <f t="shared" ca="1" si="13"/>
        <v>3.7730328855955521E-5</v>
      </c>
    </row>
    <row r="282" spans="2:8" x14ac:dyDescent="0.3">
      <c r="B282" s="4">
        <v>43907</v>
      </c>
      <c r="C282" s="5">
        <v>1653.45</v>
      </c>
      <c r="D282" s="6">
        <f t="shared" si="12"/>
        <v>3.5420707084580947</v>
      </c>
      <c r="E282" s="6">
        <v>2.8635950778265775E-2</v>
      </c>
      <c r="F282" s="6"/>
      <c r="G282" s="6">
        <v>275</v>
      </c>
      <c r="H282" s="6">
        <f t="shared" ca="1" si="13"/>
        <v>2.9436828332982074E-2</v>
      </c>
    </row>
    <row r="283" spans="2:8" x14ac:dyDescent="0.3">
      <c r="B283" s="4">
        <v>41515</v>
      </c>
      <c r="C283" s="7">
        <v>364.03</v>
      </c>
      <c r="D283" s="6">
        <f t="shared" si="12"/>
        <v>-0.68665105789591474</v>
      </c>
      <c r="E283" s="6">
        <v>2.8565777576853402E-2</v>
      </c>
      <c r="F283" s="6"/>
      <c r="G283" s="6">
        <v>276</v>
      </c>
      <c r="H283" s="6">
        <f t="shared" ca="1" si="13"/>
        <v>-9.9760069337714568E-3</v>
      </c>
    </row>
    <row r="284" spans="2:8" x14ac:dyDescent="0.3">
      <c r="B284" s="4">
        <v>43404</v>
      </c>
      <c r="C284" s="5">
        <v>1161.74</v>
      </c>
      <c r="D284" s="6">
        <f t="shared" si="12"/>
        <v>5.337224525420031</v>
      </c>
      <c r="E284" s="6">
        <v>2.8507179913947311E-2</v>
      </c>
      <c r="F284" s="6"/>
      <c r="G284" s="6">
        <v>277</v>
      </c>
      <c r="H284" s="6">
        <f t="shared" ca="1" si="13"/>
        <v>8.8516314051203665E-3</v>
      </c>
    </row>
    <row r="285" spans="2:8" x14ac:dyDescent="0.3">
      <c r="B285" s="4">
        <v>40311</v>
      </c>
      <c r="C285" s="7">
        <v>183.32</v>
      </c>
      <c r="D285" s="6">
        <f t="shared" si="12"/>
        <v>3.1959258411535822</v>
      </c>
      <c r="E285" s="6">
        <v>2.8500897666068132E-2</v>
      </c>
      <c r="F285" s="6"/>
      <c r="G285" s="6">
        <v>278</v>
      </c>
      <c r="H285" s="6">
        <f t="shared" ca="1" si="13"/>
        <v>7.6273333710543461E-3</v>
      </c>
    </row>
    <row r="286" spans="2:8" x14ac:dyDescent="0.3">
      <c r="B286" s="4">
        <v>38687</v>
      </c>
      <c r="C286" s="7">
        <v>43.69</v>
      </c>
      <c r="D286" s="6">
        <f t="shared" si="12"/>
        <v>-0.85316259998655641</v>
      </c>
      <c r="E286" s="6">
        <v>2.8483992467043338E-2</v>
      </c>
      <c r="F286" s="6"/>
      <c r="G286" s="6">
        <v>279</v>
      </c>
      <c r="H286" s="6">
        <f t="shared" ca="1" si="13"/>
        <v>2.6712283003429021E-2</v>
      </c>
    </row>
    <row r="287" spans="2:8" x14ac:dyDescent="0.3">
      <c r="B287" s="4">
        <v>41002</v>
      </c>
      <c r="C287" s="7">
        <v>297.54000000000002</v>
      </c>
      <c r="D287" s="6">
        <f t="shared" si="12"/>
        <v>12.916744621141255</v>
      </c>
      <c r="E287" s="6">
        <v>2.8482544071897715E-2</v>
      </c>
      <c r="F287" s="6"/>
      <c r="G287" s="6">
        <v>280</v>
      </c>
      <c r="H287" s="6">
        <f t="shared" ca="1" si="13"/>
        <v>-1.2130242451423969E-2</v>
      </c>
    </row>
    <row r="288" spans="2:8" x14ac:dyDescent="0.3">
      <c r="B288" s="4">
        <v>37928</v>
      </c>
      <c r="C288" s="7">
        <v>21.38</v>
      </c>
      <c r="D288" s="6">
        <f t="shared" si="12"/>
        <v>-0.67610968035146202</v>
      </c>
      <c r="E288" s="6">
        <v>2.8379028379028372E-2</v>
      </c>
      <c r="F288" s="6"/>
      <c r="G288" s="6">
        <v>281</v>
      </c>
      <c r="H288" s="6">
        <f t="shared" ca="1" si="13"/>
        <v>-1.4586208645020882E-2</v>
      </c>
    </row>
    <row r="289" spans="2:8" x14ac:dyDescent="0.3">
      <c r="B289" s="4">
        <v>39177</v>
      </c>
      <c r="C289" s="7">
        <v>66.010000000000005</v>
      </c>
      <c r="D289" s="6">
        <f t="shared" si="12"/>
        <v>2.5681081081081083</v>
      </c>
      <c r="E289" s="6">
        <v>2.8353326063249844E-2</v>
      </c>
      <c r="F289" s="6"/>
      <c r="G289" s="6">
        <v>282</v>
      </c>
      <c r="H289" s="6">
        <f t="shared" ca="1" si="13"/>
        <v>-7.4730209554515464E-3</v>
      </c>
    </row>
    <row r="290" spans="2:8" x14ac:dyDescent="0.3">
      <c r="B290" s="4">
        <v>37764</v>
      </c>
      <c r="C290" s="7">
        <v>18.5</v>
      </c>
      <c r="D290" s="6">
        <f t="shared" si="12"/>
        <v>-0.9840252832274109</v>
      </c>
      <c r="E290" s="6">
        <v>2.8349082823791085E-2</v>
      </c>
      <c r="F290" s="6"/>
      <c r="G290" s="6">
        <v>283</v>
      </c>
      <c r="H290" s="6">
        <f t="shared" ca="1" si="13"/>
        <v>-8.000057511234589E-3</v>
      </c>
    </row>
    <row r="291" spans="2:8" x14ac:dyDescent="0.3">
      <c r="B291" s="4">
        <v>42989</v>
      </c>
      <c r="C291" s="5">
        <v>1158.08</v>
      </c>
      <c r="D291" s="6">
        <f t="shared" si="12"/>
        <v>27.995493239859787</v>
      </c>
      <c r="E291" s="6">
        <v>2.8325844891580264E-2</v>
      </c>
      <c r="F291" s="6"/>
      <c r="G291" s="6">
        <v>284</v>
      </c>
      <c r="H291" s="6">
        <f t="shared" ca="1" si="13"/>
        <v>1.2725125107140193E-2</v>
      </c>
    </row>
    <row r="292" spans="2:8" x14ac:dyDescent="0.3">
      <c r="B292" s="4">
        <v>38621</v>
      </c>
      <c r="C292" s="7">
        <v>39.94</v>
      </c>
      <c r="D292" s="6">
        <f t="shared" si="12"/>
        <v>-0.91069272393900091</v>
      </c>
      <c r="E292" s="6">
        <v>2.832131822863013E-2</v>
      </c>
      <c r="F292" s="6"/>
      <c r="G292" s="6">
        <v>285</v>
      </c>
      <c r="H292" s="6">
        <f t="shared" ca="1" si="13"/>
        <v>-1.7631078007088193E-2</v>
      </c>
    </row>
    <row r="293" spans="2:8" x14ac:dyDescent="0.3">
      <c r="B293" s="4">
        <v>41710</v>
      </c>
      <c r="C293" s="7">
        <v>447.22</v>
      </c>
      <c r="D293" s="6">
        <f t="shared" si="12"/>
        <v>0.3192330383480827</v>
      </c>
      <c r="E293" s="6">
        <v>2.828106318403387E-2</v>
      </c>
      <c r="F293" s="6"/>
      <c r="G293" s="6">
        <v>286</v>
      </c>
      <c r="H293" s="6">
        <f t="shared" ca="1" si="13"/>
        <v>-1.1464267333748755E-2</v>
      </c>
    </row>
    <row r="294" spans="2:8" x14ac:dyDescent="0.3">
      <c r="B294" s="4">
        <v>41066</v>
      </c>
      <c r="C294" s="7">
        <v>339</v>
      </c>
      <c r="D294" s="6">
        <f t="shared" si="12"/>
        <v>4.2811964480448674</v>
      </c>
      <c r="E294" s="6">
        <v>2.8269837418102382E-2</v>
      </c>
      <c r="F294" s="6"/>
      <c r="G294" s="6">
        <v>287</v>
      </c>
      <c r="H294" s="6">
        <f t="shared" ca="1" si="13"/>
        <v>-2.0578298378209755E-3</v>
      </c>
    </row>
    <row r="295" spans="2:8" x14ac:dyDescent="0.3">
      <c r="B295" s="4">
        <v>39176</v>
      </c>
      <c r="C295" s="7">
        <v>64.19</v>
      </c>
      <c r="D295" s="6">
        <f t="shared" si="12"/>
        <v>-0.91462165649149418</v>
      </c>
      <c r="E295" s="6">
        <v>2.8191574563511099E-2</v>
      </c>
      <c r="F295" s="6"/>
      <c r="G295" s="6">
        <v>288</v>
      </c>
      <c r="H295" s="6">
        <f t="shared" ca="1" si="13"/>
        <v>-1.1453287716411643E-2</v>
      </c>
    </row>
    <row r="296" spans="2:8" x14ac:dyDescent="0.3">
      <c r="B296" s="4">
        <v>42198</v>
      </c>
      <c r="C296" s="7">
        <v>751.83</v>
      </c>
      <c r="D296" s="6">
        <f t="shared" si="12"/>
        <v>-0.55341783881391371</v>
      </c>
      <c r="E296" s="6">
        <v>2.8101411224155E-2</v>
      </c>
      <c r="F296" s="6"/>
      <c r="G296" s="6">
        <v>289</v>
      </c>
      <c r="H296" s="6">
        <f t="shared" ca="1" si="13"/>
        <v>1.0312922667082463E-2</v>
      </c>
    </row>
    <row r="297" spans="2:8" x14ac:dyDescent="0.3">
      <c r="B297" s="4">
        <v>43747</v>
      </c>
      <c r="C297" s="5">
        <v>1683.52</v>
      </c>
      <c r="D297" s="6">
        <f t="shared" si="12"/>
        <v>-0.24363374966304258</v>
      </c>
      <c r="E297" s="6">
        <v>2.7997093431521555E-2</v>
      </c>
      <c r="F297" s="6"/>
      <c r="G297" s="6">
        <v>290</v>
      </c>
      <c r="H297" s="6">
        <f t="shared" ca="1" si="13"/>
        <v>-1.3083151409736885E-2</v>
      </c>
    </row>
    <row r="298" spans="2:8" x14ac:dyDescent="0.3">
      <c r="B298" s="4">
        <v>46113</v>
      </c>
      <c r="C298" s="5">
        <v>2225.8000000000002</v>
      </c>
      <c r="D298" s="6">
        <f t="shared" si="12"/>
        <v>2.8297286601627696</v>
      </c>
      <c r="E298" s="6">
        <v>2.7988176611860507E-2</v>
      </c>
      <c r="F298" s="6"/>
      <c r="G298" s="6">
        <v>291</v>
      </c>
      <c r="H298" s="6">
        <f t="shared" ca="1" si="13"/>
        <v>1.0701419349607114E-2</v>
      </c>
    </row>
    <row r="299" spans="2:8" x14ac:dyDescent="0.3">
      <c r="B299" s="4">
        <v>41845</v>
      </c>
      <c r="C299" s="7">
        <v>581.19000000000005</v>
      </c>
      <c r="D299" s="6">
        <f t="shared" si="12"/>
        <v>-0.72590807481536679</v>
      </c>
      <c r="E299" s="6">
        <v>2.7890771461922283E-2</v>
      </c>
      <c r="F299" s="6"/>
      <c r="G299" s="6">
        <v>292</v>
      </c>
      <c r="H299" s="6">
        <f t="shared" ca="1" si="13"/>
        <v>-6.7166891010257664E-3</v>
      </c>
    </row>
    <row r="300" spans="2:8" x14ac:dyDescent="0.3">
      <c r="B300" s="4">
        <v>44162</v>
      </c>
      <c r="C300" s="5">
        <v>2120.42</v>
      </c>
      <c r="D300" s="6">
        <f t="shared" si="12"/>
        <v>0.91761322529301126</v>
      </c>
      <c r="E300" s="6">
        <v>2.7838234795127606E-2</v>
      </c>
      <c r="F300" s="6"/>
      <c r="G300" s="6">
        <v>293</v>
      </c>
      <c r="H300" s="6">
        <f t="shared" ca="1" si="13"/>
        <v>-9.7423128201603437E-3</v>
      </c>
    </row>
    <row r="301" spans="2:8" x14ac:dyDescent="0.3">
      <c r="B301" s="4">
        <v>42646</v>
      </c>
      <c r="C301" s="5">
        <v>1105.76</v>
      </c>
      <c r="D301" s="6">
        <f t="shared" si="12"/>
        <v>0.95564359237381069</v>
      </c>
      <c r="E301" s="6">
        <v>2.7820380543394464E-2</v>
      </c>
      <c r="F301" s="6"/>
      <c r="G301" s="6">
        <v>294</v>
      </c>
      <c r="H301" s="6">
        <f t="shared" ca="1" si="13"/>
        <v>-7.3365102872285383E-4</v>
      </c>
    </row>
    <row r="302" spans="2:8" x14ac:dyDescent="0.3">
      <c r="B302" s="4">
        <v>41844</v>
      </c>
      <c r="C302" s="7">
        <v>565.41999999999996</v>
      </c>
      <c r="D302" s="6">
        <f t="shared" si="12"/>
        <v>-0.54652487047463227</v>
      </c>
      <c r="E302" s="6">
        <v>2.7756066527310701E-2</v>
      </c>
      <c r="F302" s="6"/>
      <c r="G302" s="6">
        <v>295</v>
      </c>
      <c r="H302" s="6">
        <f t="shared" ca="1" si="13"/>
        <v>-1.7402570162218779E-2</v>
      </c>
    </row>
    <row r="303" spans="2:8" x14ac:dyDescent="0.3">
      <c r="B303" s="4">
        <v>43418</v>
      </c>
      <c r="C303" s="5">
        <v>1246.8599999999999</v>
      </c>
      <c r="D303" s="6">
        <f t="shared" si="12"/>
        <v>0.78166126059185781</v>
      </c>
      <c r="E303" s="6">
        <v>2.7744807121661601E-2</v>
      </c>
      <c r="F303" s="6"/>
      <c r="G303" s="6">
        <v>296</v>
      </c>
      <c r="H303" s="6">
        <f t="shared" ca="1" si="13"/>
        <v>-1.4358910637984254E-3</v>
      </c>
    </row>
    <row r="304" spans="2:8" x14ac:dyDescent="0.3">
      <c r="B304" s="4">
        <v>42122</v>
      </c>
      <c r="C304" s="7">
        <v>699.83</v>
      </c>
      <c r="D304" s="6">
        <f t="shared" si="12"/>
        <v>-0.54700041427165869</v>
      </c>
      <c r="E304" s="6">
        <v>2.7725971069828909E-2</v>
      </c>
      <c r="F304" s="6"/>
      <c r="G304" s="6">
        <v>297</v>
      </c>
      <c r="H304" s="6">
        <f t="shared" ca="1" si="13"/>
        <v>1.6176963571513554E-2</v>
      </c>
    </row>
    <row r="305" spans="2:8" x14ac:dyDescent="0.3">
      <c r="B305" s="4">
        <v>43973</v>
      </c>
      <c r="C305" s="5">
        <v>1544.88</v>
      </c>
      <c r="D305" s="6">
        <f t="shared" si="12"/>
        <v>80.524010554089713</v>
      </c>
      <c r="E305" s="6">
        <v>2.7693331115915588E-2</v>
      </c>
      <c r="F305" s="6"/>
      <c r="G305" s="6">
        <v>298</v>
      </c>
      <c r="H305" s="6">
        <f t="shared" ca="1" si="13"/>
        <v>8.0916677838079546E-3</v>
      </c>
    </row>
    <row r="306" spans="2:8" x14ac:dyDescent="0.3">
      <c r="B306" s="4">
        <v>37769</v>
      </c>
      <c r="C306" s="7">
        <v>18.95</v>
      </c>
      <c r="D306" s="6">
        <f t="shared" si="12"/>
        <v>-0.22747655931512439</v>
      </c>
      <c r="E306" s="6">
        <v>2.7657266811279717E-2</v>
      </c>
      <c r="F306" s="6"/>
      <c r="G306" s="6">
        <v>299</v>
      </c>
      <c r="H306" s="6">
        <f t="shared" ca="1" si="13"/>
        <v>-1.1448461292357812E-2</v>
      </c>
    </row>
    <row r="307" spans="2:8" x14ac:dyDescent="0.3">
      <c r="B307" s="4">
        <v>38099</v>
      </c>
      <c r="C307" s="7">
        <v>24.53</v>
      </c>
      <c r="D307" s="6">
        <f t="shared" si="12"/>
        <v>-0.98912836331564968</v>
      </c>
      <c r="E307" s="6">
        <v>2.7649769585253461E-2</v>
      </c>
      <c r="F307" s="6"/>
      <c r="G307" s="6">
        <v>300</v>
      </c>
      <c r="H307" s="6">
        <f t="shared" ca="1" si="13"/>
        <v>-2.0609698254192226E-2</v>
      </c>
    </row>
    <row r="308" spans="2:8" x14ac:dyDescent="0.3">
      <c r="B308" s="4">
        <v>45735</v>
      </c>
      <c r="C308" s="5">
        <v>2256.33</v>
      </c>
      <c r="D308" s="6">
        <f t="shared" si="12"/>
        <v>4.4929279158653266</v>
      </c>
      <c r="E308" s="6">
        <v>2.7552223988195807E-2</v>
      </c>
      <c r="F308" s="6"/>
      <c r="G308" s="6">
        <v>301</v>
      </c>
      <c r="H308" s="6">
        <f t="shared" ca="1" si="13"/>
        <v>1.550794809132641E-4</v>
      </c>
    </row>
    <row r="309" spans="2:8" x14ac:dyDescent="0.3">
      <c r="B309" s="4">
        <v>41340</v>
      </c>
      <c r="C309" s="7">
        <v>410.77</v>
      </c>
      <c r="D309" s="6">
        <f t="shared" si="12"/>
        <v>1.5562885058186571</v>
      </c>
      <c r="E309" s="6">
        <v>2.7413021185062853E-2</v>
      </c>
      <c r="F309" s="6"/>
      <c r="G309" s="6">
        <v>302</v>
      </c>
      <c r="H309" s="6">
        <f t="shared" ca="1" si="13"/>
        <v>-8.844367190036723E-3</v>
      </c>
    </row>
    <row r="310" spans="2:8" x14ac:dyDescent="0.3">
      <c r="B310" s="4">
        <v>40207</v>
      </c>
      <c r="C310" s="7">
        <v>160.69</v>
      </c>
      <c r="D310" s="6">
        <f t="shared" si="12"/>
        <v>-0.31190853423543013</v>
      </c>
      <c r="E310" s="6">
        <v>2.7363979285211951E-2</v>
      </c>
      <c r="F310" s="6"/>
      <c r="G310" s="6">
        <v>303</v>
      </c>
      <c r="H310" s="6">
        <f t="shared" ca="1" si="13"/>
        <v>-9.1999184153639894E-3</v>
      </c>
    </row>
    <row r="311" spans="2:8" x14ac:dyDescent="0.3">
      <c r="B311" s="4">
        <v>40658</v>
      </c>
      <c r="C311" s="7">
        <v>233.53</v>
      </c>
      <c r="D311" s="6">
        <f t="shared" si="12"/>
        <v>-0.88024593862815881</v>
      </c>
      <c r="E311" s="6">
        <v>2.7318317789899738E-2</v>
      </c>
      <c r="F311" s="6"/>
      <c r="G311" s="6">
        <v>304</v>
      </c>
      <c r="H311" s="6">
        <f t="shared" ca="1" si="13"/>
        <v>1.8972407645115742E-2</v>
      </c>
    </row>
    <row r="312" spans="2:8" x14ac:dyDescent="0.3">
      <c r="B312" s="4">
        <v>44105</v>
      </c>
      <c r="C312" s="5">
        <v>1950.08</v>
      </c>
      <c r="D312" s="6">
        <f t="shared" si="12"/>
        <v>1.1533806689561499</v>
      </c>
      <c r="E312" s="6">
        <v>2.7206691845366889E-2</v>
      </c>
      <c r="F312" s="6"/>
      <c r="G312" s="6">
        <v>305</v>
      </c>
      <c r="H312" s="6">
        <f t="shared" ca="1" si="13"/>
        <v>1.1456635234553168E-2</v>
      </c>
    </row>
    <row r="313" spans="2:8" x14ac:dyDescent="0.3">
      <c r="B313" s="4">
        <v>42515</v>
      </c>
      <c r="C313" s="7">
        <v>905.59</v>
      </c>
      <c r="D313" s="6">
        <f t="shared" si="12"/>
        <v>1.7262026612077792</v>
      </c>
      <c r="E313" s="6">
        <v>2.7188584650983446E-2</v>
      </c>
      <c r="F313" s="6"/>
      <c r="G313" s="6">
        <v>306</v>
      </c>
      <c r="H313" s="6">
        <f t="shared" ca="1" si="13"/>
        <v>1.5827222444549554E-3</v>
      </c>
    </row>
    <row r="314" spans="2:8" x14ac:dyDescent="0.3">
      <c r="B314" s="4">
        <v>41110</v>
      </c>
      <c r="C314" s="7">
        <v>332.18</v>
      </c>
      <c r="D314" s="6">
        <f t="shared" si="12"/>
        <v>-0.89519912418799674</v>
      </c>
      <c r="E314" s="6">
        <v>2.7117281469342263E-2</v>
      </c>
      <c r="F314" s="6"/>
      <c r="G314" s="6">
        <v>307</v>
      </c>
      <c r="H314" s="6">
        <f t="shared" ca="1" si="13"/>
        <v>9.0655994766419626E-3</v>
      </c>
    </row>
    <row r="315" spans="2:8" x14ac:dyDescent="0.3">
      <c r="B315" s="4">
        <v>44770</v>
      </c>
      <c r="C315" s="5">
        <v>3169.63</v>
      </c>
      <c r="D315" s="6">
        <f t="shared" si="12"/>
        <v>1.3643897744989073</v>
      </c>
      <c r="E315" s="6">
        <v>2.710313384035604E-2</v>
      </c>
      <c r="F315" s="6"/>
      <c r="G315" s="6">
        <v>308</v>
      </c>
      <c r="H315" s="6">
        <f t="shared" ca="1" si="13"/>
        <v>1.2424673994458903E-2</v>
      </c>
    </row>
    <row r="316" spans="2:8" x14ac:dyDescent="0.3">
      <c r="B316" s="4">
        <v>43535</v>
      </c>
      <c r="C316" s="5">
        <v>1340.57</v>
      </c>
      <c r="D316" s="6">
        <f t="shared" si="12"/>
        <v>-0.42444798406312928</v>
      </c>
      <c r="E316" s="6">
        <v>2.7091425900812819E-2</v>
      </c>
      <c r="F316" s="6"/>
      <c r="G316" s="6">
        <v>309</v>
      </c>
      <c r="H316" s="6">
        <f t="shared" ca="1" si="13"/>
        <v>-1.1350555374633352E-3</v>
      </c>
    </row>
    <row r="317" spans="2:8" x14ac:dyDescent="0.3">
      <c r="B317" s="4">
        <v>45692</v>
      </c>
      <c r="C317" s="5">
        <v>2329.19</v>
      </c>
      <c r="D317" s="6">
        <f t="shared" si="12"/>
        <v>56.940049751243784</v>
      </c>
      <c r="E317" s="6">
        <v>2.7088404416693048E-2</v>
      </c>
      <c r="F317" s="6"/>
      <c r="G317" s="6">
        <v>310</v>
      </c>
      <c r="H317" s="6">
        <f t="shared" ca="1" si="13"/>
        <v>-3.1140553015522481E-2</v>
      </c>
    </row>
    <row r="318" spans="2:8" x14ac:dyDescent="0.3">
      <c r="B318" s="4">
        <v>38658</v>
      </c>
      <c r="C318" s="7">
        <v>40.200000000000003</v>
      </c>
      <c r="D318" s="6">
        <f t="shared" si="12"/>
        <v>-0.19098410142885883</v>
      </c>
      <c r="E318" s="6">
        <v>2.7082268778743031E-2</v>
      </c>
      <c r="F318" s="6"/>
      <c r="G318" s="6">
        <v>311</v>
      </c>
      <c r="H318" s="6">
        <f t="shared" ca="1" si="13"/>
        <v>-2.1992380515253374E-2</v>
      </c>
    </row>
    <row r="319" spans="2:8" x14ac:dyDescent="0.3">
      <c r="B319" s="4">
        <v>38748</v>
      </c>
      <c r="C319" s="7">
        <v>49.69</v>
      </c>
      <c r="D319" s="6">
        <f t="shared" si="12"/>
        <v>-0.82420575956980124</v>
      </c>
      <c r="E319" s="6">
        <v>2.7077304671351696E-2</v>
      </c>
      <c r="F319" s="6"/>
      <c r="G319" s="6">
        <v>312</v>
      </c>
      <c r="H319" s="6">
        <f t="shared" ca="1" si="13"/>
        <v>-5.8967432928067141E-3</v>
      </c>
    </row>
    <row r="320" spans="2:8" x14ac:dyDescent="0.3">
      <c r="B320" s="4">
        <v>40997</v>
      </c>
      <c r="C320" s="7">
        <v>282.66000000000003</v>
      </c>
      <c r="D320" s="6">
        <f t="shared" si="12"/>
        <v>7.5628597394728887</v>
      </c>
      <c r="E320" s="6">
        <v>2.7070237273355061E-2</v>
      </c>
      <c r="F320" s="6"/>
      <c r="G320" s="6">
        <v>313</v>
      </c>
      <c r="H320" s="6">
        <f t="shared" ca="1" si="13"/>
        <v>-7.0900012219771782E-3</v>
      </c>
    </row>
    <row r="321" spans="2:8" x14ac:dyDescent="0.3">
      <c r="B321" s="4">
        <v>38532</v>
      </c>
      <c r="C321" s="7">
        <v>33.01</v>
      </c>
      <c r="D321" s="6">
        <f t="shared" si="12"/>
        <v>-0.9303586497890296</v>
      </c>
      <c r="E321" s="6">
        <v>2.7069072806471608E-2</v>
      </c>
      <c r="F321" s="6"/>
      <c r="G321" s="6">
        <v>314</v>
      </c>
      <c r="H321" s="6">
        <f t="shared" ca="1" si="13"/>
        <v>-6.881241121834733E-3</v>
      </c>
    </row>
    <row r="322" spans="2:8" x14ac:dyDescent="0.3">
      <c r="B322" s="4">
        <v>41722</v>
      </c>
      <c r="C322" s="7">
        <v>474</v>
      </c>
      <c r="D322" s="6">
        <f t="shared" si="12"/>
        <v>-0.84052753759714705</v>
      </c>
      <c r="E322" s="6">
        <v>2.7041081643265772E-2</v>
      </c>
      <c r="F322" s="6"/>
      <c r="G322" s="6">
        <v>315</v>
      </c>
      <c r="H322" s="6">
        <f t="shared" ca="1" si="13"/>
        <v>4.4436380706571301E-3</v>
      </c>
    </row>
    <row r="323" spans="2:8" x14ac:dyDescent="0.3">
      <c r="B323" s="4">
        <v>44691</v>
      </c>
      <c r="C323" s="5">
        <v>2972.3</v>
      </c>
      <c r="D323" s="6">
        <f t="shared" si="12"/>
        <v>1.7046972537172185</v>
      </c>
      <c r="E323" s="6">
        <v>2.6988552928453254E-2</v>
      </c>
      <c r="F323" s="6"/>
      <c r="G323" s="6">
        <v>316</v>
      </c>
      <c r="H323" s="6">
        <f t="shared" ca="1" si="13"/>
        <v>1.7538495927227272E-2</v>
      </c>
    </row>
    <row r="324" spans="2:8" x14ac:dyDescent="0.3">
      <c r="B324" s="4">
        <v>43047</v>
      </c>
      <c r="C324" s="5">
        <v>1098.94</v>
      </c>
      <c r="D324" s="6">
        <f t="shared" si="12"/>
        <v>-0.25081126775926471</v>
      </c>
      <c r="E324" s="6">
        <v>2.6941155582136563E-2</v>
      </c>
      <c r="F324" s="6"/>
      <c r="G324" s="6">
        <v>317</v>
      </c>
      <c r="H324" s="6">
        <f t="shared" ca="1" si="13"/>
        <v>-4.5351101154184233E-3</v>
      </c>
    </row>
    <row r="325" spans="2:8" x14ac:dyDescent="0.3">
      <c r="B325" s="4">
        <v>43679</v>
      </c>
      <c r="C325" s="5">
        <v>1466.84</v>
      </c>
      <c r="D325" s="6">
        <f t="shared" si="12"/>
        <v>-0.35676197158393269</v>
      </c>
      <c r="E325" s="6">
        <v>2.6911229347521579E-2</v>
      </c>
      <c r="F325" s="6"/>
      <c r="G325" s="6">
        <v>318</v>
      </c>
      <c r="H325" s="6">
        <f t="shared" ca="1" si="13"/>
        <v>-1.8510262456839031E-2</v>
      </c>
    </row>
    <row r="326" spans="2:8" x14ac:dyDescent="0.3">
      <c r="B326" s="4">
        <v>46091</v>
      </c>
      <c r="C326" s="5">
        <v>2280.4</v>
      </c>
      <c r="D326" s="6">
        <f t="shared" si="12"/>
        <v>54.511197663096404</v>
      </c>
      <c r="E326" s="6">
        <v>2.6837175792507162E-2</v>
      </c>
      <c r="F326" s="6"/>
      <c r="G326" s="6">
        <v>319</v>
      </c>
      <c r="H326" s="6">
        <f t="shared" ca="1" si="13"/>
        <v>3.0782397025286602E-3</v>
      </c>
    </row>
    <row r="327" spans="2:8" x14ac:dyDescent="0.3">
      <c r="B327" s="4">
        <v>38642</v>
      </c>
      <c r="C327" s="7">
        <v>41.08</v>
      </c>
      <c r="D327" s="6">
        <f t="shared" si="12"/>
        <v>-0.96775991021747154</v>
      </c>
      <c r="E327" s="6">
        <v>2.6743314171457144E-2</v>
      </c>
      <c r="F327" s="6"/>
      <c r="G327" s="6">
        <v>320</v>
      </c>
      <c r="H327" s="6">
        <f t="shared" ca="1" si="13"/>
        <v>2.5572255194149323E-3</v>
      </c>
    </row>
    <row r="328" spans="2:8" x14ac:dyDescent="0.3">
      <c r="B328" s="4">
        <v>43430</v>
      </c>
      <c r="C328" s="5">
        <v>1274.19</v>
      </c>
      <c r="D328" s="6">
        <f t="shared" ref="D328:D391" si="14">((C328-C329)/C329)</f>
        <v>56.11295383236218</v>
      </c>
      <c r="E328" s="6">
        <v>2.6703194875307281E-2</v>
      </c>
      <c r="F328" s="6"/>
      <c r="G328" s="6">
        <v>321</v>
      </c>
      <c r="H328" s="6">
        <f t="shared" ca="1" si="13"/>
        <v>-2.0924797139663887E-2</v>
      </c>
    </row>
    <row r="329" spans="2:8" x14ac:dyDescent="0.3">
      <c r="B329" s="4">
        <v>37930</v>
      </c>
      <c r="C329" s="7">
        <v>22.31</v>
      </c>
      <c r="D329" s="6">
        <f t="shared" si="14"/>
        <v>-0.21636810677906571</v>
      </c>
      <c r="E329" s="6">
        <v>2.6691210308329421E-2</v>
      </c>
      <c r="F329" s="6"/>
      <c r="G329" s="6">
        <v>322</v>
      </c>
      <c r="H329" s="6">
        <f t="shared" ref="H329:H392" ca="1" si="15">_xlfn.NORM.INV(RAND(),N$10,N$11)</f>
        <v>-3.4702454952332271E-4</v>
      </c>
    </row>
    <row r="330" spans="2:8" x14ac:dyDescent="0.3">
      <c r="B330" s="4">
        <v>38405</v>
      </c>
      <c r="C330" s="7">
        <v>28.47</v>
      </c>
      <c r="D330" s="6">
        <f t="shared" si="14"/>
        <v>-0.96808832595415562</v>
      </c>
      <c r="E330" s="6">
        <v>2.6685899747565755E-2</v>
      </c>
      <c r="F330" s="6"/>
      <c r="G330" s="6">
        <v>323</v>
      </c>
      <c r="H330" s="6">
        <f t="shared" ca="1" si="15"/>
        <v>-1.8152438650447564E-2</v>
      </c>
    </row>
    <row r="331" spans="2:8" x14ac:dyDescent="0.3">
      <c r="B331" s="4">
        <v>42752</v>
      </c>
      <c r="C331" s="7">
        <v>892.15</v>
      </c>
      <c r="D331" s="6">
        <f t="shared" si="14"/>
        <v>-0.17260982870709562</v>
      </c>
      <c r="E331" s="6">
        <v>2.6628001979263745E-2</v>
      </c>
      <c r="F331" s="6"/>
      <c r="G331" s="6">
        <v>324</v>
      </c>
      <c r="H331" s="6">
        <f t="shared" ca="1" si="15"/>
        <v>2.2713952645387971E-2</v>
      </c>
    </row>
    <row r="332" spans="2:8" x14ac:dyDescent="0.3">
      <c r="B332" s="4">
        <v>43192</v>
      </c>
      <c r="C332" s="5">
        <v>1078.27</v>
      </c>
      <c r="D332" s="6">
        <f t="shared" si="14"/>
        <v>-0.27460055837734204</v>
      </c>
      <c r="E332" s="6">
        <v>2.6552295359774433E-2</v>
      </c>
      <c r="F332" s="6"/>
      <c r="G332" s="6">
        <v>325</v>
      </c>
      <c r="H332" s="6">
        <f t="shared" ca="1" si="15"/>
        <v>-1.2996733492640281E-2</v>
      </c>
    </row>
    <row r="333" spans="2:8" x14ac:dyDescent="0.3">
      <c r="B333" s="4">
        <v>43683</v>
      </c>
      <c r="C333" s="5">
        <v>1486.45</v>
      </c>
      <c r="D333" s="6">
        <f t="shared" si="14"/>
        <v>-0.51204259635554294</v>
      </c>
      <c r="E333" s="6">
        <v>2.6518421325230548E-2</v>
      </c>
      <c r="F333" s="6"/>
      <c r="G333" s="6">
        <v>326</v>
      </c>
      <c r="H333" s="6">
        <f t="shared" ca="1" si="15"/>
        <v>-1.55147065852244E-3</v>
      </c>
    </row>
    <row r="334" spans="2:8" x14ac:dyDescent="0.3">
      <c r="B334" s="4">
        <v>45504</v>
      </c>
      <c r="C334" s="5">
        <v>3046.27</v>
      </c>
      <c r="D334" s="6">
        <f t="shared" si="14"/>
        <v>185.54439681567669</v>
      </c>
      <c r="E334" s="6">
        <v>2.6423168286806974E-2</v>
      </c>
      <c r="F334" s="6"/>
      <c r="G334" s="6">
        <v>327</v>
      </c>
      <c r="H334" s="6">
        <f t="shared" ca="1" si="15"/>
        <v>-2.1771140299264767E-2</v>
      </c>
    </row>
    <row r="335" spans="2:8" x14ac:dyDescent="0.3">
      <c r="B335" s="4">
        <v>37690</v>
      </c>
      <c r="C335" s="7">
        <v>16.329999999999998</v>
      </c>
      <c r="D335" s="6">
        <f t="shared" si="14"/>
        <v>-0.98513833272661089</v>
      </c>
      <c r="E335" s="6">
        <v>2.6398491514770469E-2</v>
      </c>
      <c r="F335" s="6"/>
      <c r="G335" s="6">
        <v>328</v>
      </c>
      <c r="H335" s="6">
        <f t="shared" ca="1" si="15"/>
        <v>4.4628740062561323E-3</v>
      </c>
    </row>
    <row r="336" spans="2:8" x14ac:dyDescent="0.3">
      <c r="B336" s="4">
        <v>43104</v>
      </c>
      <c r="C336" s="5">
        <v>1098.8</v>
      </c>
      <c r="D336" s="6">
        <f t="shared" si="14"/>
        <v>-0.36131132294815166</v>
      </c>
      <c r="E336" s="6">
        <v>2.6397892652306305E-2</v>
      </c>
      <c r="F336" s="6"/>
      <c r="G336" s="6">
        <v>329</v>
      </c>
      <c r="H336" s="6">
        <f t="shared" ca="1" si="15"/>
        <v>3.0348644661619432E-3</v>
      </c>
    </row>
    <row r="337" spans="2:8" x14ac:dyDescent="0.3">
      <c r="B337" s="4">
        <v>43755</v>
      </c>
      <c r="C337" s="5">
        <v>1720.4</v>
      </c>
      <c r="D337" s="6">
        <f t="shared" si="14"/>
        <v>15.550264550264551</v>
      </c>
      <c r="E337" s="6">
        <v>2.6393661702940059E-2</v>
      </c>
      <c r="F337" s="6"/>
      <c r="G337" s="6">
        <v>330</v>
      </c>
      <c r="H337" s="6">
        <f t="shared" ca="1" si="15"/>
        <v>2.2021312653256995E-2</v>
      </c>
    </row>
    <row r="338" spans="2:8" x14ac:dyDescent="0.3">
      <c r="B338" s="4">
        <v>39581</v>
      </c>
      <c r="C338" s="7">
        <v>103.95</v>
      </c>
      <c r="D338" s="6">
        <f t="shared" si="14"/>
        <v>-0.57488140029445434</v>
      </c>
      <c r="E338" s="6">
        <v>2.6362559241706177E-2</v>
      </c>
      <c r="F338" s="6"/>
      <c r="G338" s="6">
        <v>331</v>
      </c>
      <c r="H338" s="6">
        <f t="shared" ca="1" si="15"/>
        <v>1.0371187711767748E-2</v>
      </c>
    </row>
    <row r="339" spans="2:8" x14ac:dyDescent="0.3">
      <c r="B339" s="4">
        <v>40899</v>
      </c>
      <c r="C339" s="7">
        <v>244.52</v>
      </c>
      <c r="D339" s="6">
        <f t="shared" si="14"/>
        <v>-0.84492840019786664</v>
      </c>
      <c r="E339" s="6">
        <v>2.6359973136333113E-2</v>
      </c>
      <c r="F339" s="6"/>
      <c r="G339" s="6">
        <v>332</v>
      </c>
      <c r="H339" s="6">
        <f t="shared" ca="1" si="15"/>
        <v>-3.6178866511247999E-2</v>
      </c>
    </row>
    <row r="340" spans="2:8" x14ac:dyDescent="0.3">
      <c r="B340" s="4">
        <v>43930</v>
      </c>
      <c r="C340" s="5">
        <v>1576.82</v>
      </c>
      <c r="D340" s="6">
        <f t="shared" si="14"/>
        <v>-0.10638973109291322</v>
      </c>
      <c r="E340" s="6">
        <v>2.6355014873106698E-2</v>
      </c>
      <c r="F340" s="6"/>
      <c r="G340" s="6">
        <v>333</v>
      </c>
      <c r="H340" s="6">
        <f t="shared" ca="1" si="15"/>
        <v>-6.2383187735290512E-3</v>
      </c>
    </row>
    <row r="341" spans="2:8" x14ac:dyDescent="0.3">
      <c r="B341" s="4">
        <v>43894</v>
      </c>
      <c r="C341" s="5">
        <v>1764.55</v>
      </c>
      <c r="D341" s="6">
        <f t="shared" si="14"/>
        <v>0.30709343842130987</v>
      </c>
      <c r="E341" s="6">
        <v>2.6324820129239392E-2</v>
      </c>
      <c r="F341" s="6"/>
      <c r="G341" s="6">
        <v>334</v>
      </c>
      <c r="H341" s="6">
        <f t="shared" ca="1" si="15"/>
        <v>1.9331196885944116E-3</v>
      </c>
    </row>
    <row r="342" spans="2:8" x14ac:dyDescent="0.3">
      <c r="B342" s="4">
        <v>43304</v>
      </c>
      <c r="C342" s="5">
        <v>1349.98</v>
      </c>
      <c r="D342" s="6">
        <f t="shared" si="14"/>
        <v>16.470946033389414</v>
      </c>
      <c r="E342" s="6">
        <v>2.631979077971059E-2</v>
      </c>
      <c r="F342" s="6"/>
      <c r="G342" s="6">
        <v>335</v>
      </c>
      <c r="H342" s="6">
        <f t="shared" ca="1" si="15"/>
        <v>3.9415476793917055E-2</v>
      </c>
    </row>
    <row r="343" spans="2:8" x14ac:dyDescent="0.3">
      <c r="B343" s="4">
        <v>39302</v>
      </c>
      <c r="C343" s="7">
        <v>77.27</v>
      </c>
      <c r="D343" s="6">
        <f t="shared" si="14"/>
        <v>-0.19919162607524096</v>
      </c>
      <c r="E343" s="6">
        <v>2.6298313189002387E-2</v>
      </c>
      <c r="F343" s="6"/>
      <c r="G343" s="6">
        <v>336</v>
      </c>
      <c r="H343" s="6">
        <f t="shared" ca="1" si="15"/>
        <v>-1.5179526409554006E-2</v>
      </c>
    </row>
    <row r="344" spans="2:8" x14ac:dyDescent="0.3">
      <c r="B344" s="4">
        <v>39983</v>
      </c>
      <c r="C344" s="7">
        <v>96.49</v>
      </c>
      <c r="D344" s="6">
        <f t="shared" si="14"/>
        <v>-0.93536047804708122</v>
      </c>
      <c r="E344" s="6">
        <v>2.6271006168900223E-2</v>
      </c>
      <c r="F344" s="6"/>
      <c r="G344" s="6">
        <v>337</v>
      </c>
      <c r="H344" s="6">
        <f t="shared" ca="1" si="15"/>
        <v>3.8910522043626742E-3</v>
      </c>
    </row>
    <row r="345" spans="2:8" x14ac:dyDescent="0.3">
      <c r="B345" s="4">
        <v>43964</v>
      </c>
      <c r="C345" s="5">
        <v>1492.74</v>
      </c>
      <c r="D345" s="6">
        <f t="shared" si="14"/>
        <v>87.537366548042712</v>
      </c>
      <c r="E345" s="6">
        <v>2.6220266739997319E-2</v>
      </c>
      <c r="F345" s="6"/>
      <c r="G345" s="6">
        <v>338</v>
      </c>
      <c r="H345" s="6">
        <f t="shared" ca="1" si="15"/>
        <v>9.9400634780892165E-3</v>
      </c>
    </row>
    <row r="346" spans="2:8" x14ac:dyDescent="0.3">
      <c r="B346" s="4">
        <v>37699</v>
      </c>
      <c r="C346" s="7">
        <v>16.86</v>
      </c>
      <c r="D346" s="6">
        <f t="shared" si="14"/>
        <v>-0.98347301867372439</v>
      </c>
      <c r="E346" s="6">
        <v>2.617163724893486E-2</v>
      </c>
      <c r="F346" s="6"/>
      <c r="G346" s="6">
        <v>339</v>
      </c>
      <c r="H346" s="6">
        <f t="shared" ca="1" si="15"/>
        <v>1.2872028766654402E-2</v>
      </c>
    </row>
    <row r="347" spans="2:8" x14ac:dyDescent="0.3">
      <c r="B347" s="4">
        <v>42850</v>
      </c>
      <c r="C347" s="5">
        <v>1020.15</v>
      </c>
      <c r="D347" s="6">
        <f t="shared" si="14"/>
        <v>5.3775318829707421</v>
      </c>
      <c r="E347" s="6">
        <v>2.6122030215856313E-2</v>
      </c>
      <c r="F347" s="6"/>
      <c r="G347" s="6">
        <v>340</v>
      </c>
      <c r="H347" s="6">
        <f t="shared" ca="1" si="15"/>
        <v>-2.2918536261392862E-2</v>
      </c>
    </row>
    <row r="348" spans="2:8" x14ac:dyDescent="0.3">
      <c r="B348" s="4">
        <v>40190</v>
      </c>
      <c r="C348" s="7">
        <v>159.96</v>
      </c>
      <c r="D348" s="6">
        <f t="shared" si="14"/>
        <v>1.051558291650635</v>
      </c>
      <c r="E348" s="6">
        <v>2.6108153184938237E-2</v>
      </c>
      <c r="F348" s="6"/>
      <c r="G348" s="6">
        <v>341</v>
      </c>
      <c r="H348" s="6">
        <f t="shared" ca="1" si="15"/>
        <v>-2.2288480524770369E-2</v>
      </c>
    </row>
    <row r="349" spans="2:8" x14ac:dyDescent="0.3">
      <c r="B349" s="4">
        <v>39826</v>
      </c>
      <c r="C349" s="7">
        <v>77.97</v>
      </c>
      <c r="D349" s="6">
        <f t="shared" si="14"/>
        <v>-3.8238559269766804E-2</v>
      </c>
      <c r="E349" s="6">
        <v>2.6056060007895829E-2</v>
      </c>
      <c r="F349" s="6"/>
      <c r="G349" s="6">
        <v>342</v>
      </c>
      <c r="H349" s="6">
        <f t="shared" ca="1" si="15"/>
        <v>-1.6297024615294302E-2</v>
      </c>
    </row>
    <row r="350" spans="2:8" x14ac:dyDescent="0.3">
      <c r="B350" s="4">
        <v>39364</v>
      </c>
      <c r="C350" s="7">
        <v>81.069999999999993</v>
      </c>
      <c r="D350" s="6">
        <f t="shared" si="14"/>
        <v>-0.80306085266609983</v>
      </c>
      <c r="E350" s="6">
        <v>2.5942799291318618E-2</v>
      </c>
      <c r="F350" s="6"/>
      <c r="G350" s="6">
        <v>343</v>
      </c>
      <c r="H350" s="6">
        <f t="shared" ca="1" si="15"/>
        <v>-9.9669349543987183E-3</v>
      </c>
    </row>
    <row r="351" spans="2:8" x14ac:dyDescent="0.3">
      <c r="B351" s="4">
        <v>41439</v>
      </c>
      <c r="C351" s="7">
        <v>411.65</v>
      </c>
      <c r="D351" s="6">
        <f t="shared" si="14"/>
        <v>8.192719964269763</v>
      </c>
      <c r="E351" s="6">
        <v>2.5919003115264742E-2</v>
      </c>
      <c r="F351" s="6"/>
      <c r="G351" s="6">
        <v>344</v>
      </c>
      <c r="H351" s="6">
        <f t="shared" ca="1" si="15"/>
        <v>1.1922829408808146E-2</v>
      </c>
    </row>
    <row r="352" spans="2:8" x14ac:dyDescent="0.3">
      <c r="B352" s="4">
        <v>38883</v>
      </c>
      <c r="C352" s="7">
        <v>44.78</v>
      </c>
      <c r="D352" s="6">
        <f t="shared" si="14"/>
        <v>-0.75259668508287292</v>
      </c>
      <c r="E352" s="6">
        <v>2.588774341351667E-2</v>
      </c>
      <c r="F352" s="6"/>
      <c r="G352" s="6">
        <v>345</v>
      </c>
      <c r="H352" s="6">
        <f t="shared" ca="1" si="15"/>
        <v>1.9018922833987675E-2</v>
      </c>
    </row>
    <row r="353" spans="2:8" x14ac:dyDescent="0.3">
      <c r="B353" s="4">
        <v>40305</v>
      </c>
      <c r="C353" s="7">
        <v>181</v>
      </c>
      <c r="D353" s="6">
        <f t="shared" si="14"/>
        <v>-0.3562155433042859</v>
      </c>
      <c r="E353" s="6">
        <v>2.5844479709816383E-2</v>
      </c>
      <c r="F353" s="6"/>
      <c r="G353" s="6">
        <v>346</v>
      </c>
      <c r="H353" s="6">
        <f t="shared" ca="1" si="15"/>
        <v>9.7847314215459748E-3</v>
      </c>
    </row>
    <row r="354" spans="2:8" x14ac:dyDescent="0.3">
      <c r="B354" s="4">
        <v>40977</v>
      </c>
      <c r="C354" s="7">
        <v>281.14999999999998</v>
      </c>
      <c r="D354" s="6">
        <f t="shared" si="14"/>
        <v>15.441520467836254</v>
      </c>
      <c r="E354" s="6">
        <v>2.5795388207822512E-2</v>
      </c>
      <c r="F354" s="6"/>
      <c r="G354" s="6">
        <v>347</v>
      </c>
      <c r="H354" s="6">
        <f t="shared" ca="1" si="15"/>
        <v>9.613798052093947E-3</v>
      </c>
    </row>
    <row r="355" spans="2:8" x14ac:dyDescent="0.3">
      <c r="B355" s="4">
        <v>37523</v>
      </c>
      <c r="C355" s="7">
        <v>17.100000000000001</v>
      </c>
      <c r="D355" s="6">
        <f t="shared" si="14"/>
        <v>-0.99428787124661366</v>
      </c>
      <c r="E355" s="6">
        <v>2.5794841031793622E-2</v>
      </c>
      <c r="F355" s="6"/>
      <c r="G355" s="6">
        <v>348</v>
      </c>
      <c r="H355" s="6">
        <f t="shared" ca="1" si="15"/>
        <v>2.4953380720860972E-2</v>
      </c>
    </row>
    <row r="356" spans="2:8" x14ac:dyDescent="0.3">
      <c r="B356" s="4">
        <v>44538</v>
      </c>
      <c r="C356" s="5">
        <v>2993.63</v>
      </c>
      <c r="D356" s="6">
        <f t="shared" si="14"/>
        <v>3.4918374696155809</v>
      </c>
      <c r="E356" s="6">
        <v>2.5791883112433002E-2</v>
      </c>
      <c r="F356" s="6"/>
      <c r="G356" s="6">
        <v>349</v>
      </c>
      <c r="H356" s="6">
        <f t="shared" ca="1" si="15"/>
        <v>-1.4697481411765625E-2</v>
      </c>
    </row>
    <row r="357" spans="2:8" x14ac:dyDescent="0.3">
      <c r="B357" s="4">
        <v>42173</v>
      </c>
      <c r="C357" s="7">
        <v>666.46</v>
      </c>
      <c r="D357" s="6">
        <f t="shared" si="14"/>
        <v>37.792782305005829</v>
      </c>
      <c r="E357" s="6">
        <v>2.5749157342280667E-2</v>
      </c>
      <c r="F357" s="6"/>
      <c r="G357" s="6">
        <v>350</v>
      </c>
      <c r="H357" s="6">
        <f t="shared" ca="1" si="15"/>
        <v>-1.3253866458657658E-2</v>
      </c>
    </row>
    <row r="358" spans="2:8" x14ac:dyDescent="0.3">
      <c r="B358" s="4">
        <v>37504</v>
      </c>
      <c r="C358" s="7">
        <v>17.18</v>
      </c>
      <c r="D358" s="6">
        <f t="shared" si="14"/>
        <v>-0.97612496178326258</v>
      </c>
      <c r="E358" s="6">
        <v>2.5671641791044759E-2</v>
      </c>
      <c r="F358" s="6"/>
      <c r="G358" s="6">
        <v>351</v>
      </c>
      <c r="H358" s="6">
        <f t="shared" ca="1" si="15"/>
        <v>-2.6148384620954163E-2</v>
      </c>
    </row>
    <row r="359" spans="2:8" x14ac:dyDescent="0.3">
      <c r="B359" s="4">
        <v>42153</v>
      </c>
      <c r="C359" s="7">
        <v>719.58</v>
      </c>
      <c r="D359" s="6">
        <f t="shared" si="14"/>
        <v>-0.46017599531879455</v>
      </c>
      <c r="E359" s="6">
        <v>2.5670995053950412E-2</v>
      </c>
      <c r="F359" s="6"/>
      <c r="G359" s="6">
        <v>352</v>
      </c>
      <c r="H359" s="6">
        <f t="shared" ca="1" si="15"/>
        <v>-3.7671276771604452E-3</v>
      </c>
    </row>
    <row r="360" spans="2:8" x14ac:dyDescent="0.3">
      <c r="B360" s="4">
        <v>43668</v>
      </c>
      <c r="C360" s="5">
        <v>1332.99</v>
      </c>
      <c r="D360" s="6">
        <f t="shared" si="14"/>
        <v>1.7993993741730892</v>
      </c>
      <c r="E360" s="6">
        <v>2.5637277154970058E-2</v>
      </c>
      <c r="F360" s="6"/>
      <c r="G360" s="6">
        <v>353</v>
      </c>
      <c r="H360" s="6">
        <f t="shared" ca="1" si="15"/>
        <v>-7.828774700489656E-3</v>
      </c>
    </row>
    <row r="361" spans="2:8" x14ac:dyDescent="0.3">
      <c r="B361" s="4">
        <v>41596</v>
      </c>
      <c r="C361" s="7">
        <v>476.17</v>
      </c>
      <c r="D361" s="6">
        <f t="shared" si="14"/>
        <v>19.125528317836011</v>
      </c>
      <c r="E361" s="6">
        <v>2.5609545963642726E-2</v>
      </c>
      <c r="F361" s="6"/>
      <c r="G361" s="6">
        <v>354</v>
      </c>
      <c r="H361" s="6">
        <f t="shared" ca="1" si="15"/>
        <v>3.6172360521011797E-2</v>
      </c>
    </row>
    <row r="362" spans="2:8" x14ac:dyDescent="0.3">
      <c r="B362" s="4">
        <v>37907</v>
      </c>
      <c r="C362" s="7">
        <v>23.66</v>
      </c>
      <c r="D362" s="6">
        <f t="shared" si="14"/>
        <v>-0.96887087861484622</v>
      </c>
      <c r="E362" s="6">
        <v>2.5574338968357167E-2</v>
      </c>
      <c r="F362" s="6"/>
      <c r="G362" s="6">
        <v>355</v>
      </c>
      <c r="H362" s="6">
        <f t="shared" ca="1" si="15"/>
        <v>2.8988173916537303E-2</v>
      </c>
    </row>
    <row r="363" spans="2:8" x14ac:dyDescent="0.3">
      <c r="B363" s="4">
        <v>42250</v>
      </c>
      <c r="C363" s="7">
        <v>760.06</v>
      </c>
      <c r="D363" s="6">
        <f t="shared" si="14"/>
        <v>1.6634194204015837</v>
      </c>
      <c r="E363" s="6">
        <v>2.5555915371329799E-2</v>
      </c>
      <c r="F363" s="6"/>
      <c r="G363" s="6">
        <v>356</v>
      </c>
      <c r="H363" s="6">
        <f t="shared" ca="1" si="15"/>
        <v>-2.6324995948363891E-2</v>
      </c>
    </row>
    <row r="364" spans="2:8" x14ac:dyDescent="0.3">
      <c r="B364" s="4">
        <v>40767</v>
      </c>
      <c r="C364" s="7">
        <v>285.37</v>
      </c>
      <c r="D364" s="6">
        <f t="shared" si="14"/>
        <v>6.8033907574514636</v>
      </c>
      <c r="E364" s="6">
        <v>2.5551642348882391E-2</v>
      </c>
      <c r="F364" s="6"/>
      <c r="G364" s="6">
        <v>357</v>
      </c>
      <c r="H364" s="6">
        <f t="shared" ca="1" si="15"/>
        <v>-3.2437989435230026E-2</v>
      </c>
    </row>
    <row r="365" spans="2:8" x14ac:dyDescent="0.3">
      <c r="B365" s="4">
        <v>38559</v>
      </c>
      <c r="C365" s="7">
        <v>36.57</v>
      </c>
      <c r="D365" s="6">
        <f t="shared" si="14"/>
        <v>-0.61682732606873425</v>
      </c>
      <c r="E365" s="6">
        <v>2.5518788558609191E-2</v>
      </c>
      <c r="F365" s="6"/>
      <c r="G365" s="6">
        <v>358</v>
      </c>
      <c r="H365" s="6">
        <f t="shared" ca="1" si="15"/>
        <v>1.2861868346323229E-2</v>
      </c>
    </row>
    <row r="366" spans="2:8" x14ac:dyDescent="0.3">
      <c r="B366" s="4">
        <v>39525</v>
      </c>
      <c r="C366" s="7">
        <v>95.44</v>
      </c>
      <c r="D366" s="6">
        <f t="shared" si="14"/>
        <v>-0.87825598897874835</v>
      </c>
      <c r="E366" s="6">
        <v>2.5464703986246961E-2</v>
      </c>
      <c r="F366" s="6"/>
      <c r="G366" s="6">
        <v>359</v>
      </c>
      <c r="H366" s="6">
        <f t="shared" ca="1" si="15"/>
        <v>-1.5982661115588635E-2</v>
      </c>
    </row>
    <row r="367" spans="2:8" x14ac:dyDescent="0.3">
      <c r="B367" s="4">
        <v>42331</v>
      </c>
      <c r="C367" s="7">
        <v>783.94</v>
      </c>
      <c r="D367" s="6">
        <f t="shared" si="14"/>
        <v>-4.3590713335854556E-2</v>
      </c>
      <c r="E367" s="6">
        <v>2.5441797799840477E-2</v>
      </c>
      <c r="F367" s="6"/>
      <c r="G367" s="6">
        <v>360</v>
      </c>
      <c r="H367" s="6">
        <f t="shared" ca="1" si="15"/>
        <v>-2.6876329336437705E-2</v>
      </c>
    </row>
    <row r="368" spans="2:8" x14ac:dyDescent="0.3">
      <c r="B368" s="4">
        <v>42496</v>
      </c>
      <c r="C368" s="7">
        <v>819.67</v>
      </c>
      <c r="D368" s="6">
        <f t="shared" si="14"/>
        <v>0.18014541789647975</v>
      </c>
      <c r="E368" s="6">
        <v>2.5382171182666523E-2</v>
      </c>
      <c r="F368" s="6"/>
      <c r="G368" s="6">
        <v>361</v>
      </c>
      <c r="H368" s="6">
        <f t="shared" ca="1" si="15"/>
        <v>-6.0451206352867435E-3</v>
      </c>
    </row>
    <row r="369" spans="2:8" x14ac:dyDescent="0.3">
      <c r="B369" s="4">
        <v>42185</v>
      </c>
      <c r="C369" s="7">
        <v>694.55</v>
      </c>
      <c r="D369" s="6">
        <f t="shared" si="14"/>
        <v>-0.58799487477606804</v>
      </c>
      <c r="E369" s="6">
        <v>2.5317390020667224E-2</v>
      </c>
      <c r="F369" s="6"/>
      <c r="G369" s="6">
        <v>362</v>
      </c>
      <c r="H369" s="6">
        <f t="shared" ca="1" si="15"/>
        <v>-2.8131197828159309E-2</v>
      </c>
    </row>
    <row r="370" spans="2:8" x14ac:dyDescent="0.3">
      <c r="B370" s="4">
        <v>43839</v>
      </c>
      <c r="C370" s="5">
        <v>1685.78</v>
      </c>
      <c r="D370" s="6">
        <f t="shared" si="14"/>
        <v>1.2087154761280854</v>
      </c>
      <c r="E370" s="6">
        <v>2.530760201195734E-2</v>
      </c>
      <c r="F370" s="6"/>
      <c r="G370" s="6">
        <v>363</v>
      </c>
      <c r="H370" s="6">
        <f t="shared" ca="1" si="15"/>
        <v>-5.2439657546884911E-3</v>
      </c>
    </row>
    <row r="371" spans="2:8" x14ac:dyDescent="0.3">
      <c r="B371" s="4">
        <v>42082</v>
      </c>
      <c r="C371" s="7">
        <v>763.24</v>
      </c>
      <c r="D371" s="6">
        <f t="shared" si="14"/>
        <v>13.157670191059175</v>
      </c>
      <c r="E371" s="6">
        <v>2.529520022568214E-2</v>
      </c>
      <c r="F371" s="6"/>
      <c r="G371" s="6">
        <v>364</v>
      </c>
      <c r="H371" s="6">
        <f t="shared" ca="1" si="15"/>
        <v>1.8791106646227948E-2</v>
      </c>
    </row>
    <row r="372" spans="2:8" x14ac:dyDescent="0.3">
      <c r="B372" s="4">
        <v>38751</v>
      </c>
      <c r="C372" s="7">
        <v>53.91</v>
      </c>
      <c r="D372" s="6">
        <f t="shared" si="14"/>
        <v>-0.65668980449595626</v>
      </c>
      <c r="E372" s="6">
        <v>2.5294788893115223E-2</v>
      </c>
      <c r="F372" s="6"/>
      <c r="G372" s="6">
        <v>365</v>
      </c>
      <c r="H372" s="6">
        <f t="shared" ca="1" si="15"/>
        <v>8.3528407235096656E-3</v>
      </c>
    </row>
    <row r="373" spans="2:8" x14ac:dyDescent="0.3">
      <c r="B373" s="4">
        <v>40235</v>
      </c>
      <c r="C373" s="7">
        <v>157.03</v>
      </c>
      <c r="D373" s="6">
        <f t="shared" si="14"/>
        <v>-0.41924627390066199</v>
      </c>
      <c r="E373" s="6">
        <v>2.5267693914860306E-2</v>
      </c>
      <c r="F373" s="6"/>
      <c r="G373" s="6">
        <v>366</v>
      </c>
      <c r="H373" s="6">
        <f t="shared" ca="1" si="15"/>
        <v>-1.5408710963043018E-2</v>
      </c>
    </row>
    <row r="374" spans="2:8" x14ac:dyDescent="0.3">
      <c r="B374" s="4">
        <v>40693</v>
      </c>
      <c r="C374" s="7">
        <v>270.39</v>
      </c>
      <c r="D374" s="6">
        <f t="shared" si="14"/>
        <v>2.2628212863521173</v>
      </c>
      <c r="E374" s="6">
        <v>2.5253099761119203E-2</v>
      </c>
      <c r="F374" s="6"/>
      <c r="G374" s="6">
        <v>367</v>
      </c>
      <c r="H374" s="6">
        <f t="shared" ca="1" si="15"/>
        <v>9.3166481472507848E-3</v>
      </c>
    </row>
    <row r="375" spans="2:8" x14ac:dyDescent="0.3">
      <c r="B375" s="4">
        <v>39358</v>
      </c>
      <c r="C375" s="7">
        <v>82.87</v>
      </c>
      <c r="D375" s="6">
        <f t="shared" si="14"/>
        <v>-0.88517866792290745</v>
      </c>
      <c r="E375" s="6">
        <v>2.5238154150686705E-2</v>
      </c>
      <c r="F375" s="6"/>
      <c r="G375" s="6">
        <v>368</v>
      </c>
      <c r="H375" s="6">
        <f t="shared" ca="1" si="15"/>
        <v>9.6481259880628317E-3</v>
      </c>
    </row>
    <row r="376" spans="2:8" x14ac:dyDescent="0.3">
      <c r="B376" s="4">
        <v>41976</v>
      </c>
      <c r="C376" s="7">
        <v>721.73</v>
      </c>
      <c r="D376" s="6">
        <f t="shared" si="14"/>
        <v>-0.75081825714680295</v>
      </c>
      <c r="E376" s="6">
        <v>2.5126413271973264E-2</v>
      </c>
      <c r="F376" s="6"/>
      <c r="G376" s="6">
        <v>369</v>
      </c>
      <c r="H376" s="6">
        <f t="shared" ca="1" si="15"/>
        <v>-6.2085796688332775E-3</v>
      </c>
    </row>
    <row r="377" spans="2:8" x14ac:dyDescent="0.3">
      <c r="B377" s="4">
        <v>46034</v>
      </c>
      <c r="C377" s="5">
        <v>2896.4</v>
      </c>
      <c r="D377" s="6">
        <f t="shared" si="14"/>
        <v>80.405283867341211</v>
      </c>
      <c r="E377" s="6">
        <v>2.5092903910812279E-2</v>
      </c>
      <c r="F377" s="6"/>
      <c r="G377" s="6">
        <v>370</v>
      </c>
      <c r="H377" s="6">
        <f t="shared" ca="1" si="15"/>
        <v>3.2260411819340612E-4</v>
      </c>
    </row>
    <row r="378" spans="2:8" x14ac:dyDescent="0.3">
      <c r="B378" s="4">
        <v>38552</v>
      </c>
      <c r="C378" s="7">
        <v>35.58</v>
      </c>
      <c r="D378" s="6">
        <f t="shared" si="14"/>
        <v>-0.38918454935622321</v>
      </c>
      <c r="E378" s="6">
        <v>2.5064822817631734E-2</v>
      </c>
      <c r="F378" s="6"/>
      <c r="G378" s="6">
        <v>371</v>
      </c>
      <c r="H378" s="6">
        <f t="shared" ca="1" si="15"/>
        <v>3.9991913300081912E-4</v>
      </c>
    </row>
    <row r="379" spans="2:8" x14ac:dyDescent="0.3">
      <c r="B379" s="4">
        <v>39043</v>
      </c>
      <c r="C379" s="7">
        <v>58.25</v>
      </c>
      <c r="D379" s="6">
        <f t="shared" si="14"/>
        <v>-0.98112437175752354</v>
      </c>
      <c r="E379" s="6">
        <v>2.4986802745029065E-2</v>
      </c>
      <c r="F379" s="6"/>
      <c r="G379" s="6">
        <v>372</v>
      </c>
      <c r="H379" s="6">
        <f t="shared" ca="1" si="15"/>
        <v>2.3000096473817368E-2</v>
      </c>
    </row>
    <row r="380" spans="2:8" x14ac:dyDescent="0.3">
      <c r="B380" s="4">
        <v>44769</v>
      </c>
      <c r="C380" s="5">
        <v>3085.99</v>
      </c>
      <c r="D380" s="6">
        <f t="shared" si="14"/>
        <v>-8.000951499254335E-3</v>
      </c>
      <c r="E380" s="6">
        <v>2.494619513232001E-2</v>
      </c>
      <c r="F380" s="6"/>
      <c r="G380" s="6">
        <v>373</v>
      </c>
      <c r="H380" s="6">
        <f t="shared" ca="1" si="15"/>
        <v>1.7326905014455829E-2</v>
      </c>
    </row>
    <row r="381" spans="2:8" x14ac:dyDescent="0.3">
      <c r="B381" s="4">
        <v>44517</v>
      </c>
      <c r="C381" s="5">
        <v>3110.88</v>
      </c>
      <c r="D381" s="6">
        <f t="shared" si="14"/>
        <v>27.698154981549813</v>
      </c>
      <c r="E381" s="6">
        <v>2.4923976107247257E-2</v>
      </c>
      <c r="F381" s="6"/>
      <c r="G381" s="6">
        <v>374</v>
      </c>
      <c r="H381" s="6">
        <f t="shared" ca="1" si="15"/>
        <v>-1.8117163412263917E-3</v>
      </c>
    </row>
    <row r="382" spans="2:8" x14ac:dyDescent="0.3">
      <c r="B382" s="4">
        <v>39610</v>
      </c>
      <c r="C382" s="7">
        <v>108.4</v>
      </c>
      <c r="D382" s="6">
        <f t="shared" si="14"/>
        <v>3.9110429447852882E-2</v>
      </c>
      <c r="E382" s="6">
        <v>2.4865273707100403E-2</v>
      </c>
      <c r="F382" s="6"/>
      <c r="G382" s="6">
        <v>375</v>
      </c>
      <c r="H382" s="6">
        <f t="shared" ca="1" si="15"/>
        <v>2.12431010049756E-2</v>
      </c>
    </row>
    <row r="383" spans="2:8" x14ac:dyDescent="0.3">
      <c r="B383" s="4">
        <v>39689</v>
      </c>
      <c r="C383" s="7">
        <v>104.32</v>
      </c>
      <c r="D383" s="6">
        <f t="shared" si="14"/>
        <v>0.36383841024970587</v>
      </c>
      <c r="E383" s="6">
        <v>2.4855093820610932E-2</v>
      </c>
      <c r="F383" s="6"/>
      <c r="G383" s="6">
        <v>376</v>
      </c>
      <c r="H383" s="6">
        <f t="shared" ca="1" si="15"/>
        <v>-1.8527262969554991E-2</v>
      </c>
    </row>
    <row r="384" spans="2:8" x14ac:dyDescent="0.3">
      <c r="B384" s="4">
        <v>39813</v>
      </c>
      <c r="C384" s="7">
        <v>76.489999999999995</v>
      </c>
      <c r="D384" s="6">
        <f t="shared" si="14"/>
        <v>-0.96718885390482245</v>
      </c>
      <c r="E384" s="6">
        <v>2.4785637727759838E-2</v>
      </c>
      <c r="F384" s="6"/>
      <c r="G384" s="6">
        <v>377</v>
      </c>
      <c r="H384" s="6">
        <f t="shared" ca="1" si="15"/>
        <v>-6.0422891770545578E-3</v>
      </c>
    </row>
    <row r="385" spans="2:8" x14ac:dyDescent="0.3">
      <c r="B385" s="4">
        <v>45789</v>
      </c>
      <c r="C385" s="5">
        <v>2331.2199999999998</v>
      </c>
      <c r="D385" s="6">
        <f t="shared" si="14"/>
        <v>7.8007097285665745</v>
      </c>
      <c r="E385" s="6">
        <v>2.4698575403401094E-2</v>
      </c>
      <c r="F385" s="6"/>
      <c r="G385" s="6">
        <v>378</v>
      </c>
      <c r="H385" s="6">
        <f t="shared" ca="1" si="15"/>
        <v>-1.053749508769904E-2</v>
      </c>
    </row>
    <row r="386" spans="2:8" x14ac:dyDescent="0.3">
      <c r="B386" s="4">
        <v>40938</v>
      </c>
      <c r="C386" s="7">
        <v>264.89</v>
      </c>
      <c r="D386" s="6">
        <f t="shared" si="14"/>
        <v>7.8326108702900967</v>
      </c>
      <c r="E386" s="6">
        <v>2.4600626619734708E-2</v>
      </c>
      <c r="F386" s="6"/>
      <c r="G386" s="6">
        <v>379</v>
      </c>
      <c r="H386" s="6">
        <f t="shared" ca="1" si="15"/>
        <v>-1.2710468642499783E-3</v>
      </c>
    </row>
    <row r="387" spans="2:8" x14ac:dyDescent="0.3">
      <c r="B387" s="4">
        <v>38475</v>
      </c>
      <c r="C387" s="7">
        <v>29.99</v>
      </c>
      <c r="D387" s="6">
        <f t="shared" si="14"/>
        <v>-0.98735346208990482</v>
      </c>
      <c r="E387" s="6">
        <v>2.4598565083703412E-2</v>
      </c>
      <c r="F387" s="6"/>
      <c r="G387" s="6">
        <v>380</v>
      </c>
      <c r="H387" s="6">
        <f t="shared" ca="1" si="15"/>
        <v>-2.3642562094082333E-3</v>
      </c>
    </row>
    <row r="388" spans="2:8" x14ac:dyDescent="0.3">
      <c r="B388" s="4">
        <v>45945</v>
      </c>
      <c r="C388" s="5">
        <v>2371.4</v>
      </c>
      <c r="D388" s="6">
        <f t="shared" si="14"/>
        <v>16.322132943754564</v>
      </c>
      <c r="E388" s="6">
        <v>2.4588570268180166E-2</v>
      </c>
      <c r="F388" s="6"/>
      <c r="G388" s="6">
        <v>381</v>
      </c>
      <c r="H388" s="6">
        <f t="shared" ca="1" si="15"/>
        <v>-1.6796545041056547E-2</v>
      </c>
    </row>
    <row r="389" spans="2:8" x14ac:dyDescent="0.3">
      <c r="B389" s="4">
        <v>40100</v>
      </c>
      <c r="C389" s="7">
        <v>136.9</v>
      </c>
      <c r="D389" s="6">
        <f t="shared" si="14"/>
        <v>0.97233827978677445</v>
      </c>
      <c r="E389" s="6">
        <v>2.4547223469540497E-2</v>
      </c>
      <c r="F389" s="6"/>
      <c r="G389" s="6">
        <v>382</v>
      </c>
      <c r="H389" s="6">
        <f t="shared" ca="1" si="15"/>
        <v>-3.478152721457059E-3</v>
      </c>
    </row>
    <row r="390" spans="2:8" x14ac:dyDescent="0.3">
      <c r="B390" s="4">
        <v>39265</v>
      </c>
      <c r="C390" s="7">
        <v>69.41</v>
      </c>
      <c r="D390" s="6">
        <f t="shared" si="14"/>
        <v>-0.94423421469144431</v>
      </c>
      <c r="E390" s="6">
        <v>2.4501845018450135E-2</v>
      </c>
      <c r="F390" s="6"/>
      <c r="G390" s="6">
        <v>383</v>
      </c>
      <c r="H390" s="6">
        <f t="shared" ca="1" si="15"/>
        <v>7.7502446049743197E-3</v>
      </c>
    </row>
    <row r="391" spans="2:8" x14ac:dyDescent="0.3">
      <c r="B391" s="4">
        <v>43286</v>
      </c>
      <c r="C391" s="5">
        <v>1244.67</v>
      </c>
      <c r="D391" s="6">
        <f t="shared" si="14"/>
        <v>-0.60680145316695622</v>
      </c>
      <c r="E391" s="6">
        <v>2.4495641652468075E-2</v>
      </c>
      <c r="F391" s="6"/>
      <c r="G391" s="6">
        <v>384</v>
      </c>
      <c r="H391" s="6">
        <f t="shared" ca="1" si="15"/>
        <v>-1.7372874563095282E-2</v>
      </c>
    </row>
    <row r="392" spans="2:8" x14ac:dyDescent="0.3">
      <c r="B392" s="4">
        <v>44476</v>
      </c>
      <c r="C392" s="5">
        <v>3165.5</v>
      </c>
      <c r="D392" s="6">
        <f t="shared" ref="D392:D455" si="16">((C392-C393)/C393)</f>
        <v>30.759807364302198</v>
      </c>
      <c r="E392" s="6">
        <v>2.4470126768266872E-2</v>
      </c>
      <c r="F392" s="6"/>
      <c r="G392" s="6">
        <v>385</v>
      </c>
      <c r="H392" s="6">
        <f t="shared" ca="1" si="15"/>
        <v>1.2106818550659197E-2</v>
      </c>
    </row>
    <row r="393" spans="2:8" x14ac:dyDescent="0.3">
      <c r="B393" s="4">
        <v>39990</v>
      </c>
      <c r="C393" s="7">
        <v>99.67</v>
      </c>
      <c r="D393" s="6">
        <f t="shared" si="16"/>
        <v>0.35109122949708566</v>
      </c>
      <c r="E393" s="6">
        <v>2.4462945832048468E-2</v>
      </c>
      <c r="F393" s="6"/>
      <c r="G393" s="6">
        <v>386</v>
      </c>
      <c r="H393" s="6">
        <f t="shared" ref="H393:H456" ca="1" si="17">_xlfn.NORM.INV(RAND(),N$10,N$11)</f>
        <v>-1.5295846473321382E-2</v>
      </c>
    </row>
    <row r="394" spans="2:8" x14ac:dyDescent="0.3">
      <c r="B394" s="4">
        <v>39296</v>
      </c>
      <c r="C394" s="7">
        <v>73.77</v>
      </c>
      <c r="D394" s="6">
        <f t="shared" si="16"/>
        <v>-0.68253216852433629</v>
      </c>
      <c r="E394" s="6">
        <v>2.444104985418679E-2</v>
      </c>
      <c r="F394" s="6"/>
      <c r="G394" s="6">
        <v>387</v>
      </c>
      <c r="H394" s="6">
        <f t="shared" ca="1" si="17"/>
        <v>-4.6269175358213581E-3</v>
      </c>
    </row>
    <row r="395" spans="2:8" x14ac:dyDescent="0.3">
      <c r="B395" s="4">
        <v>40512</v>
      </c>
      <c r="C395" s="7">
        <v>232.37</v>
      </c>
      <c r="D395" s="6">
        <f t="shared" si="16"/>
        <v>2.7424706071831211</v>
      </c>
      <c r="E395" s="6">
        <v>2.4423577128245787E-2</v>
      </c>
      <c r="F395" s="6"/>
      <c r="G395" s="6">
        <v>388</v>
      </c>
      <c r="H395" s="6">
        <f t="shared" ca="1" si="17"/>
        <v>9.3514038185853153E-3</v>
      </c>
    </row>
    <row r="396" spans="2:8" x14ac:dyDescent="0.3">
      <c r="B396" s="4">
        <v>39885</v>
      </c>
      <c r="C396" s="7">
        <v>62.09</v>
      </c>
      <c r="D396" s="6">
        <f t="shared" si="16"/>
        <v>-0.97958599919777478</v>
      </c>
      <c r="E396" s="6">
        <v>2.4418412803167859E-2</v>
      </c>
      <c r="F396" s="6"/>
      <c r="G396" s="6">
        <v>389</v>
      </c>
      <c r="H396" s="6">
        <f t="shared" ca="1" si="17"/>
        <v>1.3094770889363446E-2</v>
      </c>
    </row>
    <row r="397" spans="2:8" x14ac:dyDescent="0.3">
      <c r="B397" s="4">
        <v>44672</v>
      </c>
      <c r="C397" s="5">
        <v>3041.54</v>
      </c>
      <c r="D397" s="6">
        <f t="shared" si="16"/>
        <v>-4.7032099384331026E-2</v>
      </c>
      <c r="E397" s="6">
        <v>2.4408316408841758E-2</v>
      </c>
      <c r="F397" s="6"/>
      <c r="G397" s="6">
        <v>390</v>
      </c>
      <c r="H397" s="6">
        <f t="shared" ca="1" si="17"/>
        <v>2.71310183893481E-3</v>
      </c>
    </row>
    <row r="398" spans="2:8" x14ac:dyDescent="0.3">
      <c r="B398" s="4">
        <v>45539</v>
      </c>
      <c r="C398" s="5">
        <v>3191.65</v>
      </c>
      <c r="D398" s="6">
        <f t="shared" si="16"/>
        <v>61.034013605442176</v>
      </c>
      <c r="E398" s="6">
        <v>2.4343667757879165E-2</v>
      </c>
      <c r="F398" s="6"/>
      <c r="G398" s="6">
        <v>391</v>
      </c>
      <c r="H398" s="6">
        <f t="shared" ca="1" si="17"/>
        <v>-8.6427471181071414E-3</v>
      </c>
    </row>
    <row r="399" spans="2:8" x14ac:dyDescent="0.3">
      <c r="B399" s="4">
        <v>38835</v>
      </c>
      <c r="C399" s="7">
        <v>51.45</v>
      </c>
      <c r="D399" s="6">
        <f t="shared" si="16"/>
        <v>-0.87049436165928318</v>
      </c>
      <c r="E399" s="6">
        <v>2.4288273939876689E-2</v>
      </c>
      <c r="F399" s="6"/>
      <c r="G399" s="6">
        <v>392</v>
      </c>
      <c r="H399" s="6">
        <f t="shared" ca="1" si="17"/>
        <v>-1.1585251684305532E-2</v>
      </c>
    </row>
    <row r="400" spans="2:8" x14ac:dyDescent="0.3">
      <c r="B400" s="4">
        <v>41338</v>
      </c>
      <c r="C400" s="7">
        <v>397.28</v>
      </c>
      <c r="D400" s="6">
        <f t="shared" si="16"/>
        <v>1.0461475072105479</v>
      </c>
      <c r="E400" s="6">
        <v>2.4260705906618114E-2</v>
      </c>
      <c r="F400" s="6"/>
      <c r="G400" s="6">
        <v>393</v>
      </c>
      <c r="H400" s="6">
        <f t="shared" ca="1" si="17"/>
        <v>3.6289647308952101E-2</v>
      </c>
    </row>
    <row r="401" spans="2:8" x14ac:dyDescent="0.3">
      <c r="B401" s="4">
        <v>40337</v>
      </c>
      <c r="C401" s="7">
        <v>194.16</v>
      </c>
      <c r="D401" s="6">
        <f t="shared" si="16"/>
        <v>-0.85956080201371399</v>
      </c>
      <c r="E401" s="6">
        <v>2.4104646869560594E-2</v>
      </c>
      <c r="F401" s="6"/>
      <c r="G401" s="6">
        <v>394</v>
      </c>
      <c r="H401" s="6">
        <f t="shared" ca="1" si="17"/>
        <v>7.1292111876090818E-3</v>
      </c>
    </row>
    <row r="402" spans="2:8" x14ac:dyDescent="0.3">
      <c r="B402" s="4">
        <v>43305</v>
      </c>
      <c r="C402" s="5">
        <v>1382.52</v>
      </c>
      <c r="D402" s="6">
        <f t="shared" si="16"/>
        <v>8.4868592602758532</v>
      </c>
      <c r="E402" s="6">
        <v>2.4104060800900728E-2</v>
      </c>
      <c r="F402" s="6"/>
      <c r="G402" s="6">
        <v>395</v>
      </c>
      <c r="H402" s="6">
        <f t="shared" ca="1" si="17"/>
        <v>4.3059417340695801E-3</v>
      </c>
    </row>
    <row r="403" spans="2:8" x14ac:dyDescent="0.3">
      <c r="B403" s="4">
        <v>40147</v>
      </c>
      <c r="C403" s="7">
        <v>145.72999999999999</v>
      </c>
      <c r="D403" s="6">
        <f t="shared" si="16"/>
        <v>-0.90932339435270104</v>
      </c>
      <c r="E403" s="6">
        <v>2.4104005621925356E-2</v>
      </c>
      <c r="F403" s="6"/>
      <c r="G403" s="6">
        <v>396</v>
      </c>
      <c r="H403" s="6">
        <f t="shared" ca="1" si="17"/>
        <v>-2.9634512699392582E-3</v>
      </c>
    </row>
    <row r="404" spans="2:8" x14ac:dyDescent="0.3">
      <c r="B404" s="4">
        <v>43980</v>
      </c>
      <c r="C404" s="5">
        <v>1607.14</v>
      </c>
      <c r="D404" s="6">
        <f t="shared" si="16"/>
        <v>4.6046730601569319</v>
      </c>
      <c r="E404" s="6">
        <v>2.4034356641306997E-2</v>
      </c>
      <c r="F404" s="6"/>
      <c r="G404" s="6">
        <v>397</v>
      </c>
      <c r="H404" s="6">
        <f t="shared" ca="1" si="17"/>
        <v>-5.4983355405315831E-3</v>
      </c>
    </row>
    <row r="405" spans="2:8" x14ac:dyDescent="0.3">
      <c r="B405" s="4">
        <v>40973</v>
      </c>
      <c r="C405" s="7">
        <v>286.75</v>
      </c>
      <c r="D405" s="6">
        <f t="shared" si="16"/>
        <v>-0.65030061342211487</v>
      </c>
      <c r="E405" s="6">
        <v>2.4033997571602093E-2</v>
      </c>
      <c r="F405" s="6"/>
      <c r="G405" s="6">
        <v>398</v>
      </c>
      <c r="H405" s="6">
        <f t="shared" ca="1" si="17"/>
        <v>-2.6208861987736545E-2</v>
      </c>
    </row>
    <row r="406" spans="2:8" x14ac:dyDescent="0.3">
      <c r="B406" s="4">
        <v>42383</v>
      </c>
      <c r="C406" s="7">
        <v>819.99</v>
      </c>
      <c r="D406" s="6">
        <f t="shared" si="16"/>
        <v>2.4003317437279703</v>
      </c>
      <c r="E406" s="6">
        <v>2.4001898173008514E-2</v>
      </c>
      <c r="F406" s="6"/>
      <c r="G406" s="6">
        <v>399</v>
      </c>
      <c r="H406" s="6">
        <f t="shared" ca="1" si="17"/>
        <v>8.9044021513655734E-3</v>
      </c>
    </row>
    <row r="407" spans="2:8" x14ac:dyDescent="0.3">
      <c r="B407" s="4">
        <v>40919</v>
      </c>
      <c r="C407" s="7">
        <v>241.15</v>
      </c>
      <c r="D407" s="6">
        <f t="shared" si="16"/>
        <v>9.4620390455531442</v>
      </c>
      <c r="E407" s="6">
        <v>2.3991507430997899E-2</v>
      </c>
      <c r="F407" s="6"/>
      <c r="G407" s="6">
        <v>400</v>
      </c>
      <c r="H407" s="6">
        <f t="shared" ca="1" si="17"/>
        <v>-2.6138095792580869E-2</v>
      </c>
    </row>
    <row r="408" spans="2:8" x14ac:dyDescent="0.3">
      <c r="B408" s="4">
        <v>38132</v>
      </c>
      <c r="C408" s="7">
        <v>23.05</v>
      </c>
      <c r="D408" s="6">
        <f t="shared" si="16"/>
        <v>-0.97412031527182097</v>
      </c>
      <c r="E408" s="6">
        <v>2.3989338071967976E-2</v>
      </c>
      <c r="F408" s="6"/>
      <c r="G408" s="6">
        <v>401</v>
      </c>
      <c r="H408" s="6">
        <f t="shared" ca="1" si="17"/>
        <v>8.5635150141761436E-3</v>
      </c>
    </row>
    <row r="409" spans="2:8" x14ac:dyDescent="0.3">
      <c r="B409" s="4">
        <v>42703</v>
      </c>
      <c r="C409" s="7">
        <v>890.66</v>
      </c>
      <c r="D409" s="6">
        <f t="shared" si="16"/>
        <v>-0.24354303088983453</v>
      </c>
      <c r="E409" s="6">
        <v>2.398252471832607E-2</v>
      </c>
      <c r="F409" s="6"/>
      <c r="G409" s="6">
        <v>402</v>
      </c>
      <c r="H409" s="6">
        <f t="shared" ca="1" si="17"/>
        <v>1.1315186407824239E-2</v>
      </c>
    </row>
    <row r="410" spans="2:8" x14ac:dyDescent="0.3">
      <c r="B410" s="4">
        <v>43406</v>
      </c>
      <c r="C410" s="5">
        <v>1177.4100000000001</v>
      </c>
      <c r="D410" s="6">
        <f t="shared" si="16"/>
        <v>4.0076981966655332</v>
      </c>
      <c r="E410" s="6">
        <v>2.3977249008557855E-2</v>
      </c>
      <c r="F410" s="6"/>
      <c r="G410" s="6">
        <v>403</v>
      </c>
      <c r="H410" s="6">
        <f t="shared" ca="1" si="17"/>
        <v>4.0054871401798024E-2</v>
      </c>
    </row>
    <row r="411" spans="2:8" x14ac:dyDescent="0.3">
      <c r="B411" s="4">
        <v>40911</v>
      </c>
      <c r="C411" s="7">
        <v>235.12</v>
      </c>
      <c r="D411" s="6">
        <f t="shared" si="16"/>
        <v>-0.71437942637787144</v>
      </c>
      <c r="E411" s="6">
        <v>2.3908025954796887E-2</v>
      </c>
      <c r="F411" s="6"/>
      <c r="G411" s="6">
        <v>404</v>
      </c>
      <c r="H411" s="6">
        <f t="shared" ca="1" si="17"/>
        <v>2.3203233632769566E-2</v>
      </c>
    </row>
    <row r="412" spans="2:8" x14ac:dyDescent="0.3">
      <c r="B412" s="4">
        <v>42230</v>
      </c>
      <c r="C412" s="7">
        <v>823.19</v>
      </c>
      <c r="D412" s="6">
        <f t="shared" si="16"/>
        <v>48.233851674641151</v>
      </c>
      <c r="E412" s="6">
        <v>2.3906364665348241E-2</v>
      </c>
      <c r="F412" s="6"/>
      <c r="G412" s="6">
        <v>405</v>
      </c>
      <c r="H412" s="6">
        <f t="shared" ca="1" si="17"/>
        <v>-1.4067855362362883E-2</v>
      </c>
    </row>
    <row r="413" spans="2:8" x14ac:dyDescent="0.3">
      <c r="B413" s="4">
        <v>37637</v>
      </c>
      <c r="C413" s="7">
        <v>16.72</v>
      </c>
      <c r="D413" s="6">
        <f t="shared" si="16"/>
        <v>-0.99263501013126609</v>
      </c>
      <c r="E413" s="6">
        <v>2.388242498469079E-2</v>
      </c>
      <c r="F413" s="6"/>
      <c r="G413" s="6">
        <v>406</v>
      </c>
      <c r="H413" s="6">
        <f t="shared" ca="1" si="17"/>
        <v>2.2005630004224776E-3</v>
      </c>
    </row>
    <row r="414" spans="2:8" x14ac:dyDescent="0.3">
      <c r="B414" s="4">
        <v>46106</v>
      </c>
      <c r="C414" s="5">
        <v>2270.1999999999998</v>
      </c>
      <c r="D414" s="6">
        <f t="shared" si="16"/>
        <v>7.7811859358681783</v>
      </c>
      <c r="E414" s="6">
        <v>2.3857845126956042E-2</v>
      </c>
      <c r="F414" s="6"/>
      <c r="G414" s="6">
        <v>407</v>
      </c>
      <c r="H414" s="6">
        <f t="shared" ca="1" si="17"/>
        <v>1.0522733453057802E-2</v>
      </c>
    </row>
    <row r="415" spans="2:8" x14ac:dyDescent="0.3">
      <c r="B415" s="4">
        <v>40935</v>
      </c>
      <c r="C415" s="7">
        <v>258.52999999999997</v>
      </c>
      <c r="D415" s="6">
        <f t="shared" si="16"/>
        <v>2.5610192837465564</v>
      </c>
      <c r="E415" s="6">
        <v>2.3840639974654399E-2</v>
      </c>
      <c r="F415" s="6"/>
      <c r="G415" s="6">
        <v>408</v>
      </c>
      <c r="H415" s="6">
        <f t="shared" ca="1" si="17"/>
        <v>-5.0366400095795735E-3</v>
      </c>
    </row>
    <row r="416" spans="2:8" x14ac:dyDescent="0.3">
      <c r="B416" s="4">
        <v>39248</v>
      </c>
      <c r="C416" s="7">
        <v>72.599999999999994</v>
      </c>
      <c r="D416" s="6">
        <f t="shared" si="16"/>
        <v>-0.97818568608421053</v>
      </c>
      <c r="E416" s="6">
        <v>2.3833027781695076E-2</v>
      </c>
      <c r="F416" s="6"/>
      <c r="G416" s="6">
        <v>409</v>
      </c>
      <c r="H416" s="6">
        <f t="shared" ca="1" si="17"/>
        <v>2.7739715008771718E-2</v>
      </c>
    </row>
    <row r="417" spans="2:8" x14ac:dyDescent="0.3">
      <c r="B417" s="4">
        <v>44826</v>
      </c>
      <c r="C417" s="5">
        <v>3328.09</v>
      </c>
      <c r="D417" s="6">
        <f t="shared" si="16"/>
        <v>127.94575745834949</v>
      </c>
      <c r="E417" s="6">
        <v>2.3822927722147894E-2</v>
      </c>
      <c r="F417" s="6"/>
      <c r="G417" s="6">
        <v>410</v>
      </c>
      <c r="H417" s="6">
        <f t="shared" ca="1" si="17"/>
        <v>1.8638758944289169E-2</v>
      </c>
    </row>
    <row r="418" spans="2:8" x14ac:dyDescent="0.3">
      <c r="B418" s="4">
        <v>37994</v>
      </c>
      <c r="C418" s="7">
        <v>25.81</v>
      </c>
      <c r="D418" s="6">
        <f t="shared" si="16"/>
        <v>-0.98057602143335565</v>
      </c>
      <c r="E418" s="6">
        <v>2.3800079333597693E-2</v>
      </c>
      <c r="F418" s="6"/>
      <c r="G418" s="6">
        <v>411</v>
      </c>
      <c r="H418" s="6">
        <f t="shared" ca="1" si="17"/>
        <v>3.3748903123533864E-3</v>
      </c>
    </row>
    <row r="419" spans="2:8" x14ac:dyDescent="0.3">
      <c r="B419" s="4">
        <v>43616</v>
      </c>
      <c r="C419" s="5">
        <v>1328.77</v>
      </c>
      <c r="D419" s="6">
        <f t="shared" si="16"/>
        <v>-0.55564584629172609</v>
      </c>
      <c r="E419" s="6">
        <v>2.3792463151730794E-2</v>
      </c>
      <c r="F419" s="6"/>
      <c r="G419" s="6">
        <v>412</v>
      </c>
      <c r="H419" s="6">
        <f t="shared" ca="1" si="17"/>
        <v>-8.9779565978650097E-3</v>
      </c>
    </row>
    <row r="420" spans="2:8" x14ac:dyDescent="0.3">
      <c r="B420" s="4">
        <v>44438</v>
      </c>
      <c r="C420" s="5">
        <v>2990.34</v>
      </c>
      <c r="D420" s="6">
        <f t="shared" si="16"/>
        <v>1.6604921795761491</v>
      </c>
      <c r="E420" s="6">
        <v>2.3692885972209397E-2</v>
      </c>
      <c r="F420" s="6"/>
      <c r="G420" s="6">
        <v>413</v>
      </c>
      <c r="H420" s="6">
        <f t="shared" ca="1" si="17"/>
        <v>-1.3918996535937964E-2</v>
      </c>
    </row>
    <row r="421" spans="2:8" x14ac:dyDescent="0.3">
      <c r="B421" s="4">
        <v>42653</v>
      </c>
      <c r="C421" s="5">
        <v>1123.98</v>
      </c>
      <c r="D421" s="6">
        <f t="shared" si="16"/>
        <v>15.531548757170173</v>
      </c>
      <c r="E421" s="6">
        <v>2.3679848448969927E-2</v>
      </c>
      <c r="F421" s="6"/>
      <c r="G421" s="6">
        <v>414</v>
      </c>
      <c r="H421" s="6">
        <f t="shared" ca="1" si="17"/>
        <v>2.0697260227660504E-2</v>
      </c>
    </row>
    <row r="422" spans="2:8" x14ac:dyDescent="0.3">
      <c r="B422" s="4">
        <v>39902</v>
      </c>
      <c r="C422" s="7">
        <v>67.989999999999995</v>
      </c>
      <c r="D422" s="6">
        <f t="shared" si="16"/>
        <v>1.8483452031839125</v>
      </c>
      <c r="E422" s="6">
        <v>2.3637458596808086E-2</v>
      </c>
      <c r="F422" s="6"/>
      <c r="G422" s="6">
        <v>415</v>
      </c>
      <c r="H422" s="6">
        <f t="shared" ca="1" si="17"/>
        <v>1.9653861835464047E-2</v>
      </c>
    </row>
    <row r="423" spans="2:8" x14ac:dyDescent="0.3">
      <c r="B423" s="4">
        <v>38098</v>
      </c>
      <c r="C423" s="7">
        <v>23.87</v>
      </c>
      <c r="D423" s="6">
        <f t="shared" si="16"/>
        <v>-0.94284277572913178</v>
      </c>
      <c r="E423" s="6">
        <v>2.3584905660377388E-2</v>
      </c>
      <c r="F423" s="6"/>
      <c r="G423" s="6">
        <v>416</v>
      </c>
      <c r="H423" s="6">
        <f t="shared" ca="1" si="17"/>
        <v>-1.8131396398095249E-2</v>
      </c>
    </row>
    <row r="424" spans="2:8" x14ac:dyDescent="0.3">
      <c r="B424" s="4">
        <v>41376</v>
      </c>
      <c r="C424" s="7">
        <v>417.62</v>
      </c>
      <c r="D424" s="6">
        <f t="shared" si="16"/>
        <v>0.60081263416130026</v>
      </c>
      <c r="E424" s="6">
        <v>2.3553344280777468E-2</v>
      </c>
      <c r="F424" s="6"/>
      <c r="G424" s="6">
        <v>417</v>
      </c>
      <c r="H424" s="6">
        <f t="shared" ca="1" si="17"/>
        <v>1.3280211869919115E-3</v>
      </c>
    </row>
    <row r="425" spans="2:8" x14ac:dyDescent="0.3">
      <c r="B425" s="4">
        <v>40872</v>
      </c>
      <c r="C425" s="7">
        <v>260.88</v>
      </c>
      <c r="D425" s="6">
        <f t="shared" si="16"/>
        <v>-0.87115000889029381</v>
      </c>
      <c r="E425" s="6">
        <v>2.3460180462926597E-2</v>
      </c>
      <c r="F425" s="6"/>
      <c r="G425" s="6">
        <v>418</v>
      </c>
      <c r="H425" s="6">
        <f t="shared" ca="1" si="17"/>
        <v>-2.9594177333140535E-2</v>
      </c>
    </row>
    <row r="426" spans="2:8" x14ac:dyDescent="0.3">
      <c r="B426" s="4">
        <v>44124</v>
      </c>
      <c r="C426" s="5">
        <v>2024.68</v>
      </c>
      <c r="D426" s="6">
        <f t="shared" si="16"/>
        <v>10.280182739985515</v>
      </c>
      <c r="E426" s="6">
        <v>2.3382294962646957E-2</v>
      </c>
      <c r="F426" s="6"/>
      <c r="G426" s="6">
        <v>419</v>
      </c>
      <c r="H426" s="6">
        <f t="shared" ca="1" si="17"/>
        <v>-8.5886864859206595E-3</v>
      </c>
    </row>
    <row r="427" spans="2:8" x14ac:dyDescent="0.3">
      <c r="B427" s="4">
        <v>40322</v>
      </c>
      <c r="C427" s="7">
        <v>179.49</v>
      </c>
      <c r="D427" s="6">
        <f t="shared" si="16"/>
        <v>-0.25824448301512515</v>
      </c>
      <c r="E427" s="6">
        <v>2.3376475283653702E-2</v>
      </c>
      <c r="F427" s="6"/>
      <c r="G427" s="6">
        <v>420</v>
      </c>
      <c r="H427" s="6">
        <f t="shared" ca="1" si="17"/>
        <v>2.2733793513430782E-3</v>
      </c>
    </row>
    <row r="428" spans="2:8" x14ac:dyDescent="0.3">
      <c r="B428" s="4">
        <v>40410</v>
      </c>
      <c r="C428" s="7">
        <v>241.98</v>
      </c>
      <c r="D428" s="6">
        <f t="shared" si="16"/>
        <v>-0.69291878172588828</v>
      </c>
      <c r="E428" s="6">
        <v>2.3344328850545468E-2</v>
      </c>
      <c r="F428" s="6"/>
      <c r="G428" s="6">
        <v>421</v>
      </c>
      <c r="H428" s="6">
        <f t="shared" ca="1" si="17"/>
        <v>3.2592452110587851E-3</v>
      </c>
    </row>
    <row r="429" spans="2:8" x14ac:dyDescent="0.3">
      <c r="B429" s="4">
        <v>42419</v>
      </c>
      <c r="C429" s="7">
        <v>788</v>
      </c>
      <c r="D429" s="6">
        <f t="shared" si="16"/>
        <v>-0.71921622844681676</v>
      </c>
      <c r="E429" s="6">
        <v>2.3296885956938494E-2</v>
      </c>
      <c r="F429" s="6"/>
      <c r="G429" s="6">
        <v>422</v>
      </c>
      <c r="H429" s="6">
        <f t="shared" ca="1" si="17"/>
        <v>-1.3786299366904668E-2</v>
      </c>
    </row>
    <row r="430" spans="2:8" x14ac:dyDescent="0.3">
      <c r="B430" s="4">
        <v>45001</v>
      </c>
      <c r="C430" s="5">
        <v>2806.43</v>
      </c>
      <c r="D430" s="6">
        <f t="shared" si="16"/>
        <v>1.995762169086251</v>
      </c>
      <c r="E430" s="6">
        <v>2.3288460416545087E-2</v>
      </c>
      <c r="F430" s="6"/>
      <c r="G430" s="6">
        <v>423</v>
      </c>
      <c r="H430" s="6">
        <f t="shared" ca="1" si="17"/>
        <v>-8.87498166854561E-3</v>
      </c>
    </row>
    <row r="431" spans="2:8" x14ac:dyDescent="0.3">
      <c r="B431" s="4">
        <v>42559</v>
      </c>
      <c r="C431" s="7">
        <v>936.8</v>
      </c>
      <c r="D431" s="6">
        <f t="shared" si="16"/>
        <v>0.58782352243258351</v>
      </c>
      <c r="E431" s="6">
        <v>2.3288329619434542E-2</v>
      </c>
      <c r="F431" s="6"/>
      <c r="G431" s="6">
        <v>424</v>
      </c>
      <c r="H431" s="6">
        <f t="shared" ca="1" si="17"/>
        <v>4.5917845606404536E-2</v>
      </c>
    </row>
    <row r="432" spans="2:8" x14ac:dyDescent="0.3">
      <c r="B432" s="4">
        <v>41887</v>
      </c>
      <c r="C432" s="7">
        <v>589.99</v>
      </c>
      <c r="D432" s="6">
        <f t="shared" si="16"/>
        <v>-0.77162001571590599</v>
      </c>
      <c r="E432" s="6">
        <v>2.3240083941795688E-2</v>
      </c>
      <c r="F432" s="6"/>
      <c r="G432" s="6">
        <v>425</v>
      </c>
      <c r="H432" s="6">
        <f t="shared" ca="1" si="17"/>
        <v>-1.9337410627319541E-3</v>
      </c>
    </row>
    <row r="433" spans="2:8" x14ac:dyDescent="0.3">
      <c r="B433" s="4">
        <v>45887</v>
      </c>
      <c r="C433" s="5">
        <v>2583.37</v>
      </c>
      <c r="D433" s="6">
        <f t="shared" si="16"/>
        <v>-0.21397840956113234</v>
      </c>
      <c r="E433" s="6">
        <v>2.321408767566013E-2</v>
      </c>
      <c r="F433" s="6"/>
      <c r="G433" s="6">
        <v>426</v>
      </c>
      <c r="H433" s="6">
        <f t="shared" ca="1" si="17"/>
        <v>-7.3392747882175553E-3</v>
      </c>
    </row>
    <row r="434" spans="2:8" x14ac:dyDescent="0.3">
      <c r="B434" s="4">
        <v>44824</v>
      </c>
      <c r="C434" s="5">
        <v>3286.64</v>
      </c>
      <c r="D434" s="6">
        <f t="shared" si="16"/>
        <v>4.3654172652474861</v>
      </c>
      <c r="E434" s="6">
        <v>2.3206002303788789E-2</v>
      </c>
      <c r="F434" s="6"/>
      <c r="G434" s="6">
        <v>427</v>
      </c>
      <c r="H434" s="6">
        <f t="shared" ca="1" si="17"/>
        <v>1.9530767925931957E-3</v>
      </c>
    </row>
    <row r="435" spans="2:8" x14ac:dyDescent="0.3">
      <c r="B435" s="4">
        <v>41894</v>
      </c>
      <c r="C435" s="7">
        <v>612.55999999999995</v>
      </c>
      <c r="D435" s="6">
        <f t="shared" si="16"/>
        <v>-0.18512211993827499</v>
      </c>
      <c r="E435" s="6">
        <v>2.3150158677133621E-2</v>
      </c>
      <c r="F435" s="6"/>
      <c r="G435" s="6">
        <v>428</v>
      </c>
      <c r="H435" s="6">
        <f t="shared" ca="1" si="17"/>
        <v>6.7026285220383591E-3</v>
      </c>
    </row>
    <row r="436" spans="2:8" x14ac:dyDescent="0.3">
      <c r="B436" s="4">
        <v>42045</v>
      </c>
      <c r="C436" s="7">
        <v>751.72</v>
      </c>
      <c r="D436" s="6">
        <f t="shared" si="16"/>
        <v>-0.12214034636988932</v>
      </c>
      <c r="E436" s="6">
        <v>2.3082367031411668E-2</v>
      </c>
      <c r="F436" s="6"/>
      <c r="G436" s="6">
        <v>429</v>
      </c>
      <c r="H436" s="6">
        <f t="shared" ca="1" si="17"/>
        <v>2.7612468717082062E-2</v>
      </c>
    </row>
    <row r="437" spans="2:8" x14ac:dyDescent="0.3">
      <c r="B437" s="4">
        <v>42502</v>
      </c>
      <c r="C437" s="7">
        <v>856.31</v>
      </c>
      <c r="D437" s="6">
        <f t="shared" si="16"/>
        <v>6.1651744623880838</v>
      </c>
      <c r="E437" s="6">
        <v>2.3070489844683326E-2</v>
      </c>
      <c r="F437" s="6"/>
      <c r="G437" s="6">
        <v>430</v>
      </c>
      <c r="H437" s="6">
        <f t="shared" ca="1" si="17"/>
        <v>3.4102751083355094E-2</v>
      </c>
    </row>
    <row r="438" spans="2:8" x14ac:dyDescent="0.3">
      <c r="B438" s="4">
        <v>40022</v>
      </c>
      <c r="C438" s="7">
        <v>119.51</v>
      </c>
      <c r="D438" s="6">
        <f t="shared" si="16"/>
        <v>-0.89211075100883808</v>
      </c>
      <c r="E438" s="6">
        <v>2.3026878959082453E-2</v>
      </c>
      <c r="F438" s="6"/>
      <c r="G438" s="6">
        <v>431</v>
      </c>
      <c r="H438" s="6">
        <f t="shared" ca="1" si="17"/>
        <v>1.1211619371537678E-2</v>
      </c>
    </row>
    <row r="439" spans="2:8" x14ac:dyDescent="0.3">
      <c r="B439" s="4">
        <v>43054</v>
      </c>
      <c r="C439" s="5">
        <v>1107.71</v>
      </c>
      <c r="D439" s="6">
        <f t="shared" si="16"/>
        <v>0.39835889667360991</v>
      </c>
      <c r="E439" s="6">
        <v>2.2948488262564078E-2</v>
      </c>
      <c r="F439" s="6"/>
      <c r="G439" s="6">
        <v>432</v>
      </c>
      <c r="H439" s="6">
        <f t="shared" ca="1" si="17"/>
        <v>-3.0501835778377125E-2</v>
      </c>
    </row>
    <row r="440" spans="2:8" x14ac:dyDescent="0.3">
      <c r="B440" s="4">
        <v>42348</v>
      </c>
      <c r="C440" s="7">
        <v>792.15</v>
      </c>
      <c r="D440" s="6">
        <f t="shared" si="16"/>
        <v>6.8703427719821155</v>
      </c>
      <c r="E440" s="6">
        <v>2.2868136976395746E-2</v>
      </c>
      <c r="F440" s="6"/>
      <c r="G440" s="6">
        <v>433</v>
      </c>
      <c r="H440" s="6">
        <f t="shared" ca="1" si="17"/>
        <v>7.904790534237623E-3</v>
      </c>
    </row>
    <row r="441" spans="2:8" x14ac:dyDescent="0.3">
      <c r="B441" s="4">
        <v>39975</v>
      </c>
      <c r="C441" s="7">
        <v>100.65</v>
      </c>
      <c r="D441" s="6">
        <f t="shared" si="16"/>
        <v>-0.86665871785700099</v>
      </c>
      <c r="E441" s="6">
        <v>2.2865853658536585E-2</v>
      </c>
      <c r="F441" s="6"/>
      <c r="G441" s="6">
        <v>434</v>
      </c>
      <c r="H441" s="6">
        <f t="shared" ca="1" si="17"/>
        <v>9.4097788665763096E-3</v>
      </c>
    </row>
    <row r="442" spans="2:8" x14ac:dyDescent="0.3">
      <c r="B442" s="4">
        <v>42065</v>
      </c>
      <c r="C442" s="7">
        <v>754.83</v>
      </c>
      <c r="D442" s="6">
        <f t="shared" si="16"/>
        <v>-0.39089280526774473</v>
      </c>
      <c r="E442" s="6">
        <v>2.2860317632392005E-2</v>
      </c>
      <c r="F442" s="6"/>
      <c r="G442" s="6">
        <v>435</v>
      </c>
      <c r="H442" s="6">
        <f t="shared" ca="1" si="17"/>
        <v>-1.9184812490786698E-2</v>
      </c>
    </row>
    <row r="443" spans="2:8" x14ac:dyDescent="0.3">
      <c r="B443" s="4">
        <v>43248</v>
      </c>
      <c r="C443" s="5">
        <v>1239.24</v>
      </c>
      <c r="D443" s="6">
        <f t="shared" si="16"/>
        <v>1.6696826730433658</v>
      </c>
      <c r="E443" s="6">
        <v>2.2829693458129123E-2</v>
      </c>
      <c r="F443" s="6"/>
      <c r="G443" s="6">
        <v>436</v>
      </c>
      <c r="H443" s="6">
        <f t="shared" ca="1" si="17"/>
        <v>-1.2043320518767015E-2</v>
      </c>
    </row>
    <row r="444" spans="2:8" x14ac:dyDescent="0.3">
      <c r="B444" s="4">
        <v>41717</v>
      </c>
      <c r="C444" s="7">
        <v>464.19</v>
      </c>
      <c r="D444" s="6">
        <f t="shared" si="16"/>
        <v>4.5644929273555501</v>
      </c>
      <c r="E444" s="6">
        <v>2.2827931163651619E-2</v>
      </c>
      <c r="F444" s="6"/>
      <c r="G444" s="6">
        <v>437</v>
      </c>
      <c r="H444" s="6">
        <f t="shared" ca="1" si="17"/>
        <v>1.5266845670566204E-3</v>
      </c>
    </row>
    <row r="445" spans="2:8" x14ac:dyDescent="0.3">
      <c r="B445" s="4">
        <v>39757</v>
      </c>
      <c r="C445" s="7">
        <v>83.42</v>
      </c>
      <c r="D445" s="6">
        <f t="shared" si="16"/>
        <v>1.0421052631578946</v>
      </c>
      <c r="E445" s="6">
        <v>2.280529671407552E-2</v>
      </c>
      <c r="F445" s="6"/>
      <c r="G445" s="6">
        <v>438</v>
      </c>
      <c r="H445" s="6">
        <f t="shared" ca="1" si="17"/>
        <v>1.2032587363853715E-2</v>
      </c>
    </row>
    <row r="446" spans="2:8" x14ac:dyDescent="0.3">
      <c r="B446" s="4">
        <v>38622</v>
      </c>
      <c r="C446" s="7">
        <v>40.85</v>
      </c>
      <c r="D446" s="6">
        <f t="shared" si="16"/>
        <v>-0.92453353038980224</v>
      </c>
      <c r="E446" s="6">
        <v>2.2784176264396688E-2</v>
      </c>
      <c r="F446" s="6"/>
      <c r="G446" s="6">
        <v>439</v>
      </c>
      <c r="H446" s="6">
        <f t="shared" ca="1" si="17"/>
        <v>4.0288292019327277E-3</v>
      </c>
    </row>
    <row r="447" spans="2:8" x14ac:dyDescent="0.3">
      <c r="B447" s="4">
        <v>41841</v>
      </c>
      <c r="C447" s="7">
        <v>541.29999999999995</v>
      </c>
      <c r="D447" s="6">
        <f t="shared" si="16"/>
        <v>0.28416208009109883</v>
      </c>
      <c r="E447" s="6">
        <v>2.2729419766848627E-2</v>
      </c>
      <c r="F447" s="6"/>
      <c r="G447" s="6">
        <v>440</v>
      </c>
      <c r="H447" s="6">
        <f t="shared" ca="1" si="17"/>
        <v>6.2557986942955958E-3</v>
      </c>
    </row>
    <row r="448" spans="2:8" x14ac:dyDescent="0.3">
      <c r="B448" s="4">
        <v>41460</v>
      </c>
      <c r="C448" s="7">
        <v>421.52</v>
      </c>
      <c r="D448" s="6">
        <f t="shared" si="16"/>
        <v>-0.27973617210327567</v>
      </c>
      <c r="E448" s="6">
        <v>2.2684814518281207E-2</v>
      </c>
      <c r="F448" s="6"/>
      <c r="G448" s="6">
        <v>441</v>
      </c>
      <c r="H448" s="6">
        <f t="shared" ca="1" si="17"/>
        <v>-9.1221378542111434E-3</v>
      </c>
    </row>
    <row r="449" spans="2:8" x14ac:dyDescent="0.3">
      <c r="B449" s="4">
        <v>41929</v>
      </c>
      <c r="C449" s="7">
        <v>585.23</v>
      </c>
      <c r="D449" s="6">
        <f t="shared" si="16"/>
        <v>1.1419735012078178</v>
      </c>
      <c r="E449" s="6">
        <v>2.2682394058540879E-2</v>
      </c>
      <c r="F449" s="6"/>
      <c r="G449" s="6">
        <v>442</v>
      </c>
      <c r="H449" s="6">
        <f t="shared" ca="1" si="17"/>
        <v>7.0574369875006226E-4</v>
      </c>
    </row>
    <row r="450" spans="2:8" x14ac:dyDescent="0.3">
      <c r="B450" s="4">
        <v>40759</v>
      </c>
      <c r="C450" s="7">
        <v>273.22000000000003</v>
      </c>
      <c r="D450" s="6">
        <f t="shared" si="16"/>
        <v>-0.87996713835718143</v>
      </c>
      <c r="E450" s="6">
        <v>2.264475801923873E-2</v>
      </c>
      <c r="F450" s="6"/>
      <c r="G450" s="6">
        <v>443</v>
      </c>
      <c r="H450" s="6">
        <f t="shared" ca="1" si="17"/>
        <v>6.2600312520973206E-3</v>
      </c>
    </row>
    <row r="451" spans="2:8" x14ac:dyDescent="0.3">
      <c r="B451" s="4">
        <v>45688</v>
      </c>
      <c r="C451" s="5">
        <v>2276.21</v>
      </c>
      <c r="D451" s="6">
        <f t="shared" si="16"/>
        <v>4.0744827893704301</v>
      </c>
      <c r="E451" s="6">
        <v>2.2643442162628476E-2</v>
      </c>
      <c r="F451" s="6"/>
      <c r="G451" s="6">
        <v>444</v>
      </c>
      <c r="H451" s="6">
        <f t="shared" ca="1" si="17"/>
        <v>-1.3417548757703658E-2</v>
      </c>
    </row>
    <row r="452" spans="2:8" x14ac:dyDescent="0.3">
      <c r="B452" s="4">
        <v>41348</v>
      </c>
      <c r="C452" s="7">
        <v>448.56</v>
      </c>
      <c r="D452" s="6">
        <f t="shared" si="16"/>
        <v>-0.63171506687356838</v>
      </c>
      <c r="E452" s="6">
        <v>2.263867040558103E-2</v>
      </c>
      <c r="F452" s="6"/>
      <c r="G452" s="6">
        <v>445</v>
      </c>
      <c r="H452" s="6">
        <f t="shared" ca="1" si="17"/>
        <v>8.6280949007107623E-3</v>
      </c>
    </row>
    <row r="453" spans="2:8" x14ac:dyDescent="0.3">
      <c r="B453" s="4">
        <v>43283</v>
      </c>
      <c r="C453" s="5">
        <v>1217.97</v>
      </c>
      <c r="D453" s="6">
        <f t="shared" si="16"/>
        <v>-0.60213051616507085</v>
      </c>
      <c r="E453" s="6">
        <v>2.2619077605098153E-2</v>
      </c>
      <c r="F453" s="6"/>
      <c r="G453" s="6">
        <v>446</v>
      </c>
      <c r="H453" s="6">
        <f t="shared" ca="1" si="17"/>
        <v>-2.4095976851953211E-2</v>
      </c>
    </row>
    <row r="454" spans="2:8" x14ac:dyDescent="0.3">
      <c r="B454" s="4">
        <v>44539</v>
      </c>
      <c r="C454" s="5">
        <v>3061.23</v>
      </c>
      <c r="D454" s="6">
        <f t="shared" si="16"/>
        <v>0.2924107708285838</v>
      </c>
      <c r="E454" s="6">
        <v>2.2581280919819719E-2</v>
      </c>
      <c r="F454" s="6"/>
      <c r="G454" s="6">
        <v>447</v>
      </c>
      <c r="H454" s="6">
        <f t="shared" ca="1" si="17"/>
        <v>2.7300531187031175E-2</v>
      </c>
    </row>
    <row r="455" spans="2:8" x14ac:dyDescent="0.3">
      <c r="B455" s="4">
        <v>45755</v>
      </c>
      <c r="C455" s="5">
        <v>2368.62</v>
      </c>
      <c r="D455" s="6">
        <f t="shared" si="16"/>
        <v>-0.12620263251091959</v>
      </c>
      <c r="E455" s="6">
        <v>2.2574503632902032E-2</v>
      </c>
      <c r="F455" s="6"/>
      <c r="G455" s="6">
        <v>448</v>
      </c>
      <c r="H455" s="6">
        <f t="shared" ca="1" si="17"/>
        <v>3.0758953327756001E-2</v>
      </c>
    </row>
    <row r="456" spans="2:8" x14ac:dyDescent="0.3">
      <c r="B456" s="4">
        <v>45422</v>
      </c>
      <c r="C456" s="5">
        <v>2710.72</v>
      </c>
      <c r="D456" s="6">
        <f t="shared" ref="D456:D519" si="18">((C456-C457)/C457)</f>
        <v>2.5264609460373628</v>
      </c>
      <c r="E456" s="6">
        <v>2.2565921007959452E-2</v>
      </c>
      <c r="F456" s="6"/>
      <c r="G456" s="6">
        <v>449</v>
      </c>
      <c r="H456" s="6">
        <f t="shared" ca="1" si="17"/>
        <v>1.2302646223418373E-2</v>
      </c>
    </row>
    <row r="457" spans="2:8" x14ac:dyDescent="0.3">
      <c r="B457" s="4">
        <v>42046</v>
      </c>
      <c r="C457" s="7">
        <v>768.68</v>
      </c>
      <c r="D457" s="6">
        <f t="shared" si="18"/>
        <v>10.377738306690347</v>
      </c>
      <c r="E457" s="6">
        <v>2.2561592082158147E-2</v>
      </c>
      <c r="F457" s="6"/>
      <c r="G457" s="6">
        <v>450</v>
      </c>
      <c r="H457" s="6">
        <f t="shared" ref="H457:H520" ca="1" si="19">_xlfn.NORM.INV(RAND(),N$10,N$11)</f>
        <v>-1.2418295483385524E-2</v>
      </c>
    </row>
    <row r="458" spans="2:8" x14ac:dyDescent="0.3">
      <c r="B458" s="4">
        <v>39205</v>
      </c>
      <c r="C458" s="7">
        <v>67.56</v>
      </c>
      <c r="D458" s="6">
        <f t="shared" si="18"/>
        <v>-0.91863769931114203</v>
      </c>
      <c r="E458" s="6">
        <v>2.2551838958680327E-2</v>
      </c>
      <c r="F458" s="6"/>
      <c r="G458" s="6">
        <v>451</v>
      </c>
      <c r="H458" s="6">
        <f t="shared" ca="1" si="19"/>
        <v>-1.0549261847013044E-2</v>
      </c>
    </row>
    <row r="459" spans="2:8" x14ac:dyDescent="0.3">
      <c r="B459" s="4">
        <v>42374</v>
      </c>
      <c r="C459" s="7">
        <v>830.36</v>
      </c>
      <c r="D459" s="6">
        <f t="shared" si="18"/>
        <v>-0.16324720867427142</v>
      </c>
      <c r="E459" s="6">
        <v>2.2535280644287455E-2</v>
      </c>
      <c r="F459" s="6"/>
      <c r="G459" s="6">
        <v>452</v>
      </c>
      <c r="H459" s="6">
        <f t="shared" ca="1" si="19"/>
        <v>-1.6591149368310337E-2</v>
      </c>
    </row>
    <row r="460" spans="2:8" x14ac:dyDescent="0.3">
      <c r="B460" s="4">
        <v>42576</v>
      </c>
      <c r="C460" s="7">
        <v>992.36</v>
      </c>
      <c r="D460" s="6">
        <f t="shared" si="18"/>
        <v>2.9672183577196773</v>
      </c>
      <c r="E460" s="6">
        <v>2.2535008088697468E-2</v>
      </c>
      <c r="F460" s="6"/>
      <c r="G460" s="6">
        <v>453</v>
      </c>
      <c r="H460" s="6">
        <f t="shared" ca="1" si="19"/>
        <v>4.2505434567437035E-3</v>
      </c>
    </row>
    <row r="461" spans="2:8" x14ac:dyDescent="0.3">
      <c r="B461" s="4">
        <v>40435</v>
      </c>
      <c r="C461" s="7">
        <v>250.14</v>
      </c>
      <c r="D461" s="6">
        <f t="shared" si="18"/>
        <v>-0.77419296598541198</v>
      </c>
      <c r="E461" s="6">
        <v>2.2482014388489211E-2</v>
      </c>
      <c r="F461" s="6"/>
      <c r="G461" s="6">
        <v>454</v>
      </c>
      <c r="H461" s="6">
        <f t="shared" ca="1" si="19"/>
        <v>-1.5801444613498291E-3</v>
      </c>
    </row>
    <row r="462" spans="2:8" x14ac:dyDescent="0.3">
      <c r="B462" s="4">
        <v>43217</v>
      </c>
      <c r="C462" s="5">
        <v>1107.76</v>
      </c>
      <c r="D462" s="6">
        <f t="shared" si="18"/>
        <v>19.74068526493166</v>
      </c>
      <c r="E462" s="6">
        <v>2.2418710255013949E-2</v>
      </c>
      <c r="F462" s="6"/>
      <c r="G462" s="6">
        <v>455</v>
      </c>
      <c r="H462" s="6">
        <f t="shared" ca="1" si="19"/>
        <v>-1.051427437574674E-2</v>
      </c>
    </row>
    <row r="463" spans="2:8" x14ac:dyDescent="0.3">
      <c r="B463" s="4">
        <v>38940</v>
      </c>
      <c r="C463" s="7">
        <v>53.41</v>
      </c>
      <c r="D463" s="6">
        <f t="shared" si="18"/>
        <v>-0.98352311114264657</v>
      </c>
      <c r="E463" s="6">
        <v>2.2396630934149973E-2</v>
      </c>
      <c r="F463" s="6"/>
      <c r="G463" s="6">
        <v>456</v>
      </c>
      <c r="H463" s="6">
        <f t="shared" ca="1" si="19"/>
        <v>9.4008277738564128E-4</v>
      </c>
    </row>
    <row r="464" spans="2:8" x14ac:dyDescent="0.3">
      <c r="B464" s="4">
        <v>45275</v>
      </c>
      <c r="C464" s="5">
        <v>3241.51</v>
      </c>
      <c r="D464" s="6">
        <f t="shared" si="18"/>
        <v>0.30321390090539213</v>
      </c>
      <c r="E464" s="6">
        <v>2.2380974909715991E-2</v>
      </c>
      <c r="F464" s="6"/>
      <c r="G464" s="6">
        <v>457</v>
      </c>
      <c r="H464" s="6">
        <f t="shared" ca="1" si="19"/>
        <v>4.5672783895837248E-3</v>
      </c>
    </row>
    <row r="465" spans="2:8" x14ac:dyDescent="0.3">
      <c r="B465" s="4">
        <v>45875</v>
      </c>
      <c r="C465" s="5">
        <v>2487.3200000000002</v>
      </c>
      <c r="D465" s="6">
        <f t="shared" si="18"/>
        <v>8.8157853196527238</v>
      </c>
      <c r="E465" s="6">
        <v>2.2326346074804836E-2</v>
      </c>
      <c r="F465" s="6"/>
      <c r="G465" s="6">
        <v>458</v>
      </c>
      <c r="H465" s="6">
        <f t="shared" ca="1" si="19"/>
        <v>-1.1339984806547427E-2</v>
      </c>
    </row>
    <row r="466" spans="2:8" x14ac:dyDescent="0.3">
      <c r="B466" s="4">
        <v>40879</v>
      </c>
      <c r="C466" s="7">
        <v>253.4</v>
      </c>
      <c r="D466" s="6">
        <f t="shared" si="18"/>
        <v>-0.77371363254808811</v>
      </c>
      <c r="E466" s="6">
        <v>2.2310081897768997E-2</v>
      </c>
      <c r="F466" s="6"/>
      <c r="G466" s="6">
        <v>459</v>
      </c>
      <c r="H466" s="6">
        <f t="shared" ca="1" si="19"/>
        <v>1.4798644140539281E-2</v>
      </c>
    </row>
    <row r="467" spans="2:8" x14ac:dyDescent="0.3">
      <c r="B467" s="4">
        <v>43025</v>
      </c>
      <c r="C467" s="5">
        <v>1119.82</v>
      </c>
      <c r="D467" s="6">
        <f t="shared" si="18"/>
        <v>5.4350074704056999</v>
      </c>
      <c r="E467" s="6">
        <v>2.229322621873274E-2</v>
      </c>
      <c r="F467" s="6"/>
      <c r="G467" s="6">
        <v>460</v>
      </c>
      <c r="H467" s="6">
        <f t="shared" ca="1" si="19"/>
        <v>-6.8039339116711785E-3</v>
      </c>
    </row>
    <row r="468" spans="2:8" x14ac:dyDescent="0.3">
      <c r="B468" s="4">
        <v>40263</v>
      </c>
      <c r="C468" s="7">
        <v>174.02</v>
      </c>
      <c r="D468" s="6">
        <f t="shared" si="18"/>
        <v>1.7460943664194415</v>
      </c>
      <c r="E468" s="6">
        <v>2.2263995770428365E-2</v>
      </c>
      <c r="F468" s="6"/>
      <c r="G468" s="6">
        <v>461</v>
      </c>
      <c r="H468" s="6">
        <f t="shared" ca="1" si="19"/>
        <v>-7.2703961823396995E-4</v>
      </c>
    </row>
    <row r="469" spans="2:8" x14ac:dyDescent="0.3">
      <c r="B469" s="4">
        <v>39889</v>
      </c>
      <c r="C469" s="7">
        <v>63.37</v>
      </c>
      <c r="D469" s="6">
        <f t="shared" si="18"/>
        <v>-0.3705175325320354</v>
      </c>
      <c r="E469" s="6">
        <v>2.226165510566213E-2</v>
      </c>
      <c r="F469" s="6"/>
      <c r="G469" s="6">
        <v>462</v>
      </c>
      <c r="H469" s="6">
        <f t="shared" ca="1" si="19"/>
        <v>1.0401357549258498E-2</v>
      </c>
    </row>
    <row r="470" spans="2:8" x14ac:dyDescent="0.3">
      <c r="B470" s="4">
        <v>39482</v>
      </c>
      <c r="C470" s="7">
        <v>100.67</v>
      </c>
      <c r="D470" s="6">
        <f t="shared" si="18"/>
        <v>-0.85872661698873132</v>
      </c>
      <c r="E470" s="6">
        <v>2.2238017871649043E-2</v>
      </c>
      <c r="F470" s="6"/>
      <c r="G470" s="6">
        <v>463</v>
      </c>
      <c r="H470" s="6">
        <f t="shared" ca="1" si="19"/>
        <v>-1.8470407973338994E-2</v>
      </c>
    </row>
    <row r="471" spans="2:8" x14ac:dyDescent="0.3">
      <c r="B471" s="4">
        <v>42128</v>
      </c>
      <c r="C471" s="7">
        <v>712.59</v>
      </c>
      <c r="D471" s="6">
        <f t="shared" si="18"/>
        <v>-0.56566604699356959</v>
      </c>
      <c r="E471" s="6">
        <v>2.2235292429958829E-2</v>
      </c>
      <c r="F471" s="6"/>
      <c r="G471" s="6">
        <v>464</v>
      </c>
      <c r="H471" s="6">
        <f t="shared" ca="1" si="19"/>
        <v>-1.4107814061800422E-2</v>
      </c>
    </row>
    <row r="472" spans="2:8" x14ac:dyDescent="0.3">
      <c r="B472" s="4">
        <v>43936</v>
      </c>
      <c r="C472" s="5">
        <v>1640.65</v>
      </c>
      <c r="D472" s="6">
        <f t="shared" si="18"/>
        <v>0.72396944318934098</v>
      </c>
      <c r="E472" s="6">
        <v>2.2218206967021651E-2</v>
      </c>
      <c r="F472" s="6"/>
      <c r="G472" s="6">
        <v>465</v>
      </c>
      <c r="H472" s="6">
        <f t="shared" ca="1" si="19"/>
        <v>6.7429965999686019E-3</v>
      </c>
    </row>
    <row r="473" spans="2:8" x14ac:dyDescent="0.3">
      <c r="B473" s="4">
        <v>42794</v>
      </c>
      <c r="C473" s="7">
        <v>951.67</v>
      </c>
      <c r="D473" s="6">
        <f t="shared" si="18"/>
        <v>1.2431820860341778</v>
      </c>
      <c r="E473" s="6">
        <v>2.2212913135479382E-2</v>
      </c>
      <c r="F473" s="6"/>
      <c r="G473" s="6">
        <v>466</v>
      </c>
      <c r="H473" s="6">
        <f t="shared" ca="1" si="19"/>
        <v>-1.4566106904669822E-2</v>
      </c>
    </row>
    <row r="474" spans="2:8" x14ac:dyDescent="0.3">
      <c r="B474" s="4">
        <v>41556</v>
      </c>
      <c r="C474" s="7">
        <v>424.25</v>
      </c>
      <c r="D474" s="6">
        <f t="shared" si="18"/>
        <v>-0.49021893249381177</v>
      </c>
      <c r="E474" s="6">
        <v>2.2190632228218918E-2</v>
      </c>
      <c r="F474" s="6"/>
      <c r="G474" s="6">
        <v>467</v>
      </c>
      <c r="H474" s="6">
        <f t="shared" ca="1" si="19"/>
        <v>2.0294085956033972E-3</v>
      </c>
    </row>
    <row r="475" spans="2:8" x14ac:dyDescent="0.3">
      <c r="B475" s="4">
        <v>42032</v>
      </c>
      <c r="C475" s="7">
        <v>832.22</v>
      </c>
      <c r="D475" s="6">
        <f t="shared" si="18"/>
        <v>-0.31228876236437414</v>
      </c>
      <c r="E475" s="6">
        <v>2.2182372015328754E-2</v>
      </c>
      <c r="F475" s="6"/>
      <c r="G475" s="6">
        <v>468</v>
      </c>
      <c r="H475" s="6">
        <f t="shared" ca="1" si="19"/>
        <v>5.5095668540802185E-3</v>
      </c>
    </row>
    <row r="476" spans="2:8" x14ac:dyDescent="0.3">
      <c r="B476" s="4">
        <v>43258</v>
      </c>
      <c r="C476" s="5">
        <v>1210.1300000000001</v>
      </c>
      <c r="D476" s="6">
        <f t="shared" si="18"/>
        <v>62.994182971972499</v>
      </c>
      <c r="E476" s="6">
        <v>2.2172855356961851E-2</v>
      </c>
      <c r="F476" s="6"/>
      <c r="G476" s="6">
        <v>469</v>
      </c>
      <c r="H476" s="6">
        <f t="shared" ca="1" si="19"/>
        <v>4.916991800421902E-4</v>
      </c>
    </row>
    <row r="477" spans="2:8" x14ac:dyDescent="0.3">
      <c r="B477" s="4">
        <v>37767</v>
      </c>
      <c r="C477" s="7">
        <v>18.91</v>
      </c>
      <c r="D477" s="6">
        <f t="shared" si="18"/>
        <v>-0.9853738523772323</v>
      </c>
      <c r="E477" s="6">
        <v>2.2162162162162168E-2</v>
      </c>
      <c r="F477" s="6"/>
      <c r="G477" s="6">
        <v>470</v>
      </c>
      <c r="H477" s="6">
        <f t="shared" ca="1" si="19"/>
        <v>-3.3363299299528013E-3</v>
      </c>
    </row>
    <row r="478" spans="2:8" x14ac:dyDescent="0.3">
      <c r="B478" s="4">
        <v>43658</v>
      </c>
      <c r="C478" s="5">
        <v>1292.8900000000001</v>
      </c>
      <c r="D478" s="6">
        <f t="shared" si="18"/>
        <v>2.1085064435468359</v>
      </c>
      <c r="E478" s="6">
        <v>2.2144393144013653E-2</v>
      </c>
      <c r="F478" s="6"/>
      <c r="G478" s="6">
        <v>471</v>
      </c>
      <c r="H478" s="6">
        <f t="shared" ca="1" si="19"/>
        <v>-2.3658170280713405E-3</v>
      </c>
    </row>
    <row r="479" spans="2:8" x14ac:dyDescent="0.3">
      <c r="B479" s="4">
        <v>41309</v>
      </c>
      <c r="C479" s="7">
        <v>415.92</v>
      </c>
      <c r="D479" s="6">
        <f t="shared" si="18"/>
        <v>-0.58841400057395621</v>
      </c>
      <c r="E479" s="6">
        <v>2.2117369507519906E-2</v>
      </c>
      <c r="F479" s="6"/>
      <c r="G479" s="6">
        <v>472</v>
      </c>
      <c r="H479" s="6">
        <f t="shared" ca="1" si="19"/>
        <v>-7.2390411330167017E-3</v>
      </c>
    </row>
    <row r="480" spans="2:8" x14ac:dyDescent="0.3">
      <c r="B480" s="4">
        <v>42810</v>
      </c>
      <c r="C480" s="5">
        <v>1010.53</v>
      </c>
      <c r="D480" s="6">
        <f t="shared" si="18"/>
        <v>1.3038323872056174</v>
      </c>
      <c r="E480" s="6">
        <v>2.208983604567652E-2</v>
      </c>
      <c r="F480" s="6"/>
      <c r="G480" s="6">
        <v>473</v>
      </c>
      <c r="H480" s="6">
        <f t="shared" ca="1" si="19"/>
        <v>1.6584512003902905E-2</v>
      </c>
    </row>
    <row r="481" spans="2:8" x14ac:dyDescent="0.3">
      <c r="B481" s="4">
        <v>41347</v>
      </c>
      <c r="C481" s="7">
        <v>438.63</v>
      </c>
      <c r="D481" s="6">
        <f t="shared" si="18"/>
        <v>-0.8681117455506544</v>
      </c>
      <c r="E481" s="6">
        <v>2.2066362195917535E-2</v>
      </c>
      <c r="F481" s="6"/>
      <c r="G481" s="6">
        <v>474</v>
      </c>
      <c r="H481" s="6">
        <f t="shared" ca="1" si="19"/>
        <v>-7.0569600549960313E-3</v>
      </c>
    </row>
    <row r="482" spans="2:8" x14ac:dyDescent="0.3">
      <c r="B482" s="4">
        <v>45546</v>
      </c>
      <c r="C482" s="5">
        <v>3325.77</v>
      </c>
      <c r="D482" s="6">
        <f t="shared" si="18"/>
        <v>0.31361458584310581</v>
      </c>
      <c r="E482" s="6">
        <v>2.197427372121458E-2</v>
      </c>
      <c r="F482" s="6"/>
      <c r="G482" s="6">
        <v>475</v>
      </c>
      <c r="H482" s="6">
        <f t="shared" ca="1" si="19"/>
        <v>1.8014222357750354E-2</v>
      </c>
    </row>
    <row r="483" spans="2:8" x14ac:dyDescent="0.3">
      <c r="B483" s="4">
        <v>44215</v>
      </c>
      <c r="C483" s="5">
        <v>2531.77</v>
      </c>
      <c r="D483" s="6">
        <f t="shared" si="18"/>
        <v>8.8451137775523006E-2</v>
      </c>
      <c r="E483" s="6">
        <v>2.1967021212182403E-2</v>
      </c>
      <c r="F483" s="6"/>
      <c r="G483" s="6">
        <v>476</v>
      </c>
      <c r="H483" s="6">
        <f t="shared" ca="1" si="19"/>
        <v>-2.0354668587060587E-2</v>
      </c>
    </row>
    <row r="484" spans="2:8" x14ac:dyDescent="0.3">
      <c r="B484" s="4">
        <v>45689</v>
      </c>
      <c r="C484" s="5">
        <v>2326.0300000000002</v>
      </c>
      <c r="D484" s="6">
        <f t="shared" si="18"/>
        <v>1.1518585675430644</v>
      </c>
      <c r="E484" s="6">
        <v>2.1887259962833028E-2</v>
      </c>
      <c r="F484" s="6"/>
      <c r="G484" s="6">
        <v>477</v>
      </c>
      <c r="H484" s="6">
        <f t="shared" ca="1" si="19"/>
        <v>-5.3445747734251351E-3</v>
      </c>
    </row>
    <row r="485" spans="2:8" x14ac:dyDescent="0.3">
      <c r="B485" s="4">
        <v>43132</v>
      </c>
      <c r="C485" s="5">
        <v>1080.94</v>
      </c>
      <c r="D485" s="6">
        <f t="shared" si="18"/>
        <v>4.2608166642332215</v>
      </c>
      <c r="E485" s="6">
        <v>2.1885251325877625E-2</v>
      </c>
      <c r="F485" s="6"/>
      <c r="G485" s="6">
        <v>478</v>
      </c>
      <c r="H485" s="6">
        <f t="shared" ca="1" si="19"/>
        <v>1.4483098669803966E-2</v>
      </c>
    </row>
    <row r="486" spans="2:8" x14ac:dyDescent="0.3">
      <c r="B486" s="4">
        <v>40346</v>
      </c>
      <c r="C486" s="7">
        <v>205.47</v>
      </c>
      <c r="D486" s="6">
        <f t="shared" si="18"/>
        <v>-0.261430625449317</v>
      </c>
      <c r="E486" s="6">
        <v>2.1882926344059313E-2</v>
      </c>
      <c r="F486" s="6"/>
      <c r="G486" s="6">
        <v>479</v>
      </c>
      <c r="H486" s="6">
        <f t="shared" ca="1" si="19"/>
        <v>-1.110477800848767E-2</v>
      </c>
    </row>
    <row r="487" spans="2:8" x14ac:dyDescent="0.3">
      <c r="B487" s="4">
        <v>40764</v>
      </c>
      <c r="C487" s="7">
        <v>278.2</v>
      </c>
      <c r="D487" s="6">
        <f t="shared" si="18"/>
        <v>1.3025989074656514</v>
      </c>
      <c r="E487" s="6">
        <v>2.1854912764003632E-2</v>
      </c>
      <c r="F487" s="6"/>
      <c r="G487" s="6">
        <v>480</v>
      </c>
      <c r="H487" s="6">
        <f t="shared" ca="1" si="19"/>
        <v>1.0194875452556361E-3</v>
      </c>
    </row>
    <row r="488" spans="2:8" x14ac:dyDescent="0.3">
      <c r="B488" s="4">
        <v>40053</v>
      </c>
      <c r="C488" s="7">
        <v>120.82</v>
      </c>
      <c r="D488" s="6">
        <f t="shared" si="18"/>
        <v>-0.52667868056099665</v>
      </c>
      <c r="E488" s="6">
        <v>2.1820027063599444E-2</v>
      </c>
      <c r="F488" s="6"/>
      <c r="G488" s="6">
        <v>481</v>
      </c>
      <c r="H488" s="6">
        <f t="shared" ca="1" si="19"/>
        <v>-5.7140972959452488E-3</v>
      </c>
    </row>
    <row r="489" spans="2:8" x14ac:dyDescent="0.3">
      <c r="B489" s="4">
        <v>40683</v>
      </c>
      <c r="C489" s="7">
        <v>255.26</v>
      </c>
      <c r="D489" s="6">
        <f t="shared" si="18"/>
        <v>1.9404446492339591</v>
      </c>
      <c r="E489" s="6">
        <v>2.1816580601256911E-2</v>
      </c>
      <c r="F489" s="6"/>
      <c r="G489" s="6">
        <v>482</v>
      </c>
      <c r="H489" s="6">
        <f t="shared" ca="1" si="19"/>
        <v>1.239986187814868E-2</v>
      </c>
    </row>
    <row r="490" spans="2:8" x14ac:dyDescent="0.3">
      <c r="B490" s="4">
        <v>39384</v>
      </c>
      <c r="C490" s="7">
        <v>86.81</v>
      </c>
      <c r="D490" s="6">
        <f t="shared" si="18"/>
        <v>-0.96488055504986148</v>
      </c>
      <c r="E490" s="6">
        <v>2.1774952919020818E-2</v>
      </c>
      <c r="F490" s="6"/>
      <c r="G490" s="6">
        <v>483</v>
      </c>
      <c r="H490" s="6">
        <f t="shared" ca="1" si="19"/>
        <v>1.0256138320133402E-2</v>
      </c>
    </row>
    <row r="491" spans="2:8" x14ac:dyDescent="0.3">
      <c r="B491" s="4">
        <v>44181</v>
      </c>
      <c r="C491" s="5">
        <v>2471.85</v>
      </c>
      <c r="D491" s="6">
        <f t="shared" si="18"/>
        <v>-9.5342487812733384E-2</v>
      </c>
      <c r="E491" s="6">
        <v>2.1763392857142898E-2</v>
      </c>
      <c r="F491" s="6"/>
      <c r="G491" s="6">
        <v>484</v>
      </c>
      <c r="H491" s="6">
        <f t="shared" ca="1" si="19"/>
        <v>1.7714424297812746E-2</v>
      </c>
    </row>
    <row r="492" spans="2:8" x14ac:dyDescent="0.3">
      <c r="B492" s="4">
        <v>44739</v>
      </c>
      <c r="C492" s="5">
        <v>2732.36</v>
      </c>
      <c r="D492" s="6">
        <f t="shared" si="18"/>
        <v>30.273434817443061</v>
      </c>
      <c r="E492" s="6">
        <v>2.175238109483622E-2</v>
      </c>
      <c r="F492" s="6"/>
      <c r="G492" s="6">
        <v>485</v>
      </c>
      <c r="H492" s="6">
        <f t="shared" ca="1" si="19"/>
        <v>1.3827194337836548E-2</v>
      </c>
    </row>
    <row r="493" spans="2:8" x14ac:dyDescent="0.3">
      <c r="B493" s="4">
        <v>39953</v>
      </c>
      <c r="C493" s="7">
        <v>87.37</v>
      </c>
      <c r="D493" s="6">
        <f t="shared" si="18"/>
        <v>-0.79128544468598461</v>
      </c>
      <c r="E493" s="6">
        <v>2.1751841889837437E-2</v>
      </c>
      <c r="F493" s="6"/>
      <c r="G493" s="6">
        <v>486</v>
      </c>
      <c r="H493" s="6">
        <f t="shared" ca="1" si="19"/>
        <v>1.0905899197272169E-2</v>
      </c>
    </row>
    <row r="494" spans="2:8" x14ac:dyDescent="0.3">
      <c r="B494" s="4">
        <v>41453</v>
      </c>
      <c r="C494" s="7">
        <v>418.61</v>
      </c>
      <c r="D494" s="6">
        <f t="shared" si="18"/>
        <v>0.15265578103918273</v>
      </c>
      <c r="E494" s="6">
        <v>2.16977448013277E-2</v>
      </c>
      <c r="F494" s="6"/>
      <c r="G494" s="6">
        <v>487</v>
      </c>
      <c r="H494" s="6">
        <f t="shared" ca="1" si="19"/>
        <v>7.3002457253217206E-3</v>
      </c>
    </row>
    <row r="495" spans="2:8" x14ac:dyDescent="0.3">
      <c r="B495" s="4">
        <v>41236</v>
      </c>
      <c r="C495" s="7">
        <v>363.17</v>
      </c>
      <c r="D495" s="6">
        <f t="shared" si="18"/>
        <v>1.3219103637874818</v>
      </c>
      <c r="E495" s="6">
        <v>2.1690204242390244E-2</v>
      </c>
      <c r="F495" s="6"/>
      <c r="G495" s="6">
        <v>488</v>
      </c>
      <c r="H495" s="6">
        <f t="shared" ca="1" si="19"/>
        <v>-5.8590230349843016E-3</v>
      </c>
    </row>
    <row r="496" spans="2:8" x14ac:dyDescent="0.3">
      <c r="B496" s="4">
        <v>40206</v>
      </c>
      <c r="C496" s="7">
        <v>156.41</v>
      </c>
      <c r="D496" s="6">
        <f t="shared" si="18"/>
        <v>-0.94877647798577369</v>
      </c>
      <c r="E496" s="6">
        <v>2.1686589587824111E-2</v>
      </c>
      <c r="F496" s="6"/>
      <c r="G496" s="6">
        <v>489</v>
      </c>
      <c r="H496" s="6">
        <f t="shared" ca="1" si="19"/>
        <v>-5.7317978458859401E-4</v>
      </c>
    </row>
    <row r="497" spans="2:8" x14ac:dyDescent="0.3">
      <c r="B497" s="4">
        <v>44503</v>
      </c>
      <c r="C497" s="5">
        <v>3053.48</v>
      </c>
      <c r="D497" s="6">
        <f t="shared" si="18"/>
        <v>6.0342094957266923</v>
      </c>
      <c r="E497" s="6">
        <v>2.1685231223253134E-2</v>
      </c>
      <c r="F497" s="6"/>
      <c r="G497" s="6">
        <v>490</v>
      </c>
      <c r="H497" s="6">
        <f t="shared" ca="1" si="19"/>
        <v>-2.0221926327284147E-4</v>
      </c>
    </row>
    <row r="498" spans="2:8" x14ac:dyDescent="0.3">
      <c r="B498" s="4">
        <v>41562</v>
      </c>
      <c r="C498" s="7">
        <v>434.09</v>
      </c>
      <c r="D498" s="6">
        <f t="shared" si="18"/>
        <v>0.78976663643110412</v>
      </c>
      <c r="E498" s="6">
        <v>2.1676708717755552E-2</v>
      </c>
      <c r="F498" s="6"/>
      <c r="G498" s="6">
        <v>491</v>
      </c>
      <c r="H498" s="6">
        <f t="shared" ca="1" si="19"/>
        <v>-7.6241745375544298E-4</v>
      </c>
    </row>
    <row r="499" spans="2:8" x14ac:dyDescent="0.3">
      <c r="B499" s="4">
        <v>40532</v>
      </c>
      <c r="C499" s="7">
        <v>242.54</v>
      </c>
      <c r="D499" s="6">
        <f t="shared" si="18"/>
        <v>3.8027722772277226</v>
      </c>
      <c r="E499" s="6">
        <v>2.165122156697551E-2</v>
      </c>
      <c r="F499" s="6"/>
      <c r="G499" s="6">
        <v>492</v>
      </c>
      <c r="H499" s="6">
        <f t="shared" ca="1" si="19"/>
        <v>-4.7668086617735153E-3</v>
      </c>
    </row>
    <row r="500" spans="2:8" x14ac:dyDescent="0.3">
      <c r="B500" s="4">
        <v>38854</v>
      </c>
      <c r="C500" s="7">
        <v>50.5</v>
      </c>
      <c r="D500" s="6">
        <f t="shared" si="18"/>
        <v>-0.96970533186159236</v>
      </c>
      <c r="E500" s="6">
        <v>2.1646773214646982E-2</v>
      </c>
      <c r="F500" s="6"/>
      <c r="G500" s="6">
        <v>493</v>
      </c>
      <c r="H500" s="6">
        <f t="shared" ca="1" si="19"/>
        <v>-3.5309411302454413E-3</v>
      </c>
    </row>
    <row r="501" spans="2:8" x14ac:dyDescent="0.3">
      <c r="B501" s="4">
        <v>44019</v>
      </c>
      <c r="C501" s="5">
        <v>1666.96</v>
      </c>
      <c r="D501" s="6">
        <f t="shared" si="18"/>
        <v>-0.49324667349649942</v>
      </c>
      <c r="E501" s="6">
        <v>2.1596842595543359E-2</v>
      </c>
      <c r="F501" s="6"/>
      <c r="G501" s="6">
        <v>494</v>
      </c>
      <c r="H501" s="6">
        <f t="shared" ca="1" si="19"/>
        <v>-1.7172369267863079E-2</v>
      </c>
    </row>
    <row r="502" spans="2:8" x14ac:dyDescent="0.3">
      <c r="B502" s="4">
        <v>44775</v>
      </c>
      <c r="C502" s="5">
        <v>3289.49</v>
      </c>
      <c r="D502" s="6">
        <f t="shared" si="18"/>
        <v>0.30701287349014605</v>
      </c>
      <c r="E502" s="6">
        <v>2.1536330718540161E-2</v>
      </c>
      <c r="F502" s="6"/>
      <c r="G502" s="6">
        <v>495</v>
      </c>
      <c r="H502" s="6">
        <f t="shared" ca="1" si="19"/>
        <v>-1.6406185519035187E-2</v>
      </c>
    </row>
    <row r="503" spans="2:8" x14ac:dyDescent="0.3">
      <c r="B503" s="4">
        <v>46132</v>
      </c>
      <c r="C503" s="5">
        <v>2516.8000000000002</v>
      </c>
      <c r="D503" s="6">
        <f t="shared" si="18"/>
        <v>9.2886109067124529</v>
      </c>
      <c r="E503" s="6">
        <v>2.1428571428571502E-2</v>
      </c>
      <c r="F503" s="6"/>
      <c r="G503" s="6">
        <v>496</v>
      </c>
      <c r="H503" s="6">
        <f t="shared" ca="1" si="19"/>
        <v>1.9992086511969789E-3</v>
      </c>
    </row>
    <row r="504" spans="2:8" x14ac:dyDescent="0.3">
      <c r="B504" s="4">
        <v>40423</v>
      </c>
      <c r="C504" s="7">
        <v>244.62</v>
      </c>
      <c r="D504" s="6">
        <f t="shared" si="18"/>
        <v>-0.92786305126730662</v>
      </c>
      <c r="E504" s="6">
        <v>2.1420518602029294E-2</v>
      </c>
      <c r="F504" s="6"/>
      <c r="G504" s="6">
        <v>497</v>
      </c>
      <c r="H504" s="6">
        <f t="shared" ca="1" si="19"/>
        <v>1.2356212067894135E-2</v>
      </c>
    </row>
    <row r="505" spans="2:8" x14ac:dyDescent="0.3">
      <c r="B505" s="4">
        <v>44789</v>
      </c>
      <c r="C505" s="5">
        <v>3391.05</v>
      </c>
      <c r="D505" s="6">
        <f t="shared" si="18"/>
        <v>6.4353017244085153E-2</v>
      </c>
      <c r="E505" s="6">
        <v>2.1339075959279672E-2</v>
      </c>
      <c r="F505" s="6"/>
      <c r="G505" s="6">
        <v>498</v>
      </c>
      <c r="H505" s="6">
        <f t="shared" ca="1" si="19"/>
        <v>1.1988884521546988E-2</v>
      </c>
    </row>
    <row r="506" spans="2:8" x14ac:dyDescent="0.3">
      <c r="B506" s="4">
        <v>45090</v>
      </c>
      <c r="C506" s="5">
        <v>3186.02</v>
      </c>
      <c r="D506" s="6">
        <f t="shared" si="18"/>
        <v>13.928404085840128</v>
      </c>
      <c r="E506" s="6">
        <v>2.1317382161358159E-2</v>
      </c>
      <c r="F506" s="6"/>
      <c r="G506" s="6">
        <v>499</v>
      </c>
      <c r="H506" s="6">
        <f t="shared" ca="1" si="19"/>
        <v>2.1673813722194221E-2</v>
      </c>
    </row>
    <row r="507" spans="2:8" x14ac:dyDescent="0.3">
      <c r="B507" s="4">
        <v>40353</v>
      </c>
      <c r="C507" s="7">
        <v>213.42</v>
      </c>
      <c r="D507" s="6">
        <f t="shared" si="18"/>
        <v>2.4923907707412862</v>
      </c>
      <c r="E507" s="6">
        <v>2.124605225380418E-2</v>
      </c>
      <c r="F507" s="6"/>
      <c r="G507" s="6">
        <v>500</v>
      </c>
      <c r="H507" s="6">
        <f t="shared" ca="1" si="19"/>
        <v>-1.279955730285869E-3</v>
      </c>
    </row>
    <row r="508" spans="2:8" x14ac:dyDescent="0.3">
      <c r="B508" s="4">
        <v>39167</v>
      </c>
      <c r="C508" s="7">
        <v>61.11</v>
      </c>
      <c r="D508" s="6">
        <f t="shared" si="18"/>
        <v>-0.87479255024893965</v>
      </c>
      <c r="E508" s="6">
        <v>2.1223262032085494E-2</v>
      </c>
      <c r="F508" s="6"/>
      <c r="G508" s="6">
        <v>501</v>
      </c>
      <c r="H508" s="6">
        <f t="shared" ca="1" si="19"/>
        <v>-3.2881559734411231E-2</v>
      </c>
    </row>
    <row r="509" spans="2:8" x14ac:dyDescent="0.3">
      <c r="B509" s="4">
        <v>41578</v>
      </c>
      <c r="C509" s="7">
        <v>488.07</v>
      </c>
      <c r="D509" s="6">
        <f t="shared" si="18"/>
        <v>10.508370667295448</v>
      </c>
      <c r="E509" s="6">
        <v>2.119512909570238E-2</v>
      </c>
      <c r="F509" s="6"/>
      <c r="G509" s="6">
        <v>502</v>
      </c>
      <c r="H509" s="6">
        <f t="shared" ca="1" si="19"/>
        <v>9.8606607937796967E-3</v>
      </c>
    </row>
    <row r="510" spans="2:8" x14ac:dyDescent="0.3">
      <c r="B510" s="4">
        <v>38681</v>
      </c>
      <c r="C510" s="7">
        <v>42.41</v>
      </c>
      <c r="D510" s="6">
        <f t="shared" si="18"/>
        <v>-0.94858895408039567</v>
      </c>
      <c r="E510" s="6">
        <v>2.118950156513353E-2</v>
      </c>
      <c r="F510" s="6"/>
      <c r="G510" s="6">
        <v>503</v>
      </c>
      <c r="H510" s="6">
        <f t="shared" ca="1" si="19"/>
        <v>2.007824380668409E-2</v>
      </c>
    </row>
    <row r="511" spans="2:8" x14ac:dyDescent="0.3">
      <c r="B511" s="4">
        <v>42439</v>
      </c>
      <c r="C511" s="7">
        <v>824.92</v>
      </c>
      <c r="D511" s="6">
        <f t="shared" si="18"/>
        <v>11.367616191904046</v>
      </c>
      <c r="E511" s="6">
        <v>2.1168081998464892E-2</v>
      </c>
      <c r="F511" s="6"/>
      <c r="G511" s="6">
        <v>504</v>
      </c>
      <c r="H511" s="6">
        <f t="shared" ca="1" si="19"/>
        <v>-7.5112151088259915E-3</v>
      </c>
    </row>
    <row r="512" spans="2:8" x14ac:dyDescent="0.3">
      <c r="B512" s="4">
        <v>39191</v>
      </c>
      <c r="C512" s="7">
        <v>66.7</v>
      </c>
      <c r="D512" s="6">
        <f t="shared" si="18"/>
        <v>-0.97238815547082968</v>
      </c>
      <c r="E512" s="6">
        <v>2.112676056338043E-2</v>
      </c>
      <c r="F512" s="6"/>
      <c r="G512" s="6">
        <v>505</v>
      </c>
      <c r="H512" s="6">
        <f t="shared" ca="1" si="19"/>
        <v>1.0401999066664929E-2</v>
      </c>
    </row>
    <row r="513" spans="2:8" x14ac:dyDescent="0.3">
      <c r="B513" s="4">
        <v>45840</v>
      </c>
      <c r="C513" s="5">
        <v>2415.63</v>
      </c>
      <c r="D513" s="6">
        <f t="shared" si="18"/>
        <v>3.0167445418114704</v>
      </c>
      <c r="E513" s="6">
        <v>2.1058326746442091E-2</v>
      </c>
      <c r="F513" s="6"/>
      <c r="G513" s="6">
        <v>506</v>
      </c>
      <c r="H513" s="6">
        <f t="shared" ca="1" si="19"/>
        <v>-5.8249137952952187E-3</v>
      </c>
    </row>
    <row r="514" spans="2:8" x14ac:dyDescent="0.3">
      <c r="B514" s="4">
        <v>41900</v>
      </c>
      <c r="C514" s="7">
        <v>601.39</v>
      </c>
      <c r="D514" s="6">
        <f t="shared" si="18"/>
        <v>4.5560790835181075</v>
      </c>
      <c r="E514" s="6">
        <v>2.1052989015093598E-2</v>
      </c>
      <c r="F514" s="6"/>
      <c r="G514" s="6">
        <v>507</v>
      </c>
      <c r="H514" s="6">
        <f t="shared" ca="1" si="19"/>
        <v>2.184645616999073E-2</v>
      </c>
    </row>
    <row r="515" spans="2:8" x14ac:dyDescent="0.3">
      <c r="B515" s="4">
        <v>39598</v>
      </c>
      <c r="C515" s="7">
        <v>108.24</v>
      </c>
      <c r="D515" s="6">
        <f t="shared" si="18"/>
        <v>-0.62151199384572342</v>
      </c>
      <c r="E515" s="6">
        <v>2.1035751344212712E-2</v>
      </c>
      <c r="F515" s="6"/>
      <c r="G515" s="6">
        <v>508</v>
      </c>
      <c r="H515" s="6">
        <f t="shared" ca="1" si="19"/>
        <v>2.0409341983595435E-2</v>
      </c>
    </row>
    <row r="516" spans="2:8" x14ac:dyDescent="0.3">
      <c r="B516" s="4">
        <v>40851</v>
      </c>
      <c r="C516" s="7">
        <v>285.98</v>
      </c>
      <c r="D516" s="6">
        <f t="shared" si="18"/>
        <v>6.6261333333333337</v>
      </c>
      <c r="E516" s="6">
        <v>2.1028954978756984E-2</v>
      </c>
      <c r="F516" s="6"/>
      <c r="G516" s="6">
        <v>509</v>
      </c>
      <c r="H516" s="6">
        <f t="shared" ca="1" si="19"/>
        <v>-1.8465377837151808E-2</v>
      </c>
    </row>
    <row r="517" spans="2:8" x14ac:dyDescent="0.3">
      <c r="B517" s="4">
        <v>38572</v>
      </c>
      <c r="C517" s="7">
        <v>37.5</v>
      </c>
      <c r="D517" s="6">
        <f t="shared" si="18"/>
        <v>-0.96554132284564353</v>
      </c>
      <c r="E517" s="6">
        <v>2.096378981758789E-2</v>
      </c>
      <c r="F517" s="6"/>
      <c r="G517" s="6">
        <v>510</v>
      </c>
      <c r="H517" s="6">
        <f t="shared" ca="1" si="19"/>
        <v>7.6397279192906885E-3</v>
      </c>
    </row>
    <row r="518" spans="2:8" x14ac:dyDescent="0.3">
      <c r="B518" s="4">
        <v>43174</v>
      </c>
      <c r="C518" s="5">
        <v>1088.26</v>
      </c>
      <c r="D518" s="6">
        <f t="shared" si="18"/>
        <v>3.6756605800214821</v>
      </c>
      <c r="E518" s="6">
        <v>2.0939264874195486E-2</v>
      </c>
      <c r="F518" s="6"/>
      <c r="G518" s="6">
        <v>511</v>
      </c>
      <c r="H518" s="6">
        <f t="shared" ca="1" si="19"/>
        <v>-2.6118152238428297E-2</v>
      </c>
    </row>
    <row r="519" spans="2:8" x14ac:dyDescent="0.3">
      <c r="B519" s="4">
        <v>40399</v>
      </c>
      <c r="C519" s="7">
        <v>232.75</v>
      </c>
      <c r="D519" s="6">
        <f t="shared" si="18"/>
        <v>-0.74723615907560659</v>
      </c>
      <c r="E519" s="6">
        <v>2.0922887972629225E-2</v>
      </c>
      <c r="F519" s="6"/>
      <c r="G519" s="6">
        <v>512</v>
      </c>
      <c r="H519" s="6">
        <f t="shared" ca="1" si="19"/>
        <v>1.4840150154305551E-2</v>
      </c>
    </row>
    <row r="520" spans="2:8" x14ac:dyDescent="0.3">
      <c r="B520" s="4">
        <v>42767</v>
      </c>
      <c r="C520" s="7">
        <v>920.82</v>
      </c>
      <c r="D520" s="6">
        <f t="shared" ref="D520:D583" si="20">((C520-C521)/C521)</f>
        <v>-0.6005119305856832</v>
      </c>
      <c r="E520" s="6">
        <v>2.0921337102943628E-2</v>
      </c>
      <c r="F520" s="6"/>
      <c r="G520" s="6">
        <v>513</v>
      </c>
      <c r="H520" s="6">
        <f t="shared" ca="1" si="19"/>
        <v>-2.6645124790523538E-2</v>
      </c>
    </row>
    <row r="521" spans="2:8" x14ac:dyDescent="0.3">
      <c r="B521" s="4">
        <v>45792</v>
      </c>
      <c r="C521" s="5">
        <v>2305</v>
      </c>
      <c r="D521" s="6">
        <f t="shared" si="20"/>
        <v>33.609609609609613</v>
      </c>
      <c r="E521" s="6">
        <v>2.0855569974002574E-2</v>
      </c>
      <c r="F521" s="6"/>
      <c r="G521" s="6">
        <v>514</v>
      </c>
      <c r="H521" s="6">
        <f t="shared" ref="H521:H584" ca="1" si="21">_xlfn.NORM.INV(RAND(),N$10,N$11)</f>
        <v>-5.6451508083233889E-3</v>
      </c>
    </row>
    <row r="522" spans="2:8" x14ac:dyDescent="0.3">
      <c r="B522" s="4">
        <v>39099</v>
      </c>
      <c r="C522" s="7">
        <v>66.599999999999994</v>
      </c>
      <c r="D522" s="6">
        <f t="shared" si="20"/>
        <v>-0.9415430527516897</v>
      </c>
      <c r="E522" s="6">
        <v>2.0846106683016546E-2</v>
      </c>
      <c r="F522" s="6"/>
      <c r="G522" s="6">
        <v>515</v>
      </c>
      <c r="H522" s="6">
        <f t="shared" ca="1" si="21"/>
        <v>1.9951360082531649E-2</v>
      </c>
    </row>
    <row r="523" spans="2:8" x14ac:dyDescent="0.3">
      <c r="B523" s="4">
        <v>43227</v>
      </c>
      <c r="C523" s="5">
        <v>1139.3</v>
      </c>
      <c r="D523" s="6">
        <f t="shared" si="20"/>
        <v>46.372141372141371</v>
      </c>
      <c r="E523" s="6">
        <v>2.0832399982079655E-2</v>
      </c>
      <c r="F523" s="6"/>
      <c r="G523" s="6">
        <v>516</v>
      </c>
      <c r="H523" s="6">
        <f t="shared" ca="1" si="21"/>
        <v>-4.7820577480074452E-3</v>
      </c>
    </row>
    <row r="524" spans="2:8" x14ac:dyDescent="0.3">
      <c r="B524" s="4">
        <v>38323</v>
      </c>
      <c r="C524" s="7">
        <v>24.05</v>
      </c>
      <c r="D524" s="6">
        <f t="shared" si="20"/>
        <v>-0.85521642285232669</v>
      </c>
      <c r="E524" s="6">
        <v>2.0797962648556961E-2</v>
      </c>
      <c r="F524" s="6"/>
      <c r="G524" s="6">
        <v>517</v>
      </c>
      <c r="H524" s="6">
        <f t="shared" ca="1" si="21"/>
        <v>-7.2056381497133636E-3</v>
      </c>
    </row>
    <row r="525" spans="2:8" x14ac:dyDescent="0.3">
      <c r="B525" s="4">
        <v>40212</v>
      </c>
      <c r="C525" s="7">
        <v>166.11</v>
      </c>
      <c r="D525" s="6">
        <f t="shared" si="20"/>
        <v>-0.78520721536173788</v>
      </c>
      <c r="E525" s="6">
        <v>2.077060161002903E-2</v>
      </c>
      <c r="F525" s="6"/>
      <c r="G525" s="6">
        <v>518</v>
      </c>
      <c r="H525" s="6">
        <f t="shared" ca="1" si="21"/>
        <v>-6.1807593967088499E-3</v>
      </c>
    </row>
    <row r="526" spans="2:8" x14ac:dyDescent="0.3">
      <c r="B526" s="4">
        <v>42265</v>
      </c>
      <c r="C526" s="7">
        <v>773.35</v>
      </c>
      <c r="D526" s="6">
        <f t="shared" si="20"/>
        <v>0.78582149867220874</v>
      </c>
      <c r="E526" s="6">
        <v>2.074891437773059E-2</v>
      </c>
      <c r="F526" s="6"/>
      <c r="G526" s="6">
        <v>519</v>
      </c>
      <c r="H526" s="6">
        <f t="shared" ca="1" si="21"/>
        <v>1.2828786507829023E-3</v>
      </c>
    </row>
    <row r="527" spans="2:8" x14ac:dyDescent="0.3">
      <c r="B527" s="4">
        <v>41557</v>
      </c>
      <c r="C527" s="7">
        <v>433.05</v>
      </c>
      <c r="D527" s="6">
        <f t="shared" si="20"/>
        <v>-0.85540998056774242</v>
      </c>
      <c r="E527" s="6">
        <v>2.0742486741308217E-2</v>
      </c>
      <c r="F527" s="6"/>
      <c r="G527" s="6">
        <v>520</v>
      </c>
      <c r="H527" s="6">
        <f t="shared" ca="1" si="21"/>
        <v>-2.7773323796310243E-2</v>
      </c>
    </row>
    <row r="528" spans="2:8" x14ac:dyDescent="0.3">
      <c r="B528" s="4">
        <v>44701</v>
      </c>
      <c r="C528" s="5">
        <v>2995.02</v>
      </c>
      <c r="D528" s="6">
        <f t="shared" si="20"/>
        <v>35.136824324324323</v>
      </c>
      <c r="E528" s="6">
        <v>2.0693180656374533E-2</v>
      </c>
      <c r="F528" s="6"/>
      <c r="G528" s="6">
        <v>521</v>
      </c>
      <c r="H528" s="6">
        <f t="shared" ca="1" si="21"/>
        <v>-2.7635545880270149E-2</v>
      </c>
    </row>
    <row r="529" spans="2:8" x14ac:dyDescent="0.3">
      <c r="B529" s="4">
        <v>39766</v>
      </c>
      <c r="C529" s="7">
        <v>82.88</v>
      </c>
      <c r="D529" s="6">
        <f t="shared" si="20"/>
        <v>0.25309948593891735</v>
      </c>
      <c r="E529" s="6">
        <v>2.0689655172413703E-2</v>
      </c>
      <c r="F529" s="6"/>
      <c r="G529" s="6">
        <v>522</v>
      </c>
      <c r="H529" s="6">
        <f t="shared" ca="1" si="21"/>
        <v>1.2396385834047416E-2</v>
      </c>
    </row>
    <row r="530" spans="2:8" x14ac:dyDescent="0.3">
      <c r="B530" s="4">
        <v>39216</v>
      </c>
      <c r="C530" s="7">
        <v>66.14</v>
      </c>
      <c r="D530" s="6">
        <f t="shared" si="20"/>
        <v>-0.97836370178939458</v>
      </c>
      <c r="E530" s="6">
        <v>2.0679012345679065E-2</v>
      </c>
      <c r="F530" s="6"/>
      <c r="G530" s="6">
        <v>523</v>
      </c>
      <c r="H530" s="6">
        <f t="shared" ca="1" si="21"/>
        <v>2.4931028419751117E-2</v>
      </c>
    </row>
    <row r="531" spans="2:8" x14ac:dyDescent="0.3">
      <c r="B531" s="4">
        <v>44704</v>
      </c>
      <c r="C531" s="5">
        <v>3056.9</v>
      </c>
      <c r="D531" s="6">
        <f t="shared" si="20"/>
        <v>8.5689601202028438</v>
      </c>
      <c r="E531" s="6">
        <v>2.0660963866685401E-2</v>
      </c>
      <c r="F531" s="6"/>
      <c r="G531" s="6">
        <v>524</v>
      </c>
      <c r="H531" s="6">
        <f t="shared" ca="1" si="21"/>
        <v>5.7722478094177571E-3</v>
      </c>
    </row>
    <row r="532" spans="2:8" x14ac:dyDescent="0.3">
      <c r="B532" s="4">
        <v>41032</v>
      </c>
      <c r="C532" s="7">
        <v>319.45999999999998</v>
      </c>
      <c r="D532" s="6">
        <f t="shared" si="20"/>
        <v>-8.0955120828538674E-2</v>
      </c>
      <c r="E532" s="6">
        <v>2.0638977635782683E-2</v>
      </c>
      <c r="F532" s="6"/>
      <c r="G532" s="6">
        <v>525</v>
      </c>
      <c r="H532" s="6">
        <f t="shared" ca="1" si="21"/>
        <v>7.666774997882422E-3</v>
      </c>
    </row>
    <row r="533" spans="2:8" x14ac:dyDescent="0.3">
      <c r="B533" s="4">
        <v>41190</v>
      </c>
      <c r="C533" s="7">
        <v>347.6</v>
      </c>
      <c r="D533" s="6">
        <f t="shared" si="20"/>
        <v>-0.88893433194448002</v>
      </c>
      <c r="E533" s="6">
        <v>2.0611897351576838E-2</v>
      </c>
      <c r="F533" s="6"/>
      <c r="G533" s="6">
        <v>526</v>
      </c>
      <c r="H533" s="6">
        <f t="shared" ca="1" si="21"/>
        <v>1.0727324623996093E-2</v>
      </c>
    </row>
    <row r="534" spans="2:8" x14ac:dyDescent="0.3">
      <c r="B534" s="4">
        <v>44902</v>
      </c>
      <c r="C534" s="5">
        <v>3129.68</v>
      </c>
      <c r="D534" s="6">
        <f t="shared" si="20"/>
        <v>0.39915237567282402</v>
      </c>
      <c r="E534" s="6">
        <v>2.0493473717160687E-2</v>
      </c>
      <c r="F534" s="6"/>
      <c r="G534" s="6">
        <v>527</v>
      </c>
      <c r="H534" s="6">
        <f t="shared" ca="1" si="21"/>
        <v>2.7301130231401703E-2</v>
      </c>
    </row>
    <row r="535" spans="2:8" x14ac:dyDescent="0.3">
      <c r="B535" s="4">
        <v>45674</v>
      </c>
      <c r="C535" s="5">
        <v>2236.84</v>
      </c>
      <c r="D535" s="6">
        <f t="shared" si="20"/>
        <v>-0.12834541345179631</v>
      </c>
      <c r="E535" s="6">
        <v>2.0493448666009741E-2</v>
      </c>
      <c r="F535" s="6"/>
      <c r="G535" s="6">
        <v>528</v>
      </c>
      <c r="H535" s="6">
        <f t="shared" ca="1" si="21"/>
        <v>-2.0410730628682393E-3</v>
      </c>
    </row>
    <row r="536" spans="2:8" x14ac:dyDescent="0.3">
      <c r="B536" s="4">
        <v>45901</v>
      </c>
      <c r="C536" s="5">
        <v>2566.1999999999998</v>
      </c>
      <c r="D536" s="6">
        <f t="shared" si="20"/>
        <v>58.142659598985936</v>
      </c>
      <c r="E536" s="6">
        <v>2.0487696247633889E-2</v>
      </c>
      <c r="F536" s="6"/>
      <c r="G536" s="6">
        <v>529</v>
      </c>
      <c r="H536" s="6">
        <f t="shared" ca="1" si="21"/>
        <v>2.3913661770243611E-3</v>
      </c>
    </row>
    <row r="537" spans="2:8" x14ac:dyDescent="0.3">
      <c r="B537" s="4">
        <v>38685</v>
      </c>
      <c r="C537" s="7">
        <v>43.39</v>
      </c>
      <c r="D537" s="6">
        <f t="shared" si="20"/>
        <v>-0.97005603710042498</v>
      </c>
      <c r="E537" s="6">
        <v>2.0460959548447729E-2</v>
      </c>
      <c r="F537" s="6"/>
      <c r="G537" s="6">
        <v>530</v>
      </c>
      <c r="H537" s="6">
        <f t="shared" ca="1" si="21"/>
        <v>1.4153972377927683E-2</v>
      </c>
    </row>
    <row r="538" spans="2:8" x14ac:dyDescent="0.3">
      <c r="B538" s="4">
        <v>43672</v>
      </c>
      <c r="C538" s="5">
        <v>1449.04</v>
      </c>
      <c r="D538" s="6">
        <f t="shared" si="20"/>
        <v>6.3135819916216622</v>
      </c>
      <c r="E538" s="6">
        <v>2.0457890548524958E-2</v>
      </c>
      <c r="F538" s="6"/>
      <c r="G538" s="6">
        <v>531</v>
      </c>
      <c r="H538" s="6">
        <f t="shared" ca="1" si="21"/>
        <v>-1.2778391637058292E-2</v>
      </c>
    </row>
    <row r="539" spans="2:8" x14ac:dyDescent="0.3">
      <c r="B539" s="4">
        <v>40338</v>
      </c>
      <c r="C539" s="7">
        <v>198.13</v>
      </c>
      <c r="D539" s="6">
        <f t="shared" si="20"/>
        <v>-0.8284232221413973</v>
      </c>
      <c r="E539" s="6">
        <v>2.0447053976102178E-2</v>
      </c>
      <c r="F539" s="6"/>
      <c r="G539" s="6">
        <v>532</v>
      </c>
      <c r="H539" s="6">
        <f t="shared" ca="1" si="21"/>
        <v>-1.5002421199815154E-2</v>
      </c>
    </row>
    <row r="540" spans="2:8" x14ac:dyDescent="0.3">
      <c r="B540" s="4">
        <v>43383</v>
      </c>
      <c r="C540" s="5">
        <v>1154.76</v>
      </c>
      <c r="D540" s="6">
        <f t="shared" si="20"/>
        <v>-0.61859402042514966</v>
      </c>
      <c r="E540" s="6">
        <v>2.0430525608850773E-2</v>
      </c>
      <c r="F540" s="6"/>
      <c r="G540" s="6">
        <v>533</v>
      </c>
      <c r="H540" s="6">
        <f t="shared" ca="1" si="21"/>
        <v>-9.2753797868631825E-3</v>
      </c>
    </row>
    <row r="541" spans="2:8" x14ac:dyDescent="0.3">
      <c r="B541" s="4">
        <v>45238</v>
      </c>
      <c r="C541" s="5">
        <v>3027.64</v>
      </c>
      <c r="D541" s="6">
        <f t="shared" si="20"/>
        <v>5.8784987277353684</v>
      </c>
      <c r="E541" s="6">
        <v>2.0407200320852997E-2</v>
      </c>
      <c r="F541" s="6"/>
      <c r="G541" s="6">
        <v>534</v>
      </c>
      <c r="H541" s="6">
        <f t="shared" ca="1" si="21"/>
        <v>3.46144407892362E-2</v>
      </c>
    </row>
    <row r="542" spans="2:8" x14ac:dyDescent="0.3">
      <c r="B542" s="4">
        <v>41424</v>
      </c>
      <c r="C542" s="7">
        <v>440.16</v>
      </c>
      <c r="D542" s="6">
        <f t="shared" si="20"/>
        <v>25.660205935796487</v>
      </c>
      <c r="E542" s="6">
        <v>2.0400593471810113E-2</v>
      </c>
      <c r="F542" s="6"/>
      <c r="G542" s="6">
        <v>535</v>
      </c>
      <c r="H542" s="6">
        <f t="shared" ca="1" si="21"/>
        <v>2.6233211204533181E-2</v>
      </c>
    </row>
    <row r="543" spans="2:8" x14ac:dyDescent="0.3">
      <c r="B543" s="4">
        <v>37574</v>
      </c>
      <c r="C543" s="7">
        <v>16.510000000000002</v>
      </c>
      <c r="D543" s="6">
        <f t="shared" si="20"/>
        <v>-0.99078220088213942</v>
      </c>
      <c r="E543" s="6">
        <v>2.0395550061804813E-2</v>
      </c>
      <c r="F543" s="6"/>
      <c r="G543" s="6">
        <v>536</v>
      </c>
      <c r="H543" s="6">
        <f t="shared" ca="1" si="21"/>
        <v>1.7888171832912279E-2</v>
      </c>
    </row>
    <row r="544" spans="2:8" x14ac:dyDescent="0.3">
      <c r="B544" s="4">
        <v>44061</v>
      </c>
      <c r="C544" s="5">
        <v>1791.1</v>
      </c>
      <c r="D544" s="6">
        <f t="shared" si="20"/>
        <v>3.5868011984941992</v>
      </c>
      <c r="E544" s="6">
        <v>2.0360495852702585E-2</v>
      </c>
      <c r="F544" s="6"/>
      <c r="G544" s="6">
        <v>537</v>
      </c>
      <c r="H544" s="6">
        <f t="shared" ca="1" si="21"/>
        <v>1.1532347780213385E-2</v>
      </c>
    </row>
    <row r="545" spans="2:8" x14ac:dyDescent="0.3">
      <c r="B545" s="4">
        <v>41334</v>
      </c>
      <c r="C545" s="7">
        <v>390.49</v>
      </c>
      <c r="D545" s="6">
        <f t="shared" si="20"/>
        <v>5.1727790072715782</v>
      </c>
      <c r="E545" s="6">
        <v>2.0355369741311788E-2</v>
      </c>
      <c r="F545" s="6"/>
      <c r="G545" s="6">
        <v>538</v>
      </c>
      <c r="H545" s="6">
        <f t="shared" ca="1" si="21"/>
        <v>5.0971425410959371E-2</v>
      </c>
    </row>
    <row r="546" spans="2:8" x14ac:dyDescent="0.3">
      <c r="B546" s="4">
        <v>39170</v>
      </c>
      <c r="C546" s="7">
        <v>63.26</v>
      </c>
      <c r="D546" s="6">
        <f t="shared" si="20"/>
        <v>-0.83598651801918589</v>
      </c>
      <c r="E546" s="6">
        <v>2.0322580645161258E-2</v>
      </c>
      <c r="F546" s="6"/>
      <c r="G546" s="6">
        <v>539</v>
      </c>
      <c r="H546" s="6">
        <f t="shared" ca="1" si="21"/>
        <v>-1.1532982356784915E-2</v>
      </c>
    </row>
    <row r="547" spans="2:8" x14ac:dyDescent="0.3">
      <c r="B547" s="4">
        <v>41505</v>
      </c>
      <c r="C547" s="7">
        <v>385.7</v>
      </c>
      <c r="D547" s="6">
        <f t="shared" si="20"/>
        <v>2.3483809358451255</v>
      </c>
      <c r="E547" s="6">
        <v>2.0316385376435129E-2</v>
      </c>
      <c r="F547" s="6"/>
      <c r="G547" s="6">
        <v>540</v>
      </c>
      <c r="H547" s="6">
        <f t="shared" ca="1" si="21"/>
        <v>2.3488832239408876E-2</v>
      </c>
    </row>
    <row r="548" spans="2:8" x14ac:dyDescent="0.3">
      <c r="B548" s="4">
        <v>40049</v>
      </c>
      <c r="C548" s="7">
        <v>115.19</v>
      </c>
      <c r="D548" s="6">
        <f t="shared" si="20"/>
        <v>-0.64855381986819627</v>
      </c>
      <c r="E548" s="6">
        <v>2.028343666961906E-2</v>
      </c>
      <c r="F548" s="6"/>
      <c r="G548" s="6">
        <v>541</v>
      </c>
      <c r="H548" s="6">
        <f t="shared" ca="1" si="21"/>
        <v>1.0152146826639062E-2</v>
      </c>
    </row>
    <row r="549" spans="2:8" x14ac:dyDescent="0.3">
      <c r="B549" s="4">
        <v>41043</v>
      </c>
      <c r="C549" s="7">
        <v>327.76</v>
      </c>
      <c r="D549" s="6">
        <f t="shared" si="20"/>
        <v>-0.87759050183561971</v>
      </c>
      <c r="E549" s="6">
        <v>2.0264591439688687E-2</v>
      </c>
      <c r="F549" s="6"/>
      <c r="G549" s="6">
        <v>542</v>
      </c>
      <c r="H549" s="6">
        <f t="shared" ca="1" si="21"/>
        <v>3.2956153089973928E-3</v>
      </c>
    </row>
    <row r="550" spans="2:8" x14ac:dyDescent="0.3">
      <c r="B550" s="4">
        <v>44960</v>
      </c>
      <c r="C550" s="5">
        <v>2677.57</v>
      </c>
      <c r="D550" s="6">
        <f t="shared" si="20"/>
        <v>8.6353593148368066</v>
      </c>
      <c r="E550" s="6">
        <v>2.0236543898554418E-2</v>
      </c>
      <c r="F550" s="6"/>
      <c r="G550" s="6">
        <v>543</v>
      </c>
      <c r="H550" s="6">
        <f t="shared" ca="1" si="21"/>
        <v>9.2124663084313402E-3</v>
      </c>
    </row>
    <row r="551" spans="2:8" x14ac:dyDescent="0.3">
      <c r="B551" s="4">
        <v>40697</v>
      </c>
      <c r="C551" s="7">
        <v>277.89</v>
      </c>
      <c r="D551" s="6">
        <f t="shared" si="20"/>
        <v>7.861288265306122</v>
      </c>
      <c r="E551" s="6">
        <v>2.0191636991078968E-2</v>
      </c>
      <c r="F551" s="6"/>
      <c r="G551" s="6">
        <v>544</v>
      </c>
      <c r="H551" s="6">
        <f t="shared" ca="1" si="21"/>
        <v>-3.1303571443430669E-2</v>
      </c>
    </row>
    <row r="552" spans="2:8" x14ac:dyDescent="0.3">
      <c r="B552" s="4">
        <v>38498</v>
      </c>
      <c r="C552" s="7">
        <v>31.36</v>
      </c>
      <c r="D552" s="6">
        <f t="shared" si="20"/>
        <v>-0.96968173556595383</v>
      </c>
      <c r="E552" s="6">
        <v>2.0169160702667568E-2</v>
      </c>
      <c r="F552" s="6"/>
      <c r="G552" s="6">
        <v>545</v>
      </c>
      <c r="H552" s="6">
        <f t="shared" ca="1" si="21"/>
        <v>3.3467270067480334E-2</v>
      </c>
    </row>
    <row r="553" spans="2:8" x14ac:dyDescent="0.3">
      <c r="B553" s="4">
        <v>42880</v>
      </c>
      <c r="C553" s="5">
        <v>1034.3599999999999</v>
      </c>
      <c r="D553" s="6">
        <f t="shared" si="20"/>
        <v>29.042404879465582</v>
      </c>
      <c r="E553" s="6">
        <v>2.0159381410762133E-2</v>
      </c>
      <c r="F553" s="6"/>
      <c r="G553" s="6">
        <v>546</v>
      </c>
      <c r="H553" s="6">
        <f t="shared" ca="1" si="21"/>
        <v>1.6962369780587589E-2</v>
      </c>
    </row>
    <row r="554" spans="2:8" x14ac:dyDescent="0.3">
      <c r="B554" s="4">
        <v>38541</v>
      </c>
      <c r="C554" s="7">
        <v>34.43</v>
      </c>
      <c r="D554" s="6">
        <f t="shared" si="20"/>
        <v>-0.95791673796660726</v>
      </c>
      <c r="E554" s="6">
        <v>2.0148148148148141E-2</v>
      </c>
      <c r="F554" s="6"/>
      <c r="G554" s="6">
        <v>547</v>
      </c>
      <c r="H554" s="6">
        <f t="shared" ca="1" si="21"/>
        <v>1.7425549237070775E-3</v>
      </c>
    </row>
    <row r="555" spans="2:8" x14ac:dyDescent="0.3">
      <c r="B555" s="4">
        <v>42401</v>
      </c>
      <c r="C555" s="7">
        <v>818.14</v>
      </c>
      <c r="D555" s="6">
        <f t="shared" si="20"/>
        <v>1.5598072651043458</v>
      </c>
      <c r="E555" s="6">
        <v>2.0111968678694775E-2</v>
      </c>
      <c r="F555" s="6"/>
      <c r="G555" s="6">
        <v>548</v>
      </c>
      <c r="H555" s="6">
        <f t="shared" ca="1" si="21"/>
        <v>-1.6671065325970132E-2</v>
      </c>
    </row>
    <row r="556" spans="2:8" x14ac:dyDescent="0.3">
      <c r="B556" s="4">
        <v>41120</v>
      </c>
      <c r="C556" s="7">
        <v>319.61</v>
      </c>
      <c r="D556" s="6">
        <f t="shared" si="20"/>
        <v>-0.54700588193607824</v>
      </c>
      <c r="E556" s="6">
        <v>2.0107880374070446E-2</v>
      </c>
      <c r="F556" s="6"/>
      <c r="G556" s="6">
        <v>549</v>
      </c>
      <c r="H556" s="6">
        <f t="shared" ca="1" si="21"/>
        <v>-1.3004904163217828E-2</v>
      </c>
    </row>
    <row r="557" spans="2:8" x14ac:dyDescent="0.3">
      <c r="B557" s="4">
        <v>42011</v>
      </c>
      <c r="C557" s="7">
        <v>705.55</v>
      </c>
      <c r="D557" s="6">
        <f t="shared" si="20"/>
        <v>-0.52419648517054884</v>
      </c>
      <c r="E557" s="6">
        <v>2.0096869804091633E-2</v>
      </c>
      <c r="F557" s="6"/>
      <c r="G557" s="6">
        <v>550</v>
      </c>
      <c r="H557" s="6">
        <f t="shared" ca="1" si="21"/>
        <v>-9.863619779587194E-3</v>
      </c>
    </row>
    <row r="558" spans="2:8" x14ac:dyDescent="0.3">
      <c r="B558" s="4">
        <v>43966</v>
      </c>
      <c r="C558" s="5">
        <v>1482.86</v>
      </c>
      <c r="D558" s="6">
        <f t="shared" si="20"/>
        <v>5.2710817897318778</v>
      </c>
      <c r="E558" s="6">
        <v>2.0066176420006909E-2</v>
      </c>
      <c r="F558" s="6"/>
      <c r="G558" s="6">
        <v>551</v>
      </c>
      <c r="H558" s="6">
        <f t="shared" ca="1" si="21"/>
        <v>-1.9021151787855642E-2</v>
      </c>
    </row>
    <row r="559" spans="2:8" x14ac:dyDescent="0.3">
      <c r="B559" s="4">
        <v>40409</v>
      </c>
      <c r="C559" s="7">
        <v>236.46</v>
      </c>
      <c r="D559" s="6">
        <f t="shared" si="20"/>
        <v>-0.78904075369352655</v>
      </c>
      <c r="E559" s="6">
        <v>2.0015529289966416E-2</v>
      </c>
      <c r="F559" s="6"/>
      <c r="G559" s="6">
        <v>552</v>
      </c>
      <c r="H559" s="6">
        <f t="shared" ca="1" si="21"/>
        <v>7.3654141078817311E-3</v>
      </c>
    </row>
    <row r="560" spans="2:8" x14ac:dyDescent="0.3">
      <c r="B560" s="4">
        <v>43048</v>
      </c>
      <c r="C560" s="5">
        <v>1120.8800000000001</v>
      </c>
      <c r="D560" s="6">
        <f t="shared" si="20"/>
        <v>13.244249586986912</v>
      </c>
      <c r="E560" s="6">
        <v>1.9964693249859004E-2</v>
      </c>
      <c r="F560" s="6"/>
      <c r="G560" s="6">
        <v>553</v>
      </c>
      <c r="H560" s="6">
        <f t="shared" ca="1" si="21"/>
        <v>2.5244788377900895E-2</v>
      </c>
    </row>
    <row r="561" spans="2:8" x14ac:dyDescent="0.3">
      <c r="B561" s="4">
        <v>39836</v>
      </c>
      <c r="C561" s="7">
        <v>78.69</v>
      </c>
      <c r="D561" s="6">
        <f t="shared" si="20"/>
        <v>-0.65733321720954541</v>
      </c>
      <c r="E561" s="6">
        <v>1.9961114711600673E-2</v>
      </c>
      <c r="F561" s="6"/>
      <c r="G561" s="6">
        <v>554</v>
      </c>
      <c r="H561" s="6">
        <f t="shared" ca="1" si="21"/>
        <v>3.4385248455979935E-2</v>
      </c>
    </row>
    <row r="562" spans="2:8" x14ac:dyDescent="0.3">
      <c r="B562" s="4">
        <v>40646</v>
      </c>
      <c r="C562" s="7">
        <v>229.64</v>
      </c>
      <c r="D562" s="6">
        <f t="shared" si="20"/>
        <v>-0.49211544841313726</v>
      </c>
      <c r="E562" s="6">
        <v>1.994226071507875E-2</v>
      </c>
      <c r="F562" s="6"/>
      <c r="G562" s="6">
        <v>555</v>
      </c>
      <c r="H562" s="6">
        <f t="shared" ca="1" si="21"/>
        <v>-1.7558476355544709E-3</v>
      </c>
    </row>
    <row r="563" spans="2:8" x14ac:dyDescent="0.3">
      <c r="B563" s="4">
        <v>41640</v>
      </c>
      <c r="C563" s="7">
        <v>452.15</v>
      </c>
      <c r="D563" s="6">
        <f t="shared" si="20"/>
        <v>27.419233186675044</v>
      </c>
      <c r="E563" s="6">
        <v>1.9894886427717487E-2</v>
      </c>
      <c r="F563" s="6"/>
      <c r="G563" s="6">
        <v>556</v>
      </c>
      <c r="H563" s="6">
        <f t="shared" ca="1" si="21"/>
        <v>-2.5076119036496543E-2</v>
      </c>
    </row>
    <row r="564" spans="2:8" x14ac:dyDescent="0.3">
      <c r="B564" s="4">
        <v>37687</v>
      </c>
      <c r="C564" s="7">
        <v>15.91</v>
      </c>
      <c r="D564" s="6">
        <f t="shared" si="20"/>
        <v>-0.98028818158165354</v>
      </c>
      <c r="E564" s="6">
        <v>1.9871794871794905E-2</v>
      </c>
      <c r="F564" s="6"/>
      <c r="G564" s="6">
        <v>557</v>
      </c>
      <c r="H564" s="6">
        <f t="shared" ca="1" si="21"/>
        <v>-2.2356094771029175E-2</v>
      </c>
    </row>
    <row r="565" spans="2:8" x14ac:dyDescent="0.3">
      <c r="B565" s="4">
        <v>42352</v>
      </c>
      <c r="C565" s="7">
        <v>807.13</v>
      </c>
      <c r="D565" s="6">
        <f t="shared" si="20"/>
        <v>-0.72822167074661337</v>
      </c>
      <c r="E565" s="6">
        <v>1.9863281990371649E-2</v>
      </c>
      <c r="F565" s="6"/>
      <c r="G565" s="6">
        <v>558</v>
      </c>
      <c r="H565" s="6">
        <f t="shared" ca="1" si="21"/>
        <v>-2.9756631170830879E-2</v>
      </c>
    </row>
    <row r="566" spans="2:8" x14ac:dyDescent="0.3">
      <c r="B566" s="4">
        <v>44763</v>
      </c>
      <c r="C566" s="5">
        <v>2969.81</v>
      </c>
      <c r="D566" s="6">
        <f t="shared" si="20"/>
        <v>9.6060854969465392</v>
      </c>
      <c r="E566" s="6">
        <v>1.9841828552590372E-2</v>
      </c>
      <c r="F566" s="6"/>
      <c r="G566" s="6">
        <v>559</v>
      </c>
      <c r="H566" s="6">
        <f t="shared" ca="1" si="21"/>
        <v>2.195138252836118E-2</v>
      </c>
    </row>
    <row r="567" spans="2:8" x14ac:dyDescent="0.3">
      <c r="B567" s="4">
        <v>40967</v>
      </c>
      <c r="C567" s="7">
        <v>280.01</v>
      </c>
      <c r="D567" s="6">
        <f t="shared" si="20"/>
        <v>0.82452596598683781</v>
      </c>
      <c r="E567" s="6">
        <v>1.981279819353898E-2</v>
      </c>
      <c r="F567" s="6"/>
      <c r="G567" s="6">
        <v>560</v>
      </c>
      <c r="H567" s="6">
        <f t="shared" ca="1" si="21"/>
        <v>2.2656316982658339E-2</v>
      </c>
    </row>
    <row r="568" spans="2:8" x14ac:dyDescent="0.3">
      <c r="B568" s="4">
        <v>40163</v>
      </c>
      <c r="C568" s="7">
        <v>153.47</v>
      </c>
      <c r="D568" s="6">
        <f t="shared" si="20"/>
        <v>-0.90705997771425806</v>
      </c>
      <c r="E568" s="6">
        <v>1.9801980198019733E-2</v>
      </c>
      <c r="F568" s="6"/>
      <c r="G568" s="6">
        <v>561</v>
      </c>
      <c r="H568" s="6">
        <f t="shared" ca="1" si="21"/>
        <v>-1.670894493518409E-2</v>
      </c>
    </row>
    <row r="569" spans="2:8" x14ac:dyDescent="0.3">
      <c r="B569" s="4">
        <v>44035</v>
      </c>
      <c r="C569" s="5">
        <v>1651.28</v>
      </c>
      <c r="D569" s="6">
        <f t="shared" si="20"/>
        <v>5.6074986995318312</v>
      </c>
      <c r="E569" s="6">
        <v>1.9799656624794621E-2</v>
      </c>
      <c r="F569" s="6"/>
      <c r="G569" s="6">
        <v>562</v>
      </c>
      <c r="H569" s="6">
        <f t="shared" ca="1" si="21"/>
        <v>1.3141117482693599E-3</v>
      </c>
    </row>
    <row r="570" spans="2:8" x14ac:dyDescent="0.3">
      <c r="B570" s="4">
        <v>40680</v>
      </c>
      <c r="C570" s="7">
        <v>249.91</v>
      </c>
      <c r="D570" s="6">
        <f t="shared" si="20"/>
        <v>1.3191351150705268</v>
      </c>
      <c r="E570" s="6">
        <v>1.979107157430831E-2</v>
      </c>
      <c r="F570" s="6"/>
      <c r="G570" s="6">
        <v>563</v>
      </c>
      <c r="H570" s="6">
        <f t="shared" ca="1" si="21"/>
        <v>-5.3581885560068732E-3</v>
      </c>
    </row>
    <row r="571" spans="2:8" x14ac:dyDescent="0.3">
      <c r="B571" s="4">
        <v>39568</v>
      </c>
      <c r="C571" s="7">
        <v>107.76</v>
      </c>
      <c r="D571" s="6">
        <f t="shared" si="20"/>
        <v>-0.5732784223656594</v>
      </c>
      <c r="E571" s="6">
        <v>1.9778555881517966E-2</v>
      </c>
      <c r="F571" s="6"/>
      <c r="G571" s="6">
        <v>564</v>
      </c>
      <c r="H571" s="6">
        <f t="shared" ca="1" si="21"/>
        <v>1.731661032815603E-2</v>
      </c>
    </row>
    <row r="572" spans="2:8" x14ac:dyDescent="0.3">
      <c r="B572" s="4">
        <v>40543</v>
      </c>
      <c r="C572" s="7">
        <v>252.53</v>
      </c>
      <c r="D572" s="6">
        <f t="shared" si="20"/>
        <v>-0.69787641323203931</v>
      </c>
      <c r="E572" s="6">
        <v>1.9746406073332317E-2</v>
      </c>
      <c r="F572" s="6"/>
      <c r="G572" s="6">
        <v>565</v>
      </c>
      <c r="H572" s="6">
        <f t="shared" ca="1" si="21"/>
        <v>2.0778735433070492E-2</v>
      </c>
    </row>
    <row r="573" spans="2:8" x14ac:dyDescent="0.3">
      <c r="B573" s="4">
        <v>42499</v>
      </c>
      <c r="C573" s="7">
        <v>835.85</v>
      </c>
      <c r="D573" s="6">
        <f t="shared" si="20"/>
        <v>-0.67624422383440563</v>
      </c>
      <c r="E573" s="6">
        <v>1.9739651323093518E-2</v>
      </c>
      <c r="F573" s="6"/>
      <c r="G573" s="6">
        <v>566</v>
      </c>
      <c r="H573" s="6">
        <f t="shared" ca="1" si="21"/>
        <v>-9.6866507531617133E-3</v>
      </c>
    </row>
    <row r="574" spans="2:8" x14ac:dyDescent="0.3">
      <c r="B574" s="4">
        <v>44216</v>
      </c>
      <c r="C574" s="5">
        <v>2581.73</v>
      </c>
      <c r="D574" s="6">
        <f t="shared" si="20"/>
        <v>57.016404494382023</v>
      </c>
      <c r="E574" s="6">
        <v>1.9733230111740021E-2</v>
      </c>
      <c r="F574" s="6"/>
      <c r="G574" s="6">
        <v>567</v>
      </c>
      <c r="H574" s="6">
        <f t="shared" ca="1" si="21"/>
        <v>4.0184174127486684E-2</v>
      </c>
    </row>
    <row r="575" spans="2:8" x14ac:dyDescent="0.3">
      <c r="B575" s="4">
        <v>38699</v>
      </c>
      <c r="C575" s="7">
        <v>44.5</v>
      </c>
      <c r="D575" s="6">
        <f t="shared" si="20"/>
        <v>-0.96509667045766501</v>
      </c>
      <c r="E575" s="6">
        <v>1.9706691109074231E-2</v>
      </c>
      <c r="F575" s="6"/>
      <c r="G575" s="6">
        <v>568</v>
      </c>
      <c r="H575" s="6">
        <f t="shared" ca="1" si="21"/>
        <v>2.0491352697690403E-2</v>
      </c>
    </row>
    <row r="576" spans="2:8" x14ac:dyDescent="0.3">
      <c r="B576" s="4">
        <v>43433</v>
      </c>
      <c r="C576" s="5">
        <v>1274.95</v>
      </c>
      <c r="D576" s="6">
        <f t="shared" si="20"/>
        <v>-0.54483465247209106</v>
      </c>
      <c r="E576" s="6">
        <v>1.9674491142480217E-2</v>
      </c>
      <c r="F576" s="6"/>
      <c r="G576" s="6">
        <v>569</v>
      </c>
      <c r="H576" s="6">
        <f t="shared" ca="1" si="21"/>
        <v>-1.2181524782167226E-2</v>
      </c>
    </row>
    <row r="577" spans="2:8" x14ac:dyDescent="0.3">
      <c r="B577" s="4">
        <v>44714</v>
      </c>
      <c r="C577" s="5">
        <v>2801.07</v>
      </c>
      <c r="D577" s="6">
        <f t="shared" si="20"/>
        <v>7.4265515477873718</v>
      </c>
      <c r="E577" s="6">
        <v>1.9649884059131668E-2</v>
      </c>
      <c r="F577" s="6"/>
      <c r="G577" s="6">
        <v>570</v>
      </c>
      <c r="H577" s="6">
        <f t="shared" ca="1" si="21"/>
        <v>5.0752964646723769E-2</v>
      </c>
    </row>
    <row r="578" spans="2:8" x14ac:dyDescent="0.3">
      <c r="B578" s="4">
        <v>41053</v>
      </c>
      <c r="C578" s="7">
        <v>332.41</v>
      </c>
      <c r="D578" s="6">
        <f t="shared" si="20"/>
        <v>0.21131841702499821</v>
      </c>
      <c r="E578" s="6">
        <v>1.9631299653384969E-2</v>
      </c>
      <c r="F578" s="6"/>
      <c r="G578" s="6">
        <v>571</v>
      </c>
      <c r="H578" s="6">
        <f t="shared" ca="1" si="21"/>
        <v>-1.4502872675796395E-2</v>
      </c>
    </row>
    <row r="579" spans="2:8" x14ac:dyDescent="0.3">
      <c r="B579" s="4">
        <v>40863</v>
      </c>
      <c r="C579" s="7">
        <v>274.42</v>
      </c>
      <c r="D579" s="6">
        <f t="shared" si="20"/>
        <v>-0.83592619608499641</v>
      </c>
      <c r="E579" s="6">
        <v>1.9618042654380729E-2</v>
      </c>
      <c r="F579" s="6"/>
      <c r="G579" s="6">
        <v>572</v>
      </c>
      <c r="H579" s="6">
        <f t="shared" ca="1" si="21"/>
        <v>1.6411118450843878E-2</v>
      </c>
    </row>
    <row r="580" spans="2:8" x14ac:dyDescent="0.3">
      <c r="B580" s="4">
        <v>44032</v>
      </c>
      <c r="C580" s="5">
        <v>1672.54</v>
      </c>
      <c r="D580" s="6">
        <f t="shared" si="20"/>
        <v>-0.12524058577405858</v>
      </c>
      <c r="E580" s="6">
        <v>1.9611429128794159E-2</v>
      </c>
      <c r="F580" s="6"/>
      <c r="G580" s="6">
        <v>573</v>
      </c>
      <c r="H580" s="6">
        <f t="shared" ca="1" si="21"/>
        <v>-1.0266905612857728E-2</v>
      </c>
    </row>
    <row r="581" spans="2:8" x14ac:dyDescent="0.3">
      <c r="B581" s="4">
        <v>44068</v>
      </c>
      <c r="C581" s="5">
        <v>1912</v>
      </c>
      <c r="D581" s="6">
        <f t="shared" si="20"/>
        <v>36.104599262565493</v>
      </c>
      <c r="E581" s="6">
        <v>1.9597387015064659E-2</v>
      </c>
      <c r="F581" s="6"/>
      <c r="G581" s="6">
        <v>574</v>
      </c>
      <c r="H581" s="6">
        <f t="shared" ca="1" si="21"/>
        <v>1.8615982291768692E-2</v>
      </c>
    </row>
    <row r="582" spans="2:8" x14ac:dyDescent="0.3">
      <c r="B582" s="4">
        <v>38954</v>
      </c>
      <c r="C582" s="7">
        <v>51.53</v>
      </c>
      <c r="D582" s="6">
        <f t="shared" si="20"/>
        <v>8.6214165261382869E-2</v>
      </c>
      <c r="E582" s="6">
        <v>1.9588444796201067E-2</v>
      </c>
      <c r="F582" s="6"/>
      <c r="G582" s="6">
        <v>575</v>
      </c>
      <c r="H582" s="6">
        <f t="shared" ca="1" si="21"/>
        <v>-1.5043038471842312E-2</v>
      </c>
    </row>
    <row r="583" spans="2:8" x14ac:dyDescent="0.3">
      <c r="B583" s="4">
        <v>38735</v>
      </c>
      <c r="C583" s="7">
        <v>47.44</v>
      </c>
      <c r="D583" s="6">
        <f t="shared" si="20"/>
        <v>-0.98603255733158246</v>
      </c>
      <c r="E583" s="6">
        <v>1.9557274876423739E-2</v>
      </c>
      <c r="F583" s="6"/>
      <c r="G583" s="6">
        <v>576</v>
      </c>
      <c r="H583" s="6">
        <f t="shared" ca="1" si="21"/>
        <v>-4.6451352243246083E-3</v>
      </c>
    </row>
    <row r="584" spans="2:8" x14ac:dyDescent="0.3">
      <c r="B584" s="4">
        <v>44566</v>
      </c>
      <c r="C584" s="5">
        <v>3396.47</v>
      </c>
      <c r="D584" s="6">
        <f t="shared" ref="D584:D647" si="22">((C584-C585)/C585)</f>
        <v>149.88716126166145</v>
      </c>
      <c r="E584" s="6">
        <v>1.9513966849369273E-2</v>
      </c>
      <c r="F584" s="6"/>
      <c r="G584" s="6">
        <v>577</v>
      </c>
      <c r="H584" s="6">
        <f t="shared" ca="1" si="21"/>
        <v>-2.9325062963662978E-2</v>
      </c>
    </row>
    <row r="585" spans="2:8" x14ac:dyDescent="0.3">
      <c r="B585" s="4">
        <v>38152</v>
      </c>
      <c r="C585" s="7">
        <v>22.51</v>
      </c>
      <c r="D585" s="6">
        <f t="shared" si="22"/>
        <v>-0.55715128860908902</v>
      </c>
      <c r="E585" s="6">
        <v>1.9474637681159569E-2</v>
      </c>
      <c r="F585" s="6"/>
      <c r="G585" s="6">
        <v>578</v>
      </c>
      <c r="H585" s="6">
        <f t="shared" ref="H585:H648" ca="1" si="23">_xlfn.NORM.INV(RAND(),N$10,N$11)</f>
        <v>-1.8525883813334958E-2</v>
      </c>
    </row>
    <row r="586" spans="2:8" x14ac:dyDescent="0.3">
      <c r="B586" s="4">
        <v>38826</v>
      </c>
      <c r="C586" s="7">
        <v>50.83</v>
      </c>
      <c r="D586" s="6">
        <f t="shared" si="22"/>
        <v>-0.9401281537845414</v>
      </c>
      <c r="E586" s="6">
        <v>1.9454472523064557E-2</v>
      </c>
      <c r="F586" s="6"/>
      <c r="G586" s="6">
        <v>579</v>
      </c>
      <c r="H586" s="6">
        <f t="shared" ca="1" si="23"/>
        <v>-4.9548307630874842E-3</v>
      </c>
    </row>
    <row r="587" spans="2:8" x14ac:dyDescent="0.3">
      <c r="B587" s="4">
        <v>42221</v>
      </c>
      <c r="C587" s="7">
        <v>848.98</v>
      </c>
      <c r="D587" s="6">
        <f t="shared" si="22"/>
        <v>13.708593208593209</v>
      </c>
      <c r="E587" s="6">
        <v>1.9428434197886726E-2</v>
      </c>
      <c r="F587" s="6"/>
      <c r="G587" s="6">
        <v>580</v>
      </c>
      <c r="H587" s="6">
        <f t="shared" ca="1" si="23"/>
        <v>-8.0358392176311851E-3</v>
      </c>
    </row>
    <row r="588" spans="2:8" x14ac:dyDescent="0.3">
      <c r="B588" s="4">
        <v>39153</v>
      </c>
      <c r="C588" s="7">
        <v>57.72</v>
      </c>
      <c r="D588" s="6">
        <f t="shared" si="22"/>
        <v>4.5652173913043402E-2</v>
      </c>
      <c r="E588" s="6">
        <v>1.9427764040974946E-2</v>
      </c>
      <c r="F588" s="6"/>
      <c r="G588" s="6">
        <v>581</v>
      </c>
      <c r="H588" s="6">
        <f t="shared" ca="1" si="23"/>
        <v>1.8611017695500075E-2</v>
      </c>
    </row>
    <row r="589" spans="2:8" x14ac:dyDescent="0.3">
      <c r="B589" s="4">
        <v>38777</v>
      </c>
      <c r="C589" s="7">
        <v>55.2</v>
      </c>
      <c r="D589" s="6">
        <f t="shared" si="22"/>
        <v>-0.98164582425876734</v>
      </c>
      <c r="E589" s="6">
        <v>1.9390581717451602E-2</v>
      </c>
      <c r="F589" s="6"/>
      <c r="G589" s="6">
        <v>582</v>
      </c>
      <c r="H589" s="6">
        <f t="shared" ca="1" si="23"/>
        <v>3.4717337969230808E-2</v>
      </c>
    </row>
    <row r="590" spans="2:8" x14ac:dyDescent="0.3">
      <c r="B590" s="4">
        <v>44512</v>
      </c>
      <c r="C590" s="5">
        <v>3007.49</v>
      </c>
      <c r="D590" s="6">
        <f t="shared" si="22"/>
        <v>6.0580131890826303</v>
      </c>
      <c r="E590" s="6">
        <v>1.9387924576905937E-2</v>
      </c>
      <c r="F590" s="6"/>
      <c r="G590" s="6">
        <v>583</v>
      </c>
      <c r="H590" s="6">
        <f t="shared" ca="1" si="23"/>
        <v>1.102478985583278E-2</v>
      </c>
    </row>
    <row r="591" spans="2:8" x14ac:dyDescent="0.3">
      <c r="B591" s="4">
        <v>41344</v>
      </c>
      <c r="C591" s="7">
        <v>426.11</v>
      </c>
      <c r="D591" s="6">
        <f t="shared" si="22"/>
        <v>25.029932803909588</v>
      </c>
      <c r="E591" s="6">
        <v>1.9304372787293064E-2</v>
      </c>
      <c r="F591" s="6"/>
      <c r="G591" s="6">
        <v>584</v>
      </c>
      <c r="H591" s="6">
        <f t="shared" ca="1" si="23"/>
        <v>-2.932677816374124E-4</v>
      </c>
    </row>
    <row r="592" spans="2:8" x14ac:dyDescent="0.3">
      <c r="B592" s="4">
        <v>37733</v>
      </c>
      <c r="C592" s="7">
        <v>16.37</v>
      </c>
      <c r="D592" s="6">
        <f t="shared" si="22"/>
        <v>-0.90936271524278833</v>
      </c>
      <c r="E592" s="6">
        <v>1.9302615193026295E-2</v>
      </c>
      <c r="F592" s="6"/>
      <c r="G592" s="6">
        <v>585</v>
      </c>
      <c r="H592" s="6">
        <f t="shared" ca="1" si="23"/>
        <v>1.4369487139987984E-3</v>
      </c>
    </row>
    <row r="593" spans="2:8" x14ac:dyDescent="0.3">
      <c r="B593" s="4">
        <v>40288</v>
      </c>
      <c r="C593" s="7">
        <v>180.61</v>
      </c>
      <c r="D593" s="6">
        <f t="shared" si="22"/>
        <v>-0.75525773754675052</v>
      </c>
      <c r="E593" s="6">
        <v>1.9301314972628342E-2</v>
      </c>
      <c r="F593" s="6"/>
      <c r="G593" s="6">
        <v>586</v>
      </c>
      <c r="H593" s="6">
        <f t="shared" ca="1" si="23"/>
        <v>2.0231530889019914E-2</v>
      </c>
    </row>
    <row r="594" spans="2:8" x14ac:dyDescent="0.3">
      <c r="B594" s="4">
        <v>42062</v>
      </c>
      <c r="C594" s="7">
        <v>737.96</v>
      </c>
      <c r="D594" s="6">
        <f t="shared" si="22"/>
        <v>-0.75519248950886564</v>
      </c>
      <c r="E594" s="6">
        <v>1.9253611778680221E-2</v>
      </c>
      <c r="F594" s="6"/>
      <c r="G594" s="6">
        <v>587</v>
      </c>
      <c r="H594" s="6">
        <f t="shared" ca="1" si="23"/>
        <v>2.5196828255633543E-3</v>
      </c>
    </row>
    <row r="595" spans="2:8" x14ac:dyDescent="0.3">
      <c r="B595" s="4">
        <v>44865</v>
      </c>
      <c r="C595" s="5">
        <v>3014.45</v>
      </c>
      <c r="D595" s="6">
        <f t="shared" si="22"/>
        <v>13.300725840884292</v>
      </c>
      <c r="E595" s="6">
        <v>1.9252682154920726E-2</v>
      </c>
      <c r="F595" s="6"/>
      <c r="G595" s="6">
        <v>588</v>
      </c>
      <c r="H595" s="6">
        <f t="shared" ca="1" si="23"/>
        <v>1.09232551711613E-2</v>
      </c>
    </row>
    <row r="596" spans="2:8" x14ac:dyDescent="0.3">
      <c r="B596" s="4">
        <v>40350</v>
      </c>
      <c r="C596" s="7">
        <v>210.79</v>
      </c>
      <c r="D596" s="6">
        <f t="shared" si="22"/>
        <v>3.4181513309578699</v>
      </c>
      <c r="E596" s="6">
        <v>1.9244717373434504E-2</v>
      </c>
      <c r="F596" s="6"/>
      <c r="G596" s="6">
        <v>589</v>
      </c>
      <c r="H596" s="6">
        <f t="shared" ca="1" si="23"/>
        <v>5.0599230029481634E-2</v>
      </c>
    </row>
    <row r="597" spans="2:8" x14ac:dyDescent="0.3">
      <c r="B597" s="4">
        <v>38719</v>
      </c>
      <c r="C597" s="7">
        <v>47.71</v>
      </c>
      <c r="D597" s="6">
        <f t="shared" si="22"/>
        <v>-0.97032775670128735</v>
      </c>
      <c r="E597" s="6">
        <v>1.9226660969878198E-2</v>
      </c>
      <c r="F597" s="6"/>
      <c r="G597" s="6">
        <v>590</v>
      </c>
      <c r="H597" s="6">
        <f t="shared" ca="1" si="23"/>
        <v>1.1433213941252046E-2</v>
      </c>
    </row>
    <row r="598" spans="2:8" x14ac:dyDescent="0.3">
      <c r="B598" s="4">
        <v>44005</v>
      </c>
      <c r="C598" s="5">
        <v>1607.9</v>
      </c>
      <c r="D598" s="6">
        <f t="shared" si="22"/>
        <v>0.19853900339159938</v>
      </c>
      <c r="E598" s="6">
        <v>1.9219310589637398E-2</v>
      </c>
      <c r="F598" s="6"/>
      <c r="G598" s="6">
        <v>591</v>
      </c>
      <c r="H598" s="6">
        <f t="shared" ca="1" si="23"/>
        <v>-9.6225133921333146E-3</v>
      </c>
    </row>
    <row r="599" spans="2:8" x14ac:dyDescent="0.3">
      <c r="B599" s="4">
        <v>43319</v>
      </c>
      <c r="C599" s="5">
        <v>1341.55</v>
      </c>
      <c r="D599" s="6">
        <f t="shared" si="22"/>
        <v>-2.6154560896644821E-2</v>
      </c>
      <c r="E599" s="6">
        <v>1.9213529241943052E-2</v>
      </c>
      <c r="F599" s="6"/>
      <c r="G599" s="6">
        <v>592</v>
      </c>
      <c r="H599" s="6">
        <f t="shared" ca="1" si="23"/>
        <v>2.6890104166239544E-2</v>
      </c>
    </row>
    <row r="600" spans="2:8" x14ac:dyDescent="0.3">
      <c r="B600" s="4">
        <v>43571</v>
      </c>
      <c r="C600" s="5">
        <v>1377.58</v>
      </c>
      <c r="D600" s="6">
        <f t="shared" si="22"/>
        <v>2.2037489243935902</v>
      </c>
      <c r="E600" s="6">
        <v>1.9176420105647754E-2</v>
      </c>
      <c r="F600" s="6"/>
      <c r="G600" s="6">
        <v>593</v>
      </c>
      <c r="H600" s="6">
        <f t="shared" ca="1" si="23"/>
        <v>1.276201345978024E-3</v>
      </c>
    </row>
    <row r="601" spans="2:8" x14ac:dyDescent="0.3">
      <c r="B601" s="4">
        <v>41464</v>
      </c>
      <c r="C601" s="7">
        <v>429.99</v>
      </c>
      <c r="D601" s="6">
        <f t="shared" si="22"/>
        <v>17.383497221034631</v>
      </c>
      <c r="E601" s="6">
        <v>1.9175159990519157E-2</v>
      </c>
      <c r="F601" s="6"/>
      <c r="G601" s="6">
        <v>594</v>
      </c>
      <c r="H601" s="6">
        <f t="shared" ca="1" si="23"/>
        <v>-1.7718773053936602E-2</v>
      </c>
    </row>
    <row r="602" spans="2:8" x14ac:dyDescent="0.3">
      <c r="B602" s="4">
        <v>38320</v>
      </c>
      <c r="C602" s="7">
        <v>23.39</v>
      </c>
      <c r="D602" s="6">
        <f t="shared" si="22"/>
        <v>-0.88924140543612096</v>
      </c>
      <c r="E602" s="6">
        <v>1.9172113289760404E-2</v>
      </c>
      <c r="F602" s="6"/>
      <c r="G602" s="6">
        <v>595</v>
      </c>
      <c r="H602" s="6">
        <f t="shared" ca="1" si="23"/>
        <v>1.0263174838200526E-2</v>
      </c>
    </row>
    <row r="603" spans="2:8" x14ac:dyDescent="0.3">
      <c r="B603" s="4">
        <v>40373</v>
      </c>
      <c r="C603" s="7">
        <v>211.18</v>
      </c>
      <c r="D603" s="6">
        <f t="shared" si="22"/>
        <v>-0.52014360698947937</v>
      </c>
      <c r="E603" s="6">
        <v>1.9159306983253698E-2</v>
      </c>
      <c r="F603" s="6"/>
      <c r="G603" s="6">
        <v>596</v>
      </c>
      <c r="H603" s="6">
        <f t="shared" ca="1" si="23"/>
        <v>-2.1426944412254907E-2</v>
      </c>
    </row>
    <row r="604" spans="2:8" x14ac:dyDescent="0.3">
      <c r="B604" s="4">
        <v>41466</v>
      </c>
      <c r="C604" s="7">
        <v>440.09</v>
      </c>
      <c r="D604" s="6">
        <f t="shared" si="22"/>
        <v>0.31751639074334642</v>
      </c>
      <c r="E604" s="6">
        <v>1.915149830948076E-2</v>
      </c>
      <c r="F604" s="6"/>
      <c r="G604" s="6">
        <v>597</v>
      </c>
      <c r="H604" s="6">
        <f t="shared" ca="1" si="23"/>
        <v>-4.1392619210478369E-2</v>
      </c>
    </row>
    <row r="605" spans="2:8" x14ac:dyDescent="0.3">
      <c r="B605" s="4">
        <v>41044</v>
      </c>
      <c r="C605" s="7">
        <v>334.03</v>
      </c>
      <c r="D605" s="6">
        <f t="shared" si="22"/>
        <v>2.9577014218009472</v>
      </c>
      <c r="E605" s="6">
        <v>1.9129851110568655E-2</v>
      </c>
      <c r="F605" s="6"/>
      <c r="G605" s="6">
        <v>598</v>
      </c>
      <c r="H605" s="6">
        <f t="shared" ca="1" si="23"/>
        <v>-8.562035408153099E-3</v>
      </c>
    </row>
    <row r="606" spans="2:8" x14ac:dyDescent="0.3">
      <c r="B606" s="4">
        <v>39430</v>
      </c>
      <c r="C606" s="7">
        <v>84.4</v>
      </c>
      <c r="D606" s="6">
        <f t="shared" si="22"/>
        <v>-0.85949257508157428</v>
      </c>
      <c r="E606" s="6">
        <v>1.9077517507848498E-2</v>
      </c>
      <c r="F606" s="6"/>
      <c r="G606" s="6">
        <v>599</v>
      </c>
      <c r="H606" s="6">
        <f t="shared" ca="1" si="23"/>
        <v>3.5423225806055589E-3</v>
      </c>
    </row>
    <row r="607" spans="2:8" x14ac:dyDescent="0.3">
      <c r="B607" s="4">
        <v>41943</v>
      </c>
      <c r="C607" s="7">
        <v>600.67999999999995</v>
      </c>
      <c r="D607" s="6">
        <f t="shared" si="22"/>
        <v>-0.80053462617675875</v>
      </c>
      <c r="E607" s="6">
        <v>1.9068946796959647E-2</v>
      </c>
      <c r="F607" s="6"/>
      <c r="G607" s="6">
        <v>600</v>
      </c>
      <c r="H607" s="6">
        <f t="shared" ca="1" si="23"/>
        <v>1.1968017523941499E-2</v>
      </c>
    </row>
    <row r="608" spans="2:8" x14ac:dyDescent="0.3">
      <c r="B608" s="4">
        <v>45586</v>
      </c>
      <c r="C608" s="5">
        <v>3011.45</v>
      </c>
      <c r="D608" s="6">
        <f t="shared" si="22"/>
        <v>7.9376446845135629</v>
      </c>
      <c r="E608" s="6">
        <v>1.9065280141855868E-2</v>
      </c>
      <c r="F608" s="6"/>
      <c r="G608" s="6">
        <v>601</v>
      </c>
      <c r="H608" s="6">
        <f t="shared" ca="1" si="23"/>
        <v>-1.6905642919808367E-3</v>
      </c>
    </row>
    <row r="609" spans="2:8" x14ac:dyDescent="0.3">
      <c r="B609" s="4">
        <v>41159</v>
      </c>
      <c r="C609" s="7">
        <v>336.94</v>
      </c>
      <c r="D609" s="6">
        <f t="shared" si="22"/>
        <v>2.487991718426501</v>
      </c>
      <c r="E609" s="6">
        <v>1.8992318393515915E-2</v>
      </c>
      <c r="F609" s="6"/>
      <c r="G609" s="6">
        <v>602</v>
      </c>
      <c r="H609" s="6">
        <f t="shared" ca="1" si="23"/>
        <v>-2.2075408733694402E-2</v>
      </c>
    </row>
    <row r="610" spans="2:8" x14ac:dyDescent="0.3">
      <c r="B610" s="4">
        <v>39657</v>
      </c>
      <c r="C610" s="7">
        <v>96.6</v>
      </c>
      <c r="D610" s="6">
        <f t="shared" si="22"/>
        <v>-0.87166031168210023</v>
      </c>
      <c r="E610" s="6">
        <v>1.8987341772151868E-2</v>
      </c>
      <c r="F610" s="6"/>
      <c r="G610" s="6">
        <v>603</v>
      </c>
      <c r="H610" s="6">
        <f t="shared" ca="1" si="23"/>
        <v>-4.0350325630621013E-3</v>
      </c>
    </row>
    <row r="611" spans="2:8" x14ac:dyDescent="0.3">
      <c r="B611" s="4">
        <v>42317</v>
      </c>
      <c r="C611" s="7">
        <v>752.69</v>
      </c>
      <c r="D611" s="6">
        <f t="shared" si="22"/>
        <v>-0.57120476711329859</v>
      </c>
      <c r="E611" s="6">
        <v>1.8980058754247631E-2</v>
      </c>
      <c r="F611" s="6"/>
      <c r="G611" s="6">
        <v>604</v>
      </c>
      <c r="H611" s="6">
        <f t="shared" ca="1" si="23"/>
        <v>-1.2671061748561306E-2</v>
      </c>
    </row>
    <row r="612" spans="2:8" x14ac:dyDescent="0.3">
      <c r="B612" s="4">
        <v>44060</v>
      </c>
      <c r="C612" s="5">
        <v>1755.36</v>
      </c>
      <c r="D612" s="6">
        <f t="shared" si="22"/>
        <v>0.78728083572606744</v>
      </c>
      <c r="E612" s="6">
        <v>1.8946781833379698E-2</v>
      </c>
      <c r="F612" s="6"/>
      <c r="G612" s="6">
        <v>605</v>
      </c>
      <c r="H612" s="6">
        <f t="shared" ca="1" si="23"/>
        <v>-7.980601336521528E-3</v>
      </c>
    </row>
    <row r="613" spans="2:8" x14ac:dyDescent="0.3">
      <c r="B613" s="4">
        <v>42682</v>
      </c>
      <c r="C613" s="7">
        <v>982.14</v>
      </c>
      <c r="D613" s="6">
        <f t="shared" si="22"/>
        <v>-0.41932966376767045</v>
      </c>
      <c r="E613" s="6">
        <v>1.8944266921193501E-2</v>
      </c>
      <c r="F613" s="6"/>
      <c r="G613" s="6">
        <v>606</v>
      </c>
      <c r="H613" s="6">
        <f t="shared" ca="1" si="23"/>
        <v>-3.0563826675922195E-2</v>
      </c>
    </row>
    <row r="614" spans="2:8" x14ac:dyDescent="0.3">
      <c r="B614" s="4">
        <v>43817</v>
      </c>
      <c r="C614" s="5">
        <v>1691.39</v>
      </c>
      <c r="D614" s="6">
        <f t="shared" si="22"/>
        <v>94.235923423423415</v>
      </c>
      <c r="E614" s="6">
        <v>1.8934191185329807E-2</v>
      </c>
      <c r="F614" s="6"/>
      <c r="G614" s="6">
        <v>607</v>
      </c>
      <c r="H614" s="6">
        <f t="shared" ca="1" si="23"/>
        <v>-1.8479087931079562E-2</v>
      </c>
    </row>
    <row r="615" spans="2:8" x14ac:dyDescent="0.3">
      <c r="B615" s="4">
        <v>37445</v>
      </c>
      <c r="C615" s="7">
        <v>17.760000000000002</v>
      </c>
      <c r="D615" s="6">
        <f t="shared" si="22"/>
        <v>-0.96128019534315867</v>
      </c>
      <c r="E615" s="6">
        <v>1.8932874354561209E-2</v>
      </c>
      <c r="F615" s="6"/>
      <c r="G615" s="6">
        <v>608</v>
      </c>
      <c r="H615" s="6">
        <f t="shared" ca="1" si="23"/>
        <v>7.7043360665942232E-3</v>
      </c>
    </row>
    <row r="616" spans="2:8" x14ac:dyDescent="0.3">
      <c r="B616" s="4">
        <v>41480</v>
      </c>
      <c r="C616" s="7">
        <v>458.68</v>
      </c>
      <c r="D616" s="6">
        <f t="shared" si="22"/>
        <v>-0.42871377150045459</v>
      </c>
      <c r="E616" s="6">
        <v>1.8903969611480085E-2</v>
      </c>
      <c r="F616" s="6"/>
      <c r="G616" s="6">
        <v>609</v>
      </c>
      <c r="H616" s="6">
        <f t="shared" ca="1" si="23"/>
        <v>-6.8199337326758543E-3</v>
      </c>
    </row>
    <row r="617" spans="2:8" x14ac:dyDescent="0.3">
      <c r="B617" s="4">
        <v>42422</v>
      </c>
      <c r="C617" s="7">
        <v>802.89</v>
      </c>
      <c r="D617" s="6">
        <f t="shared" si="22"/>
        <v>0.82172758831937909</v>
      </c>
      <c r="E617" s="6">
        <v>1.8895939086294399E-2</v>
      </c>
      <c r="F617" s="6"/>
      <c r="G617" s="6">
        <v>610</v>
      </c>
      <c r="H617" s="6">
        <f t="shared" ca="1" si="23"/>
        <v>-6.6139728679594336E-3</v>
      </c>
    </row>
    <row r="618" spans="2:8" x14ac:dyDescent="0.3">
      <c r="B618" s="4">
        <v>41537</v>
      </c>
      <c r="C618" s="7">
        <v>440.73</v>
      </c>
      <c r="D618" s="6">
        <f t="shared" si="22"/>
        <v>-0.68568229471251907</v>
      </c>
      <c r="E618" s="6">
        <v>1.8887553171814352E-2</v>
      </c>
      <c r="F618" s="6"/>
      <c r="G618" s="6">
        <v>611</v>
      </c>
      <c r="H618" s="6">
        <f t="shared" ca="1" si="23"/>
        <v>1.2112736295269983E-2</v>
      </c>
    </row>
    <row r="619" spans="2:8" x14ac:dyDescent="0.3">
      <c r="B619" s="4">
        <v>43550</v>
      </c>
      <c r="C619" s="5">
        <v>1402.18</v>
      </c>
      <c r="D619" s="6">
        <f t="shared" si="22"/>
        <v>10.94768234492161</v>
      </c>
      <c r="E619" s="6">
        <v>1.8870666540716917E-2</v>
      </c>
      <c r="F619" s="6"/>
      <c r="G619" s="6">
        <v>612</v>
      </c>
      <c r="H619" s="6">
        <f t="shared" ca="1" si="23"/>
        <v>3.6893187907446993E-3</v>
      </c>
    </row>
    <row r="620" spans="2:8" x14ac:dyDescent="0.3">
      <c r="B620" s="4">
        <v>40050</v>
      </c>
      <c r="C620" s="7">
        <v>117.36</v>
      </c>
      <c r="D620" s="6">
        <f t="shared" si="22"/>
        <v>-0.92900868639454137</v>
      </c>
      <c r="E620" s="6">
        <v>1.8838440836878217E-2</v>
      </c>
      <c r="F620" s="6"/>
      <c r="G620" s="6">
        <v>613</v>
      </c>
      <c r="H620" s="6">
        <f t="shared" ca="1" si="23"/>
        <v>1.0961319596417574E-2</v>
      </c>
    </row>
    <row r="621" spans="2:8" x14ac:dyDescent="0.3">
      <c r="B621" s="4">
        <v>43801</v>
      </c>
      <c r="C621" s="5">
        <v>1653.16</v>
      </c>
      <c r="D621" s="6">
        <f t="shared" si="22"/>
        <v>2.3896372844518261</v>
      </c>
      <c r="E621" s="6">
        <v>1.8815133456179148E-2</v>
      </c>
      <c r="F621" s="6"/>
      <c r="G621" s="6">
        <v>614</v>
      </c>
      <c r="H621" s="6">
        <f t="shared" ca="1" si="23"/>
        <v>-2.4721640141191863E-2</v>
      </c>
    </row>
    <row r="622" spans="2:8" x14ac:dyDescent="0.3">
      <c r="B622" s="4">
        <v>41725</v>
      </c>
      <c r="C622" s="7">
        <v>487.71</v>
      </c>
      <c r="D622" s="6">
        <f t="shared" si="22"/>
        <v>-0.24308594841232897</v>
      </c>
      <c r="E622" s="6">
        <v>1.8800526414739612E-2</v>
      </c>
      <c r="F622" s="6"/>
      <c r="G622" s="6">
        <v>615</v>
      </c>
      <c r="H622" s="6">
        <f t="shared" ca="1" si="23"/>
        <v>-4.7225582906989206E-3</v>
      </c>
    </row>
    <row r="623" spans="2:8" x14ac:dyDescent="0.3">
      <c r="B623" s="4">
        <v>41969</v>
      </c>
      <c r="C623" s="7">
        <v>644.34</v>
      </c>
      <c r="D623" s="6">
        <f t="shared" si="22"/>
        <v>-0.39923358787166791</v>
      </c>
      <c r="E623" s="6">
        <v>1.8799905130840358E-2</v>
      </c>
      <c r="F623" s="6"/>
      <c r="G623" s="6">
        <v>616</v>
      </c>
      <c r="H623" s="6">
        <f t="shared" ca="1" si="23"/>
        <v>1.5820778474603343E-2</v>
      </c>
    </row>
    <row r="624" spans="2:8" x14ac:dyDescent="0.3">
      <c r="B624" s="4">
        <v>42934</v>
      </c>
      <c r="C624" s="5">
        <v>1072.53</v>
      </c>
      <c r="D624" s="6">
        <f t="shared" si="22"/>
        <v>-0.60610167250611491</v>
      </c>
      <c r="E624" s="6">
        <v>1.8788886250296816E-2</v>
      </c>
      <c r="F624" s="6"/>
      <c r="G624" s="6">
        <v>617</v>
      </c>
      <c r="H624" s="6">
        <f t="shared" ca="1" si="23"/>
        <v>-4.6959046608628938E-3</v>
      </c>
    </row>
    <row r="625" spans="2:8" x14ac:dyDescent="0.3">
      <c r="B625" s="4">
        <v>44204</v>
      </c>
      <c r="C625" s="5">
        <v>2722.86</v>
      </c>
      <c r="D625" s="6">
        <f t="shared" si="22"/>
        <v>2.4618201235792205</v>
      </c>
      <c r="E625" s="6">
        <v>1.8782785689163708E-2</v>
      </c>
      <c r="F625" s="6"/>
      <c r="G625" s="6">
        <v>618</v>
      </c>
      <c r="H625" s="6">
        <f t="shared" ca="1" si="23"/>
        <v>-1.0875378344352774E-2</v>
      </c>
    </row>
    <row r="626" spans="2:8" x14ac:dyDescent="0.3">
      <c r="B626" s="4">
        <v>42282</v>
      </c>
      <c r="C626" s="7">
        <v>786.54</v>
      </c>
      <c r="D626" s="6">
        <f t="shared" si="22"/>
        <v>-0.75641752218144653</v>
      </c>
      <c r="E626" s="6">
        <v>1.875501903997101E-2</v>
      </c>
      <c r="F626" s="6"/>
      <c r="G626" s="6">
        <v>619</v>
      </c>
      <c r="H626" s="6">
        <f t="shared" ca="1" si="23"/>
        <v>8.7810366108567271E-3</v>
      </c>
    </row>
    <row r="627" spans="2:8" x14ac:dyDescent="0.3">
      <c r="B627" s="4">
        <v>44771</v>
      </c>
      <c r="C627" s="5">
        <v>3229.05</v>
      </c>
      <c r="D627" s="6">
        <f t="shared" si="22"/>
        <v>0.10307003310183692</v>
      </c>
      <c r="E627" s="6">
        <v>1.8746667592116451E-2</v>
      </c>
      <c r="F627" s="6"/>
      <c r="G627" s="6">
        <v>620</v>
      </c>
      <c r="H627" s="6">
        <f t="shared" ca="1" si="23"/>
        <v>-9.4068628892869065E-3</v>
      </c>
    </row>
    <row r="628" spans="2:8" x14ac:dyDescent="0.3">
      <c r="B628" s="4">
        <v>44371</v>
      </c>
      <c r="C628" s="5">
        <v>2927.33</v>
      </c>
      <c r="D628" s="6">
        <f t="shared" si="22"/>
        <v>2.7092372022301063</v>
      </c>
      <c r="E628" s="6">
        <v>1.8711980957418665E-2</v>
      </c>
      <c r="F628" s="6"/>
      <c r="G628" s="6">
        <v>621</v>
      </c>
      <c r="H628" s="6">
        <f t="shared" ca="1" si="23"/>
        <v>-6.2877262978734937E-3</v>
      </c>
    </row>
    <row r="629" spans="2:8" x14ac:dyDescent="0.3">
      <c r="B629" s="4">
        <v>42417</v>
      </c>
      <c r="C629" s="7">
        <v>789.2</v>
      </c>
      <c r="D629" s="6">
        <f t="shared" si="22"/>
        <v>0.1587308578895594</v>
      </c>
      <c r="E629" s="6">
        <v>1.8690623709211093E-2</v>
      </c>
      <c r="F629" s="6"/>
      <c r="G629" s="6">
        <v>622</v>
      </c>
      <c r="H629" s="6">
        <f t="shared" ca="1" si="23"/>
        <v>-1.376604614330673E-2</v>
      </c>
    </row>
    <row r="630" spans="2:8" x14ac:dyDescent="0.3">
      <c r="B630" s="4">
        <v>41991</v>
      </c>
      <c r="C630" s="7">
        <v>681.09</v>
      </c>
      <c r="D630" s="6">
        <f t="shared" si="22"/>
        <v>1.8806039587210288</v>
      </c>
      <c r="E630" s="6">
        <v>1.8665589805716365E-2</v>
      </c>
      <c r="F630" s="6"/>
      <c r="G630" s="6">
        <v>623</v>
      </c>
      <c r="H630" s="6">
        <f t="shared" ca="1" si="23"/>
        <v>-1.0694812204767095E-4</v>
      </c>
    </row>
    <row r="631" spans="2:8" x14ac:dyDescent="0.3">
      <c r="B631" s="4">
        <v>40457</v>
      </c>
      <c r="C631" s="7">
        <v>236.44</v>
      </c>
      <c r="D631" s="6">
        <f t="shared" si="22"/>
        <v>4.8481325748206778</v>
      </c>
      <c r="E631" s="6">
        <v>1.8654948084959648E-2</v>
      </c>
      <c r="F631" s="6"/>
      <c r="G631" s="6">
        <v>624</v>
      </c>
      <c r="H631" s="6">
        <f t="shared" ca="1" si="23"/>
        <v>-2.8332840901291269E-2</v>
      </c>
    </row>
    <row r="632" spans="2:8" x14ac:dyDescent="0.3">
      <c r="B632" s="4">
        <v>38625</v>
      </c>
      <c r="C632" s="7">
        <v>40.43</v>
      </c>
      <c r="D632" s="6">
        <f t="shared" si="22"/>
        <v>-0.94900481824373761</v>
      </c>
      <c r="E632" s="6">
        <v>1.8644494834971076E-2</v>
      </c>
      <c r="F632" s="6"/>
      <c r="G632" s="6">
        <v>625</v>
      </c>
      <c r="H632" s="6">
        <f t="shared" ca="1" si="23"/>
        <v>-6.8937652497815926E-3</v>
      </c>
    </row>
    <row r="633" spans="2:8" x14ac:dyDescent="0.3">
      <c r="B633" s="4">
        <v>42026</v>
      </c>
      <c r="C633" s="7">
        <v>792.82</v>
      </c>
      <c r="D633" s="6">
        <f t="shared" si="22"/>
        <v>7.8851283200717246</v>
      </c>
      <c r="E633" s="6">
        <v>1.8616782084719858E-2</v>
      </c>
      <c r="F633" s="6"/>
      <c r="G633" s="6">
        <v>626</v>
      </c>
      <c r="H633" s="6">
        <f t="shared" ca="1" si="23"/>
        <v>-7.8903529021847277E-3</v>
      </c>
    </row>
    <row r="634" spans="2:8" x14ac:dyDescent="0.3">
      <c r="B634" s="4">
        <v>39636</v>
      </c>
      <c r="C634" s="7">
        <v>89.23</v>
      </c>
      <c r="D634" s="6">
        <f t="shared" si="22"/>
        <v>-0.89078201691575165</v>
      </c>
      <c r="E634" s="6">
        <v>1.8607305936073171E-2</v>
      </c>
      <c r="F634" s="6"/>
      <c r="G634" s="6">
        <v>627</v>
      </c>
      <c r="H634" s="6">
        <f t="shared" ca="1" si="23"/>
        <v>-1.8681924871186129E-3</v>
      </c>
    </row>
    <row r="635" spans="2:8" x14ac:dyDescent="0.3">
      <c r="B635" s="4">
        <v>42464</v>
      </c>
      <c r="C635" s="7">
        <v>816.99</v>
      </c>
      <c r="D635" s="6">
        <f t="shared" si="22"/>
        <v>1.1150201926063996</v>
      </c>
      <c r="E635" s="6">
        <v>1.8563770103478351E-2</v>
      </c>
      <c r="F635" s="6"/>
      <c r="G635" s="6">
        <v>628</v>
      </c>
      <c r="H635" s="6">
        <f t="shared" ca="1" si="23"/>
        <v>3.4722510706830113E-2</v>
      </c>
    </row>
    <row r="636" spans="2:8" x14ac:dyDescent="0.3">
      <c r="B636" s="4">
        <v>41512</v>
      </c>
      <c r="C636" s="7">
        <v>386.28</v>
      </c>
      <c r="D636" s="6">
        <f t="shared" si="22"/>
        <v>7.6804494382022463</v>
      </c>
      <c r="E636" s="6">
        <v>1.8563442674823235E-2</v>
      </c>
      <c r="F636" s="6"/>
      <c r="G636" s="6">
        <v>629</v>
      </c>
      <c r="H636" s="6">
        <f t="shared" ca="1" si="23"/>
        <v>1.3973121627951916E-2</v>
      </c>
    </row>
    <row r="637" spans="2:8" x14ac:dyDescent="0.3">
      <c r="B637" s="4">
        <v>38688</v>
      </c>
      <c r="C637" s="7">
        <v>44.5</v>
      </c>
      <c r="D637" s="6">
        <f t="shared" si="22"/>
        <v>-0.98085436843078966</v>
      </c>
      <c r="E637" s="6">
        <v>1.8539711604486205E-2</v>
      </c>
      <c r="F637" s="6"/>
      <c r="G637" s="6">
        <v>630</v>
      </c>
      <c r="H637" s="6">
        <f t="shared" ca="1" si="23"/>
        <v>8.6739762772070229E-3</v>
      </c>
    </row>
    <row r="638" spans="2:8" x14ac:dyDescent="0.3">
      <c r="B638" s="4">
        <v>45750</v>
      </c>
      <c r="C638" s="5">
        <v>2324.29</v>
      </c>
      <c r="D638" s="6">
        <f t="shared" si="22"/>
        <v>-0.23016361950185477</v>
      </c>
      <c r="E638" s="6">
        <v>1.8531989482909711E-2</v>
      </c>
      <c r="F638" s="6"/>
      <c r="G638" s="6">
        <v>631</v>
      </c>
      <c r="H638" s="6">
        <f t="shared" ca="1" si="23"/>
        <v>3.2067958863029088E-3</v>
      </c>
    </row>
    <row r="639" spans="2:8" x14ac:dyDescent="0.3">
      <c r="B639" s="4">
        <v>44922</v>
      </c>
      <c r="C639" s="5">
        <v>3019.2</v>
      </c>
      <c r="D639" s="6">
        <f t="shared" si="22"/>
        <v>139.62412668840244</v>
      </c>
      <c r="E639" s="6">
        <v>1.8503213183328523E-2</v>
      </c>
      <c r="F639" s="6"/>
      <c r="G639" s="6">
        <v>632</v>
      </c>
      <c r="H639" s="6">
        <f t="shared" ca="1" si="23"/>
        <v>3.078263653505154E-2</v>
      </c>
    </row>
    <row r="640" spans="2:8" x14ac:dyDescent="0.3">
      <c r="B640" s="4">
        <v>37846</v>
      </c>
      <c r="C640" s="7">
        <v>21.47</v>
      </c>
      <c r="D640" s="6">
        <f t="shared" si="22"/>
        <v>-0.99244264222405265</v>
      </c>
      <c r="E640" s="6">
        <v>1.8500948766603444E-2</v>
      </c>
      <c r="F640" s="6"/>
      <c r="G640" s="6">
        <v>633</v>
      </c>
      <c r="H640" s="6">
        <f t="shared" ca="1" si="23"/>
        <v>-4.6073803163959648E-2</v>
      </c>
    </row>
    <row r="641" spans="2:8" x14ac:dyDescent="0.3">
      <c r="B641" s="4">
        <v>44753</v>
      </c>
      <c r="C641" s="5">
        <v>2840.94</v>
      </c>
      <c r="D641" s="6">
        <f t="shared" si="22"/>
        <v>43.018283235202972</v>
      </c>
      <c r="E641" s="6">
        <v>1.8491697020104943E-2</v>
      </c>
      <c r="F641" s="6"/>
      <c r="G641" s="6">
        <v>634</v>
      </c>
      <c r="H641" s="6">
        <f t="shared" ca="1" si="23"/>
        <v>3.3838427808557142E-2</v>
      </c>
    </row>
    <row r="642" spans="2:8" x14ac:dyDescent="0.3">
      <c r="B642" s="4">
        <v>39890</v>
      </c>
      <c r="C642" s="7">
        <v>64.540000000000006</v>
      </c>
      <c r="D642" s="6">
        <f t="shared" si="22"/>
        <v>1.4345529988683514</v>
      </c>
      <c r="E642" s="6">
        <v>1.8462995108095452E-2</v>
      </c>
      <c r="F642" s="6"/>
      <c r="G642" s="6">
        <v>635</v>
      </c>
      <c r="H642" s="6">
        <f t="shared" ca="1" si="23"/>
        <v>1.4357892244602447E-2</v>
      </c>
    </row>
    <row r="643" spans="2:8" x14ac:dyDescent="0.3">
      <c r="B643" s="4">
        <v>38377</v>
      </c>
      <c r="C643" s="7">
        <v>26.51</v>
      </c>
      <c r="D643" s="6">
        <f t="shared" si="22"/>
        <v>-0.9893028492109287</v>
      </c>
      <c r="E643" s="6">
        <v>1.8440261237034208E-2</v>
      </c>
      <c r="F643" s="6"/>
      <c r="G643" s="6">
        <v>636</v>
      </c>
      <c r="H643" s="6">
        <f t="shared" ca="1" si="23"/>
        <v>-2.4619060843766279E-3</v>
      </c>
    </row>
    <row r="644" spans="2:8" x14ac:dyDescent="0.3">
      <c r="B644" s="4">
        <v>45622</v>
      </c>
      <c r="C644" s="5">
        <v>2478.23</v>
      </c>
      <c r="D644" s="6">
        <f t="shared" si="22"/>
        <v>2.2167676951233761</v>
      </c>
      <c r="E644" s="6">
        <v>1.8414412637358098E-2</v>
      </c>
      <c r="F644" s="6"/>
      <c r="G644" s="6">
        <v>637</v>
      </c>
      <c r="H644" s="6">
        <f t="shared" ca="1" si="23"/>
        <v>1.8838496510990364E-2</v>
      </c>
    </row>
    <row r="645" spans="2:8" x14ac:dyDescent="0.3">
      <c r="B645" s="4">
        <v>42200</v>
      </c>
      <c r="C645" s="7">
        <v>770.41</v>
      </c>
      <c r="D645" s="6">
        <f t="shared" si="22"/>
        <v>28.597003457548979</v>
      </c>
      <c r="E645" s="6">
        <v>1.8414234348561691E-2</v>
      </c>
      <c r="F645" s="6"/>
      <c r="G645" s="6">
        <v>638</v>
      </c>
      <c r="H645" s="6">
        <f t="shared" ca="1" si="23"/>
        <v>-4.3354855240588824E-2</v>
      </c>
    </row>
    <row r="646" spans="2:8" x14ac:dyDescent="0.3">
      <c r="B646" s="4">
        <v>38376</v>
      </c>
      <c r="C646" s="7">
        <v>26.03</v>
      </c>
      <c r="D646" s="6">
        <f t="shared" si="22"/>
        <v>-0.98412553209655196</v>
      </c>
      <c r="E646" s="6">
        <v>1.8388106416275526E-2</v>
      </c>
      <c r="F646" s="6"/>
      <c r="G646" s="6">
        <v>639</v>
      </c>
      <c r="H646" s="6">
        <f t="shared" ca="1" si="23"/>
        <v>7.9692797854502909E-3</v>
      </c>
    </row>
    <row r="647" spans="2:8" x14ac:dyDescent="0.3">
      <c r="B647" s="4">
        <v>44021</v>
      </c>
      <c r="C647" s="5">
        <v>1639.74</v>
      </c>
      <c r="D647" s="6">
        <f t="shared" si="22"/>
        <v>0.55112427043031587</v>
      </c>
      <c r="E647" s="6">
        <v>1.8383494602953722E-2</v>
      </c>
      <c r="F647" s="6"/>
      <c r="G647" s="6">
        <v>640</v>
      </c>
      <c r="H647" s="6">
        <f t="shared" ca="1" si="23"/>
        <v>2.469965370778093E-2</v>
      </c>
    </row>
    <row r="648" spans="2:8" x14ac:dyDescent="0.3">
      <c r="B648" s="4">
        <v>43167</v>
      </c>
      <c r="C648" s="5">
        <v>1057.1300000000001</v>
      </c>
      <c r="D648" s="6">
        <f t="shared" ref="D648:D711" si="24">((C648-C649)/C649)</f>
        <v>3.3759003228744104</v>
      </c>
      <c r="E648" s="6">
        <v>1.8380617503973948E-2</v>
      </c>
      <c r="F648" s="6"/>
      <c r="G648" s="6">
        <v>641</v>
      </c>
      <c r="H648" s="6">
        <f t="shared" ca="1" si="23"/>
        <v>1.3555026326566097E-2</v>
      </c>
    </row>
    <row r="649" spans="2:8" x14ac:dyDescent="0.3">
      <c r="B649" s="4">
        <v>40421</v>
      </c>
      <c r="C649" s="7">
        <v>241.58</v>
      </c>
      <c r="D649" s="6">
        <f t="shared" si="24"/>
        <v>-0.25777313506206218</v>
      </c>
      <c r="E649" s="6">
        <v>1.8379563274597478E-2</v>
      </c>
      <c r="F649" s="6"/>
      <c r="G649" s="6">
        <v>642</v>
      </c>
      <c r="H649" s="6">
        <f t="shared" ref="H649:H712" ca="1" si="25">_xlfn.NORM.INV(RAND(),N$10,N$11)</f>
        <v>3.5785029827093383E-3</v>
      </c>
    </row>
    <row r="650" spans="2:8" x14ac:dyDescent="0.3">
      <c r="B650" s="4">
        <v>41121</v>
      </c>
      <c r="C650" s="7">
        <v>325.48</v>
      </c>
      <c r="D650" s="6">
        <f t="shared" si="24"/>
        <v>-0.88889874999146634</v>
      </c>
      <c r="E650" s="6">
        <v>1.8366133725477941E-2</v>
      </c>
      <c r="F650" s="6"/>
      <c r="G650" s="6">
        <v>643</v>
      </c>
      <c r="H650" s="6">
        <f t="shared" ca="1" si="25"/>
        <v>1.4723293780156523E-2</v>
      </c>
    </row>
    <row r="651" spans="2:8" x14ac:dyDescent="0.3">
      <c r="B651" s="4">
        <v>44636</v>
      </c>
      <c r="C651" s="5">
        <v>2929.58</v>
      </c>
      <c r="D651" s="6">
        <f t="shared" si="24"/>
        <v>7.5253906818380232</v>
      </c>
      <c r="E651" s="6">
        <v>1.8360933828334553E-2</v>
      </c>
      <c r="F651" s="6"/>
      <c r="G651" s="6">
        <v>644</v>
      </c>
      <c r="H651" s="6">
        <f t="shared" ca="1" si="25"/>
        <v>-2.1139233444696873E-2</v>
      </c>
    </row>
    <row r="652" spans="2:8" x14ac:dyDescent="0.3">
      <c r="B652" s="4">
        <v>41164</v>
      </c>
      <c r="C652" s="7">
        <v>343.63</v>
      </c>
      <c r="D652" s="6">
        <f t="shared" si="24"/>
        <v>20.316997518610421</v>
      </c>
      <c r="E652" s="6">
        <v>1.8344001896633468E-2</v>
      </c>
      <c r="F652" s="6"/>
      <c r="G652" s="6">
        <v>645</v>
      </c>
      <c r="H652" s="6">
        <f t="shared" ca="1" si="25"/>
        <v>1.7943815981416512E-2</v>
      </c>
    </row>
    <row r="653" spans="2:8" x14ac:dyDescent="0.3">
      <c r="B653" s="4">
        <v>37468</v>
      </c>
      <c r="C653" s="7">
        <v>16.12</v>
      </c>
      <c r="D653" s="6">
        <f t="shared" si="24"/>
        <v>-0.99337609559461049</v>
      </c>
      <c r="E653" s="6">
        <v>1.8319646241314019E-2</v>
      </c>
      <c r="F653" s="6"/>
      <c r="G653" s="6">
        <v>646</v>
      </c>
      <c r="H653" s="6">
        <f t="shared" ca="1" si="25"/>
        <v>1.7166651041929418E-3</v>
      </c>
    </row>
    <row r="654" spans="2:8" x14ac:dyDescent="0.3">
      <c r="B654" s="4">
        <v>45763</v>
      </c>
      <c r="C654" s="5">
        <v>2433.61</v>
      </c>
      <c r="D654" s="6">
        <f t="shared" si="24"/>
        <v>1.2026809311755551</v>
      </c>
      <c r="E654" s="6">
        <v>1.8293729000079608E-2</v>
      </c>
      <c r="F654" s="6"/>
      <c r="G654" s="6">
        <v>647</v>
      </c>
      <c r="H654" s="6">
        <f t="shared" ca="1" si="25"/>
        <v>7.9537373351017977E-3</v>
      </c>
    </row>
    <row r="655" spans="2:8" x14ac:dyDescent="0.3">
      <c r="B655" s="4">
        <v>42635</v>
      </c>
      <c r="C655" s="5">
        <v>1104.8399999999999</v>
      </c>
      <c r="D655" s="6">
        <f t="shared" si="24"/>
        <v>54.104239401496258</v>
      </c>
      <c r="E655" s="6">
        <v>1.8285714285714211E-2</v>
      </c>
      <c r="F655" s="6"/>
      <c r="G655" s="6">
        <v>648</v>
      </c>
      <c r="H655" s="6">
        <f t="shared" ca="1" si="25"/>
        <v>-1.8846196658774197E-2</v>
      </c>
    </row>
    <row r="656" spans="2:8" x14ac:dyDescent="0.3">
      <c r="B656" s="4">
        <v>37813</v>
      </c>
      <c r="C656" s="7">
        <v>20.05</v>
      </c>
      <c r="D656" s="6">
        <f t="shared" si="24"/>
        <v>-0.98729066037855451</v>
      </c>
      <c r="E656" s="6">
        <v>1.8283392585068534E-2</v>
      </c>
      <c r="F656" s="6"/>
      <c r="G656" s="6">
        <v>649</v>
      </c>
      <c r="H656" s="6">
        <f t="shared" ca="1" si="25"/>
        <v>1.1968211031723431E-2</v>
      </c>
    </row>
    <row r="657" spans="2:8" x14ac:dyDescent="0.3">
      <c r="B657" s="4">
        <v>44004</v>
      </c>
      <c r="C657" s="5">
        <v>1577.58</v>
      </c>
      <c r="D657" s="6">
        <f t="shared" si="24"/>
        <v>66.36037574722458</v>
      </c>
      <c r="E657" s="6">
        <v>1.8273122180123506E-2</v>
      </c>
      <c r="F657" s="6"/>
      <c r="G657" s="6">
        <v>650</v>
      </c>
      <c r="H657" s="6">
        <f t="shared" ca="1" si="25"/>
        <v>-1.6293053642707132E-2</v>
      </c>
    </row>
    <row r="658" spans="2:8" x14ac:dyDescent="0.3">
      <c r="B658" s="4">
        <v>38050</v>
      </c>
      <c r="C658" s="7">
        <v>23.42</v>
      </c>
      <c r="D658" s="6">
        <f t="shared" si="24"/>
        <v>-0.98260326987216151</v>
      </c>
      <c r="E658" s="6">
        <v>1.8260869565217466E-2</v>
      </c>
      <c r="F658" s="6"/>
      <c r="G658" s="6">
        <v>651</v>
      </c>
      <c r="H658" s="6">
        <f t="shared" ca="1" si="25"/>
        <v>8.0882971210038471E-3</v>
      </c>
    </row>
    <row r="659" spans="2:8" x14ac:dyDescent="0.3">
      <c r="B659" s="4">
        <v>43454</v>
      </c>
      <c r="C659" s="5">
        <v>1346.23</v>
      </c>
      <c r="D659" s="6">
        <f t="shared" si="24"/>
        <v>-0.41706756271082218</v>
      </c>
      <c r="E659" s="6">
        <v>1.8243565210156583E-2</v>
      </c>
      <c r="F659" s="6"/>
      <c r="G659" s="6">
        <v>652</v>
      </c>
      <c r="H659" s="6">
        <f t="shared" ca="1" si="25"/>
        <v>4.6287705996409197E-2</v>
      </c>
    </row>
    <row r="660" spans="2:8" x14ac:dyDescent="0.3">
      <c r="B660" s="4">
        <v>45665</v>
      </c>
      <c r="C660" s="5">
        <v>2309.41</v>
      </c>
      <c r="D660" s="6">
        <f t="shared" si="24"/>
        <v>5.5767051117755946</v>
      </c>
      <c r="E660" s="6">
        <v>1.8213482650676755E-2</v>
      </c>
      <c r="F660" s="6"/>
      <c r="G660" s="6">
        <v>653</v>
      </c>
      <c r="H660" s="6">
        <f t="shared" ca="1" si="25"/>
        <v>-1.0270548446094182E-2</v>
      </c>
    </row>
    <row r="661" spans="2:8" x14ac:dyDescent="0.3">
      <c r="B661" s="4">
        <v>41234</v>
      </c>
      <c r="C661" s="7">
        <v>351.15</v>
      </c>
      <c r="D661" s="6">
        <f t="shared" si="24"/>
        <v>-0.71796539925786707</v>
      </c>
      <c r="E661" s="6">
        <v>1.8180236604036133E-2</v>
      </c>
      <c r="F661" s="6"/>
      <c r="G661" s="6">
        <v>654</v>
      </c>
      <c r="H661" s="6">
        <f t="shared" ca="1" si="25"/>
        <v>8.6140692671719168E-3</v>
      </c>
    </row>
    <row r="662" spans="2:8" x14ac:dyDescent="0.3">
      <c r="B662" s="4">
        <v>43441</v>
      </c>
      <c r="C662" s="5">
        <v>1245.06</v>
      </c>
      <c r="D662" s="6">
        <f t="shared" si="24"/>
        <v>-0.49093540710938849</v>
      </c>
      <c r="E662" s="6">
        <v>1.8179141826746171E-2</v>
      </c>
      <c r="F662" s="6"/>
      <c r="G662" s="6">
        <v>655</v>
      </c>
      <c r="H662" s="6">
        <f t="shared" ca="1" si="25"/>
        <v>-6.0723107678231298E-3</v>
      </c>
    </row>
    <row r="663" spans="2:8" x14ac:dyDescent="0.3">
      <c r="B663" s="4">
        <v>45618</v>
      </c>
      <c r="C663" s="5">
        <v>2445.7800000000002</v>
      </c>
      <c r="D663" s="6">
        <f t="shared" si="24"/>
        <v>-0.15468627952470154</v>
      </c>
      <c r="E663" s="6">
        <v>1.8141703438514855E-2</v>
      </c>
      <c r="F663" s="6"/>
      <c r="G663" s="6">
        <v>656</v>
      </c>
      <c r="H663" s="6">
        <f t="shared" ca="1" si="25"/>
        <v>3.8653839815617611E-2</v>
      </c>
    </row>
    <row r="664" spans="2:8" x14ac:dyDescent="0.3">
      <c r="B664" s="4">
        <v>45050</v>
      </c>
      <c r="C664" s="5">
        <v>2893.34</v>
      </c>
      <c r="D664" s="6">
        <f t="shared" si="24"/>
        <v>4.5865690950165092</v>
      </c>
      <c r="E664" s="6">
        <v>1.8139975156503535E-2</v>
      </c>
      <c r="F664" s="6"/>
      <c r="G664" s="6">
        <v>657</v>
      </c>
      <c r="H664" s="6">
        <f t="shared" ca="1" si="25"/>
        <v>1.9084723318085993E-2</v>
      </c>
    </row>
    <row r="665" spans="2:8" x14ac:dyDescent="0.3">
      <c r="B665" s="4">
        <v>41809</v>
      </c>
      <c r="C665" s="7">
        <v>517.91</v>
      </c>
      <c r="D665" s="6">
        <f t="shared" si="24"/>
        <v>1.1965815590804987</v>
      </c>
      <c r="E665" s="6">
        <v>1.8104973461765244E-2</v>
      </c>
      <c r="F665" s="6"/>
      <c r="G665" s="6">
        <v>658</v>
      </c>
      <c r="H665" s="6">
        <f t="shared" ca="1" si="25"/>
        <v>-1.6207354407346379E-2</v>
      </c>
    </row>
    <row r="666" spans="2:8" x14ac:dyDescent="0.3">
      <c r="B666" s="4">
        <v>40480</v>
      </c>
      <c r="C666" s="7">
        <v>235.78</v>
      </c>
      <c r="D666" s="6">
        <f t="shared" si="24"/>
        <v>-0.90528679486303976</v>
      </c>
      <c r="E666" s="6">
        <v>1.8092318321171023E-2</v>
      </c>
      <c r="F666" s="6"/>
      <c r="G666" s="6">
        <v>659</v>
      </c>
      <c r="H666" s="6">
        <f t="shared" ca="1" si="25"/>
        <v>1.1416260526762255E-2</v>
      </c>
    </row>
    <row r="667" spans="2:8" x14ac:dyDescent="0.3">
      <c r="B667" s="4">
        <v>44187</v>
      </c>
      <c r="C667" s="5">
        <v>2489.41</v>
      </c>
      <c r="D667" s="6">
        <f t="shared" si="24"/>
        <v>7.2221592840149172E-3</v>
      </c>
      <c r="E667" s="6">
        <v>1.8063666552158512E-2</v>
      </c>
      <c r="F667" s="6"/>
      <c r="G667" s="6">
        <v>660</v>
      </c>
      <c r="H667" s="6">
        <f t="shared" ca="1" si="25"/>
        <v>-3.3251170765512546E-2</v>
      </c>
    </row>
    <row r="668" spans="2:8" x14ac:dyDescent="0.3">
      <c r="B668" s="4">
        <v>44319</v>
      </c>
      <c r="C668" s="5">
        <v>2471.56</v>
      </c>
      <c r="D668" s="6">
        <f t="shared" si="24"/>
        <v>22.66261369076113</v>
      </c>
      <c r="E668" s="6">
        <v>1.8037128723066832E-2</v>
      </c>
      <c r="F668" s="6"/>
      <c r="G668" s="6">
        <v>661</v>
      </c>
      <c r="H668" s="6">
        <f t="shared" ca="1" si="25"/>
        <v>1.2031892561003352E-2</v>
      </c>
    </row>
    <row r="669" spans="2:8" x14ac:dyDescent="0.3">
      <c r="B669" s="4">
        <v>39559</v>
      </c>
      <c r="C669" s="7">
        <v>104.45</v>
      </c>
      <c r="D669" s="6">
        <f t="shared" si="24"/>
        <v>-5.7410774088606129E-4</v>
      </c>
      <c r="E669" s="6">
        <v>1.8031189083820749E-2</v>
      </c>
      <c r="F669" s="6"/>
      <c r="G669" s="6">
        <v>662</v>
      </c>
      <c r="H669" s="6">
        <f t="shared" ca="1" si="25"/>
        <v>2.8045645637604397E-2</v>
      </c>
    </row>
    <row r="670" spans="2:8" x14ac:dyDescent="0.3">
      <c r="B670" s="4">
        <v>40014</v>
      </c>
      <c r="C670" s="7">
        <v>104.51</v>
      </c>
      <c r="D670" s="6">
        <f t="shared" si="24"/>
        <v>-0.32972036942021543</v>
      </c>
      <c r="E670" s="6">
        <v>1.8020650691603433E-2</v>
      </c>
      <c r="F670" s="6"/>
      <c r="G670" s="6">
        <v>663</v>
      </c>
      <c r="H670" s="6">
        <f t="shared" ca="1" si="25"/>
        <v>-1.122264313698141E-2</v>
      </c>
    </row>
    <row r="671" spans="2:8" x14ac:dyDescent="0.3">
      <c r="B671" s="4">
        <v>40178</v>
      </c>
      <c r="C671" s="7">
        <v>155.91999999999999</v>
      </c>
      <c r="D671" s="6">
        <f t="shared" si="24"/>
        <v>-0.59912585165188326</v>
      </c>
      <c r="E671" s="6">
        <v>1.7953907423124634E-2</v>
      </c>
      <c r="F671" s="6"/>
      <c r="G671" s="6">
        <v>664</v>
      </c>
      <c r="H671" s="6">
        <f t="shared" ca="1" si="25"/>
        <v>-1.324861988244317E-2</v>
      </c>
    </row>
    <row r="672" spans="2:8" x14ac:dyDescent="0.3">
      <c r="B672" s="4">
        <v>41494</v>
      </c>
      <c r="C672" s="7">
        <v>388.95</v>
      </c>
      <c r="D672" s="6">
        <f t="shared" si="24"/>
        <v>4.2731832971800428</v>
      </c>
      <c r="E672" s="6">
        <v>1.7953885210290805E-2</v>
      </c>
      <c r="F672" s="6"/>
      <c r="G672" s="6">
        <v>665</v>
      </c>
      <c r="H672" s="6">
        <f t="shared" ca="1" si="25"/>
        <v>1.9177696303306648E-3</v>
      </c>
    </row>
    <row r="673" spans="2:8" x14ac:dyDescent="0.3">
      <c r="B673" s="4">
        <v>39798</v>
      </c>
      <c r="C673" s="7">
        <v>73.760000000000005</v>
      </c>
      <c r="D673" s="6">
        <f t="shared" si="24"/>
        <v>-0.6109499446173321</v>
      </c>
      <c r="E673" s="6">
        <v>1.794093292851244E-2</v>
      </c>
      <c r="F673" s="6"/>
      <c r="G673" s="6">
        <v>666</v>
      </c>
      <c r="H673" s="6">
        <f t="shared" ca="1" si="25"/>
        <v>8.3610016476674803E-3</v>
      </c>
    </row>
    <row r="674" spans="2:8" x14ac:dyDescent="0.3">
      <c r="B674" s="4">
        <v>40336</v>
      </c>
      <c r="C674" s="7">
        <v>189.59</v>
      </c>
      <c r="D674" s="6">
        <f t="shared" si="24"/>
        <v>-0.93980601019160859</v>
      </c>
      <c r="E674" s="6">
        <v>1.7932885906040287E-2</v>
      </c>
      <c r="F674" s="6"/>
      <c r="G674" s="6">
        <v>667</v>
      </c>
      <c r="H674" s="6">
        <f t="shared" ca="1" si="25"/>
        <v>8.9171934463221883E-4</v>
      </c>
    </row>
    <row r="675" spans="2:8" x14ac:dyDescent="0.3">
      <c r="B675" s="4">
        <v>45162</v>
      </c>
      <c r="C675" s="5">
        <v>3149.65</v>
      </c>
      <c r="D675" s="6">
        <f t="shared" si="24"/>
        <v>1.9037596341778222</v>
      </c>
      <c r="E675" s="6">
        <v>1.7927205269247508E-2</v>
      </c>
      <c r="F675" s="6"/>
      <c r="G675" s="6">
        <v>668</v>
      </c>
      <c r="H675" s="6">
        <f t="shared" ca="1" si="25"/>
        <v>2.640561024639855E-2</v>
      </c>
    </row>
    <row r="676" spans="2:8" x14ac:dyDescent="0.3">
      <c r="B676" s="4">
        <v>42863</v>
      </c>
      <c r="C676" s="5">
        <v>1084.68</v>
      </c>
      <c r="D676" s="6">
        <f t="shared" si="24"/>
        <v>-0.20060138406774403</v>
      </c>
      <c r="E676" s="6">
        <v>1.7924510595168957E-2</v>
      </c>
      <c r="F676" s="6"/>
      <c r="G676" s="6">
        <v>669</v>
      </c>
      <c r="H676" s="6">
        <f t="shared" ca="1" si="25"/>
        <v>1.9285656771609469E-2</v>
      </c>
    </row>
    <row r="677" spans="2:8" x14ac:dyDescent="0.3">
      <c r="B677" s="4">
        <v>43669</v>
      </c>
      <c r="C677" s="5">
        <v>1356.87</v>
      </c>
      <c r="D677" s="6">
        <f t="shared" si="24"/>
        <v>0.82352941176470562</v>
      </c>
      <c r="E677" s="6">
        <v>1.791461301285072E-2</v>
      </c>
      <c r="F677" s="6"/>
      <c r="G677" s="6">
        <v>670</v>
      </c>
      <c r="H677" s="6">
        <f t="shared" ca="1" si="25"/>
        <v>-3.636396489172731E-3</v>
      </c>
    </row>
    <row r="678" spans="2:8" x14ac:dyDescent="0.3">
      <c r="B678" s="4">
        <v>42060</v>
      </c>
      <c r="C678" s="7">
        <v>744.09</v>
      </c>
      <c r="D678" s="6">
        <f t="shared" si="24"/>
        <v>-0.31181154795926858</v>
      </c>
      <c r="E678" s="6">
        <v>1.789305207863099E-2</v>
      </c>
      <c r="F678" s="6"/>
      <c r="G678" s="6">
        <v>671</v>
      </c>
      <c r="H678" s="6">
        <f t="shared" ca="1" si="25"/>
        <v>1.1898932759522382E-2</v>
      </c>
    </row>
    <row r="679" spans="2:8" x14ac:dyDescent="0.3">
      <c r="B679" s="4">
        <v>42975</v>
      </c>
      <c r="C679" s="5">
        <v>1081.23</v>
      </c>
      <c r="D679" s="6">
        <f t="shared" si="24"/>
        <v>-0.32633225129128529</v>
      </c>
      <c r="E679" s="6">
        <v>1.7877315860822422E-2</v>
      </c>
      <c r="F679" s="6"/>
      <c r="G679" s="6">
        <v>672</v>
      </c>
      <c r="H679" s="6">
        <f t="shared" ca="1" si="25"/>
        <v>1.8238114018316345E-2</v>
      </c>
    </row>
    <row r="680" spans="2:8" x14ac:dyDescent="0.3">
      <c r="B680" s="4">
        <v>43934</v>
      </c>
      <c r="C680" s="5">
        <v>1604.99</v>
      </c>
      <c r="D680" s="6">
        <f t="shared" si="24"/>
        <v>0.79533099174478172</v>
      </c>
      <c r="E680" s="6">
        <v>1.786507020458903E-2</v>
      </c>
      <c r="F680" s="6"/>
      <c r="G680" s="6">
        <v>673</v>
      </c>
      <c r="H680" s="6">
        <f t="shared" ca="1" si="25"/>
        <v>-1.6110991118288593E-3</v>
      </c>
    </row>
    <row r="681" spans="2:8" x14ac:dyDescent="0.3">
      <c r="B681" s="4">
        <v>42507</v>
      </c>
      <c r="C681" s="7">
        <v>893.98</v>
      </c>
      <c r="D681" s="6">
        <f t="shared" si="24"/>
        <v>37.236954662104367</v>
      </c>
      <c r="E681" s="6">
        <v>1.7852669930547724E-2</v>
      </c>
      <c r="F681" s="6"/>
      <c r="G681" s="6">
        <v>674</v>
      </c>
      <c r="H681" s="6">
        <f t="shared" ca="1" si="25"/>
        <v>-1.4627574708123916E-2</v>
      </c>
    </row>
    <row r="682" spans="2:8" x14ac:dyDescent="0.3">
      <c r="B682" s="4">
        <v>38155</v>
      </c>
      <c r="C682" s="7">
        <v>23.38</v>
      </c>
      <c r="D682" s="6">
        <f t="shared" si="24"/>
        <v>-0.97793902565602608</v>
      </c>
      <c r="E682" s="6">
        <v>1.7849368741837186E-2</v>
      </c>
      <c r="F682" s="6"/>
      <c r="G682" s="6">
        <v>675</v>
      </c>
      <c r="H682" s="6">
        <f t="shared" ca="1" si="25"/>
        <v>3.921259842366874E-3</v>
      </c>
    </row>
    <row r="683" spans="2:8" x14ac:dyDescent="0.3">
      <c r="B683" s="4">
        <v>42585</v>
      </c>
      <c r="C683" s="5">
        <v>1059.79</v>
      </c>
      <c r="D683" s="6">
        <f t="shared" si="24"/>
        <v>9.4929702970297019</v>
      </c>
      <c r="E683" s="6">
        <v>1.7844623082759411E-2</v>
      </c>
      <c r="F683" s="6"/>
      <c r="G683" s="6">
        <v>676</v>
      </c>
      <c r="H683" s="6">
        <f t="shared" ca="1" si="25"/>
        <v>-3.3341898629813665E-3</v>
      </c>
    </row>
    <row r="684" spans="2:8" x14ac:dyDescent="0.3">
      <c r="B684" s="4">
        <v>39538</v>
      </c>
      <c r="C684" s="7">
        <v>101</v>
      </c>
      <c r="D684" s="6">
        <f t="shared" si="24"/>
        <v>-0.78867640289576102</v>
      </c>
      <c r="E684" s="6">
        <v>1.7837347576337759E-2</v>
      </c>
      <c r="F684" s="6"/>
      <c r="G684" s="6">
        <v>677</v>
      </c>
      <c r="H684" s="6">
        <f t="shared" ca="1" si="25"/>
        <v>-5.1299784109471135E-3</v>
      </c>
    </row>
    <row r="685" spans="2:8" x14ac:dyDescent="0.3">
      <c r="B685" s="4">
        <v>41577</v>
      </c>
      <c r="C685" s="7">
        <v>477.94</v>
      </c>
      <c r="D685" s="6">
        <f t="shared" si="24"/>
        <v>5.0209120685311168</v>
      </c>
      <c r="E685" s="6">
        <v>1.7824818450923194E-2</v>
      </c>
      <c r="F685" s="6"/>
      <c r="G685" s="6">
        <v>678</v>
      </c>
      <c r="H685" s="6">
        <f t="shared" ca="1" si="25"/>
        <v>4.5556071899819292E-3</v>
      </c>
    </row>
    <row r="686" spans="2:8" x14ac:dyDescent="0.3">
      <c r="B686" s="4">
        <v>39345</v>
      </c>
      <c r="C686" s="7">
        <v>79.38</v>
      </c>
      <c r="D686" s="6">
        <f t="shared" si="24"/>
        <v>-0.22782101167315177</v>
      </c>
      <c r="E686" s="6">
        <v>1.7822797794589059E-2</v>
      </c>
      <c r="F686" s="6"/>
      <c r="G686" s="6">
        <v>679</v>
      </c>
      <c r="H686" s="6">
        <f t="shared" ca="1" si="25"/>
        <v>5.8959964360166305E-3</v>
      </c>
    </row>
    <row r="687" spans="2:8" x14ac:dyDescent="0.3">
      <c r="B687" s="4">
        <v>40010</v>
      </c>
      <c r="C687" s="7">
        <v>102.8</v>
      </c>
      <c r="D687" s="6">
        <f t="shared" si="24"/>
        <v>-0.96469416492083659</v>
      </c>
      <c r="E687" s="6">
        <v>1.7821782178217793E-2</v>
      </c>
      <c r="F687" s="6"/>
      <c r="G687" s="6">
        <v>680</v>
      </c>
      <c r="H687" s="6">
        <f t="shared" ca="1" si="25"/>
        <v>-8.8142600747439757E-3</v>
      </c>
    </row>
    <row r="688" spans="2:8" x14ac:dyDescent="0.3">
      <c r="B688" s="4">
        <v>44411</v>
      </c>
      <c r="C688" s="5">
        <v>2911.7</v>
      </c>
      <c r="D688" s="6">
        <f t="shared" si="24"/>
        <v>1.0297381702590414</v>
      </c>
      <c r="E688" s="6">
        <v>1.7802899219440862E-2</v>
      </c>
      <c r="F688" s="6"/>
      <c r="G688" s="6">
        <v>681</v>
      </c>
      <c r="H688" s="6">
        <f t="shared" ca="1" si="25"/>
        <v>-1.7872666259483864E-2</v>
      </c>
    </row>
    <row r="689" spans="2:8" x14ac:dyDescent="0.3">
      <c r="B689" s="4">
        <v>43557</v>
      </c>
      <c r="C689" s="5">
        <v>1434.52</v>
      </c>
      <c r="D689" s="6">
        <f t="shared" si="24"/>
        <v>-0.53079320845312739</v>
      </c>
      <c r="E689" s="6">
        <v>1.7787080066692634E-2</v>
      </c>
      <c r="F689" s="6"/>
      <c r="G689" s="6">
        <v>682</v>
      </c>
      <c r="H689" s="6">
        <f t="shared" ca="1" si="25"/>
        <v>-3.3681635081545796E-3</v>
      </c>
    </row>
    <row r="690" spans="2:8" x14ac:dyDescent="0.3">
      <c r="B690" s="4">
        <v>44620</v>
      </c>
      <c r="C690" s="5">
        <v>3057.33</v>
      </c>
      <c r="D690" s="6">
        <f t="shared" si="24"/>
        <v>81.098012889366274</v>
      </c>
      <c r="E690" s="6">
        <v>1.7776712506616364E-2</v>
      </c>
      <c r="F690" s="6"/>
      <c r="G690" s="6">
        <v>683</v>
      </c>
      <c r="H690" s="6">
        <f t="shared" ca="1" si="25"/>
        <v>-1.1351142698204583E-2</v>
      </c>
    </row>
    <row r="691" spans="2:8" x14ac:dyDescent="0.3">
      <c r="B691" s="4">
        <v>38581</v>
      </c>
      <c r="C691" s="7">
        <v>37.24</v>
      </c>
      <c r="D691" s="6">
        <f t="shared" si="24"/>
        <v>-0.91503730236590541</v>
      </c>
      <c r="E691" s="6">
        <v>1.7764416507242375E-2</v>
      </c>
      <c r="F691" s="6"/>
      <c r="G691" s="6">
        <v>684</v>
      </c>
      <c r="H691" s="6">
        <f t="shared" ca="1" si="25"/>
        <v>-2.0849704784276526E-2</v>
      </c>
    </row>
    <row r="692" spans="2:8" x14ac:dyDescent="0.3">
      <c r="B692" s="4">
        <v>41675</v>
      </c>
      <c r="C692" s="7">
        <v>438.31</v>
      </c>
      <c r="D692" s="6">
        <f t="shared" si="24"/>
        <v>-0.81720022020552519</v>
      </c>
      <c r="E692" s="6">
        <v>1.7763432870477817E-2</v>
      </c>
      <c r="F692" s="6"/>
      <c r="G692" s="6">
        <v>685</v>
      </c>
      <c r="H692" s="6">
        <f t="shared" ca="1" si="25"/>
        <v>-1.8871608470071202E-2</v>
      </c>
    </row>
    <row r="693" spans="2:8" x14ac:dyDescent="0.3">
      <c r="B693" s="4">
        <v>45867</v>
      </c>
      <c r="C693" s="5">
        <v>2397.7600000000002</v>
      </c>
      <c r="D693" s="6">
        <f t="shared" si="24"/>
        <v>12.435087129489553</v>
      </c>
      <c r="E693" s="6">
        <v>1.7759516452171612E-2</v>
      </c>
      <c r="F693" s="6"/>
      <c r="G693" s="6">
        <v>686</v>
      </c>
      <c r="H693" s="6">
        <f t="shared" ca="1" si="25"/>
        <v>-9.2244942983195823E-3</v>
      </c>
    </row>
    <row r="694" spans="2:8" x14ac:dyDescent="0.3">
      <c r="B694" s="4">
        <v>40273</v>
      </c>
      <c r="C694" s="7">
        <v>178.47</v>
      </c>
      <c r="D694" s="6">
        <f t="shared" si="24"/>
        <v>-0.93752537911141609</v>
      </c>
      <c r="E694" s="6">
        <v>1.7734945255474366E-2</v>
      </c>
      <c r="F694" s="6"/>
      <c r="G694" s="6">
        <v>687</v>
      </c>
      <c r="H694" s="6">
        <f t="shared" ca="1" si="25"/>
        <v>2.4356180668925614E-2</v>
      </c>
    </row>
    <row r="695" spans="2:8" x14ac:dyDescent="0.3">
      <c r="B695" s="4">
        <v>44495</v>
      </c>
      <c r="C695" s="5">
        <v>2856.68</v>
      </c>
      <c r="D695" s="6">
        <f t="shared" si="24"/>
        <v>4.6349271465932138E-2</v>
      </c>
      <c r="E695" s="6">
        <v>1.7734867647582652E-2</v>
      </c>
      <c r="F695" s="6"/>
      <c r="G695" s="6">
        <v>688</v>
      </c>
      <c r="H695" s="6">
        <f t="shared" ca="1" si="25"/>
        <v>-1.4078136291166415E-2</v>
      </c>
    </row>
    <row r="696" spans="2:8" x14ac:dyDescent="0.3">
      <c r="B696" s="4">
        <v>44966</v>
      </c>
      <c r="C696" s="5">
        <v>2730.14</v>
      </c>
      <c r="D696" s="6">
        <f t="shared" si="24"/>
        <v>5.5308104487608833</v>
      </c>
      <c r="E696" s="6">
        <v>1.7717819586149215E-2</v>
      </c>
      <c r="F696" s="6"/>
      <c r="G696" s="6">
        <v>689</v>
      </c>
      <c r="H696" s="6">
        <f t="shared" ca="1" si="25"/>
        <v>2.5787722080027661E-2</v>
      </c>
    </row>
    <row r="697" spans="2:8" x14ac:dyDescent="0.3">
      <c r="B697" s="4">
        <v>41341</v>
      </c>
      <c r="C697" s="7">
        <v>418.04</v>
      </c>
      <c r="D697" s="6">
        <f t="shared" si="24"/>
        <v>3.8111405224997128</v>
      </c>
      <c r="E697" s="6">
        <v>1.7698468729459405E-2</v>
      </c>
      <c r="F697" s="6"/>
      <c r="G697" s="6">
        <v>690</v>
      </c>
      <c r="H697" s="6">
        <f t="shared" ca="1" si="25"/>
        <v>-2.2991008735501604E-2</v>
      </c>
    </row>
    <row r="698" spans="2:8" x14ac:dyDescent="0.3">
      <c r="B698" s="4">
        <v>39386</v>
      </c>
      <c r="C698" s="7">
        <v>86.89</v>
      </c>
      <c r="D698" s="6">
        <f t="shared" si="24"/>
        <v>4.20611144397843</v>
      </c>
      <c r="E698" s="6">
        <v>1.7685640665261248E-2</v>
      </c>
      <c r="F698" s="6"/>
      <c r="G698" s="6">
        <v>691</v>
      </c>
      <c r="H698" s="6">
        <f t="shared" ca="1" si="25"/>
        <v>-7.0873777594845627E-3</v>
      </c>
    </row>
    <row r="699" spans="2:8" x14ac:dyDescent="0.3">
      <c r="B699" s="4">
        <v>37635</v>
      </c>
      <c r="C699" s="7">
        <v>16.690000000000001</v>
      </c>
      <c r="D699" s="6">
        <f t="shared" si="24"/>
        <v>-0.98899395953680991</v>
      </c>
      <c r="E699" s="6">
        <v>1.7682926829268458E-2</v>
      </c>
      <c r="F699" s="6"/>
      <c r="G699" s="6">
        <v>692</v>
      </c>
      <c r="H699" s="6">
        <f t="shared" ca="1" si="25"/>
        <v>-1.4697946792235185E-2</v>
      </c>
    </row>
    <row r="700" spans="2:8" x14ac:dyDescent="0.3">
      <c r="B700" s="4">
        <v>43693</v>
      </c>
      <c r="C700" s="5">
        <v>1516.44</v>
      </c>
      <c r="D700" s="6">
        <f t="shared" si="24"/>
        <v>4.1489529748700286E-2</v>
      </c>
      <c r="E700" s="6">
        <v>1.7676665995570866E-2</v>
      </c>
      <c r="F700" s="6"/>
      <c r="G700" s="6">
        <v>693</v>
      </c>
      <c r="H700" s="6">
        <f t="shared" ca="1" si="25"/>
        <v>1.7534751375923086E-2</v>
      </c>
    </row>
    <row r="701" spans="2:8" x14ac:dyDescent="0.3">
      <c r="B701" s="4">
        <v>43914</v>
      </c>
      <c r="C701" s="5">
        <v>1456.03</v>
      </c>
      <c r="D701" s="6">
        <f t="shared" si="24"/>
        <v>88.989493201483313</v>
      </c>
      <c r="E701" s="6">
        <v>1.7619267273311832E-2</v>
      </c>
      <c r="F701" s="6"/>
      <c r="G701" s="6">
        <v>694</v>
      </c>
      <c r="H701" s="6">
        <f t="shared" ca="1" si="25"/>
        <v>1.0109403867605898E-2</v>
      </c>
    </row>
    <row r="702" spans="2:8" x14ac:dyDescent="0.3">
      <c r="B702" s="4">
        <v>37573</v>
      </c>
      <c r="C702" s="7">
        <v>16.18</v>
      </c>
      <c r="D702" s="6">
        <f t="shared" si="24"/>
        <v>-0.84368660032847076</v>
      </c>
      <c r="E702" s="6">
        <v>1.7610062893081719E-2</v>
      </c>
      <c r="F702" s="6"/>
      <c r="G702" s="6">
        <v>695</v>
      </c>
      <c r="H702" s="6">
        <f t="shared" ca="1" si="25"/>
        <v>-1.4163610727790972E-2</v>
      </c>
    </row>
    <row r="703" spans="2:8" x14ac:dyDescent="0.3">
      <c r="B703" s="4">
        <v>39693</v>
      </c>
      <c r="C703" s="7">
        <v>103.51</v>
      </c>
      <c r="D703" s="6">
        <f t="shared" si="24"/>
        <v>-0.87196645474111278</v>
      </c>
      <c r="E703" s="6">
        <v>1.7597325992921808E-2</v>
      </c>
      <c r="F703" s="6"/>
      <c r="G703" s="6">
        <v>696</v>
      </c>
      <c r="H703" s="6">
        <f t="shared" ca="1" si="25"/>
        <v>-1.6846560115084265E-2</v>
      </c>
    </row>
    <row r="704" spans="2:8" x14ac:dyDescent="0.3">
      <c r="B704" s="4">
        <v>42486</v>
      </c>
      <c r="C704" s="7">
        <v>808.46</v>
      </c>
      <c r="D704" s="6">
        <f t="shared" si="24"/>
        <v>-0.76526505891165864</v>
      </c>
      <c r="E704" s="6">
        <v>1.7570799244808102E-2</v>
      </c>
      <c r="F704" s="6"/>
      <c r="G704" s="6">
        <v>697</v>
      </c>
      <c r="H704" s="6">
        <f t="shared" ca="1" si="25"/>
        <v>-3.2138459181612178E-2</v>
      </c>
    </row>
    <row r="705" spans="2:8" x14ac:dyDescent="0.3">
      <c r="B705" s="4">
        <v>44568</v>
      </c>
      <c r="C705" s="5">
        <v>3444.14</v>
      </c>
      <c r="D705" s="6">
        <f t="shared" si="24"/>
        <v>0.82191070672873445</v>
      </c>
      <c r="E705" s="6">
        <v>1.7540335089237937E-2</v>
      </c>
      <c r="F705" s="6"/>
      <c r="G705" s="6">
        <v>698</v>
      </c>
      <c r="H705" s="6">
        <f t="shared" ca="1" si="25"/>
        <v>-5.2791146859487489E-3</v>
      </c>
    </row>
    <row r="706" spans="2:8" x14ac:dyDescent="0.3">
      <c r="B706" s="4">
        <v>44077</v>
      </c>
      <c r="C706" s="5">
        <v>1890.4</v>
      </c>
      <c r="D706" s="6">
        <f t="shared" si="24"/>
        <v>1.4125784879268981</v>
      </c>
      <c r="E706" s="6">
        <v>1.7514775063783166E-2</v>
      </c>
      <c r="F706" s="6"/>
      <c r="G706" s="6">
        <v>699</v>
      </c>
      <c r="H706" s="6">
        <f t="shared" ca="1" si="25"/>
        <v>7.1824832202041743E-3</v>
      </c>
    </row>
    <row r="707" spans="2:8" x14ac:dyDescent="0.3">
      <c r="B707" s="4">
        <v>42241</v>
      </c>
      <c r="C707" s="7">
        <v>783.56</v>
      </c>
      <c r="D707" s="6">
        <f t="shared" si="24"/>
        <v>1.5384216664506931</v>
      </c>
      <c r="E707" s="6">
        <v>1.7491462036904666E-2</v>
      </c>
      <c r="F707" s="6"/>
      <c r="G707" s="6">
        <v>700</v>
      </c>
      <c r="H707" s="6">
        <f t="shared" ca="1" si="25"/>
        <v>4.8333452496258219E-3</v>
      </c>
    </row>
    <row r="708" spans="2:8" x14ac:dyDescent="0.3">
      <c r="B708" s="4">
        <v>41025</v>
      </c>
      <c r="C708" s="7">
        <v>308.68</v>
      </c>
      <c r="D708" s="6">
        <f t="shared" si="24"/>
        <v>-0.59256619413426259</v>
      </c>
      <c r="E708" s="6">
        <v>1.7469839804865224E-2</v>
      </c>
      <c r="F708" s="6"/>
      <c r="G708" s="6">
        <v>701</v>
      </c>
      <c r="H708" s="6">
        <f t="shared" ca="1" si="25"/>
        <v>1.6239439851285912E-3</v>
      </c>
    </row>
    <row r="709" spans="2:8" x14ac:dyDescent="0.3">
      <c r="B709" s="4">
        <v>42326</v>
      </c>
      <c r="C709" s="7">
        <v>757.62</v>
      </c>
      <c r="D709" s="6">
        <f t="shared" si="24"/>
        <v>1.2754084574723692</v>
      </c>
      <c r="E709" s="6">
        <v>1.745856947167683E-2</v>
      </c>
      <c r="F709" s="6"/>
      <c r="G709" s="6">
        <v>702</v>
      </c>
      <c r="H709" s="6">
        <f t="shared" ca="1" si="25"/>
        <v>-1.6501319230759592E-2</v>
      </c>
    </row>
    <row r="710" spans="2:8" x14ac:dyDescent="0.3">
      <c r="B710" s="4">
        <v>41149</v>
      </c>
      <c r="C710" s="7">
        <v>332.96</v>
      </c>
      <c r="D710" s="6">
        <f t="shared" si="24"/>
        <v>14.795066413662241</v>
      </c>
      <c r="E710" s="6">
        <v>1.7386255996577744E-2</v>
      </c>
      <c r="F710" s="6"/>
      <c r="G710" s="6">
        <v>703</v>
      </c>
      <c r="H710" s="6">
        <f t="shared" ca="1" si="25"/>
        <v>4.7891278442197512E-3</v>
      </c>
    </row>
    <row r="711" spans="2:8" x14ac:dyDescent="0.3">
      <c r="B711" s="4">
        <v>37845</v>
      </c>
      <c r="C711" s="7">
        <v>21.08</v>
      </c>
      <c r="D711" s="6">
        <f t="shared" si="24"/>
        <v>-0.60442859823606687</v>
      </c>
      <c r="E711" s="6">
        <v>1.7374517374517347E-2</v>
      </c>
      <c r="F711" s="6"/>
      <c r="G711" s="6">
        <v>704</v>
      </c>
      <c r="H711" s="6">
        <f t="shared" ca="1" si="25"/>
        <v>-3.8562155447907719E-2</v>
      </c>
    </row>
    <row r="712" spans="2:8" x14ac:dyDescent="0.3">
      <c r="B712" s="4">
        <v>38786</v>
      </c>
      <c r="C712" s="7">
        <v>53.29</v>
      </c>
      <c r="D712" s="6">
        <f t="shared" ref="D712:D775" si="26">((C712-C713)/C713)</f>
        <v>-0.49731157437977552</v>
      </c>
      <c r="E712" s="6">
        <v>1.7373043146238956E-2</v>
      </c>
      <c r="F712" s="6"/>
      <c r="G712" s="6">
        <v>705</v>
      </c>
      <c r="H712" s="6">
        <f t="shared" ca="1" si="25"/>
        <v>-1.2064079488838067E-2</v>
      </c>
    </row>
    <row r="713" spans="2:8" x14ac:dyDescent="0.3">
      <c r="B713" s="4">
        <v>39597</v>
      </c>
      <c r="C713" s="7">
        <v>106.01</v>
      </c>
      <c r="D713" s="6">
        <f t="shared" si="26"/>
        <v>-0.4097438752783964</v>
      </c>
      <c r="E713" s="6">
        <v>1.7370441458733225E-2</v>
      </c>
      <c r="F713" s="6"/>
      <c r="G713" s="6">
        <v>706</v>
      </c>
      <c r="H713" s="6">
        <f t="shared" ref="H713:H776" ca="1" si="27">_xlfn.NORM.INV(RAND(),N$10,N$11)</f>
        <v>1.0181591108516646E-2</v>
      </c>
    </row>
    <row r="714" spans="2:8" x14ac:dyDescent="0.3">
      <c r="B714" s="4">
        <v>40267</v>
      </c>
      <c r="C714" s="7">
        <v>179.6</v>
      </c>
      <c r="D714" s="6">
        <f t="shared" si="26"/>
        <v>2.7723167401806346</v>
      </c>
      <c r="E714" s="6">
        <v>1.7333182281635905E-2</v>
      </c>
      <c r="F714" s="6"/>
      <c r="G714" s="6">
        <v>707</v>
      </c>
      <c r="H714" s="6">
        <f t="shared" ca="1" si="27"/>
        <v>-2.0280323140265512E-3</v>
      </c>
    </row>
    <row r="715" spans="2:8" x14ac:dyDescent="0.3">
      <c r="B715" s="4">
        <v>38911</v>
      </c>
      <c r="C715" s="7">
        <v>47.61</v>
      </c>
      <c r="D715" s="6">
        <f t="shared" si="26"/>
        <v>-0.95475409836065572</v>
      </c>
      <c r="E715" s="6">
        <v>1.7307692307692357E-2</v>
      </c>
      <c r="F715" s="6"/>
      <c r="G715" s="6">
        <v>708</v>
      </c>
      <c r="H715" s="6">
        <f t="shared" ca="1" si="27"/>
        <v>1.2050831095748787E-2</v>
      </c>
    </row>
    <row r="716" spans="2:8" x14ac:dyDescent="0.3">
      <c r="B716" s="4">
        <v>42881</v>
      </c>
      <c r="C716" s="5">
        <v>1052.25</v>
      </c>
      <c r="D716" s="6">
        <f t="shared" si="26"/>
        <v>-0.64488564457178732</v>
      </c>
      <c r="E716" s="6">
        <v>1.7295719091999017E-2</v>
      </c>
      <c r="F716" s="6"/>
      <c r="G716" s="6">
        <v>709</v>
      </c>
      <c r="H716" s="6">
        <f t="shared" ca="1" si="27"/>
        <v>-1.6541068746990319E-2</v>
      </c>
    </row>
    <row r="717" spans="2:8" x14ac:dyDescent="0.3">
      <c r="B717" s="4">
        <v>45236</v>
      </c>
      <c r="C717" s="5">
        <v>2963.13</v>
      </c>
      <c r="D717" s="6">
        <f t="shared" si="26"/>
        <v>115.79661016949153</v>
      </c>
      <c r="E717" s="6">
        <v>1.727541446232338E-2</v>
      </c>
      <c r="F717" s="6"/>
      <c r="G717" s="6">
        <v>710</v>
      </c>
      <c r="H717" s="6">
        <f t="shared" ca="1" si="27"/>
        <v>3.8984379665013185E-3</v>
      </c>
    </row>
    <row r="718" spans="2:8" x14ac:dyDescent="0.3">
      <c r="B718" s="4">
        <v>38204</v>
      </c>
      <c r="C718" s="7">
        <v>25.37</v>
      </c>
      <c r="D718" s="6">
        <f t="shared" si="26"/>
        <v>-0.98085441963308717</v>
      </c>
      <c r="E718" s="6">
        <v>1.7241379310344817E-2</v>
      </c>
      <c r="F718" s="6"/>
      <c r="G718" s="6">
        <v>711</v>
      </c>
      <c r="H718" s="6">
        <f t="shared" ca="1" si="27"/>
        <v>9.7859183124635093E-3</v>
      </c>
    </row>
    <row r="719" spans="2:8" x14ac:dyDescent="0.3">
      <c r="B719" s="4">
        <v>43663</v>
      </c>
      <c r="C719" s="5">
        <v>1325.11</v>
      </c>
      <c r="D719" s="6">
        <f t="shared" si="26"/>
        <v>28.466533244385143</v>
      </c>
      <c r="E719" s="6">
        <v>1.7194924426771778E-2</v>
      </c>
      <c r="F719" s="6"/>
      <c r="G719" s="6">
        <v>712</v>
      </c>
      <c r="H719" s="6">
        <f t="shared" ca="1" si="27"/>
        <v>8.5322817954574959E-3</v>
      </c>
    </row>
    <row r="720" spans="2:8" x14ac:dyDescent="0.3">
      <c r="B720" s="4">
        <v>38705</v>
      </c>
      <c r="C720" s="7">
        <v>44.97</v>
      </c>
      <c r="D720" s="6">
        <f t="shared" si="26"/>
        <v>-0.98551261565423576</v>
      </c>
      <c r="E720" s="6">
        <v>1.7190680841438544E-2</v>
      </c>
      <c r="F720" s="6"/>
      <c r="G720" s="6">
        <v>713</v>
      </c>
      <c r="H720" s="6">
        <f t="shared" ca="1" si="27"/>
        <v>-2.857574167674938E-3</v>
      </c>
    </row>
    <row r="721" spans="2:8" x14ac:dyDescent="0.3">
      <c r="B721" s="4">
        <v>45261</v>
      </c>
      <c r="C721" s="5">
        <v>3104.08</v>
      </c>
      <c r="D721" s="6">
        <f t="shared" si="26"/>
        <v>1.7088340271050952</v>
      </c>
      <c r="E721" s="6">
        <v>1.7147538297698019E-2</v>
      </c>
      <c r="F721" s="6"/>
      <c r="G721" s="6">
        <v>714</v>
      </c>
      <c r="H721" s="6">
        <f t="shared" ca="1" si="27"/>
        <v>3.0647967983108955E-3</v>
      </c>
    </row>
    <row r="722" spans="2:8" x14ac:dyDescent="0.3">
      <c r="B722" s="4">
        <v>43222</v>
      </c>
      <c r="C722" s="5">
        <v>1145.9100000000001</v>
      </c>
      <c r="D722" s="6">
        <f t="shared" si="26"/>
        <v>-0.60703079186428122</v>
      </c>
      <c r="E722" s="6">
        <v>1.7140067459613148E-2</v>
      </c>
      <c r="F722" s="6"/>
      <c r="G722" s="6">
        <v>715</v>
      </c>
      <c r="H722" s="6">
        <f t="shared" ca="1" si="27"/>
        <v>2.6809783679529074E-3</v>
      </c>
    </row>
    <row r="723" spans="2:8" x14ac:dyDescent="0.3">
      <c r="B723" s="4">
        <v>45329</v>
      </c>
      <c r="C723" s="5">
        <v>2916.03</v>
      </c>
      <c r="D723" s="6">
        <f t="shared" si="26"/>
        <v>41.675691497146204</v>
      </c>
      <c r="E723" s="6">
        <v>1.7126333743760876E-2</v>
      </c>
      <c r="F723" s="6"/>
      <c r="G723" s="6">
        <v>716</v>
      </c>
      <c r="H723" s="6">
        <f t="shared" ca="1" si="27"/>
        <v>-3.0091627732704612E-2</v>
      </c>
    </row>
    <row r="724" spans="2:8" x14ac:dyDescent="0.3">
      <c r="B724" s="4">
        <v>39905</v>
      </c>
      <c r="C724" s="7">
        <v>68.33</v>
      </c>
      <c r="D724" s="6">
        <f t="shared" si="26"/>
        <v>-0.89975646969074574</v>
      </c>
      <c r="E724" s="6">
        <v>1.7118189937481265E-2</v>
      </c>
      <c r="F724" s="6"/>
      <c r="G724" s="6">
        <v>717</v>
      </c>
      <c r="H724" s="6">
        <f t="shared" ca="1" si="27"/>
        <v>1.0373259995205818E-2</v>
      </c>
    </row>
    <row r="725" spans="2:8" x14ac:dyDescent="0.3">
      <c r="B725" s="4">
        <v>41995</v>
      </c>
      <c r="C725" s="7">
        <v>681.64</v>
      </c>
      <c r="D725" s="6">
        <f t="shared" si="26"/>
        <v>-0.72522604233431298</v>
      </c>
      <c r="E725" s="6">
        <v>1.7115060357819699E-2</v>
      </c>
      <c r="F725" s="6"/>
      <c r="G725" s="6">
        <v>718</v>
      </c>
      <c r="H725" s="6">
        <f t="shared" ca="1" si="27"/>
        <v>2.4285803590360809E-3</v>
      </c>
    </row>
    <row r="726" spans="2:8" x14ac:dyDescent="0.3">
      <c r="B726" s="4">
        <v>45846</v>
      </c>
      <c r="C726" s="5">
        <v>2480.73</v>
      </c>
      <c r="D726" s="6">
        <f t="shared" si="26"/>
        <v>30.106332288401255</v>
      </c>
      <c r="E726" s="6">
        <v>1.7113641302342462E-2</v>
      </c>
      <c r="F726" s="6"/>
      <c r="G726" s="6">
        <v>719</v>
      </c>
      <c r="H726" s="6">
        <f t="shared" ca="1" si="27"/>
        <v>3.5980821104913074E-2</v>
      </c>
    </row>
    <row r="727" spans="2:8" x14ac:dyDescent="0.3">
      <c r="B727" s="4">
        <v>39832</v>
      </c>
      <c r="C727" s="7">
        <v>79.75</v>
      </c>
      <c r="D727" s="6">
        <f t="shared" si="26"/>
        <v>-0.22111534329524368</v>
      </c>
      <c r="E727" s="6">
        <v>1.7089656931513882E-2</v>
      </c>
      <c r="F727" s="6"/>
      <c r="G727" s="6">
        <v>720</v>
      </c>
      <c r="H727" s="6">
        <f t="shared" ca="1" si="27"/>
        <v>-8.6691883020323414E-3</v>
      </c>
    </row>
    <row r="728" spans="2:8" x14ac:dyDescent="0.3">
      <c r="B728" s="4">
        <v>39483</v>
      </c>
      <c r="C728" s="7">
        <v>102.39</v>
      </c>
      <c r="D728" s="6">
        <f t="shared" si="26"/>
        <v>0.21056987467486407</v>
      </c>
      <c r="E728" s="6">
        <v>1.7085526969305639E-2</v>
      </c>
      <c r="F728" s="6"/>
      <c r="G728" s="6">
        <v>721</v>
      </c>
      <c r="H728" s="6">
        <f t="shared" ca="1" si="27"/>
        <v>-1.5716315548631177E-2</v>
      </c>
    </row>
    <row r="729" spans="2:8" x14ac:dyDescent="0.3">
      <c r="B729" s="4">
        <v>39435</v>
      </c>
      <c r="C729" s="7">
        <v>84.58</v>
      </c>
      <c r="D729" s="6">
        <f t="shared" si="26"/>
        <v>-0.61645202249229092</v>
      </c>
      <c r="E729" s="6">
        <v>1.7075517075517098E-2</v>
      </c>
      <c r="F729" s="6"/>
      <c r="G729" s="6">
        <v>722</v>
      </c>
      <c r="H729" s="6">
        <f t="shared" ca="1" si="27"/>
        <v>-1.8406186485268827E-2</v>
      </c>
    </row>
    <row r="730" spans="2:8" x14ac:dyDescent="0.3">
      <c r="B730" s="4">
        <v>40381</v>
      </c>
      <c r="C730" s="7">
        <v>220.52</v>
      </c>
      <c r="D730" s="6">
        <f t="shared" si="26"/>
        <v>-0.92274816434056384</v>
      </c>
      <c r="E730" s="6">
        <v>1.7064846416382333E-2</v>
      </c>
      <c r="F730" s="6"/>
      <c r="G730" s="6">
        <v>723</v>
      </c>
      <c r="H730" s="6">
        <f t="shared" ca="1" si="27"/>
        <v>-2.7816287178602317E-3</v>
      </c>
    </row>
    <row r="731" spans="2:8" x14ac:dyDescent="0.3">
      <c r="B731" s="4">
        <v>45386</v>
      </c>
      <c r="C731" s="5">
        <v>2854.56</v>
      </c>
      <c r="D731" s="6">
        <f t="shared" si="26"/>
        <v>-3.8172414374041806E-2</v>
      </c>
      <c r="E731" s="6">
        <v>1.7059301380991106E-2</v>
      </c>
      <c r="F731" s="6"/>
      <c r="G731" s="6">
        <v>724</v>
      </c>
      <c r="H731" s="6">
        <f t="shared" ca="1" si="27"/>
        <v>4.4095083018642692E-3</v>
      </c>
    </row>
    <row r="732" spans="2:8" x14ac:dyDescent="0.3">
      <c r="B732" s="4">
        <v>45503</v>
      </c>
      <c r="C732" s="5">
        <v>2967.85</v>
      </c>
      <c r="D732" s="6">
        <f t="shared" si="26"/>
        <v>36.359642497482376</v>
      </c>
      <c r="E732" s="6">
        <v>1.7041794031773888E-2</v>
      </c>
      <c r="F732" s="6"/>
      <c r="G732" s="6">
        <v>725</v>
      </c>
      <c r="H732" s="6">
        <f t="shared" ca="1" si="27"/>
        <v>1.2706940493702631E-2</v>
      </c>
    </row>
    <row r="733" spans="2:8" x14ac:dyDescent="0.3">
      <c r="B733" s="4">
        <v>39338</v>
      </c>
      <c r="C733" s="7">
        <v>79.44</v>
      </c>
      <c r="D733" s="6">
        <f t="shared" si="26"/>
        <v>-0.92948695189064434</v>
      </c>
      <c r="E733" s="6">
        <v>1.702726923569323E-2</v>
      </c>
      <c r="F733" s="6"/>
      <c r="G733" s="6">
        <v>726</v>
      </c>
      <c r="H733" s="6">
        <f t="shared" ca="1" si="27"/>
        <v>-2.5325389624122705E-2</v>
      </c>
    </row>
    <row r="734" spans="2:8" x14ac:dyDescent="0.3">
      <c r="B734" s="4">
        <v>43220</v>
      </c>
      <c r="C734" s="5">
        <v>1126.5999999999999</v>
      </c>
      <c r="D734" s="6">
        <f t="shared" si="26"/>
        <v>44.927435792906643</v>
      </c>
      <c r="E734" s="6">
        <v>1.7007293998700004E-2</v>
      </c>
      <c r="F734" s="6"/>
      <c r="G734" s="6">
        <v>727</v>
      </c>
      <c r="H734" s="6">
        <f t="shared" ca="1" si="27"/>
        <v>2.3748471519657335E-2</v>
      </c>
    </row>
    <row r="735" spans="2:8" x14ac:dyDescent="0.3">
      <c r="B735" s="4">
        <v>38160</v>
      </c>
      <c r="C735" s="7">
        <v>24.53</v>
      </c>
      <c r="D735" s="6">
        <f t="shared" si="26"/>
        <v>-0.94515249083266262</v>
      </c>
      <c r="E735" s="6">
        <v>1.6998341625207303E-2</v>
      </c>
      <c r="F735" s="6"/>
      <c r="G735" s="6">
        <v>728</v>
      </c>
      <c r="H735" s="6">
        <f t="shared" ca="1" si="27"/>
        <v>1.6242868906344271E-2</v>
      </c>
    </row>
    <row r="736" spans="2:8" x14ac:dyDescent="0.3">
      <c r="B736" s="4">
        <v>41353</v>
      </c>
      <c r="C736" s="7">
        <v>447.24</v>
      </c>
      <c r="D736" s="6">
        <f t="shared" si="26"/>
        <v>-0.68358496172512839</v>
      </c>
      <c r="E736" s="6">
        <v>1.6963026968029551E-2</v>
      </c>
      <c r="F736" s="6"/>
      <c r="G736" s="6">
        <v>729</v>
      </c>
      <c r="H736" s="6">
        <f t="shared" ca="1" si="27"/>
        <v>1.236818033666406E-3</v>
      </c>
    </row>
    <row r="737" spans="2:8" x14ac:dyDescent="0.3">
      <c r="B737" s="4">
        <v>43552</v>
      </c>
      <c r="C737" s="5">
        <v>1413.46</v>
      </c>
      <c r="D737" s="6">
        <f t="shared" si="26"/>
        <v>41.054745611425176</v>
      </c>
      <c r="E737" s="6">
        <v>1.6950859774084427E-2</v>
      </c>
      <c r="F737" s="6"/>
      <c r="G737" s="6">
        <v>730</v>
      </c>
      <c r="H737" s="6">
        <f t="shared" ca="1" si="27"/>
        <v>3.8065754032747423E-2</v>
      </c>
    </row>
    <row r="738" spans="2:8" x14ac:dyDescent="0.3">
      <c r="B738" s="4">
        <v>38537</v>
      </c>
      <c r="C738" s="7">
        <v>33.61</v>
      </c>
      <c r="D738" s="6">
        <f t="shared" si="26"/>
        <v>-0.8707158518290572</v>
      </c>
      <c r="E738" s="6">
        <v>1.6944024205748937E-2</v>
      </c>
      <c r="F738" s="6"/>
      <c r="G738" s="6">
        <v>731</v>
      </c>
      <c r="H738" s="6">
        <f t="shared" ca="1" si="27"/>
        <v>-2.0743312385448638E-2</v>
      </c>
    </row>
    <row r="739" spans="2:8" x14ac:dyDescent="0.3">
      <c r="B739" s="4">
        <v>40687</v>
      </c>
      <c r="C739" s="7">
        <v>259.97000000000003</v>
      </c>
      <c r="D739" s="6">
        <f t="shared" si="26"/>
        <v>1.1906968905367827</v>
      </c>
      <c r="E739" s="6">
        <v>1.6937881395712881E-2</v>
      </c>
      <c r="F739" s="6"/>
      <c r="G739" s="6">
        <v>732</v>
      </c>
      <c r="H739" s="6">
        <f t="shared" ca="1" si="27"/>
        <v>-1.4316730151603054E-2</v>
      </c>
    </row>
    <row r="740" spans="2:8" x14ac:dyDescent="0.3">
      <c r="B740" s="4">
        <v>40060</v>
      </c>
      <c r="C740" s="7">
        <v>118.67</v>
      </c>
      <c r="D740" s="6">
        <f t="shared" si="26"/>
        <v>-0.90115693117550533</v>
      </c>
      <c r="E740" s="6">
        <v>1.688089117395029E-2</v>
      </c>
      <c r="F740" s="6"/>
      <c r="G740" s="6">
        <v>733</v>
      </c>
      <c r="H740" s="6">
        <f t="shared" ca="1" si="27"/>
        <v>7.5349190559349122E-3</v>
      </c>
    </row>
    <row r="741" spans="2:8" x14ac:dyDescent="0.3">
      <c r="B741" s="4">
        <v>43277</v>
      </c>
      <c r="C741" s="5">
        <v>1200.5899999999999</v>
      </c>
      <c r="D741" s="6">
        <f t="shared" si="26"/>
        <v>-0.48101446393526248</v>
      </c>
      <c r="E741" s="6">
        <v>1.6871776194872273E-2</v>
      </c>
      <c r="F741" s="6"/>
      <c r="G741" s="6">
        <v>734</v>
      </c>
      <c r="H741" s="6">
        <f t="shared" ca="1" si="27"/>
        <v>1.6751354737708214E-2</v>
      </c>
    </row>
    <row r="742" spans="2:8" x14ac:dyDescent="0.3">
      <c r="B742" s="4">
        <v>44235</v>
      </c>
      <c r="C742" s="5">
        <v>2313.34</v>
      </c>
      <c r="D742" s="6">
        <f t="shared" si="26"/>
        <v>11.608131676477001</v>
      </c>
      <c r="E742" s="6">
        <v>1.6870626296726143E-2</v>
      </c>
      <c r="F742" s="6"/>
      <c r="G742" s="6">
        <v>735</v>
      </c>
      <c r="H742" s="6">
        <f t="shared" ca="1" si="27"/>
        <v>2.188051014498189E-2</v>
      </c>
    </row>
    <row r="743" spans="2:8" x14ac:dyDescent="0.3">
      <c r="B743" s="4">
        <v>40332</v>
      </c>
      <c r="C743" s="7">
        <v>183.48</v>
      </c>
      <c r="D743" s="6">
        <f t="shared" si="26"/>
        <v>-0.24775531958509289</v>
      </c>
      <c r="E743" s="6">
        <v>1.6847705608512481E-2</v>
      </c>
      <c r="F743" s="6"/>
      <c r="G743" s="6">
        <v>736</v>
      </c>
      <c r="H743" s="6">
        <f t="shared" ca="1" si="27"/>
        <v>-4.1342577311150597E-2</v>
      </c>
    </row>
    <row r="744" spans="2:8" x14ac:dyDescent="0.3">
      <c r="B744" s="4">
        <v>40445</v>
      </c>
      <c r="C744" s="7">
        <v>243.91</v>
      </c>
      <c r="D744" s="6">
        <f t="shared" si="26"/>
        <v>2.251266328978939</v>
      </c>
      <c r="E744" s="6">
        <v>1.6842456330512328E-2</v>
      </c>
      <c r="F744" s="6"/>
      <c r="G744" s="6">
        <v>737</v>
      </c>
      <c r="H744" s="6">
        <f t="shared" ca="1" si="27"/>
        <v>5.624596290214833E-3</v>
      </c>
    </row>
    <row r="745" spans="2:8" x14ac:dyDescent="0.3">
      <c r="B745" s="4">
        <v>39287</v>
      </c>
      <c r="C745" s="7">
        <v>75.02</v>
      </c>
      <c r="D745" s="6">
        <f t="shared" si="26"/>
        <v>-0.9742520498484708</v>
      </c>
      <c r="E745" s="6">
        <v>1.680672268907556E-2</v>
      </c>
      <c r="F745" s="6"/>
      <c r="G745" s="6">
        <v>738</v>
      </c>
      <c r="H745" s="6">
        <f t="shared" ca="1" si="27"/>
        <v>1.152783121393057E-2</v>
      </c>
    </row>
    <row r="746" spans="2:8" x14ac:dyDescent="0.3">
      <c r="B746" s="4">
        <v>45499</v>
      </c>
      <c r="C746" s="5">
        <v>2913.63</v>
      </c>
      <c r="D746" s="6">
        <f t="shared" si="26"/>
        <v>0.24356796530884012</v>
      </c>
      <c r="E746" s="6">
        <v>1.6803467481887883E-2</v>
      </c>
      <c r="F746" s="6"/>
      <c r="G746" s="6">
        <v>739</v>
      </c>
      <c r="H746" s="6">
        <f t="shared" ca="1" si="27"/>
        <v>3.7291531845766411E-2</v>
      </c>
    </row>
    <row r="747" spans="2:8" x14ac:dyDescent="0.3">
      <c r="B747" s="4">
        <v>44228</v>
      </c>
      <c r="C747" s="5">
        <v>2342.96</v>
      </c>
      <c r="D747" s="6">
        <f t="shared" si="26"/>
        <v>1.0358180892994204E-2</v>
      </c>
      <c r="E747" s="6">
        <v>1.6799392427037013E-2</v>
      </c>
      <c r="F747" s="6"/>
      <c r="G747" s="6">
        <v>740</v>
      </c>
      <c r="H747" s="6">
        <f t="shared" ca="1" si="27"/>
        <v>2.7188986574259218E-2</v>
      </c>
    </row>
    <row r="748" spans="2:8" x14ac:dyDescent="0.3">
      <c r="B748" s="4">
        <v>44264</v>
      </c>
      <c r="C748" s="5">
        <v>2318.94</v>
      </c>
      <c r="D748" s="6">
        <f t="shared" si="26"/>
        <v>-4.8600968244851085E-2</v>
      </c>
      <c r="E748" s="6">
        <v>1.6789073290509268E-2</v>
      </c>
      <c r="F748" s="6"/>
      <c r="G748" s="6">
        <v>741</v>
      </c>
      <c r="H748" s="6">
        <f t="shared" ca="1" si="27"/>
        <v>2.4130844802939925E-2</v>
      </c>
    </row>
    <row r="749" spans="2:8" x14ac:dyDescent="0.3">
      <c r="B749" s="4">
        <v>46070</v>
      </c>
      <c r="C749" s="5">
        <v>2437.4</v>
      </c>
      <c r="D749" s="6">
        <f t="shared" si="26"/>
        <v>7.4808629088378575</v>
      </c>
      <c r="E749" s="6">
        <v>1.6769564491907338E-2</v>
      </c>
      <c r="F749" s="6"/>
      <c r="G749" s="6">
        <v>742</v>
      </c>
      <c r="H749" s="6">
        <f t="shared" ca="1" si="27"/>
        <v>-1.2250323961579864E-3</v>
      </c>
    </row>
    <row r="750" spans="2:8" x14ac:dyDescent="0.3">
      <c r="B750" s="4">
        <v>40998</v>
      </c>
      <c r="C750" s="7">
        <v>287.39999999999998</v>
      </c>
      <c r="D750" s="6">
        <f t="shared" si="26"/>
        <v>-0.47780583970783297</v>
      </c>
      <c r="E750" s="6">
        <v>1.6769263426024028E-2</v>
      </c>
      <c r="F750" s="6"/>
      <c r="G750" s="6">
        <v>743</v>
      </c>
      <c r="H750" s="6">
        <f t="shared" ca="1" si="27"/>
        <v>-6.9762762650073685E-3</v>
      </c>
    </row>
    <row r="751" spans="2:8" x14ac:dyDescent="0.3">
      <c r="B751" s="4">
        <v>41842</v>
      </c>
      <c r="C751" s="7">
        <v>550.37</v>
      </c>
      <c r="D751" s="6">
        <f t="shared" si="26"/>
        <v>-0.76258837637660093</v>
      </c>
      <c r="E751" s="6">
        <v>1.6755957879179845E-2</v>
      </c>
      <c r="F751" s="6"/>
      <c r="G751" s="6">
        <v>744</v>
      </c>
      <c r="H751" s="6">
        <f t="shared" ca="1" si="27"/>
        <v>1.0929656661784758E-2</v>
      </c>
    </row>
    <row r="752" spans="2:8" x14ac:dyDescent="0.3">
      <c r="B752" s="4">
        <v>45659</v>
      </c>
      <c r="C752" s="5">
        <v>2318.21</v>
      </c>
      <c r="D752" s="6">
        <f t="shared" si="26"/>
        <v>19.506059265811587</v>
      </c>
      <c r="E752" s="6">
        <v>1.6749853071464309E-2</v>
      </c>
      <c r="F752" s="6"/>
      <c r="G752" s="6">
        <v>745</v>
      </c>
      <c r="H752" s="6">
        <f t="shared" ca="1" si="27"/>
        <v>8.8806420766618082E-3</v>
      </c>
    </row>
    <row r="753" spans="2:8" x14ac:dyDescent="0.3">
      <c r="B753" s="4">
        <v>40018</v>
      </c>
      <c r="C753" s="7">
        <v>113.05</v>
      </c>
      <c r="D753" s="6">
        <f t="shared" si="26"/>
        <v>-0.96151214214462988</v>
      </c>
      <c r="E753" s="6">
        <v>1.6728123032646817E-2</v>
      </c>
      <c r="F753" s="6"/>
      <c r="G753" s="6">
        <v>746</v>
      </c>
      <c r="H753" s="6">
        <f t="shared" ca="1" si="27"/>
        <v>1.16065867158058E-2</v>
      </c>
    </row>
    <row r="754" spans="2:8" x14ac:dyDescent="0.3">
      <c r="B754" s="4">
        <v>44698</v>
      </c>
      <c r="C754" s="5">
        <v>2937.29</v>
      </c>
      <c r="D754" s="6">
        <f t="shared" si="26"/>
        <v>1.6580847752117571</v>
      </c>
      <c r="E754" s="6">
        <v>1.6701049483565475E-2</v>
      </c>
      <c r="F754" s="6"/>
      <c r="G754" s="6">
        <v>747</v>
      </c>
      <c r="H754" s="6">
        <f t="shared" ca="1" si="27"/>
        <v>7.5693083945011664E-3</v>
      </c>
    </row>
    <row r="755" spans="2:8" x14ac:dyDescent="0.3">
      <c r="B755" s="4">
        <v>43213</v>
      </c>
      <c r="C755" s="5">
        <v>1105.04</v>
      </c>
      <c r="D755" s="6">
        <f t="shared" si="26"/>
        <v>1.2636840380203209</v>
      </c>
      <c r="E755" s="6">
        <v>1.6689667862728744E-2</v>
      </c>
      <c r="F755" s="6"/>
      <c r="G755" s="6">
        <v>748</v>
      </c>
      <c r="H755" s="6">
        <f t="shared" ca="1" si="27"/>
        <v>-7.4884946620853241E-3</v>
      </c>
    </row>
    <row r="756" spans="2:8" x14ac:dyDescent="0.3">
      <c r="B756" s="4">
        <v>41736</v>
      </c>
      <c r="C756" s="7">
        <v>488.16</v>
      </c>
      <c r="D756" s="6">
        <f t="shared" si="26"/>
        <v>5.5087999999999999</v>
      </c>
      <c r="E756" s="6">
        <v>1.6682286785379669E-2</v>
      </c>
      <c r="F756" s="6"/>
      <c r="G756" s="6">
        <v>749</v>
      </c>
      <c r="H756" s="6">
        <f t="shared" ca="1" si="27"/>
        <v>-2.8875538307224339E-2</v>
      </c>
    </row>
    <row r="757" spans="2:8" x14ac:dyDescent="0.3">
      <c r="B757" s="4">
        <v>39297</v>
      </c>
      <c r="C757" s="7">
        <v>75</v>
      </c>
      <c r="D757" s="6">
        <f t="shared" si="26"/>
        <v>-0.78670155281269549</v>
      </c>
      <c r="E757" s="6">
        <v>1.6673444489629985E-2</v>
      </c>
      <c r="F757" s="6"/>
      <c r="G757" s="6">
        <v>750</v>
      </c>
      <c r="H757" s="6">
        <f t="shared" ca="1" si="27"/>
        <v>8.6438719610602757E-3</v>
      </c>
    </row>
    <row r="758" spans="2:8" x14ac:dyDescent="0.3">
      <c r="B758" s="4">
        <v>41180</v>
      </c>
      <c r="C758" s="7">
        <v>351.62</v>
      </c>
      <c r="D758" s="6">
        <f t="shared" si="26"/>
        <v>-0.8852639822489069</v>
      </c>
      <c r="E758" s="6">
        <v>1.6654137512288184E-2</v>
      </c>
      <c r="F758" s="6"/>
      <c r="G758" s="6">
        <v>751</v>
      </c>
      <c r="H758" s="6">
        <f t="shared" ca="1" si="27"/>
        <v>-2.1819673330183868E-2</v>
      </c>
    </row>
    <row r="759" spans="2:8" x14ac:dyDescent="0.3">
      <c r="B759" s="4">
        <v>44866</v>
      </c>
      <c r="C759" s="5">
        <v>3064.6</v>
      </c>
      <c r="D759" s="6">
        <f t="shared" si="26"/>
        <v>72.650564768084593</v>
      </c>
      <c r="E759" s="6">
        <v>1.6636534027766291E-2</v>
      </c>
      <c r="F759" s="6"/>
      <c r="G759" s="6">
        <v>752</v>
      </c>
      <c r="H759" s="6">
        <f t="shared" ca="1" si="27"/>
        <v>9.4800642403539588E-3</v>
      </c>
    </row>
    <row r="760" spans="2:8" x14ac:dyDescent="0.3">
      <c r="B760" s="4">
        <v>38630</v>
      </c>
      <c r="C760" s="7">
        <v>41.61</v>
      </c>
      <c r="D760" s="6">
        <f t="shared" si="26"/>
        <v>-0.97442453670979445</v>
      </c>
      <c r="E760" s="6">
        <v>1.6613730759833856E-2</v>
      </c>
      <c r="F760" s="6"/>
      <c r="G760" s="6">
        <v>753</v>
      </c>
      <c r="H760" s="6">
        <f t="shared" ca="1" si="27"/>
        <v>2.0180275044271084E-2</v>
      </c>
    </row>
    <row r="761" spans="2:8" x14ac:dyDescent="0.3">
      <c r="B761" s="4">
        <v>43794</v>
      </c>
      <c r="C761" s="5">
        <v>1626.95</v>
      </c>
      <c r="D761" s="6">
        <f t="shared" si="26"/>
        <v>20.609111435781642</v>
      </c>
      <c r="E761" s="6">
        <v>1.6608659247549101E-2</v>
      </c>
      <c r="F761" s="6"/>
      <c r="G761" s="6">
        <v>754</v>
      </c>
      <c r="H761" s="6">
        <f t="shared" ca="1" si="27"/>
        <v>8.8106475950576416E-3</v>
      </c>
    </row>
    <row r="762" spans="2:8" x14ac:dyDescent="0.3">
      <c r="B762" s="4">
        <v>39301</v>
      </c>
      <c r="C762" s="7">
        <v>75.290000000000006</v>
      </c>
      <c r="D762" s="6">
        <f t="shared" si="26"/>
        <v>-0.95184367904314182</v>
      </c>
      <c r="E762" s="6">
        <v>1.6608155549554467E-2</v>
      </c>
      <c r="F762" s="6"/>
      <c r="G762" s="6">
        <v>755</v>
      </c>
      <c r="H762" s="6">
        <f t="shared" ca="1" si="27"/>
        <v>2.2459235428463741E-2</v>
      </c>
    </row>
    <row r="763" spans="2:8" x14ac:dyDescent="0.3">
      <c r="B763" s="4">
        <v>43994</v>
      </c>
      <c r="C763" s="5">
        <v>1563.45</v>
      </c>
      <c r="D763" s="6">
        <f t="shared" si="26"/>
        <v>4.6877546565774164</v>
      </c>
      <c r="E763" s="6">
        <v>1.6606953592863016E-2</v>
      </c>
      <c r="F763" s="6"/>
      <c r="G763" s="6">
        <v>756</v>
      </c>
      <c r="H763" s="6">
        <f t="shared" ca="1" si="27"/>
        <v>-1.2068092616251641E-2</v>
      </c>
    </row>
    <row r="764" spans="2:8" x14ac:dyDescent="0.3">
      <c r="B764" s="4">
        <v>40694</v>
      </c>
      <c r="C764" s="7">
        <v>274.88</v>
      </c>
      <c r="D764" s="6">
        <f t="shared" si="26"/>
        <v>-0.91220079341250415</v>
      </c>
      <c r="E764" s="6">
        <v>1.6605643699841004E-2</v>
      </c>
      <c r="F764" s="6"/>
      <c r="G764" s="6">
        <v>757</v>
      </c>
      <c r="H764" s="6">
        <f t="shared" ca="1" si="27"/>
        <v>4.5538099663520919E-3</v>
      </c>
    </row>
    <row r="765" spans="2:8" x14ac:dyDescent="0.3">
      <c r="B765" s="4">
        <v>44474</v>
      </c>
      <c r="C765" s="5">
        <v>3130.78</v>
      </c>
      <c r="D765" s="6">
        <f t="shared" si="26"/>
        <v>9.8970454537476882E-2</v>
      </c>
      <c r="E765" s="6">
        <v>1.6602536002467846E-2</v>
      </c>
      <c r="F765" s="6"/>
      <c r="G765" s="6">
        <v>758</v>
      </c>
      <c r="H765" s="6">
        <f t="shared" ca="1" si="27"/>
        <v>-3.7387079271091273E-3</v>
      </c>
    </row>
    <row r="766" spans="2:8" x14ac:dyDescent="0.3">
      <c r="B766" s="4">
        <v>44755</v>
      </c>
      <c r="C766" s="5">
        <v>2848.83</v>
      </c>
      <c r="D766" s="6">
        <f t="shared" si="26"/>
        <v>10.442922557840616</v>
      </c>
      <c r="E766" s="6">
        <v>1.6589707173290814E-2</v>
      </c>
      <c r="F766" s="6"/>
      <c r="G766" s="6">
        <v>759</v>
      </c>
      <c r="H766" s="6">
        <f t="shared" ca="1" si="27"/>
        <v>-2.3287125782499663E-3</v>
      </c>
    </row>
    <row r="767" spans="2:8" x14ac:dyDescent="0.3">
      <c r="B767" s="4">
        <v>40438</v>
      </c>
      <c r="C767" s="7">
        <v>248.96</v>
      </c>
      <c r="D767" s="6">
        <f t="shared" si="26"/>
        <v>-0.49394259695910231</v>
      </c>
      <c r="E767" s="6">
        <v>1.6578195181706827E-2</v>
      </c>
      <c r="F767" s="6"/>
      <c r="G767" s="6">
        <v>760</v>
      </c>
      <c r="H767" s="6">
        <f t="shared" ca="1" si="27"/>
        <v>1.288182222879654E-2</v>
      </c>
    </row>
    <row r="768" spans="2:8" x14ac:dyDescent="0.3">
      <c r="B768" s="4">
        <v>41746</v>
      </c>
      <c r="C768" s="7">
        <v>491.96</v>
      </c>
      <c r="D768" s="6">
        <f t="shared" si="26"/>
        <v>2.150358606557377</v>
      </c>
      <c r="E768" s="6">
        <v>1.6551296621551796E-2</v>
      </c>
      <c r="F768" s="6"/>
      <c r="G768" s="6">
        <v>761</v>
      </c>
      <c r="H768" s="6">
        <f t="shared" ca="1" si="27"/>
        <v>-9.0445302924595694E-4</v>
      </c>
    </row>
    <row r="769" spans="2:8" x14ac:dyDescent="0.3">
      <c r="B769" s="4">
        <v>40186</v>
      </c>
      <c r="C769" s="7">
        <v>156.16</v>
      </c>
      <c r="D769" s="6">
        <f t="shared" si="26"/>
        <v>-6.4032784785752103E-5</v>
      </c>
      <c r="E769" s="6">
        <v>1.6534305428980548E-2</v>
      </c>
      <c r="F769" s="6"/>
      <c r="G769" s="6">
        <v>762</v>
      </c>
      <c r="H769" s="6">
        <f t="shared" ca="1" si="27"/>
        <v>3.1453749333669949E-2</v>
      </c>
    </row>
    <row r="770" spans="2:8" x14ac:dyDescent="0.3">
      <c r="B770" s="4">
        <v>40165</v>
      </c>
      <c r="C770" s="7">
        <v>156.16999999999999</v>
      </c>
      <c r="D770" s="6">
        <f t="shared" si="26"/>
        <v>0.69198266522210172</v>
      </c>
      <c r="E770" s="6">
        <v>1.6533229187007694E-2</v>
      </c>
      <c r="F770" s="6"/>
      <c r="G770" s="6">
        <v>763</v>
      </c>
      <c r="H770" s="6">
        <f t="shared" ca="1" si="27"/>
        <v>2.5648312883510171E-2</v>
      </c>
    </row>
    <row r="771" spans="2:8" x14ac:dyDescent="0.3">
      <c r="B771" s="4">
        <v>39962</v>
      </c>
      <c r="C771" s="7">
        <v>92.3</v>
      </c>
      <c r="D771" s="6">
        <f t="shared" si="26"/>
        <v>1.0241228070175437</v>
      </c>
      <c r="E771" s="6">
        <v>1.6519823788546256E-2</v>
      </c>
      <c r="F771" s="6"/>
      <c r="G771" s="6">
        <v>764</v>
      </c>
      <c r="H771" s="6">
        <f t="shared" ca="1" si="27"/>
        <v>2.0175895494227387E-2</v>
      </c>
    </row>
    <row r="772" spans="2:8" x14ac:dyDescent="0.3">
      <c r="B772" s="4">
        <v>38713</v>
      </c>
      <c r="C772" s="7">
        <v>45.6</v>
      </c>
      <c r="D772" s="6">
        <f t="shared" si="26"/>
        <v>-0.95722647456100851</v>
      </c>
      <c r="E772" s="6">
        <v>1.6495764600980872E-2</v>
      </c>
      <c r="F772" s="6"/>
      <c r="G772" s="6">
        <v>765</v>
      </c>
      <c r="H772" s="6">
        <f t="shared" ca="1" si="27"/>
        <v>-1.007374141336667E-2</v>
      </c>
    </row>
    <row r="773" spans="2:8" x14ac:dyDescent="0.3">
      <c r="B773" s="4">
        <v>43087</v>
      </c>
      <c r="C773" s="5">
        <v>1066.08</v>
      </c>
      <c r="D773" s="6">
        <f t="shared" si="26"/>
        <v>6.1969216228988051</v>
      </c>
      <c r="E773" s="6">
        <v>1.6485664432345812E-2</v>
      </c>
      <c r="F773" s="6"/>
      <c r="G773" s="6">
        <v>766</v>
      </c>
      <c r="H773" s="6">
        <f t="shared" ca="1" si="27"/>
        <v>2.1418719272766245E-3</v>
      </c>
    </row>
    <row r="774" spans="2:8" x14ac:dyDescent="0.3">
      <c r="B774" s="4">
        <v>40148</v>
      </c>
      <c r="C774" s="7">
        <v>148.13</v>
      </c>
      <c r="D774" s="6">
        <f t="shared" si="26"/>
        <v>1.5508868606853798</v>
      </c>
      <c r="E774" s="6">
        <v>1.6468812186921058E-2</v>
      </c>
      <c r="F774" s="6"/>
      <c r="G774" s="6">
        <v>767</v>
      </c>
      <c r="H774" s="6">
        <f t="shared" ca="1" si="27"/>
        <v>9.3304942463949211E-4</v>
      </c>
    </row>
    <row r="775" spans="2:8" x14ac:dyDescent="0.3">
      <c r="B775" s="4">
        <v>39045</v>
      </c>
      <c r="C775" s="7">
        <v>58.07</v>
      </c>
      <c r="D775" s="6">
        <f t="shared" si="26"/>
        <v>1.5380244755244754</v>
      </c>
      <c r="E775" s="6">
        <v>1.6453702082968629E-2</v>
      </c>
      <c r="F775" s="6"/>
      <c r="G775" s="6">
        <v>768</v>
      </c>
      <c r="H775" s="6">
        <f t="shared" ca="1" si="27"/>
        <v>2.6956946205633535E-4</v>
      </c>
    </row>
    <row r="776" spans="2:8" x14ac:dyDescent="0.3">
      <c r="B776" s="4">
        <v>38153</v>
      </c>
      <c r="C776" s="7">
        <v>22.88</v>
      </c>
      <c r="D776" s="6">
        <f t="shared" ref="D776:D839" si="28">((C776-C777)/C777)</f>
        <v>-0.70868347338935578</v>
      </c>
      <c r="E776" s="6">
        <v>1.6437139049311301E-2</v>
      </c>
      <c r="F776" s="6"/>
      <c r="G776" s="6">
        <v>769</v>
      </c>
      <c r="H776" s="6">
        <f t="shared" ca="1" si="27"/>
        <v>-1.8017263290782046E-2</v>
      </c>
    </row>
    <row r="777" spans="2:8" x14ac:dyDescent="0.3">
      <c r="B777" s="4">
        <v>39303</v>
      </c>
      <c r="C777" s="7">
        <v>78.540000000000006</v>
      </c>
      <c r="D777" s="6">
        <f t="shared" si="28"/>
        <v>-0.97369320122992831</v>
      </c>
      <c r="E777" s="6">
        <v>1.6435874207325098E-2</v>
      </c>
      <c r="F777" s="6"/>
      <c r="G777" s="6">
        <v>770</v>
      </c>
      <c r="H777" s="6">
        <f t="shared" ref="H777:H840" ca="1" si="29">_xlfn.NORM.INV(RAND(),N$10,N$11)</f>
        <v>-1.8245868767611428E-2</v>
      </c>
    </row>
    <row r="778" spans="2:8" x14ac:dyDescent="0.3">
      <c r="B778" s="4">
        <v>44699</v>
      </c>
      <c r="C778" s="5">
        <v>2985.54</v>
      </c>
      <c r="D778" s="6">
        <f t="shared" si="28"/>
        <v>70.888755116783045</v>
      </c>
      <c r="E778" s="6">
        <v>1.6426706249638271E-2</v>
      </c>
      <c r="F778" s="6"/>
      <c r="G778" s="6">
        <v>771</v>
      </c>
      <c r="H778" s="6">
        <f t="shared" ca="1" si="29"/>
        <v>-3.7110798707183708E-2</v>
      </c>
    </row>
    <row r="779" spans="2:8" x14ac:dyDescent="0.3">
      <c r="B779" s="4">
        <v>38680</v>
      </c>
      <c r="C779" s="7">
        <v>41.53</v>
      </c>
      <c r="D779" s="6">
        <f t="shared" si="28"/>
        <v>-0.29502631132235607</v>
      </c>
      <c r="E779" s="6">
        <v>1.6397454723445955E-2</v>
      </c>
      <c r="F779" s="6"/>
      <c r="G779" s="6">
        <v>772</v>
      </c>
      <c r="H779" s="6">
        <f t="shared" ca="1" si="29"/>
        <v>-3.253697047423728E-3</v>
      </c>
    </row>
    <row r="780" spans="2:8" x14ac:dyDescent="0.3">
      <c r="B780" s="4">
        <v>39035</v>
      </c>
      <c r="C780" s="7">
        <v>58.91</v>
      </c>
      <c r="D780" s="6">
        <f t="shared" si="28"/>
        <v>-0.86154135426704592</v>
      </c>
      <c r="E780" s="6">
        <v>1.6390614216701099E-2</v>
      </c>
      <c r="F780" s="6"/>
      <c r="G780" s="6">
        <v>773</v>
      </c>
      <c r="H780" s="6">
        <f t="shared" ca="1" si="29"/>
        <v>1.1030276756510818E-2</v>
      </c>
    </row>
    <row r="781" spans="2:8" x14ac:dyDescent="0.3">
      <c r="B781" s="4">
        <v>41456</v>
      </c>
      <c r="C781" s="7">
        <v>425.47</v>
      </c>
      <c r="D781" s="6">
        <f t="shared" si="28"/>
        <v>18.5798435342844</v>
      </c>
      <c r="E781" s="6">
        <v>1.6387568381070718E-2</v>
      </c>
      <c r="F781" s="6"/>
      <c r="G781" s="6">
        <v>774</v>
      </c>
      <c r="H781" s="6">
        <f t="shared" ca="1" si="29"/>
        <v>-1.6067602453925971E-3</v>
      </c>
    </row>
    <row r="782" spans="2:8" x14ac:dyDescent="0.3">
      <c r="B782" s="4">
        <v>37929</v>
      </c>
      <c r="C782" s="7">
        <v>21.73</v>
      </c>
      <c r="D782" s="6">
        <f t="shared" si="28"/>
        <v>-0.99276614301931132</v>
      </c>
      <c r="E782" s="6">
        <v>1.6370439663236737E-2</v>
      </c>
      <c r="F782" s="6"/>
      <c r="G782" s="6">
        <v>775</v>
      </c>
      <c r="H782" s="6">
        <f t="shared" ca="1" si="29"/>
        <v>2.2757096371619562E-2</v>
      </c>
    </row>
    <row r="783" spans="2:8" x14ac:dyDescent="0.3">
      <c r="B783" s="4">
        <v>44617</v>
      </c>
      <c r="C783" s="5">
        <v>3003.93</v>
      </c>
      <c r="D783" s="6">
        <f t="shared" si="28"/>
        <v>1.8503800278971791</v>
      </c>
      <c r="E783" s="6">
        <v>1.634169364906965E-2</v>
      </c>
      <c r="F783" s="6"/>
      <c r="G783" s="6">
        <v>776</v>
      </c>
      <c r="H783" s="6">
        <f t="shared" ca="1" si="29"/>
        <v>-2.6293545493472001E-3</v>
      </c>
    </row>
    <row r="784" spans="2:8" x14ac:dyDescent="0.3">
      <c r="B784" s="4">
        <v>42921</v>
      </c>
      <c r="C784" s="5">
        <v>1053.8699999999999</v>
      </c>
      <c r="D784" s="6">
        <f t="shared" si="28"/>
        <v>-0.39345960598787927</v>
      </c>
      <c r="E784" s="6">
        <v>1.6326884872798653E-2</v>
      </c>
      <c r="F784" s="6"/>
      <c r="G784" s="6">
        <v>777</v>
      </c>
      <c r="H784" s="6">
        <f t="shared" ca="1" si="29"/>
        <v>-6.372563708200803E-3</v>
      </c>
    </row>
    <row r="785" spans="2:8" x14ac:dyDescent="0.3">
      <c r="B785" s="4">
        <v>43776</v>
      </c>
      <c r="C785" s="5">
        <v>1737.51</v>
      </c>
      <c r="D785" s="6">
        <f t="shared" si="28"/>
        <v>106.05545286506469</v>
      </c>
      <c r="E785" s="6">
        <v>1.6325456247075387E-2</v>
      </c>
      <c r="F785" s="6"/>
      <c r="G785" s="6">
        <v>778</v>
      </c>
      <c r="H785" s="6">
        <f t="shared" ca="1" si="29"/>
        <v>-5.9979617476371505E-3</v>
      </c>
    </row>
    <row r="786" spans="2:8" x14ac:dyDescent="0.3">
      <c r="B786" s="4">
        <v>37581</v>
      </c>
      <c r="C786" s="7">
        <v>16.23</v>
      </c>
      <c r="D786" s="6">
        <f t="shared" si="28"/>
        <v>-0.31691919191919193</v>
      </c>
      <c r="E786" s="6">
        <v>1.6280525986224155E-2</v>
      </c>
      <c r="F786" s="6"/>
      <c r="G786" s="6">
        <v>779</v>
      </c>
      <c r="H786" s="6">
        <f t="shared" ca="1" si="29"/>
        <v>2.6374373341055034E-2</v>
      </c>
    </row>
    <row r="787" spans="2:8" x14ac:dyDescent="0.3">
      <c r="B787" s="4">
        <v>38156</v>
      </c>
      <c r="C787" s="7">
        <v>23.76</v>
      </c>
      <c r="D787" s="6">
        <f t="shared" si="28"/>
        <v>-0.99230510143275374</v>
      </c>
      <c r="E787" s="6">
        <v>1.6253207869974449E-2</v>
      </c>
      <c r="F787" s="6"/>
      <c r="G787" s="6">
        <v>780</v>
      </c>
      <c r="H787" s="6">
        <f t="shared" ca="1" si="29"/>
        <v>-1.0760219532537916E-2</v>
      </c>
    </row>
    <row r="788" spans="2:8" x14ac:dyDescent="0.3">
      <c r="B788" s="4">
        <v>44659</v>
      </c>
      <c r="C788" s="5">
        <v>3087.76</v>
      </c>
      <c r="D788" s="6">
        <f t="shared" si="28"/>
        <v>139.80072959416327</v>
      </c>
      <c r="E788" s="6">
        <v>1.6242047649922285E-2</v>
      </c>
      <c r="F788" s="6"/>
      <c r="G788" s="6">
        <v>781</v>
      </c>
      <c r="H788" s="6">
        <f t="shared" ca="1" si="29"/>
        <v>-1.1022053269453951E-2</v>
      </c>
    </row>
    <row r="789" spans="2:8" x14ac:dyDescent="0.3">
      <c r="B789" s="4">
        <v>37918</v>
      </c>
      <c r="C789" s="7">
        <v>21.93</v>
      </c>
      <c r="D789" s="6">
        <f t="shared" si="28"/>
        <v>-0.99343080780394877</v>
      </c>
      <c r="E789" s="6">
        <v>1.6218721037998214E-2</v>
      </c>
      <c r="F789" s="6"/>
      <c r="G789" s="6">
        <v>782</v>
      </c>
      <c r="H789" s="6">
        <f t="shared" ca="1" si="29"/>
        <v>1.5192884567684329E-2</v>
      </c>
    </row>
    <row r="790" spans="2:8" x14ac:dyDescent="0.3">
      <c r="B790" s="4">
        <v>44805</v>
      </c>
      <c r="C790" s="5">
        <v>3338.31</v>
      </c>
      <c r="D790" s="6">
        <f t="shared" si="28"/>
        <v>10.225738112852243</v>
      </c>
      <c r="E790" s="6">
        <v>1.6200469393532535E-2</v>
      </c>
      <c r="F790" s="6"/>
      <c r="G790" s="6">
        <v>783</v>
      </c>
      <c r="H790" s="6">
        <f t="shared" ca="1" si="29"/>
        <v>9.7476031079388476E-3</v>
      </c>
    </row>
    <row r="791" spans="2:8" x14ac:dyDescent="0.3">
      <c r="B791" s="4">
        <v>41015</v>
      </c>
      <c r="C791" s="7">
        <v>297.38</v>
      </c>
      <c r="D791" s="6">
        <f t="shared" si="28"/>
        <v>0.23676440008317742</v>
      </c>
      <c r="E791" s="6">
        <v>1.6197375615090246E-2</v>
      </c>
      <c r="F791" s="6"/>
      <c r="G791" s="6">
        <v>784</v>
      </c>
      <c r="H791" s="6">
        <f t="shared" ca="1" si="29"/>
        <v>-7.612141546232199E-4</v>
      </c>
    </row>
    <row r="792" spans="2:8" x14ac:dyDescent="0.3">
      <c r="B792" s="4">
        <v>40526</v>
      </c>
      <c r="C792" s="7">
        <v>240.45</v>
      </c>
      <c r="D792" s="6">
        <f t="shared" si="28"/>
        <v>-0.48526106223107057</v>
      </c>
      <c r="E792" s="6">
        <v>1.6186290254416296E-2</v>
      </c>
      <c r="F792" s="6"/>
      <c r="G792" s="6">
        <v>785</v>
      </c>
      <c r="H792" s="6">
        <f t="shared" ca="1" si="29"/>
        <v>-1.9431353441686193E-2</v>
      </c>
    </row>
    <row r="793" spans="2:8" x14ac:dyDescent="0.3">
      <c r="B793" s="4">
        <v>41603</v>
      </c>
      <c r="C793" s="7">
        <v>467.13</v>
      </c>
      <c r="D793" s="6">
        <f t="shared" si="28"/>
        <v>-0.49295545328238971</v>
      </c>
      <c r="E793" s="6">
        <v>1.6140610384807848E-2</v>
      </c>
      <c r="F793" s="6"/>
      <c r="G793" s="6">
        <v>786</v>
      </c>
      <c r="H793" s="6">
        <f t="shared" ca="1" si="29"/>
        <v>1.1700313793524569E-2</v>
      </c>
    </row>
    <row r="794" spans="2:8" x14ac:dyDescent="0.3">
      <c r="B794" s="4">
        <v>42787</v>
      </c>
      <c r="C794" s="7">
        <v>921.28</v>
      </c>
      <c r="D794" s="6">
        <f t="shared" si="28"/>
        <v>0.3058540042523033</v>
      </c>
      <c r="E794" s="6">
        <v>1.6136326035405057E-2</v>
      </c>
      <c r="F794" s="6"/>
      <c r="G794" s="6">
        <v>787</v>
      </c>
      <c r="H794" s="6">
        <f t="shared" ca="1" si="29"/>
        <v>-7.1429321363148876E-3</v>
      </c>
    </row>
    <row r="795" spans="2:8" x14ac:dyDescent="0.3">
      <c r="B795" s="4">
        <v>42135</v>
      </c>
      <c r="C795" s="7">
        <v>705.5</v>
      </c>
      <c r="D795" s="6">
        <f t="shared" si="28"/>
        <v>21.816946959896509</v>
      </c>
      <c r="E795" s="6">
        <v>1.6131355321907022E-2</v>
      </c>
      <c r="F795" s="6"/>
      <c r="G795" s="6">
        <v>788</v>
      </c>
      <c r="H795" s="6">
        <f t="shared" ca="1" si="29"/>
        <v>-1.908002159790748E-2</v>
      </c>
    </row>
    <row r="796" spans="2:8" x14ac:dyDescent="0.3">
      <c r="B796" s="4">
        <v>38441</v>
      </c>
      <c r="C796" s="7">
        <v>30.92</v>
      </c>
      <c r="D796" s="6">
        <f t="shared" si="28"/>
        <v>-0.40285824642719192</v>
      </c>
      <c r="E796" s="6">
        <v>1.6102530397633978E-2</v>
      </c>
      <c r="F796" s="6"/>
      <c r="G796" s="6">
        <v>789</v>
      </c>
      <c r="H796" s="6">
        <f t="shared" ca="1" si="29"/>
        <v>5.166288811132333E-2</v>
      </c>
    </row>
    <row r="797" spans="2:8" x14ac:dyDescent="0.3">
      <c r="B797" s="4">
        <v>38937</v>
      </c>
      <c r="C797" s="7">
        <v>51.78</v>
      </c>
      <c r="D797" s="6">
        <f t="shared" si="28"/>
        <v>-0.9795284991914982</v>
      </c>
      <c r="E797" s="6">
        <v>1.6091051805337524E-2</v>
      </c>
      <c r="F797" s="6"/>
      <c r="G797" s="6">
        <v>790</v>
      </c>
      <c r="H797" s="6">
        <f t="shared" ca="1" si="29"/>
        <v>2.2322810358816427E-3</v>
      </c>
    </row>
    <row r="798" spans="2:8" x14ac:dyDescent="0.3">
      <c r="B798" s="4">
        <v>44188</v>
      </c>
      <c r="C798" s="5">
        <v>2529.37</v>
      </c>
      <c r="D798" s="6">
        <f t="shared" si="28"/>
        <v>7.9990749635322151</v>
      </c>
      <c r="E798" s="6">
        <v>1.6051996256141027E-2</v>
      </c>
      <c r="F798" s="6"/>
      <c r="G798" s="6">
        <v>791</v>
      </c>
      <c r="H798" s="6">
        <f t="shared" ca="1" si="29"/>
        <v>-1.4178490932380539E-2</v>
      </c>
    </row>
    <row r="799" spans="2:8" x14ac:dyDescent="0.3">
      <c r="B799" s="4">
        <v>40739</v>
      </c>
      <c r="C799" s="7">
        <v>281.07</v>
      </c>
      <c r="D799" s="6">
        <f t="shared" si="28"/>
        <v>-0.89604630520008866</v>
      </c>
      <c r="E799" s="6">
        <v>1.6050319921917355E-2</v>
      </c>
      <c r="F799" s="6"/>
      <c r="G799" s="6">
        <v>792</v>
      </c>
      <c r="H799" s="6">
        <f t="shared" ca="1" si="29"/>
        <v>1.2001831751745896E-2</v>
      </c>
    </row>
    <row r="800" spans="2:8" x14ac:dyDescent="0.3">
      <c r="B800" s="4">
        <v>46044</v>
      </c>
      <c r="C800" s="5">
        <v>2703.8</v>
      </c>
      <c r="D800" s="6">
        <f t="shared" si="28"/>
        <v>11.938080199062112</v>
      </c>
      <c r="E800" s="6">
        <v>1.6045996016684931E-2</v>
      </c>
      <c r="F800" s="6"/>
      <c r="G800" s="6">
        <v>793</v>
      </c>
      <c r="H800" s="6">
        <f t="shared" ca="1" si="29"/>
        <v>-8.1019423668707794E-3</v>
      </c>
    </row>
    <row r="801" spans="2:8" x14ac:dyDescent="0.3">
      <c r="B801" s="4">
        <v>40352</v>
      </c>
      <c r="C801" s="7">
        <v>208.98</v>
      </c>
      <c r="D801" s="6">
        <f t="shared" si="28"/>
        <v>7.9117270788912579</v>
      </c>
      <c r="E801" s="6">
        <v>1.6044340723453825E-2</v>
      </c>
      <c r="F801" s="6"/>
      <c r="G801" s="6">
        <v>794</v>
      </c>
      <c r="H801" s="6">
        <f t="shared" ca="1" si="29"/>
        <v>-5.9894063148956313E-3</v>
      </c>
    </row>
    <row r="802" spans="2:8" x14ac:dyDescent="0.3">
      <c r="B802" s="4">
        <v>38047</v>
      </c>
      <c r="C802" s="7">
        <v>23.45</v>
      </c>
      <c r="D802" s="6">
        <f t="shared" si="28"/>
        <v>-0.76743032827531488</v>
      </c>
      <c r="E802" s="6">
        <v>1.6031195840554638E-2</v>
      </c>
      <c r="F802" s="6"/>
      <c r="G802" s="6">
        <v>795</v>
      </c>
      <c r="H802" s="6">
        <f t="shared" ca="1" si="29"/>
        <v>-3.8944476997621255E-3</v>
      </c>
    </row>
    <row r="803" spans="2:8" x14ac:dyDescent="0.3">
      <c r="B803" s="4">
        <v>39715</v>
      </c>
      <c r="C803" s="7">
        <v>100.83</v>
      </c>
      <c r="D803" s="6">
        <f t="shared" si="28"/>
        <v>-0.96242173524150276</v>
      </c>
      <c r="E803" s="6">
        <v>1.6021765417170531E-2</v>
      </c>
      <c r="F803" s="6"/>
      <c r="G803" s="6">
        <v>796</v>
      </c>
      <c r="H803" s="6">
        <f t="shared" ca="1" si="29"/>
        <v>1.6837152987433827E-2</v>
      </c>
    </row>
    <row r="804" spans="2:8" x14ac:dyDescent="0.3">
      <c r="B804" s="4">
        <v>44956</v>
      </c>
      <c r="C804" s="5">
        <v>2683.2</v>
      </c>
      <c r="D804" s="6">
        <f t="shared" si="28"/>
        <v>2.0841379310344825</v>
      </c>
      <c r="E804" s="6">
        <v>1.5998031011567809E-2</v>
      </c>
      <c r="F804" s="6"/>
      <c r="G804" s="6">
        <v>797</v>
      </c>
      <c r="H804" s="6">
        <f t="shared" ca="1" si="29"/>
        <v>-8.581894374129307E-3</v>
      </c>
    </row>
    <row r="805" spans="2:8" x14ac:dyDescent="0.3">
      <c r="B805" s="4">
        <v>42503</v>
      </c>
      <c r="C805" s="7">
        <v>870</v>
      </c>
      <c r="D805" s="6">
        <f t="shared" si="28"/>
        <v>9.9502831969792318</v>
      </c>
      <c r="E805" s="6">
        <v>1.5987200896871525E-2</v>
      </c>
      <c r="F805" s="6"/>
      <c r="G805" s="6">
        <v>798</v>
      </c>
      <c r="H805" s="6">
        <f t="shared" ca="1" si="29"/>
        <v>1.1991002890737479E-2</v>
      </c>
    </row>
    <row r="806" spans="2:8" x14ac:dyDescent="0.3">
      <c r="B806" s="4">
        <v>39349</v>
      </c>
      <c r="C806" s="7">
        <v>79.45</v>
      </c>
      <c r="D806" s="6">
        <f t="shared" si="28"/>
        <v>-0.94043200851721054</v>
      </c>
      <c r="E806" s="6">
        <v>1.5984654731457801E-2</v>
      </c>
      <c r="F806" s="6"/>
      <c r="G806" s="6">
        <v>799</v>
      </c>
      <c r="H806" s="6">
        <f t="shared" ca="1" si="29"/>
        <v>6.8072007976419414E-3</v>
      </c>
    </row>
    <row r="807" spans="2:8" x14ac:dyDescent="0.3">
      <c r="B807" s="4">
        <v>43496</v>
      </c>
      <c r="C807" s="5">
        <v>1333.77</v>
      </c>
      <c r="D807" s="6">
        <f t="shared" si="28"/>
        <v>50.12188577999234</v>
      </c>
      <c r="E807" s="6">
        <v>1.5965752850755278E-2</v>
      </c>
      <c r="F807" s="6"/>
      <c r="G807" s="6">
        <v>800</v>
      </c>
      <c r="H807" s="6">
        <f t="shared" ca="1" si="29"/>
        <v>1.2828785601738901E-2</v>
      </c>
    </row>
    <row r="808" spans="2:8" x14ac:dyDescent="0.3">
      <c r="B808" s="4">
        <v>37991</v>
      </c>
      <c r="C808" s="7">
        <v>26.09</v>
      </c>
      <c r="D808" s="6">
        <f t="shared" si="28"/>
        <v>-0.92261145552160895</v>
      </c>
      <c r="E808" s="6">
        <v>1.596573208722742E-2</v>
      </c>
      <c r="F808" s="6"/>
      <c r="G808" s="6">
        <v>801</v>
      </c>
      <c r="H808" s="6">
        <f t="shared" ca="1" si="29"/>
        <v>3.0765347342046775E-2</v>
      </c>
    </row>
    <row r="809" spans="2:8" x14ac:dyDescent="0.3">
      <c r="B809" s="4">
        <v>41134</v>
      </c>
      <c r="C809" s="7">
        <v>337.13</v>
      </c>
      <c r="D809" s="6">
        <f t="shared" si="28"/>
        <v>-0.64576766275795405</v>
      </c>
      <c r="E809" s="6">
        <v>1.594141755062687E-2</v>
      </c>
      <c r="F809" s="6"/>
      <c r="G809" s="6">
        <v>802</v>
      </c>
      <c r="H809" s="6">
        <f t="shared" ca="1" si="29"/>
        <v>1.0390682292057248E-2</v>
      </c>
    </row>
    <row r="810" spans="2:8" x14ac:dyDescent="0.3">
      <c r="B810" s="4">
        <v>42562</v>
      </c>
      <c r="C810" s="7">
        <v>951.72</v>
      </c>
      <c r="D810" s="6">
        <f t="shared" si="28"/>
        <v>0.7571729256674421</v>
      </c>
      <c r="E810" s="6">
        <v>1.5926558497011179E-2</v>
      </c>
      <c r="F810" s="6"/>
      <c r="G810" s="6">
        <v>803</v>
      </c>
      <c r="H810" s="6">
        <f t="shared" ca="1" si="29"/>
        <v>-1.0570063654940877E-2</v>
      </c>
    </row>
    <row r="811" spans="2:8" x14ac:dyDescent="0.3">
      <c r="B811" s="4">
        <v>41820</v>
      </c>
      <c r="C811" s="7">
        <v>541.62</v>
      </c>
      <c r="D811" s="6">
        <f t="shared" si="28"/>
        <v>-0.28977183320220301</v>
      </c>
      <c r="E811" s="6">
        <v>1.5905765840117075E-2</v>
      </c>
      <c r="F811" s="6"/>
      <c r="G811" s="6">
        <v>804</v>
      </c>
      <c r="H811" s="6">
        <f t="shared" ca="1" si="29"/>
        <v>-3.0024728960941612E-2</v>
      </c>
    </row>
    <row r="812" spans="2:8" x14ac:dyDescent="0.3">
      <c r="B812" s="4">
        <v>42054</v>
      </c>
      <c r="C812" s="7">
        <v>762.6</v>
      </c>
      <c r="D812" s="6">
        <f t="shared" si="28"/>
        <v>0.76454255171456342</v>
      </c>
      <c r="E812" s="6">
        <v>1.5892469394008107E-2</v>
      </c>
      <c r="F812" s="6"/>
      <c r="G812" s="6">
        <v>805</v>
      </c>
      <c r="H812" s="6">
        <f t="shared" ca="1" si="29"/>
        <v>-3.2180604550463435E-3</v>
      </c>
    </row>
    <row r="813" spans="2:8" x14ac:dyDescent="0.3">
      <c r="B813" s="4">
        <v>41409</v>
      </c>
      <c r="C813" s="7">
        <v>432.18</v>
      </c>
      <c r="D813" s="6">
        <f t="shared" si="28"/>
        <v>0.7960354070564768</v>
      </c>
      <c r="E813" s="6">
        <v>1.5890179117107776E-2</v>
      </c>
      <c r="F813" s="6"/>
      <c r="G813" s="6">
        <v>806</v>
      </c>
      <c r="H813" s="6">
        <f t="shared" ca="1" si="29"/>
        <v>-7.0181135918804417E-3</v>
      </c>
    </row>
    <row r="814" spans="2:8" x14ac:dyDescent="0.3">
      <c r="B814" s="4">
        <v>40672</v>
      </c>
      <c r="C814" s="7">
        <v>240.63</v>
      </c>
      <c r="D814" s="6">
        <f t="shared" si="28"/>
        <v>8.3959390862944154</v>
      </c>
      <c r="E814" s="6">
        <v>1.5873685988094698E-2</v>
      </c>
      <c r="F814" s="6"/>
      <c r="G814" s="6">
        <v>807</v>
      </c>
      <c r="H814" s="6">
        <f t="shared" ca="1" si="29"/>
        <v>-1.5129828980623193E-2</v>
      </c>
    </row>
    <row r="815" spans="2:8" x14ac:dyDescent="0.3">
      <c r="B815" s="4">
        <v>38356</v>
      </c>
      <c r="C815" s="7">
        <v>25.61</v>
      </c>
      <c r="D815" s="6">
        <f t="shared" si="28"/>
        <v>-0.98953989421447097</v>
      </c>
      <c r="E815" s="6">
        <v>1.5866719555731795E-2</v>
      </c>
      <c r="F815" s="6"/>
      <c r="G815" s="6">
        <v>808</v>
      </c>
      <c r="H815" s="6">
        <f t="shared" ca="1" si="29"/>
        <v>-1.5624889801628546E-2</v>
      </c>
    </row>
    <row r="816" spans="2:8" x14ac:dyDescent="0.3">
      <c r="B816" s="4">
        <v>44312</v>
      </c>
      <c r="C816" s="5">
        <v>2448.35</v>
      </c>
      <c r="D816" s="6">
        <f t="shared" si="28"/>
        <v>51.88012958963283</v>
      </c>
      <c r="E816" s="6">
        <v>1.586649572011227E-2</v>
      </c>
      <c r="F816" s="6"/>
      <c r="G816" s="6">
        <v>809</v>
      </c>
      <c r="H816" s="6">
        <f t="shared" ca="1" si="29"/>
        <v>2.4021488081866167E-2</v>
      </c>
    </row>
    <row r="817" spans="2:8" x14ac:dyDescent="0.3">
      <c r="B817" s="4">
        <v>38715</v>
      </c>
      <c r="C817" s="7">
        <v>46.3</v>
      </c>
      <c r="D817" s="6">
        <f t="shared" si="28"/>
        <v>0.49935233160621756</v>
      </c>
      <c r="E817" s="6">
        <v>1.5796401930671323E-2</v>
      </c>
      <c r="F817" s="6"/>
      <c r="G817" s="6">
        <v>810</v>
      </c>
      <c r="H817" s="6">
        <f t="shared" ca="1" si="29"/>
        <v>4.7564574036626584E-3</v>
      </c>
    </row>
    <row r="818" spans="2:8" x14ac:dyDescent="0.3">
      <c r="B818" s="4">
        <v>38488</v>
      </c>
      <c r="C818" s="7">
        <v>30.88</v>
      </c>
      <c r="D818" s="6">
        <f t="shared" si="28"/>
        <v>-0.97034077375235317</v>
      </c>
      <c r="E818" s="6">
        <v>1.5789473684210541E-2</v>
      </c>
      <c r="F818" s="6"/>
      <c r="G818" s="6">
        <v>811</v>
      </c>
      <c r="H818" s="6">
        <f t="shared" ca="1" si="29"/>
        <v>2.2275115981611221E-2</v>
      </c>
    </row>
    <row r="819" spans="2:8" x14ac:dyDescent="0.3">
      <c r="B819" s="4">
        <v>42608</v>
      </c>
      <c r="C819" s="5">
        <v>1041.1600000000001</v>
      </c>
      <c r="D819" s="6">
        <f t="shared" si="28"/>
        <v>3.1232426438556895</v>
      </c>
      <c r="E819" s="6">
        <v>1.573612479634753E-2</v>
      </c>
      <c r="F819" s="6"/>
      <c r="G819" s="6">
        <v>812</v>
      </c>
      <c r="H819" s="6">
        <f t="shared" ca="1" si="29"/>
        <v>-1.2912287284433515E-2</v>
      </c>
    </row>
    <row r="820" spans="2:8" x14ac:dyDescent="0.3">
      <c r="B820" s="4">
        <v>40933</v>
      </c>
      <c r="C820" s="7">
        <v>252.51</v>
      </c>
      <c r="D820" s="6">
        <f t="shared" si="28"/>
        <v>2.1774254435636089</v>
      </c>
      <c r="E820" s="6">
        <v>1.5728077232501997E-2</v>
      </c>
      <c r="F820" s="6"/>
      <c r="G820" s="6">
        <v>813</v>
      </c>
      <c r="H820" s="6">
        <f t="shared" ca="1" si="29"/>
        <v>1.5322110065573682E-2</v>
      </c>
    </row>
    <row r="821" spans="2:8" x14ac:dyDescent="0.3">
      <c r="B821" s="4">
        <v>39828</v>
      </c>
      <c r="C821" s="7">
        <v>79.47</v>
      </c>
      <c r="D821" s="6">
        <f t="shared" si="28"/>
        <v>-0.93723343758885413</v>
      </c>
      <c r="E821" s="6">
        <v>1.5720858895705573E-2</v>
      </c>
      <c r="F821" s="6"/>
      <c r="G821" s="6">
        <v>814</v>
      </c>
      <c r="H821" s="6">
        <f t="shared" ca="1" si="29"/>
        <v>-1.3498764359451198E-2</v>
      </c>
    </row>
    <row r="822" spans="2:8" x14ac:dyDescent="0.3">
      <c r="B822" s="4">
        <v>43448</v>
      </c>
      <c r="C822" s="5">
        <v>1266.1199999999999</v>
      </c>
      <c r="D822" s="6">
        <f t="shared" si="28"/>
        <v>13.184629173201881</v>
      </c>
      <c r="E822" s="6">
        <v>1.5715626579384304E-2</v>
      </c>
      <c r="F822" s="6"/>
      <c r="G822" s="6">
        <v>815</v>
      </c>
      <c r="H822" s="6">
        <f t="shared" ca="1" si="29"/>
        <v>2.8421777897142508E-2</v>
      </c>
    </row>
    <row r="823" spans="2:8" x14ac:dyDescent="0.3">
      <c r="B823" s="4">
        <v>39640</v>
      </c>
      <c r="C823" s="7">
        <v>89.26</v>
      </c>
      <c r="D823" s="6">
        <f t="shared" si="28"/>
        <v>-0.9148193035528539</v>
      </c>
      <c r="E823" s="6">
        <v>1.570323167956315E-2</v>
      </c>
      <c r="F823" s="6"/>
      <c r="G823" s="6">
        <v>816</v>
      </c>
      <c r="H823" s="6">
        <f t="shared" ca="1" si="29"/>
        <v>-1.7180761917909772E-3</v>
      </c>
    </row>
    <row r="824" spans="2:8" x14ac:dyDescent="0.3">
      <c r="B824" s="4">
        <v>42919</v>
      </c>
      <c r="C824" s="5">
        <v>1047.8900000000001</v>
      </c>
      <c r="D824" s="6">
        <f t="shared" si="28"/>
        <v>63.684567901234573</v>
      </c>
      <c r="E824" s="6">
        <v>1.5692546282834209E-2</v>
      </c>
      <c r="F824" s="6"/>
      <c r="G824" s="6">
        <v>817</v>
      </c>
      <c r="H824" s="6">
        <f t="shared" ca="1" si="29"/>
        <v>-2.9168551174339769E-3</v>
      </c>
    </row>
    <row r="825" spans="2:8" x14ac:dyDescent="0.3">
      <c r="B825" s="4">
        <v>37473</v>
      </c>
      <c r="C825" s="7">
        <v>16.2</v>
      </c>
      <c r="D825" s="6">
        <f t="shared" si="28"/>
        <v>-0.88998302207130742</v>
      </c>
      <c r="E825" s="6">
        <v>1.5673981191222573E-2</v>
      </c>
      <c r="F825" s="6"/>
      <c r="G825" s="6">
        <v>818</v>
      </c>
      <c r="H825" s="6">
        <f t="shared" ca="1" si="29"/>
        <v>-5.5111580720563569E-3</v>
      </c>
    </row>
    <row r="826" spans="2:8" x14ac:dyDescent="0.3">
      <c r="B826" s="4">
        <v>40155</v>
      </c>
      <c r="C826" s="7">
        <v>147.25</v>
      </c>
      <c r="D826" s="6">
        <f t="shared" si="28"/>
        <v>-0.45768267530936946</v>
      </c>
      <c r="E826" s="6">
        <v>1.5657332045799492E-2</v>
      </c>
      <c r="F826" s="6"/>
      <c r="G826" s="6">
        <v>819</v>
      </c>
      <c r="H826" s="6">
        <f t="shared" ca="1" si="29"/>
        <v>-5.516456137397768E-4</v>
      </c>
    </row>
    <row r="827" spans="2:8" x14ac:dyDescent="0.3">
      <c r="B827" s="4">
        <v>40989</v>
      </c>
      <c r="C827" s="7">
        <v>271.52</v>
      </c>
      <c r="D827" s="6">
        <f t="shared" si="28"/>
        <v>-0.89150353436667107</v>
      </c>
      <c r="E827" s="6">
        <v>1.5635520311214211E-2</v>
      </c>
      <c r="F827" s="6"/>
      <c r="G827" s="6">
        <v>820</v>
      </c>
      <c r="H827" s="6">
        <f t="shared" ca="1" si="29"/>
        <v>1.8869587993327877E-3</v>
      </c>
    </row>
    <row r="828" spans="2:8" x14ac:dyDescent="0.3">
      <c r="B828" s="4">
        <v>44314</v>
      </c>
      <c r="C828" s="5">
        <v>2502.5700000000002</v>
      </c>
      <c r="D828" s="6">
        <f t="shared" si="28"/>
        <v>8.9037160156713764</v>
      </c>
      <c r="E828" s="6">
        <v>1.5616312715850483E-2</v>
      </c>
      <c r="F828" s="6"/>
      <c r="G828" s="6">
        <v>821</v>
      </c>
      <c r="H828" s="6">
        <f t="shared" ca="1" si="29"/>
        <v>-2.7278759460745199E-2</v>
      </c>
    </row>
    <row r="829" spans="2:8" x14ac:dyDescent="0.3">
      <c r="B829" s="4">
        <v>40548</v>
      </c>
      <c r="C829" s="7">
        <v>252.69</v>
      </c>
      <c r="D829" s="6">
        <f t="shared" si="28"/>
        <v>7.8168178646196793</v>
      </c>
      <c r="E829" s="6">
        <v>1.5594228527792273E-2</v>
      </c>
      <c r="F829" s="6"/>
      <c r="G829" s="6">
        <v>822</v>
      </c>
      <c r="H829" s="6">
        <f t="shared" ca="1" si="29"/>
        <v>-1.2944716787426777E-2</v>
      </c>
    </row>
    <row r="830" spans="2:8" x14ac:dyDescent="0.3">
      <c r="B830" s="4">
        <v>38425</v>
      </c>
      <c r="C830" s="7">
        <v>28.66</v>
      </c>
      <c r="D830" s="6">
        <f t="shared" si="28"/>
        <v>-0.99079208620612114</v>
      </c>
      <c r="E830" s="6">
        <v>1.5591778880226835E-2</v>
      </c>
      <c r="F830" s="6"/>
      <c r="G830" s="6">
        <v>823</v>
      </c>
      <c r="H830" s="6">
        <f t="shared" ca="1" si="29"/>
        <v>1.2277142297485947E-2</v>
      </c>
    </row>
    <row r="831" spans="2:8" x14ac:dyDescent="0.3">
      <c r="B831" s="4">
        <v>45525</v>
      </c>
      <c r="C831" s="5">
        <v>3112.54</v>
      </c>
      <c r="D831" s="6">
        <f t="shared" si="28"/>
        <v>2.4330116362433132</v>
      </c>
      <c r="E831" s="6">
        <v>1.5580186570694893E-2</v>
      </c>
      <c r="F831" s="6"/>
      <c r="G831" s="6">
        <v>824</v>
      </c>
      <c r="H831" s="6">
        <f t="shared" ca="1" si="29"/>
        <v>-8.4270238774746351E-3</v>
      </c>
    </row>
    <row r="832" spans="2:8" x14ac:dyDescent="0.3">
      <c r="B832" s="4">
        <v>42786</v>
      </c>
      <c r="C832" s="7">
        <v>906.65</v>
      </c>
      <c r="D832" s="6">
        <f t="shared" si="28"/>
        <v>8.1359330914953656</v>
      </c>
      <c r="E832" s="6">
        <v>1.5558492764012709E-2</v>
      </c>
      <c r="F832" s="6"/>
      <c r="G832" s="6">
        <v>825</v>
      </c>
      <c r="H832" s="6">
        <f t="shared" ca="1" si="29"/>
        <v>-2.2576127836396877E-2</v>
      </c>
    </row>
    <row r="833" spans="2:8" x14ac:dyDescent="0.3">
      <c r="B833" s="4">
        <v>39714</v>
      </c>
      <c r="C833" s="7">
        <v>99.24</v>
      </c>
      <c r="D833" s="6">
        <f t="shared" si="28"/>
        <v>-0.82373001776198929</v>
      </c>
      <c r="E833" s="6">
        <v>1.5554645927138724E-2</v>
      </c>
      <c r="F833" s="6"/>
      <c r="G833" s="6">
        <v>826</v>
      </c>
      <c r="H833" s="6">
        <f t="shared" ca="1" si="29"/>
        <v>5.8037457295739695E-4</v>
      </c>
    </row>
    <row r="834" spans="2:8" x14ac:dyDescent="0.3">
      <c r="B834" s="4">
        <v>41878</v>
      </c>
      <c r="C834" s="7">
        <v>563</v>
      </c>
      <c r="D834" s="6">
        <f t="shared" si="28"/>
        <v>-0.80004261969029689</v>
      </c>
      <c r="E834" s="6">
        <v>1.5530583163477E-2</v>
      </c>
      <c r="F834" s="6"/>
      <c r="G834" s="6">
        <v>827</v>
      </c>
      <c r="H834" s="6">
        <f t="shared" ca="1" si="29"/>
        <v>7.7288089950125994E-3</v>
      </c>
    </row>
    <row r="835" spans="2:8" x14ac:dyDescent="0.3">
      <c r="B835" s="4">
        <v>46027</v>
      </c>
      <c r="C835" s="5">
        <v>2815.6</v>
      </c>
      <c r="D835" s="6">
        <f t="shared" si="28"/>
        <v>45.195242001640686</v>
      </c>
      <c r="E835" s="6">
        <v>1.5508908605640916E-2</v>
      </c>
      <c r="F835" s="6"/>
      <c r="G835" s="6">
        <v>828</v>
      </c>
      <c r="H835" s="6">
        <f t="shared" ca="1" si="29"/>
        <v>3.7985332090460068E-3</v>
      </c>
    </row>
    <row r="836" spans="2:8" x14ac:dyDescent="0.3">
      <c r="B836" s="4">
        <v>39080</v>
      </c>
      <c r="C836" s="7">
        <v>60.95</v>
      </c>
      <c r="D836" s="6">
        <f t="shared" si="28"/>
        <v>-0.93627809722948241</v>
      </c>
      <c r="E836" s="6">
        <v>1.5494835054981667E-2</v>
      </c>
      <c r="F836" s="6"/>
      <c r="G836" s="6">
        <v>829</v>
      </c>
      <c r="H836" s="6">
        <f t="shared" ca="1" si="29"/>
        <v>-9.4620229417376432E-3</v>
      </c>
    </row>
    <row r="837" spans="2:8" x14ac:dyDescent="0.3">
      <c r="B837" s="4">
        <v>42800</v>
      </c>
      <c r="C837" s="7">
        <v>956.5</v>
      </c>
      <c r="D837" s="6">
        <f t="shared" si="28"/>
        <v>-0.28765062484174153</v>
      </c>
      <c r="E837" s="6">
        <v>1.5489802635071326E-2</v>
      </c>
      <c r="F837" s="6"/>
      <c r="G837" s="6">
        <v>830</v>
      </c>
      <c r="H837" s="6">
        <f t="shared" ca="1" si="29"/>
        <v>6.8401307006795429E-4</v>
      </c>
    </row>
    <row r="838" spans="2:8" x14ac:dyDescent="0.3">
      <c r="B838" s="4">
        <v>43486</v>
      </c>
      <c r="C838" s="5">
        <v>1342.74</v>
      </c>
      <c r="D838" s="6">
        <f t="shared" si="28"/>
        <v>-0.13330794503217644</v>
      </c>
      <c r="E838" s="6">
        <v>1.5457914240338846E-2</v>
      </c>
      <c r="F838" s="6"/>
      <c r="G838" s="6">
        <v>831</v>
      </c>
      <c r="H838" s="6">
        <f t="shared" ca="1" si="29"/>
        <v>4.7395276150683802E-3</v>
      </c>
    </row>
    <row r="839" spans="2:8" x14ac:dyDescent="0.3">
      <c r="B839" s="4">
        <v>44001</v>
      </c>
      <c r="C839" s="5">
        <v>1549.27</v>
      </c>
      <c r="D839" s="6">
        <f t="shared" si="28"/>
        <v>14.307479498073313</v>
      </c>
      <c r="E839" s="6">
        <v>1.5455302191139698E-2</v>
      </c>
      <c r="F839" s="6"/>
      <c r="G839" s="6">
        <v>832</v>
      </c>
      <c r="H839" s="6">
        <f t="shared" ca="1" si="29"/>
        <v>-1.9704890572805674E-2</v>
      </c>
    </row>
    <row r="840" spans="2:8" x14ac:dyDescent="0.3">
      <c r="B840" s="4">
        <v>39993</v>
      </c>
      <c r="C840" s="7">
        <v>101.21</v>
      </c>
      <c r="D840" s="6">
        <f t="shared" ref="D840:D903" si="30">((C840-C841)/C841)</f>
        <v>-0.79139700729626128</v>
      </c>
      <c r="E840" s="6">
        <v>1.5450988261262085E-2</v>
      </c>
      <c r="F840" s="6"/>
      <c r="G840" s="6">
        <v>833</v>
      </c>
      <c r="H840" s="6">
        <f t="shared" ca="1" si="29"/>
        <v>5.191261330252237E-3</v>
      </c>
    </row>
    <row r="841" spans="2:8" x14ac:dyDescent="0.3">
      <c r="B841" s="4">
        <v>41800</v>
      </c>
      <c r="C841" s="7">
        <v>485.18</v>
      </c>
      <c r="D841" s="6">
        <f t="shared" si="30"/>
        <v>-0.84334579644446173</v>
      </c>
      <c r="E841" s="6">
        <v>1.5445793218920041E-2</v>
      </c>
      <c r="F841" s="6"/>
      <c r="G841" s="6">
        <v>834</v>
      </c>
      <c r="H841" s="6">
        <f t="shared" ref="H841:H904" ca="1" si="31">_xlfn.NORM.INV(RAND(),N$10,N$11)</f>
        <v>-9.0999443055842875E-3</v>
      </c>
    </row>
    <row r="842" spans="2:8" x14ac:dyDescent="0.3">
      <c r="B842" s="4">
        <v>45077</v>
      </c>
      <c r="C842" s="5">
        <v>3097.14</v>
      </c>
      <c r="D842" s="6">
        <f t="shared" si="30"/>
        <v>46.054694621695532</v>
      </c>
      <c r="E842" s="6">
        <v>1.5439091162439857E-2</v>
      </c>
      <c r="F842" s="6"/>
      <c r="G842" s="6">
        <v>835</v>
      </c>
      <c r="H842" s="6">
        <f t="shared" ca="1" si="31"/>
        <v>-2.9106565010084727E-3</v>
      </c>
    </row>
    <row r="843" spans="2:8" x14ac:dyDescent="0.3">
      <c r="B843" s="4">
        <v>39898</v>
      </c>
      <c r="C843" s="7">
        <v>65.819999999999993</v>
      </c>
      <c r="D843" s="6">
        <f t="shared" si="30"/>
        <v>-0.9112268018990074</v>
      </c>
      <c r="E843" s="6">
        <v>1.5427337241592103E-2</v>
      </c>
      <c r="F843" s="6"/>
      <c r="G843" s="6">
        <v>836</v>
      </c>
      <c r="H843" s="6">
        <f t="shared" ca="1" si="31"/>
        <v>-2.1753406226727823E-2</v>
      </c>
    </row>
    <row r="844" spans="2:8" x14ac:dyDescent="0.3">
      <c r="B844" s="4">
        <v>42271</v>
      </c>
      <c r="C844" s="7">
        <v>741.44</v>
      </c>
      <c r="D844" s="6">
        <f t="shared" si="30"/>
        <v>6.5943869712178644</v>
      </c>
      <c r="E844" s="6">
        <v>1.5420855131611528E-2</v>
      </c>
      <c r="F844" s="6"/>
      <c r="G844" s="6">
        <v>837</v>
      </c>
      <c r="H844" s="6">
        <f t="shared" ca="1" si="31"/>
        <v>2.5894916778001209E-2</v>
      </c>
    </row>
    <row r="845" spans="2:8" x14ac:dyDescent="0.3">
      <c r="B845" s="4">
        <v>39973</v>
      </c>
      <c r="C845" s="7">
        <v>97.63</v>
      </c>
      <c r="D845" s="6">
        <f t="shared" si="30"/>
        <v>3.110736842105263</v>
      </c>
      <c r="E845" s="6">
        <v>1.5392615704628078E-2</v>
      </c>
      <c r="F845" s="6"/>
      <c r="G845" s="6">
        <v>838</v>
      </c>
      <c r="H845" s="6">
        <f t="shared" ca="1" si="31"/>
        <v>1.189328743899905E-2</v>
      </c>
    </row>
    <row r="846" spans="2:8" x14ac:dyDescent="0.3">
      <c r="B846" s="4">
        <v>38321</v>
      </c>
      <c r="C846" s="7">
        <v>23.75</v>
      </c>
      <c r="D846" s="6">
        <f t="shared" si="30"/>
        <v>-0.96901257763164761</v>
      </c>
      <c r="E846" s="6">
        <v>1.5391192817443328E-2</v>
      </c>
      <c r="F846" s="6"/>
      <c r="G846" s="6">
        <v>839</v>
      </c>
      <c r="H846" s="6">
        <f t="shared" ca="1" si="31"/>
        <v>3.1554897332410216E-2</v>
      </c>
    </row>
    <row r="847" spans="2:8" x14ac:dyDescent="0.3">
      <c r="B847" s="4">
        <v>42066</v>
      </c>
      <c r="C847" s="7">
        <v>766.44</v>
      </c>
      <c r="D847" s="6">
        <f t="shared" si="30"/>
        <v>0.95985373462551482</v>
      </c>
      <c r="E847" s="6">
        <v>1.5380946703231209E-2</v>
      </c>
      <c r="F847" s="6"/>
      <c r="G847" s="6">
        <v>840</v>
      </c>
      <c r="H847" s="6">
        <f t="shared" ca="1" si="31"/>
        <v>8.5756117821105364E-3</v>
      </c>
    </row>
    <row r="848" spans="2:8" x14ac:dyDescent="0.3">
      <c r="B848" s="4">
        <v>41288</v>
      </c>
      <c r="C848" s="7">
        <v>391.07</v>
      </c>
      <c r="D848" s="6">
        <f t="shared" si="30"/>
        <v>3.0237678773536372</v>
      </c>
      <c r="E848" s="6">
        <v>1.5370634817603573E-2</v>
      </c>
      <c r="F848" s="6"/>
      <c r="G848" s="6">
        <v>841</v>
      </c>
      <c r="H848" s="6">
        <f t="shared" ca="1" si="31"/>
        <v>1.3606753848518373E-2</v>
      </c>
    </row>
    <row r="849" spans="2:8" x14ac:dyDescent="0.3">
      <c r="B849" s="4">
        <v>39967</v>
      </c>
      <c r="C849" s="7">
        <v>97.19</v>
      </c>
      <c r="D849" s="6">
        <f t="shared" si="30"/>
        <v>-0.97167066971364613</v>
      </c>
      <c r="E849" s="6">
        <v>1.535729210196405E-2</v>
      </c>
      <c r="F849" s="6"/>
      <c r="G849" s="6">
        <v>842</v>
      </c>
      <c r="H849" s="6">
        <f t="shared" ca="1" si="31"/>
        <v>2.9127336436234715E-2</v>
      </c>
    </row>
    <row r="850" spans="2:8" x14ac:dyDescent="0.3">
      <c r="B850" s="4">
        <v>45125</v>
      </c>
      <c r="C850" s="5">
        <v>3430.72</v>
      </c>
      <c r="D850" s="6">
        <f t="shared" si="30"/>
        <v>64.55933498948977</v>
      </c>
      <c r="E850" s="6">
        <v>1.5330342239532077E-2</v>
      </c>
      <c r="F850" s="6"/>
      <c r="G850" s="6">
        <v>843</v>
      </c>
      <c r="H850" s="6">
        <f t="shared" ca="1" si="31"/>
        <v>1.3207442951743847E-3</v>
      </c>
    </row>
    <row r="851" spans="2:8" x14ac:dyDescent="0.3">
      <c r="B851" s="4">
        <v>38841</v>
      </c>
      <c r="C851" s="7">
        <v>52.33</v>
      </c>
      <c r="D851" s="6">
        <f t="shared" si="30"/>
        <v>-0.98136296454582694</v>
      </c>
      <c r="E851" s="6">
        <v>1.5327900659681785E-2</v>
      </c>
      <c r="F851" s="6"/>
      <c r="G851" s="6">
        <v>844</v>
      </c>
      <c r="H851" s="6">
        <f t="shared" ca="1" si="31"/>
        <v>5.3913869405953644E-3</v>
      </c>
    </row>
    <row r="852" spans="2:8" x14ac:dyDescent="0.3">
      <c r="B852" s="4">
        <v>45358</v>
      </c>
      <c r="C852" s="5">
        <v>2807.85</v>
      </c>
      <c r="D852" s="6">
        <f t="shared" si="30"/>
        <v>41.280530040656529</v>
      </c>
      <c r="E852" s="6">
        <v>1.5299001280039321E-2</v>
      </c>
      <c r="F852" s="6"/>
      <c r="G852" s="6">
        <v>845</v>
      </c>
      <c r="H852" s="6">
        <f t="shared" ca="1" si="31"/>
        <v>-3.2244578868823856E-2</v>
      </c>
    </row>
    <row r="853" spans="2:8" x14ac:dyDescent="0.3">
      <c r="B853" s="4">
        <v>39107</v>
      </c>
      <c r="C853" s="7">
        <v>66.41</v>
      </c>
      <c r="D853" s="6">
        <f t="shared" si="30"/>
        <v>-0.97937609664446212</v>
      </c>
      <c r="E853" s="6">
        <v>1.5288182235132244E-2</v>
      </c>
      <c r="F853" s="6"/>
      <c r="G853" s="6">
        <v>846</v>
      </c>
      <c r="H853" s="6">
        <f t="shared" ca="1" si="31"/>
        <v>-1.5871069508419513E-2</v>
      </c>
    </row>
    <row r="854" spans="2:8" x14ac:dyDescent="0.3">
      <c r="B854" s="4">
        <v>45100</v>
      </c>
      <c r="C854" s="5">
        <v>3220.05</v>
      </c>
      <c r="D854" s="6">
        <f t="shared" si="30"/>
        <v>65.379097093382811</v>
      </c>
      <c r="E854" s="6">
        <v>1.5285804822217393E-2</v>
      </c>
      <c r="F854" s="6"/>
      <c r="G854" s="6">
        <v>847</v>
      </c>
      <c r="H854" s="6">
        <f t="shared" ca="1" si="31"/>
        <v>-1.8115002443518768E-2</v>
      </c>
    </row>
    <row r="855" spans="2:8" x14ac:dyDescent="0.3">
      <c r="B855" s="4">
        <v>38740</v>
      </c>
      <c r="C855" s="7">
        <v>48.51</v>
      </c>
      <c r="D855" s="6">
        <f t="shared" si="30"/>
        <v>-0.38156552779194292</v>
      </c>
      <c r="E855" s="6">
        <v>1.5278359146086162E-2</v>
      </c>
      <c r="F855" s="6"/>
      <c r="G855" s="6">
        <v>848</v>
      </c>
      <c r="H855" s="6">
        <f t="shared" ca="1" si="31"/>
        <v>-3.3320629528263701E-2</v>
      </c>
    </row>
    <row r="856" spans="2:8" x14ac:dyDescent="0.3">
      <c r="B856" s="4">
        <v>39920</v>
      </c>
      <c r="C856" s="7">
        <v>78.44</v>
      </c>
      <c r="D856" s="6">
        <f t="shared" si="30"/>
        <v>-0.90668348045397229</v>
      </c>
      <c r="E856" s="6">
        <v>1.5273103805332547E-2</v>
      </c>
      <c r="F856" s="6"/>
      <c r="G856" s="6">
        <v>849</v>
      </c>
      <c r="H856" s="6">
        <f t="shared" ca="1" si="31"/>
        <v>-1.990159594165691E-2</v>
      </c>
    </row>
    <row r="857" spans="2:8" x14ac:dyDescent="0.3">
      <c r="B857" s="4">
        <v>42737</v>
      </c>
      <c r="C857" s="7">
        <v>840.58</v>
      </c>
      <c r="D857" s="6">
        <f t="shared" si="30"/>
        <v>-0.16993689948354343</v>
      </c>
      <c r="E857" s="6">
        <v>1.5266806773437671E-2</v>
      </c>
      <c r="F857" s="6"/>
      <c r="G857" s="6">
        <v>850</v>
      </c>
      <c r="H857" s="6">
        <f t="shared" ca="1" si="31"/>
        <v>-2.4957612630151914E-2</v>
      </c>
    </row>
    <row r="858" spans="2:8" x14ac:dyDescent="0.3">
      <c r="B858" s="4">
        <v>42828</v>
      </c>
      <c r="C858" s="5">
        <v>1012.67</v>
      </c>
      <c r="D858" s="6">
        <f t="shared" si="30"/>
        <v>15.852554501580959</v>
      </c>
      <c r="E858" s="6">
        <v>1.5238553540457288E-2</v>
      </c>
      <c r="F858" s="6"/>
      <c r="G858" s="6">
        <v>851</v>
      </c>
      <c r="H858" s="6">
        <f t="shared" ca="1" si="31"/>
        <v>-2.2668461782615088E-2</v>
      </c>
    </row>
    <row r="859" spans="2:8" x14ac:dyDescent="0.3">
      <c r="B859" s="4">
        <v>39070</v>
      </c>
      <c r="C859" s="7">
        <v>60.09</v>
      </c>
      <c r="D859" s="6">
        <f t="shared" si="30"/>
        <v>-0.67886917486105169</v>
      </c>
      <c r="E859" s="6">
        <v>1.5205271160669128E-2</v>
      </c>
      <c r="F859" s="6"/>
      <c r="G859" s="6">
        <v>852</v>
      </c>
      <c r="H859" s="6">
        <f t="shared" ca="1" si="31"/>
        <v>-2.8409619165324328E-2</v>
      </c>
    </row>
    <row r="860" spans="2:8" x14ac:dyDescent="0.3">
      <c r="B860" s="4">
        <v>40316</v>
      </c>
      <c r="C860" s="7">
        <v>187.12</v>
      </c>
      <c r="D860" s="6">
        <f t="shared" si="30"/>
        <v>-0.59058288114825841</v>
      </c>
      <c r="E860" s="6">
        <v>1.5190972222222284E-2</v>
      </c>
      <c r="F860" s="6"/>
      <c r="G860" s="6">
        <v>853</v>
      </c>
      <c r="H860" s="6">
        <f t="shared" ca="1" si="31"/>
        <v>7.7608279391622867E-3</v>
      </c>
    </row>
    <row r="861" spans="2:8" x14ac:dyDescent="0.3">
      <c r="B861" s="4">
        <v>41759</v>
      </c>
      <c r="C861" s="7">
        <v>457.04</v>
      </c>
      <c r="D861" s="6">
        <f t="shared" si="30"/>
        <v>-0.32447492498928421</v>
      </c>
      <c r="E861" s="6">
        <v>1.517069811865583E-2</v>
      </c>
      <c r="F861" s="6"/>
      <c r="G861" s="6">
        <v>854</v>
      </c>
      <c r="H861" s="6">
        <f t="shared" ca="1" si="31"/>
        <v>3.3460695550016475E-2</v>
      </c>
    </row>
    <row r="862" spans="2:8" x14ac:dyDescent="0.3">
      <c r="B862" s="4">
        <v>42174</v>
      </c>
      <c r="C862" s="7">
        <v>676.57</v>
      </c>
      <c r="D862" s="6">
        <f t="shared" si="30"/>
        <v>6.5942305533729932</v>
      </c>
      <c r="E862" s="6">
        <v>1.5169702607808441E-2</v>
      </c>
      <c r="F862" s="6"/>
      <c r="G862" s="6">
        <v>855</v>
      </c>
      <c r="H862" s="6">
        <f t="shared" ca="1" si="31"/>
        <v>-4.0279354975523637E-3</v>
      </c>
    </row>
    <row r="863" spans="2:8" x14ac:dyDescent="0.3">
      <c r="B863" s="4">
        <v>39647</v>
      </c>
      <c r="C863" s="7">
        <v>89.09</v>
      </c>
      <c r="D863" s="6">
        <f t="shared" si="30"/>
        <v>2.6936152570480929</v>
      </c>
      <c r="E863" s="6">
        <v>1.5154968094803991E-2</v>
      </c>
      <c r="F863" s="6"/>
      <c r="G863" s="6">
        <v>856</v>
      </c>
      <c r="H863" s="6">
        <f t="shared" ca="1" si="31"/>
        <v>1.6072099846354954E-2</v>
      </c>
    </row>
    <row r="864" spans="2:8" x14ac:dyDescent="0.3">
      <c r="B864" s="4">
        <v>38159</v>
      </c>
      <c r="C864" s="7">
        <v>24.12</v>
      </c>
      <c r="D864" s="6">
        <f t="shared" si="30"/>
        <v>-0.86872754979862843</v>
      </c>
      <c r="E864" s="6">
        <v>1.5151515151515126E-2</v>
      </c>
      <c r="F864" s="6"/>
      <c r="G864" s="6">
        <v>857</v>
      </c>
      <c r="H864" s="6">
        <f t="shared" ca="1" si="31"/>
        <v>5.817801223567628E-4</v>
      </c>
    </row>
    <row r="865" spans="2:8" x14ac:dyDescent="0.3">
      <c r="B865" s="4">
        <v>40308</v>
      </c>
      <c r="C865" s="7">
        <v>183.74</v>
      </c>
      <c r="D865" s="6">
        <f t="shared" si="30"/>
        <v>0.80119596118027647</v>
      </c>
      <c r="E865" s="6">
        <v>1.5138121546961376E-2</v>
      </c>
      <c r="F865" s="6"/>
      <c r="G865" s="6">
        <v>858</v>
      </c>
      <c r="H865" s="6">
        <f t="shared" ca="1" si="31"/>
        <v>-1.2525272704234121E-2</v>
      </c>
    </row>
    <row r="866" spans="2:8" x14ac:dyDescent="0.3">
      <c r="B866" s="4">
        <v>39680</v>
      </c>
      <c r="C866" s="7">
        <v>102.01</v>
      </c>
      <c r="D866" s="6">
        <f t="shared" si="30"/>
        <v>-0.79414376236025352</v>
      </c>
      <c r="E866" s="6">
        <v>1.5125883172455072E-2</v>
      </c>
      <c r="F866" s="6"/>
      <c r="G866" s="6">
        <v>859</v>
      </c>
      <c r="H866" s="6">
        <f t="shared" ca="1" si="31"/>
        <v>1.3849835837424503E-2</v>
      </c>
    </row>
    <row r="867" spans="2:8" x14ac:dyDescent="0.3">
      <c r="B867" s="4">
        <v>41738</v>
      </c>
      <c r="C867" s="7">
        <v>495.54</v>
      </c>
      <c r="D867" s="6">
        <f t="shared" si="30"/>
        <v>20.077839217354317</v>
      </c>
      <c r="E867" s="6">
        <v>1.5117994100294975E-2</v>
      </c>
      <c r="F867" s="6"/>
      <c r="G867" s="6">
        <v>860</v>
      </c>
      <c r="H867" s="6">
        <f t="shared" ca="1" si="31"/>
        <v>-7.1257430507305286E-4</v>
      </c>
    </row>
    <row r="868" spans="2:8" x14ac:dyDescent="0.3">
      <c r="B868" s="4">
        <v>37875</v>
      </c>
      <c r="C868" s="7">
        <v>23.51</v>
      </c>
      <c r="D868" s="6">
        <f t="shared" si="30"/>
        <v>-0.9781218883481142</v>
      </c>
      <c r="E868" s="6">
        <v>1.5112262521589008E-2</v>
      </c>
      <c r="F868" s="6"/>
      <c r="G868" s="6">
        <v>861</v>
      </c>
      <c r="H868" s="6">
        <f t="shared" ca="1" si="31"/>
        <v>1.1529101804847489E-2</v>
      </c>
    </row>
    <row r="869" spans="2:8" x14ac:dyDescent="0.3">
      <c r="B869" s="4">
        <v>43011</v>
      </c>
      <c r="C869" s="5">
        <v>1074.5899999999999</v>
      </c>
      <c r="D869" s="6">
        <f t="shared" si="30"/>
        <v>2.1710044853635502</v>
      </c>
      <c r="E869" s="6">
        <v>1.5104855469488013E-2</v>
      </c>
      <c r="F869" s="6"/>
      <c r="G869" s="6">
        <v>862</v>
      </c>
      <c r="H869" s="6">
        <f t="shared" ca="1" si="31"/>
        <v>2.5213813825682781E-4</v>
      </c>
    </row>
    <row r="870" spans="2:8" x14ac:dyDescent="0.3">
      <c r="B870" s="4">
        <v>41057</v>
      </c>
      <c r="C870" s="7">
        <v>338.88</v>
      </c>
      <c r="D870" s="6">
        <f t="shared" si="30"/>
        <v>0.81948993288590599</v>
      </c>
      <c r="E870" s="6">
        <v>1.5097052480230112E-2</v>
      </c>
      <c r="F870" s="6"/>
      <c r="G870" s="6">
        <v>863</v>
      </c>
      <c r="H870" s="6">
        <f t="shared" ca="1" si="31"/>
        <v>1.8012618124544671E-2</v>
      </c>
    </row>
    <row r="871" spans="2:8" x14ac:dyDescent="0.3">
      <c r="B871" s="4">
        <v>40333</v>
      </c>
      <c r="C871" s="7">
        <v>186.25</v>
      </c>
      <c r="D871" s="6">
        <f t="shared" si="30"/>
        <v>-0.69490220489466958</v>
      </c>
      <c r="E871" s="6">
        <v>1.5097013298452203E-2</v>
      </c>
      <c r="F871" s="6"/>
      <c r="G871" s="6">
        <v>864</v>
      </c>
      <c r="H871" s="6">
        <f t="shared" ca="1" si="31"/>
        <v>-1.4823359917310748E-2</v>
      </c>
    </row>
    <row r="872" spans="2:8" x14ac:dyDescent="0.3">
      <c r="B872" s="4">
        <v>41901</v>
      </c>
      <c r="C872" s="7">
        <v>610.46</v>
      </c>
      <c r="D872" s="6">
        <f t="shared" si="30"/>
        <v>-0.71487421883027713</v>
      </c>
      <c r="E872" s="6">
        <v>1.5081727331681687E-2</v>
      </c>
      <c r="F872" s="6"/>
      <c r="G872" s="6">
        <v>865</v>
      </c>
      <c r="H872" s="6">
        <f t="shared" ca="1" si="31"/>
        <v>1.4740954221921176E-2</v>
      </c>
    </row>
    <row r="873" spans="2:8" x14ac:dyDescent="0.3">
      <c r="B873" s="4">
        <v>45721</v>
      </c>
      <c r="C873" s="5">
        <v>2141.02</v>
      </c>
      <c r="D873" s="6">
        <f t="shared" si="30"/>
        <v>26.780199818346958</v>
      </c>
      <c r="E873" s="6">
        <v>1.5028540003413336E-2</v>
      </c>
      <c r="F873" s="6"/>
      <c r="G873" s="6">
        <v>866</v>
      </c>
      <c r="H873" s="6">
        <f t="shared" ca="1" si="31"/>
        <v>1.2168653931872211E-2</v>
      </c>
    </row>
    <row r="874" spans="2:8" x14ac:dyDescent="0.3">
      <c r="B874" s="4">
        <v>39940</v>
      </c>
      <c r="C874" s="7">
        <v>77.069999999999993</v>
      </c>
      <c r="D874" s="6">
        <f t="shared" si="30"/>
        <v>-0.84454171373245124</v>
      </c>
      <c r="E874" s="6">
        <v>1.5013828526274019E-2</v>
      </c>
      <c r="F874" s="6"/>
      <c r="G874" s="6">
        <v>867</v>
      </c>
      <c r="H874" s="6">
        <f t="shared" ca="1" si="31"/>
        <v>-2.3821439406941789E-2</v>
      </c>
    </row>
    <row r="875" spans="2:8" x14ac:dyDescent="0.3">
      <c r="B875" s="4">
        <v>41729</v>
      </c>
      <c r="C875" s="7">
        <v>495.76</v>
      </c>
      <c r="D875" s="6">
        <f t="shared" si="30"/>
        <v>0.7747547791222168</v>
      </c>
      <c r="E875" s="6">
        <v>1.5007268185819839E-2</v>
      </c>
      <c r="F875" s="6"/>
      <c r="G875" s="6">
        <v>868</v>
      </c>
      <c r="H875" s="6">
        <f t="shared" ca="1" si="31"/>
        <v>-9.4694420004766823E-4</v>
      </c>
    </row>
    <row r="876" spans="2:8" x14ac:dyDescent="0.3">
      <c r="B876" s="4">
        <v>40722</v>
      </c>
      <c r="C876" s="7">
        <v>279.33999999999997</v>
      </c>
      <c r="D876" s="6">
        <f t="shared" si="30"/>
        <v>-0.911136136613795</v>
      </c>
      <c r="E876" s="6">
        <v>1.5006722139457127E-2</v>
      </c>
      <c r="F876" s="6"/>
      <c r="G876" s="6">
        <v>869</v>
      </c>
      <c r="H876" s="6">
        <f t="shared" ca="1" si="31"/>
        <v>4.9579405253525013E-2</v>
      </c>
    </row>
    <row r="877" spans="2:8" x14ac:dyDescent="0.3">
      <c r="B877" s="4">
        <v>45078</v>
      </c>
      <c r="C877" s="5">
        <v>3143.46</v>
      </c>
      <c r="D877" s="6">
        <f t="shared" si="30"/>
        <v>1.0359592479128481</v>
      </c>
      <c r="E877" s="6">
        <v>1.4955733353997613E-2</v>
      </c>
      <c r="F877" s="6"/>
      <c r="G877" s="6">
        <v>870</v>
      </c>
      <c r="H877" s="6">
        <f t="shared" ca="1" si="31"/>
        <v>-1.4228063002143953E-2</v>
      </c>
    </row>
    <row r="878" spans="2:8" x14ac:dyDescent="0.3">
      <c r="B878" s="4">
        <v>43916</v>
      </c>
      <c r="C878" s="5">
        <v>1543.97</v>
      </c>
      <c r="D878" s="6">
        <f t="shared" si="30"/>
        <v>89.875220718069457</v>
      </c>
      <c r="E878" s="6">
        <v>1.4935086277732147E-2</v>
      </c>
      <c r="F878" s="6"/>
      <c r="G878" s="6">
        <v>871</v>
      </c>
      <c r="H878" s="6">
        <f t="shared" ca="1" si="31"/>
        <v>-1.3597229824235302E-2</v>
      </c>
    </row>
    <row r="879" spans="2:8" x14ac:dyDescent="0.3">
      <c r="B879" s="4">
        <v>37756</v>
      </c>
      <c r="C879" s="7">
        <v>16.989999999999998</v>
      </c>
      <c r="D879" s="6">
        <f t="shared" si="30"/>
        <v>-0.99390932457671788</v>
      </c>
      <c r="E879" s="6">
        <v>1.4934289127837517E-2</v>
      </c>
      <c r="F879" s="6"/>
      <c r="G879" s="6">
        <v>872</v>
      </c>
      <c r="H879" s="6">
        <f t="shared" ca="1" si="31"/>
        <v>-1.3133357587706625E-2</v>
      </c>
    </row>
    <row r="880" spans="2:8" x14ac:dyDescent="0.3">
      <c r="B880" s="4">
        <v>45433</v>
      </c>
      <c r="C880" s="5">
        <v>2789.51</v>
      </c>
      <c r="D880" s="6">
        <f t="shared" si="30"/>
        <v>0.77741458628028193</v>
      </c>
      <c r="E880" s="6">
        <v>1.4913480709618353E-2</v>
      </c>
      <c r="F880" s="6"/>
      <c r="G880" s="6">
        <v>873</v>
      </c>
      <c r="H880" s="6">
        <f t="shared" ca="1" si="31"/>
        <v>3.01304055010875E-3</v>
      </c>
    </row>
    <row r="881" spans="2:8" x14ac:dyDescent="0.3">
      <c r="B881" s="4">
        <v>43979</v>
      </c>
      <c r="C881" s="5">
        <v>1569.42</v>
      </c>
      <c r="D881" s="6">
        <f t="shared" si="30"/>
        <v>49.109195402298852</v>
      </c>
      <c r="E881" s="6">
        <v>1.491243953542524E-2</v>
      </c>
      <c r="F881" s="6"/>
      <c r="G881" s="6">
        <v>874</v>
      </c>
      <c r="H881" s="6">
        <f t="shared" ca="1" si="31"/>
        <v>1.0738417298852108E-2</v>
      </c>
    </row>
    <row r="882" spans="2:8" x14ac:dyDescent="0.3">
      <c r="B882" s="4">
        <v>38510</v>
      </c>
      <c r="C882" s="7">
        <v>31.32</v>
      </c>
      <c r="D882" s="6">
        <f t="shared" si="30"/>
        <v>-0.86192302605475468</v>
      </c>
      <c r="E882" s="6">
        <v>1.4906027219701908E-2</v>
      </c>
      <c r="F882" s="6"/>
      <c r="G882" s="6">
        <v>875</v>
      </c>
      <c r="H882" s="6">
        <f t="shared" ca="1" si="31"/>
        <v>1.0393273931055711E-2</v>
      </c>
    </row>
    <row r="883" spans="2:8" x14ac:dyDescent="0.3">
      <c r="B883" s="4">
        <v>40511</v>
      </c>
      <c r="C883" s="7">
        <v>226.83</v>
      </c>
      <c r="D883" s="6">
        <f t="shared" si="30"/>
        <v>-0.82279598453185432</v>
      </c>
      <c r="E883" s="6">
        <v>1.4899328859060458E-2</v>
      </c>
      <c r="F883" s="6"/>
      <c r="G883" s="6">
        <v>876</v>
      </c>
      <c r="H883" s="6">
        <f t="shared" ca="1" si="31"/>
        <v>-6.7624113124220226E-3</v>
      </c>
    </row>
    <row r="884" spans="2:8" x14ac:dyDescent="0.3">
      <c r="B884" s="4">
        <v>43452</v>
      </c>
      <c r="C884" s="5">
        <v>1280.05</v>
      </c>
      <c r="D884" s="6">
        <f t="shared" si="30"/>
        <v>0.4915694659690743</v>
      </c>
      <c r="E884" s="6">
        <v>1.4865614841829859E-2</v>
      </c>
      <c r="F884" s="6"/>
      <c r="G884" s="6">
        <v>877</v>
      </c>
      <c r="H884" s="6">
        <f t="shared" ca="1" si="31"/>
        <v>-1.8223077148553458E-2</v>
      </c>
    </row>
    <row r="885" spans="2:8" x14ac:dyDescent="0.3">
      <c r="B885" s="4">
        <v>42745</v>
      </c>
      <c r="C885" s="7">
        <v>858.19</v>
      </c>
      <c r="D885" s="6">
        <f t="shared" si="30"/>
        <v>-0.71052960005936538</v>
      </c>
      <c r="E885" s="6">
        <v>1.4828829894164345E-2</v>
      </c>
      <c r="F885" s="6"/>
      <c r="G885" s="6">
        <v>878</v>
      </c>
      <c r="H885" s="6">
        <f t="shared" ca="1" si="31"/>
        <v>-1.5503714605087126E-2</v>
      </c>
    </row>
    <row r="886" spans="2:8" x14ac:dyDescent="0.3">
      <c r="B886" s="4">
        <v>45593</v>
      </c>
      <c r="C886" s="5">
        <v>2964.69</v>
      </c>
      <c r="D886" s="6">
        <f t="shared" si="30"/>
        <v>1.1685660366317516</v>
      </c>
      <c r="E886" s="6">
        <v>1.4825185357604949E-2</v>
      </c>
      <c r="F886" s="6"/>
      <c r="G886" s="6">
        <v>879</v>
      </c>
      <c r="H886" s="6">
        <f t="shared" ca="1" si="31"/>
        <v>2.7397328135180775E-3</v>
      </c>
    </row>
    <row r="887" spans="2:8" x14ac:dyDescent="0.3">
      <c r="B887" s="4">
        <v>43312</v>
      </c>
      <c r="C887" s="5">
        <v>1367.12</v>
      </c>
      <c r="D887" s="6">
        <f t="shared" si="30"/>
        <v>59.465280849181781</v>
      </c>
      <c r="E887" s="6">
        <v>1.4823887466132056E-2</v>
      </c>
      <c r="F887" s="6"/>
      <c r="G887" s="6">
        <v>880</v>
      </c>
      <c r="H887" s="6">
        <f t="shared" ca="1" si="31"/>
        <v>-1.2385600336240976E-2</v>
      </c>
    </row>
    <row r="888" spans="2:8" x14ac:dyDescent="0.3">
      <c r="B888" s="4">
        <v>38145</v>
      </c>
      <c r="C888" s="7">
        <v>22.61</v>
      </c>
      <c r="D888" s="6">
        <f t="shared" si="30"/>
        <v>-0.60719249478804727</v>
      </c>
      <c r="E888" s="6">
        <v>1.4811490125673172E-2</v>
      </c>
      <c r="F888" s="6"/>
      <c r="G888" s="6">
        <v>881</v>
      </c>
      <c r="H888" s="6">
        <f t="shared" ca="1" si="31"/>
        <v>-7.2817350229275411E-3</v>
      </c>
    </row>
    <row r="889" spans="2:8" x14ac:dyDescent="0.3">
      <c r="B889" s="4">
        <v>39160</v>
      </c>
      <c r="C889" s="7">
        <v>57.56</v>
      </c>
      <c r="D889" s="6">
        <f t="shared" si="30"/>
        <v>1.4682675814751287</v>
      </c>
      <c r="E889" s="6">
        <v>1.4809590973201753E-2</v>
      </c>
      <c r="F889" s="6"/>
      <c r="G889" s="6">
        <v>882</v>
      </c>
      <c r="H889" s="6">
        <f t="shared" ca="1" si="31"/>
        <v>1.1869872144766336E-2</v>
      </c>
    </row>
    <row r="890" spans="2:8" x14ac:dyDescent="0.3">
      <c r="B890" s="4">
        <v>38295</v>
      </c>
      <c r="C890" s="7">
        <v>23.32</v>
      </c>
      <c r="D890" s="6">
        <f t="shared" si="30"/>
        <v>-0.60481274360277915</v>
      </c>
      <c r="E890" s="6">
        <v>1.4795474325500428E-2</v>
      </c>
      <c r="F890" s="6"/>
      <c r="G890" s="6">
        <v>883</v>
      </c>
      <c r="H890" s="6">
        <f t="shared" ca="1" si="31"/>
        <v>1.5415368034181684E-2</v>
      </c>
    </row>
    <row r="891" spans="2:8" x14ac:dyDescent="0.3">
      <c r="B891" s="4">
        <v>39051</v>
      </c>
      <c r="C891" s="7">
        <v>59.01</v>
      </c>
      <c r="D891" s="6">
        <f t="shared" si="30"/>
        <v>-0.98181510015408313</v>
      </c>
      <c r="E891" s="6">
        <v>1.478933791917454E-2</v>
      </c>
      <c r="F891" s="6"/>
      <c r="G891" s="6">
        <v>884</v>
      </c>
      <c r="H891" s="6">
        <f t="shared" ca="1" si="31"/>
        <v>-3.5601942456512962E-3</v>
      </c>
    </row>
    <row r="892" spans="2:8" x14ac:dyDescent="0.3">
      <c r="B892" s="4">
        <v>45194</v>
      </c>
      <c r="C892" s="5">
        <v>3245</v>
      </c>
      <c r="D892" s="6">
        <f t="shared" si="30"/>
        <v>0.11879191159992422</v>
      </c>
      <c r="E892" s="6">
        <v>1.4779187801384798E-2</v>
      </c>
      <c r="F892" s="6"/>
      <c r="G892" s="6">
        <v>885</v>
      </c>
      <c r="H892" s="6">
        <f t="shared" ca="1" si="31"/>
        <v>6.3363751504437295E-3</v>
      </c>
    </row>
    <row r="893" spans="2:8" x14ac:dyDescent="0.3">
      <c r="B893" s="4">
        <v>44425</v>
      </c>
      <c r="C893" s="5">
        <v>2900.45</v>
      </c>
      <c r="D893" s="6">
        <f t="shared" si="30"/>
        <v>1.4680689930989881</v>
      </c>
      <c r="E893" s="6">
        <v>1.4774929851446012E-2</v>
      </c>
      <c r="F893" s="6"/>
      <c r="G893" s="6">
        <v>886</v>
      </c>
      <c r="H893" s="6">
        <f t="shared" ca="1" si="31"/>
        <v>-2.5334717820158396E-2</v>
      </c>
    </row>
    <row r="894" spans="2:8" x14ac:dyDescent="0.3">
      <c r="B894" s="4">
        <v>42990</v>
      </c>
      <c r="C894" s="5">
        <v>1175.19</v>
      </c>
      <c r="D894" s="6">
        <f t="shared" si="30"/>
        <v>-0.64524279581967359</v>
      </c>
      <c r="E894" s="6">
        <v>1.4774454269135231E-2</v>
      </c>
      <c r="F894" s="6"/>
      <c r="G894" s="6">
        <v>887</v>
      </c>
      <c r="H894" s="6">
        <f t="shared" ca="1" si="31"/>
        <v>1.6990841479882054E-2</v>
      </c>
    </row>
    <row r="895" spans="2:8" x14ac:dyDescent="0.3">
      <c r="B895" s="4">
        <v>45118</v>
      </c>
      <c r="C895" s="5">
        <v>3312.66</v>
      </c>
      <c r="D895" s="6">
        <f t="shared" si="30"/>
        <v>3.037859580692345</v>
      </c>
      <c r="E895" s="6">
        <v>1.4774401656644504E-2</v>
      </c>
      <c r="F895" s="6"/>
      <c r="G895" s="6">
        <v>888</v>
      </c>
      <c r="H895" s="6">
        <f t="shared" ca="1" si="31"/>
        <v>4.5536136026667208E-2</v>
      </c>
    </row>
    <row r="896" spans="2:8" x14ac:dyDescent="0.3">
      <c r="B896" s="4">
        <v>42487</v>
      </c>
      <c r="C896" s="7">
        <v>820.4</v>
      </c>
      <c r="D896" s="6">
        <f t="shared" si="30"/>
        <v>24.360123647604325</v>
      </c>
      <c r="E896" s="6">
        <v>1.4768819731340994E-2</v>
      </c>
      <c r="F896" s="6"/>
      <c r="G896" s="6">
        <v>889</v>
      </c>
      <c r="H896" s="6">
        <f t="shared" ca="1" si="31"/>
        <v>-6.9796361964680961E-3</v>
      </c>
    </row>
    <row r="897" spans="2:8" x14ac:dyDescent="0.3">
      <c r="B897" s="4">
        <v>38525</v>
      </c>
      <c r="C897" s="7">
        <v>32.35</v>
      </c>
      <c r="D897" s="6">
        <f t="shared" si="30"/>
        <v>-0.77871263424310833</v>
      </c>
      <c r="E897" s="6">
        <v>1.4742785445420403E-2</v>
      </c>
      <c r="F897" s="6"/>
      <c r="G897" s="6">
        <v>890</v>
      </c>
      <c r="H897" s="6">
        <f t="shared" ca="1" si="31"/>
        <v>1.3649387015032738E-2</v>
      </c>
    </row>
    <row r="898" spans="2:8" x14ac:dyDescent="0.3">
      <c r="B898" s="4">
        <v>40121</v>
      </c>
      <c r="C898" s="7">
        <v>146.19</v>
      </c>
      <c r="D898" s="6">
        <f t="shared" si="30"/>
        <v>1.983469387755102</v>
      </c>
      <c r="E898" s="6">
        <v>1.4715069063649647E-2</v>
      </c>
      <c r="F898" s="6"/>
      <c r="G898" s="6">
        <v>891</v>
      </c>
      <c r="H898" s="6">
        <f t="shared" ca="1" si="31"/>
        <v>2.3998791940549324E-3</v>
      </c>
    </row>
    <row r="899" spans="2:8" x14ac:dyDescent="0.3">
      <c r="B899" s="4">
        <v>38744</v>
      </c>
      <c r="C899" s="7">
        <v>49</v>
      </c>
      <c r="D899" s="6">
        <f t="shared" si="30"/>
        <v>-0.78238664120442336</v>
      </c>
      <c r="E899" s="6">
        <v>1.4702837026299459E-2</v>
      </c>
      <c r="F899" s="6"/>
      <c r="G899" s="6">
        <v>892</v>
      </c>
      <c r="H899" s="6">
        <f t="shared" ca="1" si="31"/>
        <v>-2.0673121029951844E-3</v>
      </c>
    </row>
    <row r="900" spans="2:8" x14ac:dyDescent="0.3">
      <c r="B900" s="4">
        <v>40638</v>
      </c>
      <c r="C900" s="7">
        <v>225.17</v>
      </c>
      <c r="D900" s="6">
        <f t="shared" si="30"/>
        <v>-0.15151857713467484</v>
      </c>
      <c r="E900" s="6">
        <v>1.4690640349691276E-2</v>
      </c>
      <c r="F900" s="6"/>
      <c r="G900" s="6">
        <v>893</v>
      </c>
      <c r="H900" s="6">
        <f t="shared" ca="1" si="31"/>
        <v>6.2927197069983258E-3</v>
      </c>
    </row>
    <row r="901" spans="2:8" x14ac:dyDescent="0.3">
      <c r="B901" s="4">
        <v>40945</v>
      </c>
      <c r="C901" s="7">
        <v>265.38</v>
      </c>
      <c r="D901" s="6">
        <f t="shared" si="30"/>
        <v>13.21424745581146</v>
      </c>
      <c r="E901" s="6">
        <v>1.4682266574902405E-2</v>
      </c>
      <c r="F901" s="6"/>
      <c r="G901" s="6">
        <v>894</v>
      </c>
      <c r="H901" s="6">
        <f t="shared" ca="1" si="31"/>
        <v>2.0249736605954607E-2</v>
      </c>
    </row>
    <row r="902" spans="2:8" x14ac:dyDescent="0.3">
      <c r="B902" s="4">
        <v>37783</v>
      </c>
      <c r="C902" s="7">
        <v>18.670000000000002</v>
      </c>
      <c r="D902" s="6">
        <f t="shared" si="30"/>
        <v>-0.99388189802071047</v>
      </c>
      <c r="E902" s="6">
        <v>1.4673913043478431E-2</v>
      </c>
      <c r="F902" s="6"/>
      <c r="G902" s="6">
        <v>895</v>
      </c>
      <c r="H902" s="6">
        <f t="shared" ca="1" si="31"/>
        <v>-2.3582753521592973E-3</v>
      </c>
    </row>
    <row r="903" spans="2:8" x14ac:dyDescent="0.3">
      <c r="B903" s="4">
        <v>44515</v>
      </c>
      <c r="C903" s="5">
        <v>3051.6</v>
      </c>
      <c r="D903" s="6">
        <f t="shared" si="30"/>
        <v>6.164052962719504</v>
      </c>
      <c r="E903" s="6">
        <v>1.4666715433800322E-2</v>
      </c>
      <c r="F903" s="6"/>
      <c r="G903" s="6">
        <v>896</v>
      </c>
      <c r="H903" s="6">
        <f t="shared" ca="1" si="31"/>
        <v>1.2575877923933554E-2</v>
      </c>
    </row>
    <row r="904" spans="2:8" x14ac:dyDescent="0.3">
      <c r="B904" s="4">
        <v>41694</v>
      </c>
      <c r="C904" s="7">
        <v>425.96</v>
      </c>
      <c r="D904" s="6">
        <f t="shared" ref="D904:D967" si="32">((C904-C905)/C905)</f>
        <v>-0.8725357591717039</v>
      </c>
      <c r="E904" s="6">
        <v>1.464948429051232E-2</v>
      </c>
      <c r="F904" s="6"/>
      <c r="G904" s="6">
        <v>897</v>
      </c>
      <c r="H904" s="6">
        <f t="shared" ca="1" si="31"/>
        <v>2.3814622407618096E-4</v>
      </c>
    </row>
    <row r="905" spans="2:8" x14ac:dyDescent="0.3">
      <c r="B905" s="4">
        <v>44812</v>
      </c>
      <c r="C905" s="5">
        <v>3341.8</v>
      </c>
      <c r="D905" s="6">
        <f t="shared" si="32"/>
        <v>29.902533752543004</v>
      </c>
      <c r="E905" s="6">
        <v>1.4646765202395049E-2</v>
      </c>
      <c r="F905" s="6"/>
      <c r="G905" s="6">
        <v>898</v>
      </c>
      <c r="H905" s="6">
        <f t="shared" ref="H905:H968" ca="1" si="33">_xlfn.NORM.INV(RAND(),N$10,N$11)</f>
        <v>3.8577028477386324E-2</v>
      </c>
    </row>
    <row r="906" spans="2:8" x14ac:dyDescent="0.3">
      <c r="B906" s="4">
        <v>39673</v>
      </c>
      <c r="C906" s="7">
        <v>108.14</v>
      </c>
      <c r="D906" s="6">
        <f t="shared" si="32"/>
        <v>5.3996101364522479E-2</v>
      </c>
      <c r="E906" s="6">
        <v>1.463689247513607E-2</v>
      </c>
      <c r="F906" s="6"/>
      <c r="G906" s="6">
        <v>899</v>
      </c>
      <c r="H906" s="6">
        <f t="shared" ca="1" si="33"/>
        <v>3.6954048998619178E-3</v>
      </c>
    </row>
    <row r="907" spans="2:8" x14ac:dyDescent="0.3">
      <c r="B907" s="4">
        <v>39555</v>
      </c>
      <c r="C907" s="7">
        <v>102.6</v>
      </c>
      <c r="D907" s="6">
        <f t="shared" si="32"/>
        <v>-0.11931330472103009</v>
      </c>
      <c r="E907" s="6">
        <v>1.4636075949366986E-2</v>
      </c>
      <c r="F907" s="6"/>
      <c r="G907" s="6">
        <v>900</v>
      </c>
      <c r="H907" s="6">
        <f t="shared" ca="1" si="33"/>
        <v>2.3140318489951522E-3</v>
      </c>
    </row>
    <row r="908" spans="2:8" x14ac:dyDescent="0.3">
      <c r="B908" s="4">
        <v>40036</v>
      </c>
      <c r="C908" s="7">
        <v>116.5</v>
      </c>
      <c r="D908" s="6">
        <f t="shared" si="32"/>
        <v>-0.92952677075330736</v>
      </c>
      <c r="E908" s="6">
        <v>1.4631597282703423E-2</v>
      </c>
      <c r="F908" s="6"/>
      <c r="G908" s="6">
        <v>901</v>
      </c>
      <c r="H908" s="6">
        <f t="shared" ca="1" si="33"/>
        <v>3.3889964825524851E-2</v>
      </c>
    </row>
    <row r="909" spans="2:8" x14ac:dyDescent="0.3">
      <c r="B909" s="4">
        <v>43810</v>
      </c>
      <c r="C909" s="5">
        <v>1653.11</v>
      </c>
      <c r="D909" s="6">
        <f t="shared" si="32"/>
        <v>7.7665404756244076E-3</v>
      </c>
      <c r="E909" s="6">
        <v>1.4626092507119664E-2</v>
      </c>
      <c r="F909" s="6"/>
      <c r="G909" s="6">
        <v>902</v>
      </c>
      <c r="H909" s="6">
        <f t="shared" ca="1" si="33"/>
        <v>-2.821390675499501E-3</v>
      </c>
    </row>
    <row r="910" spans="2:8" x14ac:dyDescent="0.3">
      <c r="B910" s="4">
        <v>44029</v>
      </c>
      <c r="C910" s="5">
        <v>1640.37</v>
      </c>
      <c r="D910" s="6">
        <f t="shared" si="32"/>
        <v>23.571150389454761</v>
      </c>
      <c r="E910" s="6">
        <v>1.4590729722040055E-2</v>
      </c>
      <c r="F910" s="6"/>
      <c r="G910" s="6">
        <v>903</v>
      </c>
      <c r="H910" s="6">
        <f t="shared" ca="1" si="33"/>
        <v>-4.5421373228271743E-2</v>
      </c>
    </row>
    <row r="911" spans="2:8" x14ac:dyDescent="0.3">
      <c r="B911" s="4">
        <v>39182</v>
      </c>
      <c r="C911" s="7">
        <v>66.760000000000005</v>
      </c>
      <c r="D911" s="6">
        <f t="shared" si="32"/>
        <v>-0.97503543128947445</v>
      </c>
      <c r="E911" s="6">
        <v>1.4589665653495563E-2</v>
      </c>
      <c r="F911" s="6"/>
      <c r="G911" s="6">
        <v>904</v>
      </c>
      <c r="H911" s="6">
        <f t="shared" ca="1" si="33"/>
        <v>1.3181760206208612E-2</v>
      </c>
    </row>
    <row r="912" spans="2:8" x14ac:dyDescent="0.3">
      <c r="B912" s="4">
        <v>44201</v>
      </c>
      <c r="C912" s="5">
        <v>2674.19</v>
      </c>
      <c r="D912" s="6">
        <f t="shared" si="32"/>
        <v>39.002842183994019</v>
      </c>
      <c r="E912" s="6">
        <v>1.4580234922754664E-2</v>
      </c>
      <c r="F912" s="6"/>
      <c r="G912" s="6">
        <v>905</v>
      </c>
      <c r="H912" s="6">
        <f t="shared" ca="1" si="33"/>
        <v>1.8338895702515099E-2</v>
      </c>
    </row>
    <row r="913" spans="2:8" x14ac:dyDescent="0.3">
      <c r="B913" s="4">
        <v>39849</v>
      </c>
      <c r="C913" s="7">
        <v>66.849999999999994</v>
      </c>
      <c r="D913" s="6">
        <f t="shared" si="32"/>
        <v>-0.97221471767908729</v>
      </c>
      <c r="E913" s="6">
        <v>1.4569737441189766E-2</v>
      </c>
      <c r="F913" s="6"/>
      <c r="G913" s="6">
        <v>906</v>
      </c>
      <c r="H913" s="6">
        <f t="shared" ca="1" si="33"/>
        <v>1.9183620084390708E-2</v>
      </c>
    </row>
    <row r="914" spans="2:8" x14ac:dyDescent="0.3">
      <c r="B914" s="4">
        <v>45946</v>
      </c>
      <c r="C914" s="5">
        <v>2405.9499999999998</v>
      </c>
      <c r="D914" s="6">
        <f t="shared" si="32"/>
        <v>-0.1407014536233438</v>
      </c>
      <c r="E914" s="6">
        <v>1.4569452644007644E-2</v>
      </c>
      <c r="F914" s="6"/>
      <c r="G914" s="6">
        <v>907</v>
      </c>
      <c r="H914" s="6">
        <f t="shared" ca="1" si="33"/>
        <v>7.0019037894602136E-3</v>
      </c>
    </row>
    <row r="915" spans="2:8" x14ac:dyDescent="0.3">
      <c r="B915" s="4">
        <v>46010</v>
      </c>
      <c r="C915" s="5">
        <v>2799.9</v>
      </c>
      <c r="D915" s="6">
        <f t="shared" si="32"/>
        <v>7.5160289555325752</v>
      </c>
      <c r="E915" s="6">
        <v>1.4566800739210883E-2</v>
      </c>
      <c r="F915" s="6"/>
      <c r="G915" s="6">
        <v>908</v>
      </c>
      <c r="H915" s="6">
        <f t="shared" ca="1" si="33"/>
        <v>-1.8981572754546653E-2</v>
      </c>
    </row>
    <row r="916" spans="2:8" x14ac:dyDescent="0.3">
      <c r="B916" s="4">
        <v>41038</v>
      </c>
      <c r="C916" s="7">
        <v>328.78</v>
      </c>
      <c r="D916" s="6">
        <f t="shared" si="32"/>
        <v>4.3029032258064515</v>
      </c>
      <c r="E916" s="6">
        <v>1.4565203974572519E-2</v>
      </c>
      <c r="F916" s="6"/>
      <c r="G916" s="6">
        <v>909</v>
      </c>
      <c r="H916" s="6">
        <f t="shared" ca="1" si="33"/>
        <v>-3.5945883164363946E-3</v>
      </c>
    </row>
    <row r="917" spans="2:8" x14ac:dyDescent="0.3">
      <c r="B917" s="4">
        <v>39169</v>
      </c>
      <c r="C917" s="7">
        <v>62</v>
      </c>
      <c r="D917" s="6">
        <f t="shared" si="32"/>
        <v>-0.97445626872005309</v>
      </c>
      <c r="E917" s="6">
        <v>1.4563901161839315E-2</v>
      </c>
      <c r="F917" s="6"/>
      <c r="G917" s="6">
        <v>910</v>
      </c>
      <c r="H917" s="6">
        <f t="shared" ca="1" si="33"/>
        <v>-5.7309245150677186E-3</v>
      </c>
    </row>
    <row r="918" spans="2:8" x14ac:dyDescent="0.3">
      <c r="B918" s="4">
        <v>45870</v>
      </c>
      <c r="C918" s="5">
        <v>2427.21</v>
      </c>
      <c r="D918" s="6">
        <f t="shared" si="32"/>
        <v>8.203040873587625</v>
      </c>
      <c r="E918" s="6">
        <v>1.4562964758795732E-2</v>
      </c>
      <c r="F918" s="6"/>
      <c r="G918" s="6">
        <v>911</v>
      </c>
      <c r="H918" s="6">
        <f t="shared" ca="1" si="33"/>
        <v>-5.2272550375278785E-3</v>
      </c>
    </row>
    <row r="919" spans="2:8" x14ac:dyDescent="0.3">
      <c r="B919" s="4">
        <v>40688</v>
      </c>
      <c r="C919" s="7">
        <v>263.74</v>
      </c>
      <c r="D919" s="6">
        <f t="shared" si="32"/>
        <v>10.422260718925942</v>
      </c>
      <c r="E919" s="6">
        <v>1.450167326999262E-2</v>
      </c>
      <c r="F919" s="6"/>
      <c r="G919" s="6">
        <v>912</v>
      </c>
      <c r="H919" s="6">
        <f t="shared" ca="1" si="33"/>
        <v>-1.4639656426007968E-2</v>
      </c>
    </row>
    <row r="920" spans="2:8" x14ac:dyDescent="0.3">
      <c r="B920" s="4">
        <v>37868</v>
      </c>
      <c r="C920" s="7">
        <v>23.09</v>
      </c>
      <c r="D920" s="6">
        <f t="shared" si="32"/>
        <v>-0.98612738294791613</v>
      </c>
      <c r="E920" s="6">
        <v>1.4499121265377781E-2</v>
      </c>
      <c r="F920" s="6"/>
      <c r="G920" s="6">
        <v>913</v>
      </c>
      <c r="H920" s="6">
        <f t="shared" ca="1" si="33"/>
        <v>8.8589757772329159E-4</v>
      </c>
    </row>
    <row r="921" spans="2:8" x14ac:dyDescent="0.3">
      <c r="B921" s="4">
        <v>43937</v>
      </c>
      <c r="C921" s="5">
        <v>1664.43</v>
      </c>
      <c r="D921" s="6">
        <f t="shared" si="32"/>
        <v>8.4280616290925572</v>
      </c>
      <c r="E921" s="6">
        <v>1.4494255325633115E-2</v>
      </c>
      <c r="F921" s="6"/>
      <c r="G921" s="6">
        <v>914</v>
      </c>
      <c r="H921" s="6">
        <f t="shared" ca="1" si="33"/>
        <v>-5.9252540369730856E-3</v>
      </c>
    </row>
    <row r="922" spans="2:8" x14ac:dyDescent="0.3">
      <c r="B922" s="4">
        <v>40266</v>
      </c>
      <c r="C922" s="7">
        <v>176.54</v>
      </c>
      <c r="D922" s="6">
        <f t="shared" si="32"/>
        <v>-0.9462602242252115</v>
      </c>
      <c r="E922" s="6">
        <v>1.448109412711172E-2</v>
      </c>
      <c r="F922" s="6"/>
      <c r="G922" s="6">
        <v>915</v>
      </c>
      <c r="H922" s="6">
        <f t="shared" ca="1" si="33"/>
        <v>-4.3957927088941794E-4</v>
      </c>
    </row>
    <row r="923" spans="2:8" x14ac:dyDescent="0.3">
      <c r="B923" s="4">
        <v>44803</v>
      </c>
      <c r="C923" s="5">
        <v>3285.09</v>
      </c>
      <c r="D923" s="6">
        <f t="shared" si="32"/>
        <v>42.276116453695174</v>
      </c>
      <c r="E923" s="6">
        <v>1.4461470048729851E-2</v>
      </c>
      <c r="F923" s="6"/>
      <c r="G923" s="6">
        <v>916</v>
      </c>
      <c r="H923" s="6">
        <f t="shared" ca="1" si="33"/>
        <v>-8.5942394859298259E-4</v>
      </c>
    </row>
    <row r="924" spans="2:8" x14ac:dyDescent="0.3">
      <c r="B924" s="4">
        <v>39932</v>
      </c>
      <c r="C924" s="7">
        <v>75.91</v>
      </c>
      <c r="D924" s="6">
        <f t="shared" si="32"/>
        <v>-0.90247067439260986</v>
      </c>
      <c r="E924" s="6">
        <v>1.4432714152078021E-2</v>
      </c>
      <c r="F924" s="6"/>
      <c r="G924" s="6">
        <v>917</v>
      </c>
      <c r="H924" s="6">
        <f t="shared" ca="1" si="33"/>
        <v>-8.2149729387834668E-3</v>
      </c>
    </row>
    <row r="925" spans="2:8" x14ac:dyDescent="0.3">
      <c r="B925" s="4">
        <v>42025</v>
      </c>
      <c r="C925" s="7">
        <v>778.33</v>
      </c>
      <c r="D925" s="6">
        <f t="shared" si="32"/>
        <v>2.7331766511583289</v>
      </c>
      <c r="E925" s="6">
        <v>1.4427964444907919E-2</v>
      </c>
      <c r="F925" s="6"/>
      <c r="G925" s="6">
        <v>918</v>
      </c>
      <c r="H925" s="6">
        <f t="shared" ca="1" si="33"/>
        <v>2.2161663761907983E-2</v>
      </c>
    </row>
    <row r="926" spans="2:8" x14ac:dyDescent="0.3">
      <c r="B926" s="4">
        <v>40368</v>
      </c>
      <c r="C926" s="7">
        <v>208.49</v>
      </c>
      <c r="D926" s="6">
        <f t="shared" si="32"/>
        <v>11.322104018912528</v>
      </c>
      <c r="E926" s="6">
        <v>1.4401790492872126E-2</v>
      </c>
      <c r="F926" s="6"/>
      <c r="G926" s="6">
        <v>919</v>
      </c>
      <c r="H926" s="6">
        <f t="shared" ca="1" si="33"/>
        <v>-1.3383058933330378E-2</v>
      </c>
    </row>
    <row r="927" spans="2:8" x14ac:dyDescent="0.3">
      <c r="B927" s="4">
        <v>37550</v>
      </c>
      <c r="C927" s="7">
        <v>16.920000000000002</v>
      </c>
      <c r="D927" s="6">
        <f t="shared" si="32"/>
        <v>-0.94916018148493131</v>
      </c>
      <c r="E927" s="6">
        <v>1.4388489208633212E-2</v>
      </c>
      <c r="F927" s="6"/>
      <c r="G927" s="6">
        <v>920</v>
      </c>
      <c r="H927" s="6">
        <f t="shared" ca="1" si="33"/>
        <v>-5.8203911027589271E-4</v>
      </c>
    </row>
    <row r="928" spans="2:8" x14ac:dyDescent="0.3">
      <c r="B928" s="4">
        <v>41050</v>
      </c>
      <c r="C928" s="7">
        <v>332.81</v>
      </c>
      <c r="D928" s="6">
        <f t="shared" si="32"/>
        <v>-0.1601433366139248</v>
      </c>
      <c r="E928" s="6">
        <v>1.4386296443049248E-2</v>
      </c>
      <c r="F928" s="6"/>
      <c r="G928" s="6">
        <v>921</v>
      </c>
      <c r="H928" s="6">
        <f t="shared" ca="1" si="33"/>
        <v>3.1240745481621798E-3</v>
      </c>
    </row>
    <row r="929" spans="2:8" x14ac:dyDescent="0.3">
      <c r="B929" s="4">
        <v>41269</v>
      </c>
      <c r="C929" s="7">
        <v>396.27</v>
      </c>
      <c r="D929" s="6">
        <f t="shared" si="32"/>
        <v>0.77436976671293578</v>
      </c>
      <c r="E929" s="6">
        <v>1.4360313315926781E-2</v>
      </c>
      <c r="F929" s="6"/>
      <c r="G929" s="6">
        <v>922</v>
      </c>
      <c r="H929" s="6">
        <f t="shared" ca="1" si="33"/>
        <v>-5.2823847444955973E-3</v>
      </c>
    </row>
    <row r="930" spans="2:8" x14ac:dyDescent="0.3">
      <c r="B930" s="4">
        <v>40625</v>
      </c>
      <c r="C930" s="7">
        <v>223.33</v>
      </c>
      <c r="D930" s="6">
        <f t="shared" si="32"/>
        <v>-0.52721383661113108</v>
      </c>
      <c r="E930" s="6">
        <v>1.4352545760094588E-2</v>
      </c>
      <c r="F930" s="6"/>
      <c r="G930" s="6">
        <v>923</v>
      </c>
      <c r="H930" s="6">
        <f t="shared" ca="1" si="33"/>
        <v>1.6957200846333703E-2</v>
      </c>
    </row>
    <row r="931" spans="2:8" x14ac:dyDescent="0.3">
      <c r="B931" s="4">
        <v>41569</v>
      </c>
      <c r="C931" s="7">
        <v>472.37</v>
      </c>
      <c r="D931" s="6">
        <f t="shared" si="32"/>
        <v>-0.7360840293879376</v>
      </c>
      <c r="E931" s="6">
        <v>1.4344306298181208E-2</v>
      </c>
      <c r="F931" s="6"/>
      <c r="G931" s="6">
        <v>924</v>
      </c>
      <c r="H931" s="6">
        <f t="shared" ca="1" si="33"/>
        <v>7.0475311893977511E-3</v>
      </c>
    </row>
    <row r="932" spans="2:8" x14ac:dyDescent="0.3">
      <c r="B932" s="4">
        <v>43895</v>
      </c>
      <c r="C932" s="5">
        <v>1789.85</v>
      </c>
      <c r="D932" s="6">
        <f t="shared" si="32"/>
        <v>0.8209333319768447</v>
      </c>
      <c r="E932" s="6">
        <v>1.4337933184097902E-2</v>
      </c>
      <c r="F932" s="6"/>
      <c r="G932" s="6">
        <v>925</v>
      </c>
      <c r="H932" s="6">
        <f t="shared" ca="1" si="33"/>
        <v>-9.3373111683311555E-3</v>
      </c>
    </row>
    <row r="933" spans="2:8" x14ac:dyDescent="0.3">
      <c r="B933" s="4">
        <v>42822</v>
      </c>
      <c r="C933" s="7">
        <v>982.93</v>
      </c>
      <c r="D933" s="6">
        <f t="shared" si="32"/>
        <v>-0.11061546535406007</v>
      </c>
      <c r="E933" s="6">
        <v>1.4333773631635419E-2</v>
      </c>
      <c r="F933" s="6"/>
      <c r="G933" s="6">
        <v>926</v>
      </c>
      <c r="H933" s="6">
        <f t="shared" ca="1" si="33"/>
        <v>-5.8641242994783025E-3</v>
      </c>
    </row>
    <row r="934" spans="2:8" x14ac:dyDescent="0.3">
      <c r="B934" s="4">
        <v>43206</v>
      </c>
      <c r="C934" s="5">
        <v>1105.18</v>
      </c>
      <c r="D934" s="6">
        <f t="shared" si="32"/>
        <v>3.6389355271994628</v>
      </c>
      <c r="E934" s="6">
        <v>1.4326752755674374E-2</v>
      </c>
      <c r="F934" s="6"/>
      <c r="G934" s="6">
        <v>927</v>
      </c>
      <c r="H934" s="6">
        <f t="shared" ca="1" si="33"/>
        <v>-5.9141318942185512E-3</v>
      </c>
    </row>
    <row r="935" spans="2:8" x14ac:dyDescent="0.3">
      <c r="B935" s="4">
        <v>40898</v>
      </c>
      <c r="C935" s="7">
        <v>238.24</v>
      </c>
      <c r="D935" s="6">
        <f t="shared" si="32"/>
        <v>-0.70640573780593008</v>
      </c>
      <c r="E935" s="6">
        <v>1.430517711171668E-2</v>
      </c>
      <c r="F935" s="6"/>
      <c r="G935" s="6">
        <v>928</v>
      </c>
      <c r="H935" s="6">
        <f t="shared" ca="1" si="33"/>
        <v>-1.0169092190483259E-2</v>
      </c>
    </row>
    <row r="936" spans="2:8" x14ac:dyDescent="0.3">
      <c r="B936" s="4">
        <v>42293</v>
      </c>
      <c r="C936" s="7">
        <v>811.46</v>
      </c>
      <c r="D936" s="6">
        <f t="shared" si="32"/>
        <v>-0.43421905831003393</v>
      </c>
      <c r="E936" s="6">
        <v>1.4299642508937345E-2</v>
      </c>
      <c r="F936" s="6"/>
      <c r="G936" s="6">
        <v>929</v>
      </c>
      <c r="H936" s="6">
        <f t="shared" ca="1" si="33"/>
        <v>8.873062906254529E-3</v>
      </c>
    </row>
    <row r="937" spans="2:8" x14ac:dyDescent="0.3">
      <c r="B937" s="4">
        <v>43559</v>
      </c>
      <c r="C937" s="5">
        <v>1434.23</v>
      </c>
      <c r="D937" s="6">
        <f t="shared" si="32"/>
        <v>3.1712133550488604</v>
      </c>
      <c r="E937" s="6">
        <v>1.4285411200611052E-2</v>
      </c>
      <c r="F937" s="6"/>
      <c r="G937" s="6">
        <v>930</v>
      </c>
      <c r="H937" s="6">
        <f t="shared" ca="1" si="33"/>
        <v>8.4264494898496044E-3</v>
      </c>
    </row>
    <row r="938" spans="2:8" x14ac:dyDescent="0.3">
      <c r="B938" s="4">
        <v>41067</v>
      </c>
      <c r="C938" s="7">
        <v>343.84</v>
      </c>
      <c r="D938" s="6">
        <f t="shared" si="32"/>
        <v>-0.62686923494302771</v>
      </c>
      <c r="E938" s="6">
        <v>1.4277286135693141E-2</v>
      </c>
      <c r="F938" s="6"/>
      <c r="G938" s="6">
        <v>931</v>
      </c>
      <c r="H938" s="6">
        <f t="shared" ca="1" si="33"/>
        <v>1.9298356148649474E-2</v>
      </c>
    </row>
    <row r="939" spans="2:8" x14ac:dyDescent="0.3">
      <c r="B939" s="4">
        <v>42550</v>
      </c>
      <c r="C939" s="7">
        <v>921.5</v>
      </c>
      <c r="D939" s="6">
        <f t="shared" si="32"/>
        <v>25.968100673105063</v>
      </c>
      <c r="E939" s="6">
        <v>1.4275808173643168E-2</v>
      </c>
      <c r="F939" s="6"/>
      <c r="G939" s="6">
        <v>932</v>
      </c>
      <c r="H939" s="6">
        <f t="shared" ca="1" si="33"/>
        <v>-6.6804840664131063E-3</v>
      </c>
    </row>
    <row r="940" spans="2:8" x14ac:dyDescent="0.3">
      <c r="B940" s="4">
        <v>38539</v>
      </c>
      <c r="C940" s="7">
        <v>34.17</v>
      </c>
      <c r="D940" s="6">
        <f t="shared" si="32"/>
        <v>-0.86287571732413015</v>
      </c>
      <c r="E940" s="6">
        <v>1.4247551202137252E-2</v>
      </c>
      <c r="F940" s="6"/>
      <c r="G940" s="6">
        <v>933</v>
      </c>
      <c r="H940" s="6">
        <f t="shared" ca="1" si="33"/>
        <v>-1.59629692839851E-2</v>
      </c>
    </row>
    <row r="941" spans="2:8" x14ac:dyDescent="0.3">
      <c r="B941" s="4">
        <v>40427</v>
      </c>
      <c r="C941" s="7">
        <v>249.19</v>
      </c>
      <c r="D941" s="6">
        <f t="shared" si="32"/>
        <v>-0.76485963670677037</v>
      </c>
      <c r="E941" s="6">
        <v>1.4245594041271521E-2</v>
      </c>
      <c r="F941" s="6"/>
      <c r="G941" s="6">
        <v>934</v>
      </c>
      <c r="H941" s="6">
        <f t="shared" ca="1" si="33"/>
        <v>1.4672047134419927E-2</v>
      </c>
    </row>
    <row r="942" spans="2:8" x14ac:dyDescent="0.3">
      <c r="B942" s="4">
        <v>42587</v>
      </c>
      <c r="C942" s="5">
        <v>1059.75</v>
      </c>
      <c r="D942" s="6">
        <f t="shared" si="32"/>
        <v>60.973684210526315</v>
      </c>
      <c r="E942" s="6">
        <v>1.4241006058170021E-2</v>
      </c>
      <c r="F942" s="6"/>
      <c r="G942" s="6">
        <v>935</v>
      </c>
      <c r="H942" s="6">
        <f t="shared" ca="1" si="33"/>
        <v>6.1196863812089863E-3</v>
      </c>
    </row>
    <row r="943" spans="2:8" x14ac:dyDescent="0.3">
      <c r="B943" s="4">
        <v>37700</v>
      </c>
      <c r="C943" s="7">
        <v>17.100000000000001</v>
      </c>
      <c r="D943" s="6">
        <f t="shared" si="32"/>
        <v>-0.82877741063382404</v>
      </c>
      <c r="E943" s="6">
        <v>1.4234875444839977E-2</v>
      </c>
      <c r="F943" s="6"/>
      <c r="G943" s="6">
        <v>936</v>
      </c>
      <c r="H943" s="6">
        <f t="shared" ca="1" si="33"/>
        <v>1.7171881056320341E-2</v>
      </c>
    </row>
    <row r="944" spans="2:8" x14ac:dyDescent="0.3">
      <c r="B944" s="4">
        <v>39625</v>
      </c>
      <c r="C944" s="7">
        <v>99.87</v>
      </c>
      <c r="D944" s="6">
        <f t="shared" si="32"/>
        <v>-0.88436555628886027</v>
      </c>
      <c r="E944" s="6">
        <v>1.4217528181171989E-2</v>
      </c>
      <c r="F944" s="6"/>
      <c r="G944" s="6">
        <v>937</v>
      </c>
      <c r="H944" s="6">
        <f t="shared" ca="1" si="33"/>
        <v>1.3532244526926536E-2</v>
      </c>
    </row>
    <row r="945" spans="2:8" x14ac:dyDescent="0.3">
      <c r="B945" s="4">
        <v>42741</v>
      </c>
      <c r="C945" s="7">
        <v>863.67</v>
      </c>
      <c r="D945" s="6">
        <f t="shared" si="32"/>
        <v>15.101230425055927</v>
      </c>
      <c r="E945" s="6">
        <v>1.4185229981563812E-2</v>
      </c>
      <c r="F945" s="6"/>
      <c r="G945" s="6">
        <v>938</v>
      </c>
      <c r="H945" s="6">
        <f t="shared" ca="1" si="33"/>
        <v>2.0613141734764764E-2</v>
      </c>
    </row>
    <row r="946" spans="2:8" x14ac:dyDescent="0.3">
      <c r="B946" s="4">
        <v>38967</v>
      </c>
      <c r="C946" s="7">
        <v>53.64</v>
      </c>
      <c r="D946" s="6">
        <f t="shared" si="32"/>
        <v>-0.86401663033007148</v>
      </c>
      <c r="E946" s="6">
        <v>1.4180374361883153E-2</v>
      </c>
      <c r="F946" s="6"/>
      <c r="G946" s="6">
        <v>939</v>
      </c>
      <c r="H946" s="6">
        <f t="shared" ca="1" si="33"/>
        <v>-1.6262232307705461E-3</v>
      </c>
    </row>
    <row r="947" spans="2:8" x14ac:dyDescent="0.3">
      <c r="B947" s="4">
        <v>41498</v>
      </c>
      <c r="C947" s="7">
        <v>394.46</v>
      </c>
      <c r="D947" s="6">
        <f t="shared" si="32"/>
        <v>4.4506010777946656</v>
      </c>
      <c r="E947" s="6">
        <v>1.4166345288597483E-2</v>
      </c>
      <c r="F947" s="6"/>
      <c r="G947" s="6">
        <v>940</v>
      </c>
      <c r="H947" s="6">
        <f t="shared" ca="1" si="33"/>
        <v>9.7473314225227769E-3</v>
      </c>
    </row>
    <row r="948" spans="2:8" x14ac:dyDescent="0.3">
      <c r="B948" s="4">
        <v>39276</v>
      </c>
      <c r="C948" s="7">
        <v>72.37</v>
      </c>
      <c r="D948" s="6">
        <f t="shared" si="32"/>
        <v>-0.94444657675154109</v>
      </c>
      <c r="E948" s="6">
        <v>1.415358744394626E-2</v>
      </c>
      <c r="F948" s="6"/>
      <c r="G948" s="6">
        <v>941</v>
      </c>
      <c r="H948" s="6">
        <f t="shared" ca="1" si="33"/>
        <v>1.7590034967987438E-2</v>
      </c>
    </row>
    <row r="949" spans="2:8" x14ac:dyDescent="0.3">
      <c r="B949" s="4">
        <v>43662</v>
      </c>
      <c r="C949" s="5">
        <v>1302.71</v>
      </c>
      <c r="D949" s="6">
        <f t="shared" si="32"/>
        <v>15.654436205574022</v>
      </c>
      <c r="E949" s="6">
        <v>1.415303651919384E-2</v>
      </c>
      <c r="F949" s="6"/>
      <c r="G949" s="6">
        <v>942</v>
      </c>
      <c r="H949" s="6">
        <f t="shared" ca="1" si="33"/>
        <v>-2.1727655556331308E-3</v>
      </c>
    </row>
    <row r="950" spans="2:8" x14ac:dyDescent="0.3">
      <c r="B950" s="4">
        <v>39818</v>
      </c>
      <c r="C950" s="7">
        <v>78.22</v>
      </c>
      <c r="D950" s="6">
        <f t="shared" si="32"/>
        <v>0.19767263818710759</v>
      </c>
      <c r="E950" s="6">
        <v>1.4131984960456418E-2</v>
      </c>
      <c r="F950" s="6"/>
      <c r="G950" s="6">
        <v>943</v>
      </c>
      <c r="H950" s="6">
        <f t="shared" ca="1" si="33"/>
        <v>2.8799666268424402E-3</v>
      </c>
    </row>
    <row r="951" spans="2:8" x14ac:dyDescent="0.3">
      <c r="B951" s="4">
        <v>39128</v>
      </c>
      <c r="C951" s="7">
        <v>65.31</v>
      </c>
      <c r="D951" s="6">
        <f t="shared" si="32"/>
        <v>-0.94624691358024693</v>
      </c>
      <c r="E951" s="6">
        <v>1.4130434782608642E-2</v>
      </c>
      <c r="F951" s="6"/>
      <c r="G951" s="6">
        <v>944</v>
      </c>
      <c r="H951" s="6">
        <f t="shared" ca="1" si="33"/>
        <v>-7.703634571241456E-3</v>
      </c>
    </row>
    <row r="952" spans="2:8" x14ac:dyDescent="0.3">
      <c r="B952" s="4">
        <v>43368</v>
      </c>
      <c r="C952" s="5">
        <v>1215</v>
      </c>
      <c r="D952" s="6">
        <f t="shared" si="32"/>
        <v>3.3329410506044717</v>
      </c>
      <c r="E952" s="6">
        <v>1.41141316595582E-2</v>
      </c>
      <c r="F952" s="6"/>
      <c r="G952" s="6">
        <v>945</v>
      </c>
      <c r="H952" s="6">
        <f t="shared" ca="1" si="33"/>
        <v>6.6042816007215368E-3</v>
      </c>
    </row>
    <row r="953" spans="2:8" x14ac:dyDescent="0.3">
      <c r="B953" s="4">
        <v>40826</v>
      </c>
      <c r="C953" s="7">
        <v>280.41000000000003</v>
      </c>
      <c r="D953" s="6">
        <f t="shared" si="32"/>
        <v>-0.4223114956736711</v>
      </c>
      <c r="E953" s="6">
        <v>1.4104372355430307E-2</v>
      </c>
      <c r="F953" s="6"/>
      <c r="G953" s="6">
        <v>946</v>
      </c>
      <c r="H953" s="6">
        <f t="shared" ca="1" si="33"/>
        <v>3.6964251750850032E-2</v>
      </c>
    </row>
    <row r="954" spans="2:8" x14ac:dyDescent="0.3">
      <c r="B954" s="4">
        <v>41775</v>
      </c>
      <c r="C954" s="7">
        <v>485.4</v>
      </c>
      <c r="D954" s="6">
        <f t="shared" si="32"/>
        <v>18.804161566707464</v>
      </c>
      <c r="E954" s="6">
        <v>1.4080976058162269E-2</v>
      </c>
      <c r="F954" s="6"/>
      <c r="G954" s="6">
        <v>947</v>
      </c>
      <c r="H954" s="6">
        <f t="shared" ca="1" si="33"/>
        <v>-1.3281535781906049E-2</v>
      </c>
    </row>
    <row r="955" spans="2:8" x14ac:dyDescent="0.3">
      <c r="B955" s="4">
        <v>38188</v>
      </c>
      <c r="C955" s="7">
        <v>24.51</v>
      </c>
      <c r="D955" s="6">
        <f t="shared" si="32"/>
        <v>-0.55845793550711575</v>
      </c>
      <c r="E955" s="6">
        <v>1.4067025237898214E-2</v>
      </c>
      <c r="F955" s="6"/>
      <c r="G955" s="6">
        <v>948</v>
      </c>
      <c r="H955" s="6">
        <f t="shared" ca="1" si="33"/>
        <v>-1.6419615347740889E-3</v>
      </c>
    </row>
    <row r="956" spans="2:8" x14ac:dyDescent="0.3">
      <c r="B956" s="4">
        <v>38989</v>
      </c>
      <c r="C956" s="7">
        <v>55.51</v>
      </c>
      <c r="D956" s="6">
        <f t="shared" si="32"/>
        <v>1.2620211898940505</v>
      </c>
      <c r="E956" s="6">
        <v>1.4066496163682791E-2</v>
      </c>
      <c r="F956" s="6"/>
      <c r="G956" s="6">
        <v>949</v>
      </c>
      <c r="H956" s="6">
        <f t="shared" ca="1" si="33"/>
        <v>-1.1306372378632455E-4</v>
      </c>
    </row>
    <row r="957" spans="2:8" x14ac:dyDescent="0.3">
      <c r="B957" s="4">
        <v>38176</v>
      </c>
      <c r="C957" s="7">
        <v>24.54</v>
      </c>
      <c r="D957" s="6">
        <f t="shared" si="32"/>
        <v>-0.96593937375083283</v>
      </c>
      <c r="E957" s="6">
        <v>1.4049586776859498E-2</v>
      </c>
      <c r="F957" s="6"/>
      <c r="G957" s="6">
        <v>950</v>
      </c>
      <c r="H957" s="6">
        <f t="shared" ca="1" si="33"/>
        <v>-1.91391048482158E-2</v>
      </c>
    </row>
    <row r="958" spans="2:8" x14ac:dyDescent="0.3">
      <c r="B958" s="4">
        <v>42191</v>
      </c>
      <c r="C958" s="7">
        <v>720.48</v>
      </c>
      <c r="D958" s="6">
        <f t="shared" si="32"/>
        <v>10.086013232805048</v>
      </c>
      <c r="E958" s="6">
        <v>1.4046446164672792E-2</v>
      </c>
      <c r="F958" s="6"/>
      <c r="G958" s="6">
        <v>951</v>
      </c>
      <c r="H958" s="6">
        <f t="shared" ca="1" si="33"/>
        <v>-1.1085627670409898E-4</v>
      </c>
    </row>
    <row r="959" spans="2:8" x14ac:dyDescent="0.3">
      <c r="B959" s="4">
        <v>39896</v>
      </c>
      <c r="C959" s="7">
        <v>64.989999999999995</v>
      </c>
      <c r="D959" s="6">
        <f t="shared" si="32"/>
        <v>-0.97593809585516211</v>
      </c>
      <c r="E959" s="6">
        <v>1.4042752379466242E-2</v>
      </c>
      <c r="F959" s="6"/>
      <c r="G959" s="6">
        <v>952</v>
      </c>
      <c r="H959" s="6">
        <f t="shared" ca="1" si="33"/>
        <v>1.1063616892090389E-2</v>
      </c>
    </row>
    <row r="960" spans="2:8" x14ac:dyDescent="0.3">
      <c r="B960" s="4">
        <v>44334</v>
      </c>
      <c r="C960" s="5">
        <v>2700.95</v>
      </c>
      <c r="D960" s="6">
        <f t="shared" si="32"/>
        <v>2.468626393383675</v>
      </c>
      <c r="E960" s="6">
        <v>1.403379674647171E-2</v>
      </c>
      <c r="F960" s="6"/>
      <c r="G960" s="6">
        <v>953</v>
      </c>
      <c r="H960" s="6">
        <f t="shared" ca="1" si="33"/>
        <v>-5.8003713462537031E-3</v>
      </c>
    </row>
    <row r="961" spans="2:8" x14ac:dyDescent="0.3">
      <c r="B961" s="4">
        <v>42214</v>
      </c>
      <c r="C961" s="7">
        <v>778.68</v>
      </c>
      <c r="D961" s="6">
        <f t="shared" si="32"/>
        <v>1.0804745110612375</v>
      </c>
      <c r="E961" s="6">
        <v>1.401187623710802E-2</v>
      </c>
      <c r="F961" s="6"/>
      <c r="G961" s="6">
        <v>954</v>
      </c>
      <c r="H961" s="6">
        <f t="shared" ca="1" si="33"/>
        <v>2.4823629682560758E-2</v>
      </c>
    </row>
    <row r="962" spans="2:8" x14ac:dyDescent="0.3">
      <c r="B962" s="4">
        <v>41221</v>
      </c>
      <c r="C962" s="7">
        <v>374.28</v>
      </c>
      <c r="D962" s="6">
        <f t="shared" si="32"/>
        <v>-0.85856318516251173</v>
      </c>
      <c r="E962" s="6">
        <v>1.4006664679905608E-2</v>
      </c>
      <c r="F962" s="6"/>
      <c r="G962" s="6">
        <v>955</v>
      </c>
      <c r="H962" s="6">
        <f t="shared" ca="1" si="33"/>
        <v>6.2728443207047723E-3</v>
      </c>
    </row>
    <row r="963" spans="2:8" x14ac:dyDescent="0.3">
      <c r="B963" s="4">
        <v>45971</v>
      </c>
      <c r="C963" s="5">
        <v>2646.27</v>
      </c>
      <c r="D963" s="6">
        <f t="shared" si="32"/>
        <v>-6.3433020704300125E-2</v>
      </c>
      <c r="E963" s="6">
        <v>1.4001448425699196E-2</v>
      </c>
      <c r="F963" s="6"/>
      <c r="G963" s="6">
        <v>956</v>
      </c>
      <c r="H963" s="6">
        <f t="shared" ca="1" si="33"/>
        <v>-6.227696604500791E-3</v>
      </c>
    </row>
    <row r="964" spans="2:8" x14ac:dyDescent="0.3">
      <c r="B964" s="4">
        <v>46031</v>
      </c>
      <c r="C964" s="5">
        <v>2825.5</v>
      </c>
      <c r="D964" s="6">
        <f t="shared" si="32"/>
        <v>138.18719211822659</v>
      </c>
      <c r="E964" s="6">
        <v>1.3996052395478199E-2</v>
      </c>
      <c r="F964" s="6"/>
      <c r="G964" s="6">
        <v>957</v>
      </c>
      <c r="H964" s="6">
        <f t="shared" ca="1" si="33"/>
        <v>-8.5311936073301795E-4</v>
      </c>
    </row>
    <row r="965" spans="2:8" x14ac:dyDescent="0.3">
      <c r="B965" s="4">
        <v>37820</v>
      </c>
      <c r="C965" s="7">
        <v>20.3</v>
      </c>
      <c r="D965" s="6">
        <f t="shared" si="32"/>
        <v>-0.9567357899448008</v>
      </c>
      <c r="E965" s="6">
        <v>1.3986013986014043E-2</v>
      </c>
      <c r="F965" s="6"/>
      <c r="G965" s="6">
        <v>958</v>
      </c>
      <c r="H965" s="6">
        <f t="shared" ca="1" si="33"/>
        <v>-1.8368789835397428E-2</v>
      </c>
    </row>
    <row r="966" spans="2:8" x14ac:dyDescent="0.3">
      <c r="B966" s="4">
        <v>41764</v>
      </c>
      <c r="C966" s="7">
        <v>469.21</v>
      </c>
      <c r="D966" s="6">
        <f t="shared" si="32"/>
        <v>0.60336932750136685</v>
      </c>
      <c r="E966" s="6">
        <v>1.3981933699269504E-2</v>
      </c>
      <c r="F966" s="6"/>
      <c r="G966" s="6">
        <v>959</v>
      </c>
      <c r="H966" s="6">
        <f t="shared" ca="1" si="33"/>
        <v>1.3951900131786236E-2</v>
      </c>
    </row>
    <row r="967" spans="2:8" x14ac:dyDescent="0.3">
      <c r="B967" s="4">
        <v>41012</v>
      </c>
      <c r="C967" s="7">
        <v>292.64</v>
      </c>
      <c r="D967" s="6">
        <f t="shared" si="32"/>
        <v>-0.9049292914854149</v>
      </c>
      <c r="E967" s="6">
        <v>1.3963480128893568E-2</v>
      </c>
      <c r="F967" s="6"/>
      <c r="G967" s="6">
        <v>960</v>
      </c>
      <c r="H967" s="6">
        <f t="shared" ca="1" si="33"/>
        <v>5.5543549399246902E-3</v>
      </c>
    </row>
    <row r="968" spans="2:8" x14ac:dyDescent="0.3">
      <c r="B968" s="4">
        <v>44593</v>
      </c>
      <c r="C968" s="5">
        <v>3078.13</v>
      </c>
      <c r="D968" s="6">
        <f t="shared" ref="D968:D1031" si="34">((C968-C969)/C969)</f>
        <v>73.315065185900522</v>
      </c>
      <c r="E968" s="6">
        <v>1.3956966295095755E-2</v>
      </c>
      <c r="F968" s="6"/>
      <c r="G968" s="6">
        <v>961</v>
      </c>
      <c r="H968" s="6">
        <f t="shared" ca="1" si="33"/>
        <v>-1.4111934281426236E-2</v>
      </c>
    </row>
    <row r="969" spans="2:8" x14ac:dyDescent="0.3">
      <c r="B969" s="4">
        <v>38665</v>
      </c>
      <c r="C969" s="7">
        <v>41.42</v>
      </c>
      <c r="D969" s="6">
        <f t="shared" si="34"/>
        <v>-0.94650375842740175</v>
      </c>
      <c r="E969" s="6">
        <v>1.395348837209303E-2</v>
      </c>
      <c r="F969" s="6"/>
      <c r="G969" s="6">
        <v>962</v>
      </c>
      <c r="H969" s="6">
        <f t="shared" ref="H969:H1032" ca="1" si="35">_xlfn.NORM.INV(RAND(),N$10,N$11)</f>
        <v>2.7676820662219617E-2</v>
      </c>
    </row>
    <row r="970" spans="2:8" x14ac:dyDescent="0.3">
      <c r="B970" s="4">
        <v>42102</v>
      </c>
      <c r="C970" s="7">
        <v>774.26</v>
      </c>
      <c r="D970" s="6">
        <f t="shared" si="34"/>
        <v>-0.70417492902964518</v>
      </c>
      <c r="E970" s="6">
        <v>1.3946910071895309E-2</v>
      </c>
      <c r="F970" s="6"/>
      <c r="G970" s="6">
        <v>963</v>
      </c>
      <c r="H970" s="6">
        <f t="shared" ca="1" si="35"/>
        <v>1.0387794221769954E-2</v>
      </c>
    </row>
    <row r="971" spans="2:8" x14ac:dyDescent="0.3">
      <c r="B971" s="4">
        <v>44195</v>
      </c>
      <c r="C971" s="5">
        <v>2617.29</v>
      </c>
      <c r="D971" s="6">
        <f t="shared" si="34"/>
        <v>127.23566878980893</v>
      </c>
      <c r="E971" s="6">
        <v>1.3942587068531275E-2</v>
      </c>
      <c r="F971" s="6"/>
      <c r="G971" s="6">
        <v>964</v>
      </c>
      <c r="H971" s="6">
        <f t="shared" ca="1" si="35"/>
        <v>-1.7409112580293967E-2</v>
      </c>
    </row>
    <row r="972" spans="2:8" x14ac:dyDescent="0.3">
      <c r="B972" s="4">
        <v>37834</v>
      </c>
      <c r="C972" s="7">
        <v>20.41</v>
      </c>
      <c r="D972" s="6">
        <f t="shared" si="34"/>
        <v>-0.90565339989830351</v>
      </c>
      <c r="E972" s="6">
        <v>1.3909587680079541E-2</v>
      </c>
      <c r="F972" s="6"/>
      <c r="G972" s="6">
        <v>965</v>
      </c>
      <c r="H972" s="6">
        <f t="shared" ca="1" si="35"/>
        <v>-9.9219908427645703E-3</v>
      </c>
    </row>
    <row r="973" spans="2:8" x14ac:dyDescent="0.3">
      <c r="B973" s="4">
        <v>40375</v>
      </c>
      <c r="C973" s="7">
        <v>216.33</v>
      </c>
      <c r="D973" s="6">
        <f t="shared" si="34"/>
        <v>-0.92365218741618083</v>
      </c>
      <c r="E973" s="6">
        <v>1.3872615644186192E-2</v>
      </c>
      <c r="F973" s="6"/>
      <c r="G973" s="6">
        <v>966</v>
      </c>
      <c r="H973" s="6">
        <f t="shared" ca="1" si="35"/>
        <v>6.6990483913287099E-3</v>
      </c>
    </row>
    <row r="974" spans="2:8" x14ac:dyDescent="0.3">
      <c r="B974" s="4">
        <v>45392</v>
      </c>
      <c r="C974" s="5">
        <v>2833.48</v>
      </c>
      <c r="D974" s="6">
        <f t="shared" si="34"/>
        <v>0.1972535017852238</v>
      </c>
      <c r="E974" s="6">
        <v>1.386175458182165E-2</v>
      </c>
      <c r="F974" s="6"/>
      <c r="G974" s="6">
        <v>967</v>
      </c>
      <c r="H974" s="6">
        <f t="shared" ca="1" si="35"/>
        <v>7.4643126345951428E-3</v>
      </c>
    </row>
    <row r="975" spans="2:8" x14ac:dyDescent="0.3">
      <c r="B975" s="4">
        <v>44172</v>
      </c>
      <c r="C975" s="5">
        <v>2366.65</v>
      </c>
      <c r="D975" s="6">
        <f t="shared" si="34"/>
        <v>0.38010764915472683</v>
      </c>
      <c r="E975" s="6">
        <v>1.3858544317354199E-2</v>
      </c>
      <c r="F975" s="6"/>
      <c r="G975" s="6">
        <v>968</v>
      </c>
      <c r="H975" s="6">
        <f t="shared" ca="1" si="35"/>
        <v>3.2256646160345029E-2</v>
      </c>
    </row>
    <row r="976" spans="2:8" x14ac:dyDescent="0.3">
      <c r="B976" s="4">
        <v>43818</v>
      </c>
      <c r="C976" s="5">
        <v>1714.83</v>
      </c>
      <c r="D976" s="6">
        <f t="shared" si="34"/>
        <v>27.570976341219591</v>
      </c>
      <c r="E976" s="6">
        <v>1.3858424136361115E-2</v>
      </c>
      <c r="F976" s="6"/>
      <c r="G976" s="6">
        <v>969</v>
      </c>
      <c r="H976" s="6">
        <f t="shared" ca="1" si="35"/>
        <v>-8.4821899785586866E-3</v>
      </c>
    </row>
    <row r="977" spans="2:8" x14ac:dyDescent="0.3">
      <c r="B977" s="4">
        <v>39079</v>
      </c>
      <c r="C977" s="7">
        <v>60.02</v>
      </c>
      <c r="D977" s="6">
        <f t="shared" si="34"/>
        <v>-0.98036405988274711</v>
      </c>
      <c r="E977" s="6">
        <v>1.3851351351351356E-2</v>
      </c>
      <c r="F977" s="6"/>
      <c r="G977" s="6">
        <v>970</v>
      </c>
      <c r="H977" s="6">
        <f t="shared" ca="1" si="35"/>
        <v>8.8772597930326606E-3</v>
      </c>
    </row>
    <row r="978" spans="2:8" x14ac:dyDescent="0.3">
      <c r="B978" s="4">
        <v>44893</v>
      </c>
      <c r="C978" s="5">
        <v>3056.64</v>
      </c>
      <c r="D978" s="6">
        <f t="shared" si="34"/>
        <v>1.5599999999999998</v>
      </c>
      <c r="E978" s="6">
        <v>1.3851297564082073E-2</v>
      </c>
      <c r="F978" s="6"/>
      <c r="G978" s="6">
        <v>971</v>
      </c>
      <c r="H978" s="6">
        <f t="shared" ca="1" si="35"/>
        <v>3.2841925876781149E-2</v>
      </c>
    </row>
    <row r="979" spans="2:8" x14ac:dyDescent="0.3">
      <c r="B979" s="4">
        <v>43389</v>
      </c>
      <c r="C979" s="5">
        <v>1194</v>
      </c>
      <c r="D979" s="6">
        <f t="shared" si="34"/>
        <v>-9.4734447856249321E-2</v>
      </c>
      <c r="E979" s="6">
        <v>1.3840536639211984E-2</v>
      </c>
      <c r="F979" s="6"/>
      <c r="G979" s="6">
        <v>972</v>
      </c>
      <c r="H979" s="6">
        <f t="shared" ca="1" si="35"/>
        <v>-2.5758964215523645E-3</v>
      </c>
    </row>
    <row r="980" spans="2:8" x14ac:dyDescent="0.3">
      <c r="B980" s="4">
        <v>43516</v>
      </c>
      <c r="C980" s="5">
        <v>1318.95</v>
      </c>
      <c r="D980" s="6">
        <f t="shared" si="34"/>
        <v>-0.4115245616383349</v>
      </c>
      <c r="E980" s="6">
        <v>1.382824990776043E-2</v>
      </c>
      <c r="F980" s="6"/>
      <c r="G980" s="6">
        <v>973</v>
      </c>
      <c r="H980" s="6">
        <f t="shared" ca="1" si="35"/>
        <v>1.327761386720816E-2</v>
      </c>
    </row>
    <row r="981" spans="2:8" x14ac:dyDescent="0.3">
      <c r="B981" s="4">
        <v>45824</v>
      </c>
      <c r="C981" s="5">
        <v>2241.3000000000002</v>
      </c>
      <c r="D981" s="6">
        <f t="shared" si="34"/>
        <v>-4.1729017914404164E-2</v>
      </c>
      <c r="E981" s="6">
        <v>1.3818839760262438E-2</v>
      </c>
      <c r="F981" s="6"/>
      <c r="G981" s="6">
        <v>974</v>
      </c>
      <c r="H981" s="6">
        <f t="shared" ca="1" si="35"/>
        <v>-6.892696578900211E-3</v>
      </c>
    </row>
    <row r="982" spans="2:8" x14ac:dyDescent="0.3">
      <c r="B982" s="4">
        <v>44279</v>
      </c>
      <c r="C982" s="5">
        <v>2338.9</v>
      </c>
      <c r="D982" s="6">
        <f t="shared" si="34"/>
        <v>137.31460674157304</v>
      </c>
      <c r="E982" s="6">
        <v>1.3796720515632349E-2</v>
      </c>
      <c r="F982" s="6"/>
      <c r="G982" s="6">
        <v>975</v>
      </c>
      <c r="H982" s="6">
        <f t="shared" ca="1" si="35"/>
        <v>1.9238842521569172E-2</v>
      </c>
    </row>
    <row r="983" spans="2:8" x14ac:dyDescent="0.3">
      <c r="B983" s="4">
        <v>37532</v>
      </c>
      <c r="C983" s="7">
        <v>16.91</v>
      </c>
      <c r="D983" s="6">
        <f t="shared" si="34"/>
        <v>-0.96562099741801688</v>
      </c>
      <c r="E983" s="6">
        <v>1.3788968824940073E-2</v>
      </c>
      <c r="F983" s="6"/>
      <c r="G983" s="6">
        <v>976</v>
      </c>
      <c r="H983" s="6">
        <f t="shared" ca="1" si="35"/>
        <v>1.2211400981442976E-2</v>
      </c>
    </row>
    <row r="984" spans="2:8" x14ac:dyDescent="0.3">
      <c r="B984" s="4">
        <v>41801</v>
      </c>
      <c r="C984" s="7">
        <v>491.87</v>
      </c>
      <c r="D984" s="6">
        <f t="shared" si="34"/>
        <v>-0.83290926817337196</v>
      </c>
      <c r="E984" s="6">
        <v>1.3788696978440986E-2</v>
      </c>
      <c r="F984" s="6"/>
      <c r="G984" s="6">
        <v>977</v>
      </c>
      <c r="H984" s="6">
        <f t="shared" ca="1" si="35"/>
        <v>3.314767428573155E-3</v>
      </c>
    </row>
    <row r="985" spans="2:8" x14ac:dyDescent="0.3">
      <c r="B985" s="4">
        <v>44364</v>
      </c>
      <c r="C985" s="5">
        <v>2943.73</v>
      </c>
      <c r="D985" s="6">
        <f t="shared" si="34"/>
        <v>2.0458891211224466</v>
      </c>
      <c r="E985" s="6">
        <v>1.3778876751201983E-2</v>
      </c>
      <c r="F985" s="6"/>
      <c r="G985" s="6">
        <v>978</v>
      </c>
      <c r="H985" s="6">
        <f t="shared" ca="1" si="35"/>
        <v>1.5934865219463693E-2</v>
      </c>
    </row>
    <row r="986" spans="2:8" x14ac:dyDescent="0.3">
      <c r="B986" s="4">
        <v>42572</v>
      </c>
      <c r="C986" s="7">
        <v>966.46</v>
      </c>
      <c r="D986" s="6">
        <f t="shared" si="34"/>
        <v>2.433494386812562</v>
      </c>
      <c r="E986" s="6">
        <v>1.3762141523485854E-2</v>
      </c>
      <c r="F986" s="6"/>
      <c r="G986" s="6">
        <v>979</v>
      </c>
      <c r="H986" s="6">
        <f t="shared" ca="1" si="35"/>
        <v>3.1134602802345814E-3</v>
      </c>
    </row>
    <row r="987" spans="2:8" x14ac:dyDescent="0.3">
      <c r="B987" s="4">
        <v>40724</v>
      </c>
      <c r="C987" s="7">
        <v>281.48</v>
      </c>
      <c r="D987" s="6">
        <f t="shared" si="34"/>
        <v>-0.20591305329082857</v>
      </c>
      <c r="E987" s="6">
        <v>1.3757833321328218E-2</v>
      </c>
      <c r="F987" s="6"/>
      <c r="G987" s="6">
        <v>980</v>
      </c>
      <c r="H987" s="6">
        <f t="shared" ca="1" si="35"/>
        <v>-1.2781514286383919E-2</v>
      </c>
    </row>
    <row r="988" spans="2:8" x14ac:dyDescent="0.3">
      <c r="B988" s="4">
        <v>41218</v>
      </c>
      <c r="C988" s="7">
        <v>354.47</v>
      </c>
      <c r="D988" s="6">
        <f t="shared" si="34"/>
        <v>-0.86925667326893363</v>
      </c>
      <c r="E988" s="6">
        <v>1.3756220328318945E-2</v>
      </c>
      <c r="F988" s="6"/>
      <c r="G988" s="6">
        <v>981</v>
      </c>
      <c r="H988" s="6">
        <f t="shared" ca="1" si="35"/>
        <v>-7.6470276669138321E-3</v>
      </c>
    </row>
    <row r="989" spans="2:8" x14ac:dyDescent="0.3">
      <c r="B989" s="4">
        <v>44337</v>
      </c>
      <c r="C989" s="5">
        <v>2711.19</v>
      </c>
      <c r="D989" s="6">
        <f t="shared" si="34"/>
        <v>10.487606457353504</v>
      </c>
      <c r="E989" s="6">
        <v>1.3744984912673064E-2</v>
      </c>
      <c r="F989" s="6"/>
      <c r="G989" s="6">
        <v>982</v>
      </c>
      <c r="H989" s="6">
        <f t="shared" ca="1" si="35"/>
        <v>8.1759521652990871E-3</v>
      </c>
    </row>
    <row r="990" spans="2:8" x14ac:dyDescent="0.3">
      <c r="B990" s="4">
        <v>40465</v>
      </c>
      <c r="C990" s="7">
        <v>236.01</v>
      </c>
      <c r="D990" s="6">
        <f t="shared" si="34"/>
        <v>4.7916564417177909</v>
      </c>
      <c r="E990" s="6">
        <v>1.370157202989433E-2</v>
      </c>
      <c r="F990" s="6"/>
      <c r="G990" s="6">
        <v>983</v>
      </c>
      <c r="H990" s="6">
        <f t="shared" ca="1" si="35"/>
        <v>3.8635046019847623E-2</v>
      </c>
    </row>
    <row r="991" spans="2:8" x14ac:dyDescent="0.3">
      <c r="B991" s="4">
        <v>38663</v>
      </c>
      <c r="C991" s="7">
        <v>40.75</v>
      </c>
      <c r="D991" s="6">
        <f t="shared" si="34"/>
        <v>-0.96085870713668231</v>
      </c>
      <c r="E991" s="6">
        <v>1.3681592039800924E-2</v>
      </c>
      <c r="F991" s="6"/>
      <c r="G991" s="6">
        <v>984</v>
      </c>
      <c r="H991" s="6">
        <f t="shared" ca="1" si="35"/>
        <v>-3.0306080910864432E-2</v>
      </c>
    </row>
    <row r="992" spans="2:8" x14ac:dyDescent="0.3">
      <c r="B992" s="4">
        <v>42853</v>
      </c>
      <c r="C992" s="5">
        <v>1041.0999999999999</v>
      </c>
      <c r="D992" s="6">
        <f t="shared" si="34"/>
        <v>59.918665886483325</v>
      </c>
      <c r="E992" s="6">
        <v>1.3660217901408837E-2</v>
      </c>
      <c r="F992" s="6"/>
      <c r="G992" s="6">
        <v>985</v>
      </c>
      <c r="H992" s="6">
        <f t="shared" ca="1" si="35"/>
        <v>-1.3251424201970523E-2</v>
      </c>
    </row>
    <row r="993" spans="2:8" x14ac:dyDescent="0.3">
      <c r="B993" s="4">
        <v>37748</v>
      </c>
      <c r="C993" s="7">
        <v>17.09</v>
      </c>
      <c r="D993" s="6">
        <f t="shared" si="34"/>
        <v>-0.96072979618097853</v>
      </c>
      <c r="E993" s="6">
        <v>1.3641755634638222E-2</v>
      </c>
      <c r="F993" s="6"/>
      <c r="G993" s="6">
        <v>986</v>
      </c>
      <c r="H993" s="6">
        <f t="shared" ca="1" si="35"/>
        <v>1.3917748099219725E-2</v>
      </c>
    </row>
    <row r="994" spans="2:8" x14ac:dyDescent="0.3">
      <c r="B994" s="4">
        <v>41705</v>
      </c>
      <c r="C994" s="7">
        <v>435.19</v>
      </c>
      <c r="D994" s="6">
        <f t="shared" si="34"/>
        <v>7.5853225488261984</v>
      </c>
      <c r="E994" s="6">
        <v>1.3601956445790089E-2</v>
      </c>
      <c r="F994" s="6"/>
      <c r="G994" s="6">
        <v>987</v>
      </c>
      <c r="H994" s="6">
        <f t="shared" ca="1" si="35"/>
        <v>2.2337403892115481E-2</v>
      </c>
    </row>
    <row r="995" spans="2:8" x14ac:dyDescent="0.3">
      <c r="B995" s="4">
        <v>38932</v>
      </c>
      <c r="C995" s="7">
        <v>50.69</v>
      </c>
      <c r="D995" s="6">
        <f t="shared" si="34"/>
        <v>-0.95475561426684274</v>
      </c>
      <c r="E995" s="6">
        <v>1.3597280543891217E-2</v>
      </c>
      <c r="F995" s="6"/>
      <c r="G995" s="6">
        <v>988</v>
      </c>
      <c r="H995" s="6">
        <f t="shared" ca="1" si="35"/>
        <v>1.0793490639907559E-2</v>
      </c>
    </row>
    <row r="996" spans="2:8" x14ac:dyDescent="0.3">
      <c r="B996" s="4">
        <v>42648</v>
      </c>
      <c r="C996" s="5">
        <v>1120.3599999999999</v>
      </c>
      <c r="D996" s="6">
        <f t="shared" si="34"/>
        <v>11.101533808597969</v>
      </c>
      <c r="E996" s="6">
        <v>1.3579409236893285E-2</v>
      </c>
      <c r="F996" s="6"/>
      <c r="G996" s="6">
        <v>989</v>
      </c>
      <c r="H996" s="6">
        <f t="shared" ca="1" si="35"/>
        <v>1.1929090687010965E-2</v>
      </c>
    </row>
    <row r="997" spans="2:8" x14ac:dyDescent="0.3">
      <c r="B997" s="4">
        <v>39444</v>
      </c>
      <c r="C997" s="7">
        <v>92.58</v>
      </c>
      <c r="D997" s="6">
        <f t="shared" si="34"/>
        <v>-0.9007663861943298</v>
      </c>
      <c r="E997" s="6">
        <v>1.3575651412305614E-2</v>
      </c>
      <c r="F997" s="6"/>
      <c r="G997" s="6">
        <v>990</v>
      </c>
      <c r="H997" s="6">
        <f t="shared" ca="1" si="35"/>
        <v>2.6531705634421105E-3</v>
      </c>
    </row>
    <row r="998" spans="2:8" x14ac:dyDescent="0.3">
      <c r="B998" s="4">
        <v>42537</v>
      </c>
      <c r="C998" s="7">
        <v>932.95</v>
      </c>
      <c r="D998" s="6">
        <f t="shared" si="34"/>
        <v>-0.67237437710922487</v>
      </c>
      <c r="E998" s="6">
        <v>1.3547279680166899E-2</v>
      </c>
      <c r="F998" s="6"/>
      <c r="G998" s="6">
        <v>991</v>
      </c>
      <c r="H998" s="6">
        <f t="shared" ca="1" si="35"/>
        <v>6.1386693542727078E-3</v>
      </c>
    </row>
    <row r="999" spans="2:8" x14ac:dyDescent="0.3">
      <c r="B999" s="4">
        <v>45440</v>
      </c>
      <c r="C999" s="5">
        <v>2847.61</v>
      </c>
      <c r="D999" s="6">
        <f t="shared" si="34"/>
        <v>0.92111423694738481</v>
      </c>
      <c r="E999" s="6">
        <v>1.354304588618865E-2</v>
      </c>
      <c r="F999" s="6"/>
      <c r="G999" s="6">
        <v>992</v>
      </c>
      <c r="H999" s="6">
        <f t="shared" ca="1" si="35"/>
        <v>5.5501748470868544E-3</v>
      </c>
    </row>
    <row r="1000" spans="2:8" x14ac:dyDescent="0.3">
      <c r="B1000" s="4">
        <v>43719</v>
      </c>
      <c r="C1000" s="5">
        <v>1482.27</v>
      </c>
      <c r="D1000" s="6">
        <f t="shared" si="34"/>
        <v>-0.51608195725842787</v>
      </c>
      <c r="E1000" s="6">
        <v>1.3531808982003148E-2</v>
      </c>
      <c r="F1000" s="6"/>
      <c r="G1000" s="6">
        <v>993</v>
      </c>
      <c r="H1000" s="6">
        <f t="shared" ca="1" si="35"/>
        <v>1.6212180309027324E-2</v>
      </c>
    </row>
    <row r="1001" spans="2:8" x14ac:dyDescent="0.3">
      <c r="B1001" s="4">
        <v>44532</v>
      </c>
      <c r="C1001" s="5">
        <v>3063.06</v>
      </c>
      <c r="D1001" s="6">
        <f t="shared" si="34"/>
        <v>34.81269729919326</v>
      </c>
      <c r="E1001" s="6">
        <v>1.3526659563626293E-2</v>
      </c>
      <c r="F1001" s="6"/>
      <c r="G1001" s="6">
        <v>994</v>
      </c>
      <c r="H1001" s="6">
        <f t="shared" ca="1" si="35"/>
        <v>-8.3012754856930521E-3</v>
      </c>
    </row>
    <row r="1002" spans="2:8" x14ac:dyDescent="0.3">
      <c r="B1002" s="4">
        <v>39471</v>
      </c>
      <c r="C1002" s="7">
        <v>85.53</v>
      </c>
      <c r="D1002" s="6">
        <f t="shared" si="34"/>
        <v>-0.68860814795936942</v>
      </c>
      <c r="E1002" s="6">
        <v>1.3508709562744407E-2</v>
      </c>
      <c r="F1002" s="6"/>
      <c r="G1002" s="6">
        <v>995</v>
      </c>
      <c r="H1002" s="6">
        <f t="shared" ca="1" si="35"/>
        <v>1.7492874941995905E-3</v>
      </c>
    </row>
    <row r="1003" spans="2:8" x14ac:dyDescent="0.3">
      <c r="B1003" s="4">
        <v>40861</v>
      </c>
      <c r="C1003" s="7">
        <v>274.67</v>
      </c>
      <c r="D1003" s="6">
        <f t="shared" si="34"/>
        <v>-0.85531728849628375</v>
      </c>
      <c r="E1003" s="6">
        <v>1.3505036714512472E-2</v>
      </c>
      <c r="F1003" s="6"/>
      <c r="G1003" s="6">
        <v>996</v>
      </c>
      <c r="H1003" s="6">
        <f t="shared" ca="1" si="35"/>
        <v>-5.1660679608141451E-3</v>
      </c>
    </row>
    <row r="1004" spans="2:8" x14ac:dyDescent="0.3">
      <c r="B1004" s="4">
        <v>44104</v>
      </c>
      <c r="C1004" s="5">
        <v>1898.43</v>
      </c>
      <c r="D1004" s="6">
        <f t="shared" si="34"/>
        <v>-0.35660835202971536</v>
      </c>
      <c r="E1004" s="6">
        <v>1.3495982702933547E-2</v>
      </c>
      <c r="F1004" s="6"/>
      <c r="G1004" s="6">
        <v>997</v>
      </c>
      <c r="H1004" s="6">
        <f t="shared" ca="1" si="35"/>
        <v>3.4178482368817853E-3</v>
      </c>
    </row>
    <row r="1005" spans="2:8" x14ac:dyDescent="0.3">
      <c r="B1005" s="4">
        <v>45337</v>
      </c>
      <c r="C1005" s="5">
        <v>2950.66</v>
      </c>
      <c r="D1005" s="6">
        <f t="shared" si="34"/>
        <v>7.4633432767324459</v>
      </c>
      <c r="E1005" s="6">
        <v>1.3488402446941146E-2</v>
      </c>
      <c r="F1005" s="6"/>
      <c r="G1005" s="6">
        <v>998</v>
      </c>
      <c r="H1005" s="6">
        <f t="shared" ca="1" si="35"/>
        <v>8.1481132390886311E-3</v>
      </c>
    </row>
    <row r="1006" spans="2:8" x14ac:dyDescent="0.3">
      <c r="B1006" s="4">
        <v>41166</v>
      </c>
      <c r="C1006" s="7">
        <v>348.64</v>
      </c>
      <c r="D1006" s="6">
        <f t="shared" si="34"/>
        <v>13.035426731078905</v>
      </c>
      <c r="E1006" s="6">
        <v>1.3488372093023216E-2</v>
      </c>
      <c r="F1006" s="6"/>
      <c r="G1006" s="6">
        <v>999</v>
      </c>
      <c r="H1006" s="6">
        <f t="shared" ca="1" si="35"/>
        <v>2.9569764928076267E-2</v>
      </c>
    </row>
    <row r="1007" spans="2:8" x14ac:dyDescent="0.3">
      <c r="B1007" s="4">
        <v>37977</v>
      </c>
      <c r="C1007" s="7">
        <v>24.84</v>
      </c>
      <c r="D1007" s="6">
        <f t="shared" si="34"/>
        <v>-0.9095938273402242</v>
      </c>
      <c r="E1007" s="6">
        <v>1.3463892288861619E-2</v>
      </c>
      <c r="F1007" s="6"/>
      <c r="G1007" s="6">
        <v>1000</v>
      </c>
      <c r="H1007" s="6">
        <f t="shared" ca="1" si="35"/>
        <v>-1.9830474232187263E-2</v>
      </c>
    </row>
    <row r="1008" spans="2:8" x14ac:dyDescent="0.3">
      <c r="B1008" s="4">
        <v>40949</v>
      </c>
      <c r="C1008" s="7">
        <v>274.76</v>
      </c>
      <c r="D1008" s="6">
        <f t="shared" si="34"/>
        <v>-0.8930457969209209</v>
      </c>
      <c r="E1008" s="6">
        <v>1.3463169931024224E-2</v>
      </c>
      <c r="F1008" s="6"/>
      <c r="G1008" s="6">
        <v>1001</v>
      </c>
      <c r="H1008" s="6">
        <f t="shared" ca="1" si="35"/>
        <v>1.5807186281824408E-2</v>
      </c>
    </row>
    <row r="1009" spans="2:8" x14ac:dyDescent="0.3">
      <c r="B1009" s="4">
        <v>44193</v>
      </c>
      <c r="C1009" s="5">
        <v>2568.9499999999998</v>
      </c>
      <c r="D1009" s="6">
        <f t="shared" si="34"/>
        <v>-8.1080404346799667E-2</v>
      </c>
      <c r="E1009" s="6">
        <v>1.3460468749383545E-2</v>
      </c>
      <c r="F1009" s="6"/>
      <c r="G1009" s="6">
        <v>1002</v>
      </c>
      <c r="H1009" s="6">
        <f t="shared" ca="1" si="35"/>
        <v>-5.7485415881335178E-3</v>
      </c>
    </row>
    <row r="1010" spans="2:8" x14ac:dyDescent="0.3">
      <c r="B1010" s="4">
        <v>45037</v>
      </c>
      <c r="C1010" s="5">
        <v>2795.62</v>
      </c>
      <c r="D1010" s="6">
        <f t="shared" si="34"/>
        <v>118.67551369863013</v>
      </c>
      <c r="E1010" s="6">
        <v>1.3452914798206159E-2</v>
      </c>
      <c r="F1010" s="6"/>
      <c r="G1010" s="6">
        <v>1003</v>
      </c>
      <c r="H1010" s="6">
        <f t="shared" ca="1" si="35"/>
        <v>2.2146500734597008E-2</v>
      </c>
    </row>
    <row r="1011" spans="2:8" x14ac:dyDescent="0.3">
      <c r="B1011" s="4">
        <v>38079</v>
      </c>
      <c r="C1011" s="7">
        <v>23.36</v>
      </c>
      <c r="D1011" s="6">
        <f t="shared" si="34"/>
        <v>-0.97799071011993943</v>
      </c>
      <c r="E1011" s="6">
        <v>1.3449023861171311E-2</v>
      </c>
      <c r="F1011" s="6"/>
      <c r="G1011" s="6">
        <v>1004</v>
      </c>
      <c r="H1011" s="6">
        <f t="shared" ca="1" si="35"/>
        <v>7.7911310681545234E-3</v>
      </c>
    </row>
    <row r="1012" spans="2:8" x14ac:dyDescent="0.3">
      <c r="B1012" s="4">
        <v>42593</v>
      </c>
      <c r="C1012" s="5">
        <v>1061.3699999999999</v>
      </c>
      <c r="D1012" s="6">
        <f t="shared" si="34"/>
        <v>2.2098530212302658</v>
      </c>
      <c r="E1012" s="6">
        <v>1.3405516885795275E-2</v>
      </c>
      <c r="F1012" s="6"/>
      <c r="G1012" s="6">
        <v>1005</v>
      </c>
      <c r="H1012" s="6">
        <f t="shared" ca="1" si="35"/>
        <v>-1.4189699009299775E-2</v>
      </c>
    </row>
    <row r="1013" spans="2:8" x14ac:dyDescent="0.3">
      <c r="B1013" s="4">
        <v>41158</v>
      </c>
      <c r="C1013" s="7">
        <v>330.66</v>
      </c>
      <c r="D1013" s="6">
        <f t="shared" si="34"/>
        <v>4.5248120300751875</v>
      </c>
      <c r="E1013" s="6">
        <v>1.3392993962426075E-2</v>
      </c>
      <c r="F1013" s="6"/>
      <c r="G1013" s="6">
        <v>1006</v>
      </c>
      <c r="H1013" s="6">
        <f t="shared" ca="1" si="35"/>
        <v>5.2260584353377906E-3</v>
      </c>
    </row>
    <row r="1014" spans="2:8" x14ac:dyDescent="0.3">
      <c r="B1014" s="4">
        <v>39163</v>
      </c>
      <c r="C1014" s="7">
        <v>59.85</v>
      </c>
      <c r="D1014" s="6">
        <f t="shared" si="34"/>
        <v>0.71539122957867585</v>
      </c>
      <c r="E1014" s="6">
        <v>1.3376227565187929E-2</v>
      </c>
      <c r="F1014" s="6"/>
      <c r="G1014" s="6">
        <v>1007</v>
      </c>
      <c r="H1014" s="6">
        <f t="shared" ca="1" si="35"/>
        <v>-1.4868812715757759E-2</v>
      </c>
    </row>
    <row r="1015" spans="2:8" x14ac:dyDescent="0.3">
      <c r="B1015" s="4">
        <v>38544</v>
      </c>
      <c r="C1015" s="7">
        <v>34.89</v>
      </c>
      <c r="D1015" s="6">
        <f t="shared" si="34"/>
        <v>-0.97169145388603551</v>
      </c>
      <c r="E1015" s="6">
        <v>1.3360441475457474E-2</v>
      </c>
      <c r="F1015" s="6"/>
      <c r="G1015" s="6">
        <v>1008</v>
      </c>
      <c r="H1015" s="6">
        <f t="shared" ca="1" si="35"/>
        <v>-5.4399117118210816E-3</v>
      </c>
    </row>
    <row r="1016" spans="2:8" x14ac:dyDescent="0.3">
      <c r="B1016" s="4">
        <v>43235</v>
      </c>
      <c r="C1016" s="5">
        <v>1232.49</v>
      </c>
      <c r="D1016" s="6">
        <f t="shared" si="34"/>
        <v>-0.57835912804302314</v>
      </c>
      <c r="E1016" s="6">
        <v>1.3335854703314253E-2</v>
      </c>
      <c r="F1016" s="6"/>
      <c r="G1016" s="6">
        <v>1009</v>
      </c>
      <c r="H1016" s="6">
        <f t="shared" ca="1" si="35"/>
        <v>-1.2989636915105979E-2</v>
      </c>
    </row>
    <row r="1017" spans="2:8" x14ac:dyDescent="0.3">
      <c r="B1017" s="4">
        <v>44760</v>
      </c>
      <c r="C1017" s="5">
        <v>2923.08</v>
      </c>
      <c r="D1017" s="6">
        <f t="shared" si="34"/>
        <v>1.6612163146394754</v>
      </c>
      <c r="E1017" s="6">
        <v>1.3332778667554146E-2</v>
      </c>
      <c r="F1017" s="6"/>
      <c r="G1017" s="6">
        <v>1010</v>
      </c>
      <c r="H1017" s="6">
        <f t="shared" ca="1" si="35"/>
        <v>1.5164068581941191E-2</v>
      </c>
    </row>
    <row r="1018" spans="2:8" x14ac:dyDescent="0.3">
      <c r="B1018" s="4">
        <v>43021</v>
      </c>
      <c r="C1018" s="5">
        <v>1098.4000000000001</v>
      </c>
      <c r="D1018" s="6">
        <f t="shared" si="34"/>
        <v>2.9679209554343215E-2</v>
      </c>
      <c r="E1018" s="6">
        <v>1.3330873195258126E-2</v>
      </c>
      <c r="F1018" s="6"/>
      <c r="G1018" s="6">
        <v>1011</v>
      </c>
      <c r="H1018" s="6">
        <f t="shared" ca="1" si="35"/>
        <v>-2.948490136274546E-2</v>
      </c>
    </row>
    <row r="1019" spans="2:8" x14ac:dyDescent="0.3">
      <c r="B1019" s="4">
        <v>42870</v>
      </c>
      <c r="C1019" s="5">
        <v>1066.74</v>
      </c>
      <c r="D1019" s="6">
        <f t="shared" si="34"/>
        <v>-0.2208628837290835</v>
      </c>
      <c r="E1019" s="6">
        <v>1.332750710072097E-2</v>
      </c>
      <c r="F1019" s="6"/>
      <c r="G1019" s="6">
        <v>1012</v>
      </c>
      <c r="H1019" s="6">
        <f t="shared" ca="1" si="35"/>
        <v>-1.1811277641777569E-2</v>
      </c>
    </row>
    <row r="1020" spans="2:8" x14ac:dyDescent="0.3">
      <c r="B1020" s="4">
        <v>43579</v>
      </c>
      <c r="C1020" s="5">
        <v>1369.13</v>
      </c>
      <c r="D1020" s="6">
        <f t="shared" si="34"/>
        <v>2.0851548064356216</v>
      </c>
      <c r="E1020" s="6">
        <v>1.331468241632992E-2</v>
      </c>
      <c r="F1020" s="6"/>
      <c r="G1020" s="6">
        <v>1013</v>
      </c>
      <c r="H1020" s="6">
        <f t="shared" ca="1" si="35"/>
        <v>-1.15130275233857E-2</v>
      </c>
    </row>
    <row r="1021" spans="2:8" x14ac:dyDescent="0.3">
      <c r="B1021" s="4">
        <v>41677</v>
      </c>
      <c r="C1021" s="7">
        <v>443.78</v>
      </c>
      <c r="D1021" s="6">
        <f t="shared" si="34"/>
        <v>-0.85381584842016511</v>
      </c>
      <c r="E1021" s="6">
        <v>1.3312021920310502E-2</v>
      </c>
      <c r="F1021" s="6"/>
      <c r="G1021" s="6">
        <v>1014</v>
      </c>
      <c r="H1021" s="6">
        <f t="shared" ca="1" si="35"/>
        <v>1.3714701664193992E-3</v>
      </c>
    </row>
    <row r="1022" spans="2:8" x14ac:dyDescent="0.3">
      <c r="B1022" s="4">
        <v>44592</v>
      </c>
      <c r="C1022" s="5">
        <v>3035.76</v>
      </c>
      <c r="D1022" s="6">
        <f t="shared" si="34"/>
        <v>77.160659114315138</v>
      </c>
      <c r="E1022" s="6">
        <v>1.3308232278221279E-2</v>
      </c>
      <c r="F1022" s="6"/>
      <c r="G1022" s="6">
        <v>1015</v>
      </c>
      <c r="H1022" s="6">
        <f t="shared" ca="1" si="35"/>
        <v>1.1112796695654447E-3</v>
      </c>
    </row>
    <row r="1023" spans="2:8" x14ac:dyDescent="0.3">
      <c r="B1023" s="4">
        <v>38618</v>
      </c>
      <c r="C1023" s="7">
        <v>38.840000000000003</v>
      </c>
      <c r="D1023" s="6">
        <f t="shared" si="34"/>
        <v>-0.95117045083100749</v>
      </c>
      <c r="E1023" s="6">
        <v>1.3305504826506788E-2</v>
      </c>
      <c r="F1023" s="6"/>
      <c r="G1023" s="6">
        <v>1016</v>
      </c>
      <c r="H1023" s="6">
        <f t="shared" ca="1" si="35"/>
        <v>8.5934777775169453E-3</v>
      </c>
    </row>
    <row r="1024" spans="2:8" x14ac:dyDescent="0.3">
      <c r="B1024" s="4">
        <v>42284</v>
      </c>
      <c r="C1024" s="7">
        <v>795.42</v>
      </c>
      <c r="D1024" s="6">
        <f t="shared" si="34"/>
        <v>-0.59945211825785683</v>
      </c>
      <c r="E1024" s="6">
        <v>1.3299701903233128E-2</v>
      </c>
      <c r="F1024" s="6"/>
      <c r="G1024" s="6">
        <v>1017</v>
      </c>
      <c r="H1024" s="6">
        <f t="shared" ca="1" si="35"/>
        <v>2.5787594540506539E-2</v>
      </c>
    </row>
    <row r="1025" spans="2:8" x14ac:dyDescent="0.3">
      <c r="B1025" s="4">
        <v>44116</v>
      </c>
      <c r="C1025" s="5">
        <v>1985.83</v>
      </c>
      <c r="D1025" s="6">
        <f t="shared" si="34"/>
        <v>0.58828281212508993</v>
      </c>
      <c r="E1025" s="6">
        <v>1.3292308320321645E-2</v>
      </c>
      <c r="F1025" s="6"/>
      <c r="G1025" s="6">
        <v>1018</v>
      </c>
      <c r="H1025" s="6">
        <f t="shared" ca="1" si="35"/>
        <v>2.7734498777218968E-4</v>
      </c>
    </row>
    <row r="1026" spans="2:8" x14ac:dyDescent="0.3">
      <c r="B1026" s="4">
        <v>43425</v>
      </c>
      <c r="C1026" s="5">
        <v>1250.3</v>
      </c>
      <c r="D1026" s="6">
        <f t="shared" si="34"/>
        <v>-0.56656336016529041</v>
      </c>
      <c r="E1026" s="6">
        <v>1.3274766597510276E-2</v>
      </c>
      <c r="F1026" s="6"/>
      <c r="G1026" s="6">
        <v>1019</v>
      </c>
      <c r="H1026" s="6">
        <f t="shared" ca="1" si="35"/>
        <v>8.5067440328026704E-3</v>
      </c>
    </row>
    <row r="1027" spans="2:8" x14ac:dyDescent="0.3">
      <c r="B1027" s="4">
        <v>44757</v>
      </c>
      <c r="C1027" s="5">
        <v>2884.62</v>
      </c>
      <c r="D1027" s="6">
        <f t="shared" si="34"/>
        <v>14.529582772543741</v>
      </c>
      <c r="E1027" s="6">
        <v>1.3267295431793029E-2</v>
      </c>
      <c r="F1027" s="6"/>
      <c r="G1027" s="6">
        <v>1020</v>
      </c>
      <c r="H1027" s="6">
        <f t="shared" ca="1" si="35"/>
        <v>-8.8094922149971212E-3</v>
      </c>
    </row>
    <row r="1028" spans="2:8" x14ac:dyDescent="0.3">
      <c r="B1028" s="4">
        <v>40312</v>
      </c>
      <c r="C1028" s="7">
        <v>185.75</v>
      </c>
      <c r="D1028" s="6">
        <f t="shared" si="34"/>
        <v>-0.58703868385949309</v>
      </c>
      <c r="E1028" s="6">
        <v>1.3255509491599426E-2</v>
      </c>
      <c r="F1028" s="6"/>
      <c r="G1028" s="6">
        <v>1021</v>
      </c>
      <c r="H1028" s="6">
        <f t="shared" ca="1" si="35"/>
        <v>4.5176420793403935E-2</v>
      </c>
    </row>
    <row r="1029" spans="2:8" x14ac:dyDescent="0.3">
      <c r="B1029" s="4">
        <v>41626</v>
      </c>
      <c r="C1029" s="7">
        <v>449.8</v>
      </c>
      <c r="D1029" s="6">
        <f t="shared" si="34"/>
        <v>-0.58849844932163542</v>
      </c>
      <c r="E1029" s="6">
        <v>1.3245629843214982E-2</v>
      </c>
      <c r="F1029" s="6"/>
      <c r="G1029" s="6">
        <v>1022</v>
      </c>
      <c r="H1029" s="6">
        <f t="shared" ca="1" si="35"/>
        <v>-1.1746781524622569E-2</v>
      </c>
    </row>
    <row r="1030" spans="2:8" x14ac:dyDescent="0.3">
      <c r="B1030" s="4">
        <v>42978</v>
      </c>
      <c r="C1030" s="5">
        <v>1093.07</v>
      </c>
      <c r="D1030" s="6">
        <f t="shared" si="34"/>
        <v>-0.61033595231644544</v>
      </c>
      <c r="E1030" s="6">
        <v>1.3180701673077841E-2</v>
      </c>
      <c r="F1030" s="6"/>
      <c r="G1030" s="6">
        <v>1023</v>
      </c>
      <c r="H1030" s="6">
        <f t="shared" ca="1" si="35"/>
        <v>-1.6416114690667043E-2</v>
      </c>
    </row>
    <row r="1031" spans="2:8" x14ac:dyDescent="0.3">
      <c r="B1031" s="4">
        <v>44630</v>
      </c>
      <c r="C1031" s="5">
        <v>2805.16</v>
      </c>
      <c r="D1031" s="6">
        <f t="shared" si="34"/>
        <v>0.48082689302757714</v>
      </c>
      <c r="E1031" s="6">
        <v>1.316497574682788E-2</v>
      </c>
      <c r="F1031" s="6"/>
      <c r="G1031" s="6">
        <v>1024</v>
      </c>
      <c r="H1031" s="6">
        <f t="shared" ca="1" si="35"/>
        <v>-1.9217415888362295E-2</v>
      </c>
    </row>
    <row r="1032" spans="2:8" x14ac:dyDescent="0.3">
      <c r="B1032" s="4">
        <v>44081</v>
      </c>
      <c r="C1032" s="5">
        <v>1894.32</v>
      </c>
      <c r="D1032" s="6">
        <f t="shared" ref="D1032:D1095" si="36">((C1032-C1033)/C1033)</f>
        <v>5.867459396751741</v>
      </c>
      <c r="E1032" s="6">
        <v>1.3162469046001733E-2</v>
      </c>
      <c r="F1032" s="6"/>
      <c r="G1032" s="6">
        <v>1025</v>
      </c>
      <c r="H1032" s="6">
        <f t="shared" ca="1" si="35"/>
        <v>-7.9622709086625953E-3</v>
      </c>
    </row>
    <row r="1033" spans="2:8" x14ac:dyDescent="0.3">
      <c r="B1033" s="4">
        <v>40991</v>
      </c>
      <c r="C1033" s="7">
        <v>275.83999999999997</v>
      </c>
      <c r="D1033" s="6">
        <f t="shared" si="36"/>
        <v>-0.8011820671760127</v>
      </c>
      <c r="E1033" s="6">
        <v>1.3149195621832014E-2</v>
      </c>
      <c r="F1033" s="6"/>
      <c r="G1033" s="6">
        <v>1026</v>
      </c>
      <c r="H1033" s="6">
        <f t="shared" ref="H1033:H1096" ca="1" si="37">_xlfn.NORM.INV(RAND(),N$10,N$11)</f>
        <v>-2.5010651780220848E-2</v>
      </c>
    </row>
    <row r="1034" spans="2:8" x14ac:dyDescent="0.3">
      <c r="B1034" s="4">
        <v>43502</v>
      </c>
      <c r="C1034" s="5">
        <v>1387.4</v>
      </c>
      <c r="D1034" s="6">
        <f t="shared" si="36"/>
        <v>-0.55208894943970754</v>
      </c>
      <c r="E1034" s="6">
        <v>1.3137044420589895E-2</v>
      </c>
      <c r="F1034" s="6"/>
      <c r="G1034" s="6">
        <v>1027</v>
      </c>
      <c r="H1034" s="6">
        <f t="shared" ca="1" si="37"/>
        <v>1.702464321014939E-2</v>
      </c>
    </row>
    <row r="1035" spans="2:8" x14ac:dyDescent="0.3">
      <c r="B1035" s="4">
        <v>44600</v>
      </c>
      <c r="C1035" s="5">
        <v>3097.49</v>
      </c>
      <c r="D1035" s="6">
        <f t="shared" si="36"/>
        <v>132.62769628990509</v>
      </c>
      <c r="E1035" s="6">
        <v>1.3119075810007154E-2</v>
      </c>
      <c r="F1035" s="6"/>
      <c r="G1035" s="6">
        <v>1028</v>
      </c>
      <c r="H1035" s="6">
        <f t="shared" ca="1" si="37"/>
        <v>-1.8654626614876095E-2</v>
      </c>
    </row>
    <row r="1036" spans="2:8" x14ac:dyDescent="0.3">
      <c r="B1036" s="4">
        <v>37886</v>
      </c>
      <c r="C1036" s="7">
        <v>23.18</v>
      </c>
      <c r="D1036" s="6">
        <f t="shared" si="36"/>
        <v>0.42733990147783263</v>
      </c>
      <c r="E1036" s="6">
        <v>1.3111888111888143E-2</v>
      </c>
      <c r="F1036" s="6"/>
      <c r="G1036" s="6">
        <v>1029</v>
      </c>
      <c r="H1036" s="6">
        <f t="shared" ca="1" si="37"/>
        <v>2.0761717737616679E-2</v>
      </c>
    </row>
    <row r="1037" spans="2:8" x14ac:dyDescent="0.3">
      <c r="B1037" s="4">
        <v>37616</v>
      </c>
      <c r="C1037" s="7">
        <v>16.239999999999998</v>
      </c>
      <c r="D1037" s="6">
        <f t="shared" si="36"/>
        <v>-0.9614233455271034</v>
      </c>
      <c r="E1037" s="6">
        <v>1.3100436681222538E-2</v>
      </c>
      <c r="F1037" s="6"/>
      <c r="G1037" s="6">
        <v>1030</v>
      </c>
      <c r="H1037" s="6">
        <f t="shared" ca="1" si="37"/>
        <v>2.2437727743781836E-2</v>
      </c>
    </row>
    <row r="1038" spans="2:8" x14ac:dyDescent="0.3">
      <c r="B1038" s="4">
        <v>41407</v>
      </c>
      <c r="C1038" s="7">
        <v>420.98</v>
      </c>
      <c r="D1038" s="6">
        <f t="shared" si="36"/>
        <v>-0.75232099782314521</v>
      </c>
      <c r="E1038" s="6">
        <v>1.3091399143283432E-2</v>
      </c>
      <c r="F1038" s="6"/>
      <c r="G1038" s="6">
        <v>1031</v>
      </c>
      <c r="H1038" s="6">
        <f t="shared" ca="1" si="37"/>
        <v>-2.768632520604606E-2</v>
      </c>
    </row>
    <row r="1039" spans="2:8" x14ac:dyDescent="0.3">
      <c r="B1039" s="4">
        <v>43762</v>
      </c>
      <c r="C1039" s="5">
        <v>1699.7</v>
      </c>
      <c r="D1039" s="6">
        <f t="shared" si="36"/>
        <v>3.8193830100941364</v>
      </c>
      <c r="E1039" s="6">
        <v>1.3070921520828281E-2</v>
      </c>
      <c r="F1039" s="6"/>
      <c r="G1039" s="6">
        <v>1032</v>
      </c>
      <c r="H1039" s="6">
        <f t="shared" ca="1" si="37"/>
        <v>-2.7477549722206528E-3</v>
      </c>
    </row>
    <row r="1040" spans="2:8" x14ac:dyDescent="0.3">
      <c r="B1040" s="4">
        <v>41173</v>
      </c>
      <c r="C1040" s="7">
        <v>352.68</v>
      </c>
      <c r="D1040" s="6">
        <f t="shared" si="36"/>
        <v>0.43517538862212091</v>
      </c>
      <c r="E1040" s="6">
        <v>1.3069830235831475E-2</v>
      </c>
      <c r="F1040" s="6"/>
      <c r="G1040" s="6">
        <v>1033</v>
      </c>
      <c r="H1040" s="6">
        <f t="shared" ca="1" si="37"/>
        <v>2.8437640825168052E-2</v>
      </c>
    </row>
    <row r="1041" spans="2:8" x14ac:dyDescent="0.3">
      <c r="B1041" s="4">
        <v>40921</v>
      </c>
      <c r="C1041" s="7">
        <v>245.74</v>
      </c>
      <c r="D1041" s="6">
        <f t="shared" si="36"/>
        <v>-0.77131743269526054</v>
      </c>
      <c r="E1041" s="6">
        <v>1.306839262893192E-2</v>
      </c>
      <c r="F1041" s="6"/>
      <c r="G1041" s="6">
        <v>1034</v>
      </c>
      <c r="H1041" s="6">
        <f t="shared" ca="1" si="37"/>
        <v>3.0918598164699468E-2</v>
      </c>
    </row>
    <row r="1042" spans="2:8" x14ac:dyDescent="0.3">
      <c r="B1042" s="4">
        <v>42943</v>
      </c>
      <c r="C1042" s="5">
        <v>1074.5899999999999</v>
      </c>
      <c r="D1042" s="6">
        <f t="shared" si="36"/>
        <v>9.4807373451672667</v>
      </c>
      <c r="E1042" s="6">
        <v>1.3047372142352033E-2</v>
      </c>
      <c r="F1042" s="6"/>
      <c r="G1042" s="6">
        <v>1035</v>
      </c>
      <c r="H1042" s="6">
        <f t="shared" ca="1" si="37"/>
        <v>-9.5335136630116946E-3</v>
      </c>
    </row>
    <row r="1043" spans="2:8" x14ac:dyDescent="0.3">
      <c r="B1043" s="4">
        <v>39994</v>
      </c>
      <c r="C1043" s="7">
        <v>102.53</v>
      </c>
      <c r="D1043" s="6">
        <f t="shared" si="36"/>
        <v>-0.86144969054890408</v>
      </c>
      <c r="E1043" s="6">
        <v>1.3042189506965788E-2</v>
      </c>
      <c r="F1043" s="6"/>
      <c r="G1043" s="6">
        <v>1036</v>
      </c>
      <c r="H1043" s="6">
        <f t="shared" ca="1" si="37"/>
        <v>4.6455089307472454E-3</v>
      </c>
    </row>
    <row r="1044" spans="2:8" x14ac:dyDescent="0.3">
      <c r="B1044" s="4">
        <v>42276</v>
      </c>
      <c r="C1044" s="7">
        <v>740.02</v>
      </c>
      <c r="D1044" s="6">
        <f t="shared" si="36"/>
        <v>-0.58138692944297687</v>
      </c>
      <c r="E1044" s="6">
        <v>1.3032169746748777E-2</v>
      </c>
      <c r="F1044" s="6"/>
      <c r="G1044" s="6">
        <v>1037</v>
      </c>
      <c r="H1044" s="6">
        <f t="shared" ca="1" si="37"/>
        <v>5.931144706120218E-3</v>
      </c>
    </row>
    <row r="1045" spans="2:8" x14ac:dyDescent="0.3">
      <c r="B1045" s="4">
        <v>43948</v>
      </c>
      <c r="C1045" s="5">
        <v>1767.79</v>
      </c>
      <c r="D1045" s="6">
        <f t="shared" si="36"/>
        <v>-0.26256048723510761</v>
      </c>
      <c r="E1045" s="6">
        <v>1.3019535032978636E-2</v>
      </c>
      <c r="F1045" s="6"/>
      <c r="G1045" s="6">
        <v>1038</v>
      </c>
      <c r="H1045" s="6">
        <f t="shared" ca="1" si="37"/>
        <v>1.8494229954414514E-2</v>
      </c>
    </row>
    <row r="1046" spans="2:8" x14ac:dyDescent="0.3">
      <c r="B1046" s="4">
        <v>46069</v>
      </c>
      <c r="C1046" s="5">
        <v>2397.1999999999998</v>
      </c>
      <c r="D1046" s="6">
        <f t="shared" si="36"/>
        <v>2.1392988567462443</v>
      </c>
      <c r="E1046" s="6">
        <v>1.3015551048005293E-2</v>
      </c>
      <c r="F1046" s="6"/>
      <c r="G1046" s="6">
        <v>1039</v>
      </c>
      <c r="H1046" s="6">
        <f t="shared" ca="1" si="37"/>
        <v>-2.0386097729473814E-2</v>
      </c>
    </row>
    <row r="1047" spans="2:8" x14ac:dyDescent="0.3">
      <c r="B1047" s="4">
        <v>42101</v>
      </c>
      <c r="C1047" s="7">
        <v>763.61</v>
      </c>
      <c r="D1047" s="6">
        <f t="shared" si="36"/>
        <v>15.038857382902751</v>
      </c>
      <c r="E1047" s="6">
        <v>1.2987185269692982E-2</v>
      </c>
      <c r="F1047" s="6"/>
      <c r="G1047" s="6">
        <v>1040</v>
      </c>
      <c r="H1047" s="6">
        <f t="shared" ca="1" si="37"/>
        <v>-5.6028890344790774E-3</v>
      </c>
    </row>
    <row r="1048" spans="2:8" x14ac:dyDescent="0.3">
      <c r="B1048" s="4">
        <v>38923</v>
      </c>
      <c r="C1048" s="7">
        <v>47.61</v>
      </c>
      <c r="D1048" s="6">
        <f t="shared" si="36"/>
        <v>-0.88944875307667304</v>
      </c>
      <c r="E1048" s="6">
        <v>1.2978723404255307E-2</v>
      </c>
      <c r="F1048" s="6"/>
      <c r="G1048" s="6">
        <v>1041</v>
      </c>
      <c r="H1048" s="6">
        <f t="shared" ca="1" si="37"/>
        <v>2.492228397663231E-2</v>
      </c>
    </row>
    <row r="1049" spans="2:8" x14ac:dyDescent="0.3">
      <c r="B1049" s="4">
        <v>41674</v>
      </c>
      <c r="C1049" s="7">
        <v>430.66</v>
      </c>
      <c r="D1049" s="6">
        <f t="shared" si="36"/>
        <v>-0.32795480790237508</v>
      </c>
      <c r="E1049" s="6">
        <v>1.2960131718217213E-2</v>
      </c>
      <c r="F1049" s="6"/>
      <c r="G1049" s="6">
        <v>1042</v>
      </c>
      <c r="H1049" s="6">
        <f t="shared" ca="1" si="37"/>
        <v>7.0949205695696911E-3</v>
      </c>
    </row>
    <row r="1050" spans="2:8" x14ac:dyDescent="0.3">
      <c r="B1050" s="4">
        <v>41961</v>
      </c>
      <c r="C1050" s="7">
        <v>640.82000000000005</v>
      </c>
      <c r="D1050" s="6">
        <f t="shared" si="36"/>
        <v>0.75991431396243003</v>
      </c>
      <c r="E1050" s="6">
        <v>1.294595577193629E-2</v>
      </c>
      <c r="F1050" s="6"/>
      <c r="G1050" s="6">
        <v>1043</v>
      </c>
      <c r="H1050" s="6">
        <f t="shared" ca="1" si="37"/>
        <v>-3.246884478422285E-2</v>
      </c>
    </row>
    <row r="1051" spans="2:8" x14ac:dyDescent="0.3">
      <c r="B1051" s="4">
        <v>41521</v>
      </c>
      <c r="C1051" s="7">
        <v>364.12</v>
      </c>
      <c r="D1051" s="6">
        <f t="shared" si="36"/>
        <v>1.4195627616452919</v>
      </c>
      <c r="E1051" s="6">
        <v>1.2935710907725198E-2</v>
      </c>
      <c r="F1051" s="6"/>
      <c r="G1051" s="6">
        <v>1044</v>
      </c>
      <c r="H1051" s="6">
        <f t="shared" ca="1" si="37"/>
        <v>-3.9320329558009499E-3</v>
      </c>
    </row>
    <row r="1052" spans="2:8" x14ac:dyDescent="0.3">
      <c r="B1052" s="4">
        <v>40162</v>
      </c>
      <c r="C1052" s="7">
        <v>150.49</v>
      </c>
      <c r="D1052" s="6">
        <f t="shared" si="36"/>
        <v>0.89820887991927356</v>
      </c>
      <c r="E1052" s="6">
        <v>1.2923201184626884E-2</v>
      </c>
      <c r="F1052" s="6"/>
      <c r="G1052" s="6">
        <v>1045</v>
      </c>
      <c r="H1052" s="6">
        <f t="shared" ca="1" si="37"/>
        <v>4.4169444064810822E-3</v>
      </c>
    </row>
    <row r="1053" spans="2:8" x14ac:dyDescent="0.3">
      <c r="B1053" s="4">
        <v>39324</v>
      </c>
      <c r="C1053" s="7">
        <v>79.28</v>
      </c>
      <c r="D1053" s="6">
        <f t="shared" si="36"/>
        <v>-0.95096426229913777</v>
      </c>
      <c r="E1053" s="6">
        <v>1.2904050083045933E-2</v>
      </c>
      <c r="F1053" s="6"/>
      <c r="G1053" s="6">
        <v>1046</v>
      </c>
      <c r="H1053" s="6">
        <f t="shared" ca="1" si="37"/>
        <v>2.1112052312998232E-3</v>
      </c>
    </row>
    <row r="1054" spans="2:8" x14ac:dyDescent="0.3">
      <c r="B1054" s="4">
        <v>44028</v>
      </c>
      <c r="C1054" s="5">
        <v>1616.78</v>
      </c>
      <c r="D1054" s="6">
        <f t="shared" si="36"/>
        <v>7.9181973633405045</v>
      </c>
      <c r="E1054" s="6">
        <v>1.2893121162761513E-2</v>
      </c>
      <c r="F1054" s="6"/>
      <c r="G1054" s="6">
        <v>1047</v>
      </c>
      <c r="H1054" s="6">
        <f t="shared" ca="1" si="37"/>
        <v>2.2159970705232276E-2</v>
      </c>
    </row>
    <row r="1055" spans="2:8" x14ac:dyDescent="0.3">
      <c r="B1055" s="4">
        <v>40296</v>
      </c>
      <c r="C1055" s="7">
        <v>181.29</v>
      </c>
      <c r="D1055" s="6">
        <f t="shared" si="36"/>
        <v>-0.744841660802252</v>
      </c>
      <c r="E1055" s="6">
        <v>1.2849879881557533E-2</v>
      </c>
      <c r="F1055" s="6"/>
      <c r="G1055" s="6">
        <v>1048</v>
      </c>
      <c r="H1055" s="6">
        <f t="shared" ca="1" si="37"/>
        <v>-1.1641337808239391E-3</v>
      </c>
    </row>
    <row r="1056" spans="2:8" x14ac:dyDescent="0.3">
      <c r="B1056" s="4">
        <v>42188</v>
      </c>
      <c r="C1056" s="7">
        <v>710.5</v>
      </c>
      <c r="D1056" s="6">
        <f t="shared" si="36"/>
        <v>5.6732412886259036</v>
      </c>
      <c r="E1056" s="6">
        <v>1.2844089010534706E-2</v>
      </c>
      <c r="F1056" s="6"/>
      <c r="G1056" s="6">
        <v>1049</v>
      </c>
      <c r="H1056" s="6">
        <f t="shared" ca="1" si="37"/>
        <v>6.8125500949157529E-3</v>
      </c>
    </row>
    <row r="1057" spans="2:8" x14ac:dyDescent="0.3">
      <c r="B1057" s="4">
        <v>39671</v>
      </c>
      <c r="C1057" s="7">
        <v>106.47</v>
      </c>
      <c r="D1057" s="6">
        <f t="shared" si="36"/>
        <v>-0.72571296081613734</v>
      </c>
      <c r="E1057" s="6">
        <v>1.2842465753424603E-2</v>
      </c>
      <c r="F1057" s="6"/>
      <c r="G1057" s="6">
        <v>1050</v>
      </c>
      <c r="H1057" s="6">
        <f t="shared" ca="1" si="37"/>
        <v>-1.4105291813860065E-2</v>
      </c>
    </row>
    <row r="1058" spans="2:8" x14ac:dyDescent="0.3">
      <c r="B1058" s="4">
        <v>41291</v>
      </c>
      <c r="C1058" s="7">
        <v>388.17</v>
      </c>
      <c r="D1058" s="6">
        <f t="shared" si="36"/>
        <v>5.4727363681840933</v>
      </c>
      <c r="E1058" s="6">
        <v>1.2837573385518632E-2</v>
      </c>
      <c r="F1058" s="6"/>
      <c r="G1058" s="6">
        <v>1051</v>
      </c>
      <c r="H1058" s="6">
        <f t="shared" ca="1" si="37"/>
        <v>2.5599667256113504E-3</v>
      </c>
    </row>
    <row r="1059" spans="2:8" x14ac:dyDescent="0.3">
      <c r="B1059" s="4">
        <v>39056</v>
      </c>
      <c r="C1059" s="7">
        <v>59.97</v>
      </c>
      <c r="D1059" s="6">
        <f t="shared" si="36"/>
        <v>-0.92017410749940098</v>
      </c>
      <c r="E1059" s="6">
        <v>1.2835669650396859E-2</v>
      </c>
      <c r="F1059" s="6"/>
      <c r="G1059" s="6">
        <v>1052</v>
      </c>
      <c r="H1059" s="6">
        <f t="shared" ca="1" si="37"/>
        <v>-1.3135733596638411E-2</v>
      </c>
    </row>
    <row r="1060" spans="2:8" x14ac:dyDescent="0.3">
      <c r="B1060" s="4">
        <v>42095</v>
      </c>
      <c r="C1060" s="7">
        <v>751.26</v>
      </c>
      <c r="D1060" s="6">
        <f t="shared" si="36"/>
        <v>3.3412886449003176</v>
      </c>
      <c r="E1060" s="6">
        <v>1.2821031344792708E-2</v>
      </c>
      <c r="F1060" s="6"/>
      <c r="G1060" s="6">
        <v>1053</v>
      </c>
      <c r="H1060" s="6">
        <f t="shared" ca="1" si="37"/>
        <v>-1.5821653972463136E-2</v>
      </c>
    </row>
    <row r="1061" spans="2:8" x14ac:dyDescent="0.3">
      <c r="B1061" s="4">
        <v>40255</v>
      </c>
      <c r="C1061" s="7">
        <v>173.05</v>
      </c>
      <c r="D1061" s="6">
        <f t="shared" si="36"/>
        <v>-0.94805845787197252</v>
      </c>
      <c r="E1061" s="6">
        <v>1.2817511412852613E-2</v>
      </c>
      <c r="F1061" s="6"/>
      <c r="G1061" s="6">
        <v>1054</v>
      </c>
      <c r="H1061" s="6">
        <f t="shared" ca="1" si="37"/>
        <v>-2.4410116199789144E-3</v>
      </c>
    </row>
    <row r="1062" spans="2:8" x14ac:dyDescent="0.3">
      <c r="B1062" s="4">
        <v>44776</v>
      </c>
      <c r="C1062" s="5">
        <v>3331.63</v>
      </c>
      <c r="D1062" s="6">
        <f t="shared" si="36"/>
        <v>0.12264166837957051</v>
      </c>
      <c r="E1062" s="6">
        <v>1.2810496459937658E-2</v>
      </c>
      <c r="F1062" s="6"/>
      <c r="G1062" s="6">
        <v>1055</v>
      </c>
      <c r="H1062" s="6">
        <f t="shared" ca="1" si="37"/>
        <v>-4.2089978626004077E-3</v>
      </c>
    </row>
    <row r="1063" spans="2:8" x14ac:dyDescent="0.3">
      <c r="B1063" s="4">
        <v>44650</v>
      </c>
      <c r="C1063" s="5">
        <v>2967.67</v>
      </c>
      <c r="D1063" s="6">
        <f t="shared" si="36"/>
        <v>5.7924057586230573</v>
      </c>
      <c r="E1063" s="6">
        <v>1.2801348731809941E-2</v>
      </c>
      <c r="F1063" s="6"/>
      <c r="G1063" s="6">
        <v>1056</v>
      </c>
      <c r="H1063" s="6">
        <f t="shared" ca="1" si="37"/>
        <v>2.694572408943734E-2</v>
      </c>
    </row>
    <row r="1064" spans="2:8" x14ac:dyDescent="0.3">
      <c r="B1064" s="4">
        <v>41668</v>
      </c>
      <c r="C1064" s="7">
        <v>436.91</v>
      </c>
      <c r="D1064" s="6">
        <f t="shared" si="36"/>
        <v>-0.85814011630361031</v>
      </c>
      <c r="E1064" s="6">
        <v>1.2795845986230648E-2</v>
      </c>
      <c r="F1064" s="6"/>
      <c r="G1064" s="6">
        <v>1057</v>
      </c>
      <c r="H1064" s="6">
        <f t="shared" ca="1" si="37"/>
        <v>-2.5025516027475412E-2</v>
      </c>
    </row>
    <row r="1065" spans="2:8" x14ac:dyDescent="0.3">
      <c r="B1065" s="4">
        <v>44895</v>
      </c>
      <c r="C1065" s="5">
        <v>3079.87</v>
      </c>
      <c r="D1065" s="6">
        <f t="shared" si="36"/>
        <v>31.058603101904861</v>
      </c>
      <c r="E1065" s="6">
        <v>1.2788640504047995E-2</v>
      </c>
      <c r="F1065" s="6"/>
      <c r="G1065" s="6">
        <v>1058</v>
      </c>
      <c r="H1065" s="6">
        <f t="shared" ca="1" si="37"/>
        <v>-3.4381538212823067E-4</v>
      </c>
    </row>
    <row r="1066" spans="2:8" x14ac:dyDescent="0.3">
      <c r="B1066" s="4">
        <v>39981</v>
      </c>
      <c r="C1066" s="7">
        <v>96.07</v>
      </c>
      <c r="D1066" s="6">
        <f t="shared" si="36"/>
        <v>-0.96886797649948631</v>
      </c>
      <c r="E1066" s="6">
        <v>1.2755639890364682E-2</v>
      </c>
      <c r="F1066" s="6"/>
      <c r="G1066" s="6">
        <v>1059</v>
      </c>
      <c r="H1066" s="6">
        <f t="shared" ca="1" si="37"/>
        <v>2.5513249597798431E-4</v>
      </c>
    </row>
    <row r="1067" spans="2:8" x14ac:dyDescent="0.3">
      <c r="B1067" s="4">
        <v>44869</v>
      </c>
      <c r="C1067" s="5">
        <v>3085.89</v>
      </c>
      <c r="D1067" s="6">
        <f t="shared" si="36"/>
        <v>2.8476951658956873</v>
      </c>
      <c r="E1067" s="6">
        <v>1.2750078764965313E-2</v>
      </c>
      <c r="F1067" s="6"/>
      <c r="G1067" s="6">
        <v>1060</v>
      </c>
      <c r="H1067" s="6">
        <f t="shared" ca="1" si="37"/>
        <v>-1.6617288773565424E-2</v>
      </c>
    </row>
    <row r="1068" spans="2:8" x14ac:dyDescent="0.3">
      <c r="B1068" s="4">
        <v>42398</v>
      </c>
      <c r="C1068" s="7">
        <v>802.01</v>
      </c>
      <c r="D1068" s="6">
        <f t="shared" si="36"/>
        <v>33.719047619047615</v>
      </c>
      <c r="E1068" s="6">
        <v>1.2741185978381695E-2</v>
      </c>
      <c r="F1068" s="6"/>
      <c r="G1068" s="6">
        <v>1061</v>
      </c>
      <c r="H1068" s="6">
        <f t="shared" ca="1" si="37"/>
        <v>-2.2429958960147683E-2</v>
      </c>
    </row>
    <row r="1069" spans="2:8" x14ac:dyDescent="0.3">
      <c r="B1069" s="4">
        <v>37872</v>
      </c>
      <c r="C1069" s="7">
        <v>23.1</v>
      </c>
      <c r="D1069" s="6">
        <f t="shared" si="36"/>
        <v>-0.77890505359877482</v>
      </c>
      <c r="E1069" s="6">
        <v>1.2713722051731815E-2</v>
      </c>
      <c r="F1069" s="6"/>
      <c r="G1069" s="6">
        <v>1062</v>
      </c>
      <c r="H1069" s="6">
        <f t="shared" ca="1" si="37"/>
        <v>-3.3191201671264004E-3</v>
      </c>
    </row>
    <row r="1070" spans="2:8" x14ac:dyDescent="0.3">
      <c r="B1070" s="4">
        <v>39595</v>
      </c>
      <c r="C1070" s="7">
        <v>104.48</v>
      </c>
      <c r="D1070" s="6">
        <f t="shared" si="36"/>
        <v>-0.94036733901807013</v>
      </c>
      <c r="E1070" s="6">
        <v>1.2697489580304373E-2</v>
      </c>
      <c r="F1070" s="6"/>
      <c r="G1070" s="6">
        <v>1063</v>
      </c>
      <c r="H1070" s="6">
        <f t="shared" ca="1" si="37"/>
        <v>2.4504742753594117E-3</v>
      </c>
    </row>
    <row r="1071" spans="2:8" x14ac:dyDescent="0.3">
      <c r="B1071" s="4">
        <v>43845</v>
      </c>
      <c r="C1071" s="5">
        <v>1752.06</v>
      </c>
      <c r="D1071" s="6">
        <f t="shared" si="36"/>
        <v>28.660741493143728</v>
      </c>
      <c r="E1071" s="6">
        <v>1.2692907924397456E-2</v>
      </c>
      <c r="F1071" s="6"/>
      <c r="G1071" s="6">
        <v>1064</v>
      </c>
      <c r="H1071" s="6">
        <f t="shared" ca="1" si="37"/>
        <v>-7.3575221616012237E-3</v>
      </c>
    </row>
    <row r="1072" spans="2:8" x14ac:dyDescent="0.3">
      <c r="B1072" s="4">
        <v>39064</v>
      </c>
      <c r="C1072" s="7">
        <v>59.07</v>
      </c>
      <c r="D1072" s="6">
        <f t="shared" si="36"/>
        <v>-0.15974395448079654</v>
      </c>
      <c r="E1072" s="6">
        <v>1.2686439225098612E-2</v>
      </c>
      <c r="F1072" s="6"/>
      <c r="G1072" s="6">
        <v>1065</v>
      </c>
      <c r="H1072" s="6">
        <f t="shared" ca="1" si="37"/>
        <v>2.7952356848234362E-2</v>
      </c>
    </row>
    <row r="1073" spans="2:8" x14ac:dyDescent="0.3">
      <c r="B1073" s="4">
        <v>39268</v>
      </c>
      <c r="C1073" s="7">
        <v>70.3</v>
      </c>
      <c r="D1073" s="6">
        <f t="shared" si="36"/>
        <v>-0.91093261032066797</v>
      </c>
      <c r="E1073" s="6">
        <v>1.2676462114664297E-2</v>
      </c>
      <c r="F1073" s="6"/>
      <c r="G1073" s="6">
        <v>1066</v>
      </c>
      <c r="H1073" s="6">
        <f t="shared" ca="1" si="37"/>
        <v>6.8256726835357589E-3</v>
      </c>
    </row>
    <row r="1074" spans="2:8" x14ac:dyDescent="0.3">
      <c r="B1074" s="4">
        <v>42458</v>
      </c>
      <c r="C1074" s="7">
        <v>789.29</v>
      </c>
      <c r="D1074" s="6">
        <f t="shared" si="36"/>
        <v>-0.56119107582656458</v>
      </c>
      <c r="E1074" s="6">
        <v>1.2663262425906451E-2</v>
      </c>
      <c r="F1074" s="6"/>
      <c r="G1074" s="6">
        <v>1067</v>
      </c>
      <c r="H1074" s="6">
        <f t="shared" ca="1" si="37"/>
        <v>1.9714643362041935E-2</v>
      </c>
    </row>
    <row r="1075" spans="2:8" x14ac:dyDescent="0.3">
      <c r="B1075" s="4">
        <v>43865</v>
      </c>
      <c r="C1075" s="5">
        <v>1798.71</v>
      </c>
      <c r="D1075" s="6">
        <f t="shared" si="36"/>
        <v>1.2811215948866232</v>
      </c>
      <c r="E1075" s="6">
        <v>1.2661719832002797E-2</v>
      </c>
      <c r="F1075" s="6"/>
      <c r="G1075" s="6">
        <v>1068</v>
      </c>
      <c r="H1075" s="6">
        <f t="shared" ca="1" si="37"/>
        <v>5.3355689887482918E-2</v>
      </c>
    </row>
    <row r="1076" spans="2:8" x14ac:dyDescent="0.3">
      <c r="B1076" s="4">
        <v>42215</v>
      </c>
      <c r="C1076" s="7">
        <v>788.52</v>
      </c>
      <c r="D1076" s="6">
        <f t="shared" si="36"/>
        <v>8.930982367758185</v>
      </c>
      <c r="E1076" s="6">
        <v>1.2636769918323357E-2</v>
      </c>
      <c r="F1076" s="6"/>
      <c r="G1076" s="6">
        <v>1069</v>
      </c>
      <c r="H1076" s="6">
        <f t="shared" ca="1" si="37"/>
        <v>6.9802362702009475E-3</v>
      </c>
    </row>
    <row r="1077" spans="2:8" x14ac:dyDescent="0.3">
      <c r="B1077" s="4">
        <v>39335</v>
      </c>
      <c r="C1077" s="7">
        <v>79.400000000000006</v>
      </c>
      <c r="D1077" s="6">
        <f t="shared" si="36"/>
        <v>-0.97142435551844641</v>
      </c>
      <c r="E1077" s="6">
        <v>1.2625940568805116E-2</v>
      </c>
      <c r="F1077" s="6"/>
      <c r="G1077" s="6">
        <v>1070</v>
      </c>
      <c r="H1077" s="6">
        <f t="shared" ca="1" si="37"/>
        <v>7.2147567526438072E-4</v>
      </c>
    </row>
    <row r="1078" spans="2:8" x14ac:dyDescent="0.3">
      <c r="B1078" s="4">
        <v>44991</v>
      </c>
      <c r="C1078" s="5">
        <v>2778.59</v>
      </c>
      <c r="D1078" s="6">
        <f t="shared" si="36"/>
        <v>-0.16560863402681011</v>
      </c>
      <c r="E1078" s="6">
        <v>1.2616756014096491E-2</v>
      </c>
      <c r="F1078" s="6"/>
      <c r="G1078" s="6">
        <v>1071</v>
      </c>
      <c r="H1078" s="6">
        <f t="shared" ca="1" si="37"/>
        <v>3.1638985703290549E-3</v>
      </c>
    </row>
    <row r="1079" spans="2:8" x14ac:dyDescent="0.3">
      <c r="B1079" s="4">
        <v>44830</v>
      </c>
      <c r="C1079" s="5">
        <v>3330.08</v>
      </c>
      <c r="D1079" s="6">
        <f t="shared" si="36"/>
        <v>19.398652373660031</v>
      </c>
      <c r="E1079" s="6">
        <v>1.2607111797653739E-2</v>
      </c>
      <c r="F1079" s="6"/>
      <c r="G1079" s="6">
        <v>1072</v>
      </c>
      <c r="H1079" s="6">
        <f t="shared" ca="1" si="37"/>
        <v>1.9085147521472903E-2</v>
      </c>
    </row>
    <row r="1080" spans="2:8" x14ac:dyDescent="0.3">
      <c r="B1080" s="4">
        <v>40192</v>
      </c>
      <c r="C1080" s="7">
        <v>163.25</v>
      </c>
      <c r="D1080" s="6">
        <f t="shared" si="36"/>
        <v>-0.95067156173986611</v>
      </c>
      <c r="E1080" s="6">
        <v>1.259148988959187E-2</v>
      </c>
      <c r="F1080" s="6"/>
      <c r="G1080" s="6">
        <v>1073</v>
      </c>
      <c r="H1080" s="6">
        <f t="shared" ca="1" si="37"/>
        <v>1.2505923576721372E-2</v>
      </c>
    </row>
    <row r="1081" spans="2:8" x14ac:dyDescent="0.3">
      <c r="B1081" s="4">
        <v>45286</v>
      </c>
      <c r="C1081" s="5">
        <v>3309.45</v>
      </c>
      <c r="D1081" s="6">
        <f t="shared" si="36"/>
        <v>43.667971386151969</v>
      </c>
      <c r="E1081" s="6">
        <v>1.2584447055367789E-2</v>
      </c>
      <c r="F1081" s="6"/>
      <c r="G1081" s="6">
        <v>1074</v>
      </c>
      <c r="H1081" s="6">
        <f t="shared" ca="1" si="37"/>
        <v>2.1510650281952627E-2</v>
      </c>
    </row>
    <row r="1082" spans="2:8" x14ac:dyDescent="0.3">
      <c r="B1082" s="4">
        <v>39280</v>
      </c>
      <c r="C1082" s="7">
        <v>74.09</v>
      </c>
      <c r="D1082" s="6">
        <f t="shared" si="36"/>
        <v>9.4548677795834035E-2</v>
      </c>
      <c r="E1082" s="6">
        <v>1.2573459067924035E-2</v>
      </c>
      <c r="F1082" s="6"/>
      <c r="G1082" s="6">
        <v>1075</v>
      </c>
      <c r="H1082" s="6">
        <f t="shared" ca="1" si="37"/>
        <v>3.6498163086809091E-3</v>
      </c>
    </row>
    <row r="1083" spans="2:8" x14ac:dyDescent="0.3">
      <c r="B1083" s="4">
        <v>39850</v>
      </c>
      <c r="C1083" s="7">
        <v>67.69</v>
      </c>
      <c r="D1083" s="6">
        <f t="shared" si="36"/>
        <v>-0.9765041965469603</v>
      </c>
      <c r="E1083" s="6">
        <v>1.2565445026178063E-2</v>
      </c>
      <c r="F1083" s="6"/>
      <c r="G1083" s="6">
        <v>1076</v>
      </c>
      <c r="H1083" s="6">
        <f t="shared" ca="1" si="37"/>
        <v>1.4069702699801298E-2</v>
      </c>
    </row>
    <row r="1084" spans="2:8" x14ac:dyDescent="0.3">
      <c r="B1084" s="4">
        <v>45471</v>
      </c>
      <c r="C1084" s="5">
        <v>2880.94</v>
      </c>
      <c r="D1084" s="6">
        <f t="shared" si="36"/>
        <v>1.8909426616091678</v>
      </c>
      <c r="E1084" s="6">
        <v>1.2565065953416115E-2</v>
      </c>
      <c r="F1084" s="6"/>
      <c r="G1084" s="6">
        <v>1077</v>
      </c>
      <c r="H1084" s="6">
        <f t="shared" ca="1" si="37"/>
        <v>-3.265257608159905E-3</v>
      </c>
    </row>
    <row r="1085" spans="2:8" x14ac:dyDescent="0.3">
      <c r="B1085" s="4">
        <v>42836</v>
      </c>
      <c r="C1085" s="7">
        <v>996.54</v>
      </c>
      <c r="D1085" s="6">
        <f t="shared" si="36"/>
        <v>-9.2255561020932381E-2</v>
      </c>
      <c r="E1085" s="6">
        <v>1.2548390046637244E-2</v>
      </c>
      <c r="F1085" s="6"/>
      <c r="G1085" s="6">
        <v>1078</v>
      </c>
      <c r="H1085" s="6">
        <f t="shared" ca="1" si="37"/>
        <v>6.8153407805455687E-7</v>
      </c>
    </row>
    <row r="1086" spans="2:8" x14ac:dyDescent="0.3">
      <c r="B1086" s="4">
        <v>43067</v>
      </c>
      <c r="C1086" s="5">
        <v>1097.82</v>
      </c>
      <c r="D1086" s="6">
        <f t="shared" si="36"/>
        <v>22.034410407049936</v>
      </c>
      <c r="E1086" s="6">
        <v>1.2543579716293657E-2</v>
      </c>
      <c r="F1086" s="6"/>
      <c r="G1086" s="6">
        <v>1079</v>
      </c>
      <c r="H1086" s="6">
        <f t="shared" ca="1" si="37"/>
        <v>6.020583678876067E-4</v>
      </c>
    </row>
    <row r="1087" spans="2:8" x14ac:dyDescent="0.3">
      <c r="B1087" s="4">
        <v>38895</v>
      </c>
      <c r="C1087" s="7">
        <v>47.66</v>
      </c>
      <c r="D1087" s="6">
        <f t="shared" si="36"/>
        <v>-0.95527318455676724</v>
      </c>
      <c r="E1087" s="6">
        <v>1.2534523050775362E-2</v>
      </c>
      <c r="F1087" s="6"/>
      <c r="G1087" s="6">
        <v>1080</v>
      </c>
      <c r="H1087" s="6">
        <f t="shared" ca="1" si="37"/>
        <v>-1.12940612464301E-2</v>
      </c>
    </row>
    <row r="1088" spans="2:8" x14ac:dyDescent="0.3">
      <c r="B1088" s="4">
        <v>42860</v>
      </c>
      <c r="C1088" s="5">
        <v>1065.58</v>
      </c>
      <c r="D1088" s="6">
        <f t="shared" si="36"/>
        <v>-0.63561194131929011</v>
      </c>
      <c r="E1088" s="6">
        <v>1.2533376409885904E-2</v>
      </c>
      <c r="F1088" s="6"/>
      <c r="G1088" s="6">
        <v>1081</v>
      </c>
      <c r="H1088" s="6">
        <f t="shared" ca="1" si="37"/>
        <v>-4.5179482504827057E-3</v>
      </c>
    </row>
    <row r="1089" spans="2:8" x14ac:dyDescent="0.3">
      <c r="B1089" s="4">
        <v>44384</v>
      </c>
      <c r="C1089" s="5">
        <v>2924.3</v>
      </c>
      <c r="D1089" s="6">
        <f t="shared" si="36"/>
        <v>94.161080377481298</v>
      </c>
      <c r="E1089" s="6">
        <v>1.2523674488336769E-2</v>
      </c>
      <c r="F1089" s="6"/>
      <c r="G1089" s="6">
        <v>1082</v>
      </c>
      <c r="H1089" s="6">
        <f t="shared" ca="1" si="37"/>
        <v>-1.2069957619971868E-2</v>
      </c>
    </row>
    <row r="1090" spans="2:8" x14ac:dyDescent="0.3">
      <c r="B1090" s="4">
        <v>38504</v>
      </c>
      <c r="C1090" s="7">
        <v>30.73</v>
      </c>
      <c r="D1090" s="6">
        <f t="shared" si="36"/>
        <v>-0.93117581187010079</v>
      </c>
      <c r="E1090" s="6">
        <v>1.2520593080724843E-2</v>
      </c>
      <c r="F1090" s="6"/>
      <c r="G1090" s="6">
        <v>1083</v>
      </c>
      <c r="H1090" s="6">
        <f t="shared" ca="1" si="37"/>
        <v>-2.1574122109490491E-2</v>
      </c>
    </row>
    <row r="1091" spans="2:8" x14ac:dyDescent="0.3">
      <c r="B1091" s="4">
        <v>41654</v>
      </c>
      <c r="C1091" s="7">
        <v>446.5</v>
      </c>
      <c r="D1091" s="6">
        <f t="shared" si="36"/>
        <v>-0.84333223391041345</v>
      </c>
      <c r="E1091" s="6">
        <v>1.2517574493174251E-2</v>
      </c>
      <c r="F1091" s="6"/>
      <c r="G1091" s="6">
        <v>1084</v>
      </c>
      <c r="H1091" s="6">
        <f t="shared" ca="1" si="37"/>
        <v>3.3718355968918182E-3</v>
      </c>
    </row>
    <row r="1092" spans="2:8" x14ac:dyDescent="0.3">
      <c r="B1092" s="4">
        <v>44347</v>
      </c>
      <c r="C1092" s="5">
        <v>2849.98</v>
      </c>
      <c r="D1092" s="6">
        <f t="shared" si="36"/>
        <v>116.28312757201645</v>
      </c>
      <c r="E1092" s="6">
        <v>1.2516209254818373E-2</v>
      </c>
      <c r="F1092" s="6"/>
      <c r="G1092" s="6">
        <v>1085</v>
      </c>
      <c r="H1092" s="6">
        <f t="shared" ca="1" si="37"/>
        <v>1.6798465451868569E-2</v>
      </c>
    </row>
    <row r="1093" spans="2:8" x14ac:dyDescent="0.3">
      <c r="B1093" s="4">
        <v>37960</v>
      </c>
      <c r="C1093" s="7">
        <v>24.3</v>
      </c>
      <c r="D1093" s="6">
        <f t="shared" si="36"/>
        <v>-0.97065004710486269</v>
      </c>
      <c r="E1093" s="6">
        <v>1.250000000000003E-2</v>
      </c>
      <c r="F1093" s="6"/>
      <c r="G1093" s="6">
        <v>1086</v>
      </c>
      <c r="H1093" s="6">
        <f t="shared" ca="1" si="37"/>
        <v>1.1923294783076431E-2</v>
      </c>
    </row>
    <row r="1094" spans="2:8" x14ac:dyDescent="0.3">
      <c r="B1094" s="4">
        <v>42734</v>
      </c>
      <c r="C1094" s="7">
        <v>827.94</v>
      </c>
      <c r="D1094" s="6">
        <f t="shared" si="36"/>
        <v>-0.37631168596373604</v>
      </c>
      <c r="E1094" s="6">
        <v>1.2498165631267459E-2</v>
      </c>
      <c r="F1094" s="6"/>
      <c r="G1094" s="6">
        <v>1087</v>
      </c>
      <c r="H1094" s="6">
        <f t="shared" ca="1" si="37"/>
        <v>1.0435365413272954E-2</v>
      </c>
    </row>
    <row r="1095" spans="2:8" x14ac:dyDescent="0.3">
      <c r="B1095" s="4">
        <v>43480</v>
      </c>
      <c r="C1095" s="5">
        <v>1327.49</v>
      </c>
      <c r="D1095" s="6">
        <f t="shared" si="36"/>
        <v>53.517043121149896</v>
      </c>
      <c r="E1095" s="6">
        <v>1.2493230926466972E-2</v>
      </c>
      <c r="F1095" s="6"/>
      <c r="G1095" s="6">
        <v>1088</v>
      </c>
      <c r="H1095" s="6">
        <f t="shared" ca="1" si="37"/>
        <v>9.8489154201151577E-3</v>
      </c>
    </row>
    <row r="1096" spans="2:8" x14ac:dyDescent="0.3">
      <c r="B1096" s="4">
        <v>38324</v>
      </c>
      <c r="C1096" s="7">
        <v>24.35</v>
      </c>
      <c r="D1096" s="6">
        <f t="shared" ref="D1096:D1159" si="38">((C1096-C1097)/C1097)</f>
        <v>-0.94737865756148154</v>
      </c>
      <c r="E1096" s="6">
        <v>1.2474012474012502E-2</v>
      </c>
      <c r="F1096" s="6"/>
      <c r="G1096" s="6">
        <v>1089</v>
      </c>
      <c r="H1096" s="6">
        <f t="shared" ca="1" si="37"/>
        <v>2.1976460702286597E-2</v>
      </c>
    </row>
    <row r="1097" spans="2:8" x14ac:dyDescent="0.3">
      <c r="B1097" s="4">
        <v>41761</v>
      </c>
      <c r="C1097" s="7">
        <v>462.74</v>
      </c>
      <c r="D1097" s="6">
        <f t="shared" si="38"/>
        <v>13.985103626943006</v>
      </c>
      <c r="E1097" s="6">
        <v>1.2471556100122502E-2</v>
      </c>
      <c r="F1097" s="6"/>
      <c r="G1097" s="6">
        <v>1090</v>
      </c>
      <c r="H1097" s="6">
        <f t="shared" ref="H1097:H1160" ca="1" si="39">_xlfn.NORM.INV(RAND(),N$10,N$11)</f>
        <v>-2.4512404188981778E-3</v>
      </c>
    </row>
    <row r="1098" spans="2:8" x14ac:dyDescent="0.3">
      <c r="B1098" s="4">
        <v>38506</v>
      </c>
      <c r="C1098" s="7">
        <v>30.88</v>
      </c>
      <c r="D1098" s="6">
        <f t="shared" si="38"/>
        <v>-0.97101422067865006</v>
      </c>
      <c r="E1098" s="6">
        <v>1.2459016393442591E-2</v>
      </c>
      <c r="F1098" s="6"/>
      <c r="G1098" s="6">
        <v>1091</v>
      </c>
      <c r="H1098" s="6">
        <f t="shared" ca="1" si="39"/>
        <v>3.8426962800976169E-2</v>
      </c>
    </row>
    <row r="1099" spans="2:8" x14ac:dyDescent="0.3">
      <c r="B1099" s="4">
        <v>42884</v>
      </c>
      <c r="C1099" s="5">
        <v>1065.3499999999999</v>
      </c>
      <c r="D1099" s="6">
        <f t="shared" si="38"/>
        <v>0.3053840121550751</v>
      </c>
      <c r="E1099" s="6">
        <v>1.2449512948443724E-2</v>
      </c>
      <c r="F1099" s="6"/>
      <c r="G1099" s="6">
        <v>1092</v>
      </c>
      <c r="H1099" s="6">
        <f t="shared" ca="1" si="39"/>
        <v>5.8366706067275809E-3</v>
      </c>
    </row>
    <row r="1100" spans="2:8" x14ac:dyDescent="0.3">
      <c r="B1100" s="4">
        <v>42478</v>
      </c>
      <c r="C1100" s="7">
        <v>816.12</v>
      </c>
      <c r="D1100" s="6">
        <f t="shared" si="38"/>
        <v>0.39003951492028888</v>
      </c>
      <c r="E1100" s="6">
        <v>1.2417660120827172E-2</v>
      </c>
      <c r="F1100" s="6"/>
      <c r="G1100" s="6">
        <v>1093</v>
      </c>
      <c r="H1100" s="6">
        <f t="shared" ca="1" si="39"/>
        <v>6.4984435553518977E-3</v>
      </c>
    </row>
    <row r="1101" spans="2:8" x14ac:dyDescent="0.3">
      <c r="B1101" s="4">
        <v>41850</v>
      </c>
      <c r="C1101" s="7">
        <v>587.12</v>
      </c>
      <c r="D1101" s="6">
        <f t="shared" si="38"/>
        <v>0.54721058318180615</v>
      </c>
      <c r="E1101" s="6">
        <v>1.2415505586977594E-2</v>
      </c>
      <c r="F1101" s="6"/>
      <c r="G1101" s="6">
        <v>1094</v>
      </c>
      <c r="H1101" s="6">
        <f t="shared" ca="1" si="39"/>
        <v>-4.4382629623026344E-3</v>
      </c>
    </row>
    <row r="1102" spans="2:8" x14ac:dyDescent="0.3">
      <c r="B1102" s="4">
        <v>41508</v>
      </c>
      <c r="C1102" s="7">
        <v>379.47</v>
      </c>
      <c r="D1102" s="6">
        <f t="shared" si="38"/>
        <v>19.206070287539937</v>
      </c>
      <c r="E1102" s="6">
        <v>1.240595485833209E-2</v>
      </c>
      <c r="F1102" s="6"/>
      <c r="G1102" s="6">
        <v>1095</v>
      </c>
      <c r="H1102" s="6">
        <f t="shared" ca="1" si="39"/>
        <v>-2.859179974878346E-2</v>
      </c>
    </row>
    <row r="1103" spans="2:8" x14ac:dyDescent="0.3">
      <c r="B1103" s="4">
        <v>37789</v>
      </c>
      <c r="C1103" s="7">
        <v>18.78</v>
      </c>
      <c r="D1103" s="6">
        <f t="shared" si="38"/>
        <v>-0.94588831902264725</v>
      </c>
      <c r="E1103" s="6">
        <v>1.239892183288412E-2</v>
      </c>
      <c r="F1103" s="6"/>
      <c r="G1103" s="6">
        <v>1096</v>
      </c>
      <c r="H1103" s="6">
        <f t="shared" ca="1" si="39"/>
        <v>1.7622652140476633E-2</v>
      </c>
    </row>
    <row r="1104" spans="2:8" x14ac:dyDescent="0.3">
      <c r="B1104" s="4">
        <v>41072</v>
      </c>
      <c r="C1104" s="7">
        <v>347.06</v>
      </c>
      <c r="D1104" s="6">
        <f t="shared" si="38"/>
        <v>5.4258470653582673</v>
      </c>
      <c r="E1104" s="6">
        <v>1.239753799480762E-2</v>
      </c>
      <c r="F1104" s="6"/>
      <c r="G1104" s="6">
        <v>1097</v>
      </c>
      <c r="H1104" s="6">
        <f t="shared" ca="1" si="39"/>
        <v>4.3685600325758288E-3</v>
      </c>
    </row>
    <row r="1105" spans="2:8" x14ac:dyDescent="0.3">
      <c r="B1105" s="4">
        <v>39010</v>
      </c>
      <c r="C1105" s="7">
        <v>54.01</v>
      </c>
      <c r="D1105" s="6">
        <f t="shared" si="38"/>
        <v>-0.91093337730870716</v>
      </c>
      <c r="E1105" s="6">
        <v>1.2371134020618492E-2</v>
      </c>
      <c r="F1105" s="6"/>
      <c r="G1105" s="6">
        <v>1098</v>
      </c>
      <c r="H1105" s="6">
        <f t="shared" ca="1" si="39"/>
        <v>-2.5353220760334109E-3</v>
      </c>
    </row>
    <row r="1106" spans="2:8" x14ac:dyDescent="0.3">
      <c r="B1106" s="4">
        <v>41922</v>
      </c>
      <c r="C1106" s="7">
        <v>606.4</v>
      </c>
      <c r="D1106" s="6">
        <f t="shared" si="38"/>
        <v>5.7235835458476556</v>
      </c>
      <c r="E1106" s="6">
        <v>1.2370824220771579E-2</v>
      </c>
      <c r="F1106" s="6"/>
      <c r="G1106" s="6">
        <v>1099</v>
      </c>
      <c r="H1106" s="6">
        <f t="shared" ca="1" si="39"/>
        <v>-1.5147133567748933E-2</v>
      </c>
    </row>
    <row r="1107" spans="2:8" x14ac:dyDescent="0.3">
      <c r="B1107" s="4">
        <v>39650</v>
      </c>
      <c r="C1107" s="7">
        <v>90.19</v>
      </c>
      <c r="D1107" s="6">
        <f t="shared" si="38"/>
        <v>-0.9709034480978681</v>
      </c>
      <c r="E1107" s="6">
        <v>1.2347064765966935E-2</v>
      </c>
      <c r="F1107" s="6"/>
      <c r="G1107" s="6">
        <v>1100</v>
      </c>
      <c r="H1107" s="6">
        <f t="shared" ca="1" si="39"/>
        <v>1.7724039490084185E-2</v>
      </c>
    </row>
    <row r="1108" spans="2:8" x14ac:dyDescent="0.3">
      <c r="B1108" s="4">
        <v>45247</v>
      </c>
      <c r="C1108" s="5">
        <v>3099.68</v>
      </c>
      <c r="D1108" s="6">
        <f t="shared" si="38"/>
        <v>1.8539545161587332</v>
      </c>
      <c r="E1108" s="6">
        <v>1.2328825283399687E-2</v>
      </c>
      <c r="F1108" s="6"/>
      <c r="G1108" s="6">
        <v>1101</v>
      </c>
      <c r="H1108" s="6">
        <f t="shared" ca="1" si="39"/>
        <v>1.9503185636876037E-3</v>
      </c>
    </row>
    <row r="1109" spans="2:8" x14ac:dyDescent="0.3">
      <c r="B1109" s="4">
        <v>43098</v>
      </c>
      <c r="C1109" s="5">
        <v>1086.0999999999999</v>
      </c>
      <c r="D1109" s="6">
        <f t="shared" si="38"/>
        <v>34.715225254850374</v>
      </c>
      <c r="E1109" s="6">
        <v>1.2321974498545782E-2</v>
      </c>
      <c r="F1109" s="6"/>
      <c r="G1109" s="6">
        <v>1102</v>
      </c>
      <c r="H1109" s="6">
        <f t="shared" ca="1" si="39"/>
        <v>-3.7477812885877176E-2</v>
      </c>
    </row>
    <row r="1110" spans="2:8" x14ac:dyDescent="0.3">
      <c r="B1110" s="4">
        <v>38483</v>
      </c>
      <c r="C1110" s="7">
        <v>30.41</v>
      </c>
      <c r="D1110" s="6">
        <f t="shared" si="38"/>
        <v>-0.93299253024260176</v>
      </c>
      <c r="E1110" s="6">
        <v>1.2316910785619207E-2</v>
      </c>
      <c r="F1110" s="6"/>
      <c r="G1110" s="6">
        <v>1103</v>
      </c>
      <c r="H1110" s="6">
        <f t="shared" ca="1" si="39"/>
        <v>1.9249123591783802E-2</v>
      </c>
    </row>
    <row r="1111" spans="2:8" x14ac:dyDescent="0.3">
      <c r="B1111" s="4">
        <v>41716</v>
      </c>
      <c r="C1111" s="7">
        <v>453.83</v>
      </c>
      <c r="D1111" s="6">
        <f t="shared" si="38"/>
        <v>0.11932420767048957</v>
      </c>
      <c r="E1111" s="6">
        <v>1.2312908478508135E-2</v>
      </c>
      <c r="F1111" s="6"/>
      <c r="G1111" s="6">
        <v>1104</v>
      </c>
      <c r="H1111" s="6">
        <f t="shared" ca="1" si="39"/>
        <v>-7.5322265888537032E-3</v>
      </c>
    </row>
    <row r="1112" spans="2:8" x14ac:dyDescent="0.3">
      <c r="B1112" s="4">
        <v>41319</v>
      </c>
      <c r="C1112" s="7">
        <v>405.45</v>
      </c>
      <c r="D1112" s="6">
        <f t="shared" si="38"/>
        <v>-0.68723483036857613</v>
      </c>
      <c r="E1112" s="6">
        <v>1.2308998302207148E-2</v>
      </c>
      <c r="F1112" s="6"/>
      <c r="G1112" s="6">
        <v>1105</v>
      </c>
      <c r="H1112" s="6">
        <f t="shared" ca="1" si="39"/>
        <v>1.2911330890530556E-2</v>
      </c>
    </row>
    <row r="1113" spans="2:8" x14ac:dyDescent="0.3">
      <c r="B1113" s="4">
        <v>43298</v>
      </c>
      <c r="C1113" s="5">
        <v>1296.3399999999999</v>
      </c>
      <c r="D1113" s="6">
        <f t="shared" si="38"/>
        <v>7.5000327847354269</v>
      </c>
      <c r="E1113" s="6">
        <v>1.2283208783314218E-2</v>
      </c>
      <c r="F1113" s="6"/>
      <c r="G1113" s="6">
        <v>1106</v>
      </c>
      <c r="H1113" s="6">
        <f t="shared" ca="1" si="39"/>
        <v>1.2974757482981464E-2</v>
      </c>
    </row>
    <row r="1114" spans="2:8" x14ac:dyDescent="0.3">
      <c r="B1114" s="4">
        <v>40170</v>
      </c>
      <c r="C1114" s="7">
        <v>152.51</v>
      </c>
      <c r="D1114" s="6">
        <f t="shared" si="38"/>
        <v>-0.57095031789793504</v>
      </c>
      <c r="E1114" s="6">
        <v>1.2279304393999697E-2</v>
      </c>
      <c r="F1114" s="6"/>
      <c r="G1114" s="6">
        <v>1107</v>
      </c>
      <c r="H1114" s="6">
        <f t="shared" ca="1" si="39"/>
        <v>-3.3947290976016141E-2</v>
      </c>
    </row>
    <row r="1115" spans="2:8" x14ac:dyDescent="0.3">
      <c r="B1115" s="4">
        <v>41235</v>
      </c>
      <c r="C1115" s="7">
        <v>355.46</v>
      </c>
      <c r="D1115" s="6">
        <f t="shared" si="38"/>
        <v>2.418870828123497</v>
      </c>
      <c r="E1115" s="6">
        <v>1.2273956998433725E-2</v>
      </c>
      <c r="F1115" s="6"/>
      <c r="G1115" s="6">
        <v>1108</v>
      </c>
      <c r="H1115" s="6">
        <f t="shared" ca="1" si="39"/>
        <v>-1.3821555303973119E-2</v>
      </c>
    </row>
    <row r="1116" spans="2:8" x14ac:dyDescent="0.3">
      <c r="B1116" s="4">
        <v>39664</v>
      </c>
      <c r="C1116" s="7">
        <v>103.97</v>
      </c>
      <c r="D1116" s="6">
        <f t="shared" si="38"/>
        <v>0.5550403828896201</v>
      </c>
      <c r="E1116" s="6">
        <v>1.2267549410962955E-2</v>
      </c>
      <c r="F1116" s="6"/>
      <c r="G1116" s="6">
        <v>1109</v>
      </c>
      <c r="H1116" s="6">
        <f t="shared" ca="1" si="39"/>
        <v>9.2823987816147645E-4</v>
      </c>
    </row>
    <row r="1117" spans="2:8" x14ac:dyDescent="0.3">
      <c r="B1117" s="4">
        <v>39196</v>
      </c>
      <c r="C1117" s="7">
        <v>66.86</v>
      </c>
      <c r="D1117" s="6">
        <f t="shared" si="38"/>
        <v>-0.62861745264678115</v>
      </c>
      <c r="E1117" s="6">
        <v>1.2263436790310406E-2</v>
      </c>
      <c r="F1117" s="6"/>
      <c r="G1117" s="6">
        <v>1110</v>
      </c>
      <c r="H1117" s="6">
        <f t="shared" ca="1" si="39"/>
        <v>-5.3136969578555697E-3</v>
      </c>
    </row>
    <row r="1118" spans="2:8" x14ac:dyDescent="0.3">
      <c r="B1118" s="4">
        <v>40290</v>
      </c>
      <c r="C1118" s="7">
        <v>180.03</v>
      </c>
      <c r="D1118" s="6">
        <f t="shared" si="38"/>
        <v>-0.86228236590067631</v>
      </c>
      <c r="E1118" s="6">
        <v>1.2257520382344711E-2</v>
      </c>
      <c r="F1118" s="6"/>
      <c r="G1118" s="6">
        <v>1111</v>
      </c>
      <c r="H1118" s="6">
        <f t="shared" ca="1" si="39"/>
        <v>1.3883700502531042E-2</v>
      </c>
    </row>
    <row r="1119" spans="2:8" x14ac:dyDescent="0.3">
      <c r="B1119" s="4">
        <v>43609</v>
      </c>
      <c r="C1119" s="5">
        <v>1307.24</v>
      </c>
      <c r="D1119" s="6">
        <f t="shared" si="38"/>
        <v>0.24216307642603965</v>
      </c>
      <c r="E1119" s="6">
        <v>1.2250081305849325E-2</v>
      </c>
      <c r="F1119" s="6"/>
      <c r="G1119" s="6">
        <v>1112</v>
      </c>
      <c r="H1119" s="6">
        <f t="shared" ca="1" si="39"/>
        <v>2.0156614399559084E-2</v>
      </c>
    </row>
    <row r="1120" spans="2:8" x14ac:dyDescent="0.3">
      <c r="B1120" s="4">
        <v>42859</v>
      </c>
      <c r="C1120" s="5">
        <v>1052.3900000000001</v>
      </c>
      <c r="D1120" s="6">
        <f t="shared" si="38"/>
        <v>-0.65007115686430983</v>
      </c>
      <c r="E1120" s="6">
        <v>1.2244387588250021E-2</v>
      </c>
      <c r="F1120" s="6"/>
      <c r="G1120" s="6">
        <v>1113</v>
      </c>
      <c r="H1120" s="6">
        <f t="shared" ca="1" si="39"/>
        <v>5.7638471174847631E-3</v>
      </c>
    </row>
    <row r="1121" spans="2:8" x14ac:dyDescent="0.3">
      <c r="B1121" s="4">
        <v>44767</v>
      </c>
      <c r="C1121" s="5">
        <v>3007.44</v>
      </c>
      <c r="D1121" s="6">
        <f t="shared" si="38"/>
        <v>29.307769827673081</v>
      </c>
      <c r="E1121" s="6">
        <v>1.2241381051271054E-2</v>
      </c>
      <c r="F1121" s="6"/>
      <c r="G1121" s="6">
        <v>1114</v>
      </c>
      <c r="H1121" s="6">
        <f t="shared" ca="1" si="39"/>
        <v>-9.3518662687773358E-3</v>
      </c>
    </row>
    <row r="1122" spans="2:8" x14ac:dyDescent="0.3">
      <c r="B1122" s="4">
        <v>39535</v>
      </c>
      <c r="C1122" s="7">
        <v>99.23</v>
      </c>
      <c r="D1122" s="6">
        <f t="shared" si="38"/>
        <v>0.24974811083123422</v>
      </c>
      <c r="E1122" s="6">
        <v>1.2241150668162837E-2</v>
      </c>
      <c r="F1122" s="6"/>
      <c r="G1122" s="6">
        <v>1115</v>
      </c>
      <c r="H1122" s="6">
        <f t="shared" ca="1" si="39"/>
        <v>-1.0896492055470729E-2</v>
      </c>
    </row>
    <row r="1123" spans="2:8" x14ac:dyDescent="0.3">
      <c r="B1123" s="4">
        <v>39923</v>
      </c>
      <c r="C1123" s="7">
        <v>79.400000000000006</v>
      </c>
      <c r="D1123" s="6">
        <f t="shared" si="38"/>
        <v>-0.66444087566562415</v>
      </c>
      <c r="E1123" s="6">
        <v>1.2238653748087813E-2</v>
      </c>
      <c r="F1123" s="6"/>
      <c r="G1123" s="6">
        <v>1116</v>
      </c>
      <c r="H1123" s="6">
        <f t="shared" ca="1" si="39"/>
        <v>-2.5018344053297014E-2</v>
      </c>
    </row>
    <row r="1124" spans="2:8" x14ac:dyDescent="0.3">
      <c r="B1124" s="4">
        <v>40525</v>
      </c>
      <c r="C1124" s="7">
        <v>236.62</v>
      </c>
      <c r="D1124" s="6">
        <f t="shared" si="38"/>
        <v>8.5257648953301128</v>
      </c>
      <c r="E1124" s="6">
        <v>1.2234770704996636E-2</v>
      </c>
      <c r="F1124" s="6"/>
      <c r="G1124" s="6">
        <v>1117</v>
      </c>
      <c r="H1124" s="6">
        <f t="shared" ca="1" si="39"/>
        <v>1.1521348411659164E-2</v>
      </c>
    </row>
    <row r="1125" spans="2:8" x14ac:dyDescent="0.3">
      <c r="B1125" s="4">
        <v>37965</v>
      </c>
      <c r="C1125" s="7">
        <v>24.84</v>
      </c>
      <c r="D1125" s="6">
        <f t="shared" si="38"/>
        <v>-0.92925495557074511</v>
      </c>
      <c r="E1125" s="6">
        <v>1.2224938875305652E-2</v>
      </c>
      <c r="F1125" s="6"/>
      <c r="G1125" s="6">
        <v>1118</v>
      </c>
      <c r="H1125" s="6">
        <f t="shared" ca="1" si="39"/>
        <v>7.8727003836865056E-4</v>
      </c>
    </row>
    <row r="1126" spans="2:8" x14ac:dyDescent="0.3">
      <c r="B1126" s="4">
        <v>41204</v>
      </c>
      <c r="C1126" s="7">
        <v>351.12</v>
      </c>
      <c r="D1126" s="6">
        <f t="shared" si="38"/>
        <v>0.75078534031413602</v>
      </c>
      <c r="E1126" s="6">
        <v>1.2223247232472352E-2</v>
      </c>
      <c r="F1126" s="6"/>
      <c r="G1126" s="6">
        <v>1119</v>
      </c>
      <c r="H1126" s="6">
        <f t="shared" ca="1" si="39"/>
        <v>-1.8333023320463455E-2</v>
      </c>
    </row>
    <row r="1127" spans="2:8" x14ac:dyDescent="0.3">
      <c r="B1127" s="4">
        <v>40339</v>
      </c>
      <c r="C1127" s="7">
        <v>200.55</v>
      </c>
      <c r="D1127" s="6">
        <f t="shared" si="38"/>
        <v>-0.81518002783127985</v>
      </c>
      <c r="E1127" s="6">
        <v>1.2214202796144026E-2</v>
      </c>
      <c r="F1127" s="6"/>
      <c r="G1127" s="6">
        <v>1120</v>
      </c>
      <c r="H1127" s="6">
        <f t="shared" ca="1" si="39"/>
        <v>-7.5251063102026432E-3</v>
      </c>
    </row>
    <row r="1128" spans="2:8" x14ac:dyDescent="0.3">
      <c r="B1128" s="4">
        <v>43199</v>
      </c>
      <c r="C1128" s="5">
        <v>1085.1099999999999</v>
      </c>
      <c r="D1128" s="6">
        <f t="shared" si="38"/>
        <v>8.004314994606256</v>
      </c>
      <c r="E1128" s="6">
        <v>1.2191709264579621E-2</v>
      </c>
      <c r="F1128" s="6"/>
      <c r="G1128" s="6">
        <v>1121</v>
      </c>
      <c r="H1128" s="6">
        <f t="shared" ca="1" si="39"/>
        <v>1.2816169508197996E-2</v>
      </c>
    </row>
    <row r="1129" spans="2:8" x14ac:dyDescent="0.3">
      <c r="B1129" s="4">
        <v>40085</v>
      </c>
      <c r="C1129" s="7">
        <v>120.51</v>
      </c>
      <c r="D1129" s="6">
        <f t="shared" si="38"/>
        <v>-0.84545839264417344</v>
      </c>
      <c r="E1129" s="6">
        <v>1.2178733411725205E-2</v>
      </c>
      <c r="F1129" s="6"/>
      <c r="G1129" s="6">
        <v>1122</v>
      </c>
      <c r="H1129" s="6">
        <f t="shared" ca="1" si="39"/>
        <v>3.152512374014196E-3</v>
      </c>
    </row>
    <row r="1130" spans="2:8" x14ac:dyDescent="0.3">
      <c r="B1130" s="4">
        <v>42201</v>
      </c>
      <c r="C1130" s="7">
        <v>779.79</v>
      </c>
      <c r="D1130" s="6">
        <f t="shared" si="38"/>
        <v>0.90942481451553658</v>
      </c>
      <c r="E1130" s="6">
        <v>1.2175335211121345E-2</v>
      </c>
      <c r="F1130" s="6"/>
      <c r="G1130" s="6">
        <v>1123</v>
      </c>
      <c r="H1130" s="6">
        <f t="shared" ca="1" si="39"/>
        <v>2.0875794608954695E-2</v>
      </c>
    </row>
    <row r="1131" spans="2:8" x14ac:dyDescent="0.3">
      <c r="B1131" s="4">
        <v>41324</v>
      </c>
      <c r="C1131" s="7">
        <v>408.39</v>
      </c>
      <c r="D1131" s="6">
        <f t="shared" si="38"/>
        <v>-0.68875322953106066</v>
      </c>
      <c r="E1131" s="6">
        <v>1.2169128581342243E-2</v>
      </c>
      <c r="F1131" s="6"/>
      <c r="G1131" s="6">
        <v>1124</v>
      </c>
      <c r="H1131" s="6">
        <f t="shared" ca="1" si="39"/>
        <v>-1.010775689624927E-2</v>
      </c>
    </row>
    <row r="1132" spans="2:8" x14ac:dyDescent="0.3">
      <c r="B1132" s="4">
        <v>43299</v>
      </c>
      <c r="C1132" s="5">
        <v>1312.11</v>
      </c>
      <c r="D1132" s="6">
        <f t="shared" si="38"/>
        <v>-0.52434103918419739</v>
      </c>
      <c r="E1132" s="6">
        <v>1.216501843652127E-2</v>
      </c>
      <c r="F1132" s="6"/>
      <c r="G1132" s="6">
        <v>1125</v>
      </c>
      <c r="H1132" s="6">
        <f t="shared" ca="1" si="39"/>
        <v>-1.5979592219298597E-2</v>
      </c>
    </row>
    <row r="1133" spans="2:8" x14ac:dyDescent="0.3">
      <c r="B1133" s="4">
        <v>45036</v>
      </c>
      <c r="C1133" s="5">
        <v>2758.51</v>
      </c>
      <c r="D1133" s="6">
        <f t="shared" si="38"/>
        <v>10.645670621015748</v>
      </c>
      <c r="E1133" s="6">
        <v>1.2152389199344074E-2</v>
      </c>
      <c r="F1133" s="6"/>
      <c r="G1133" s="6">
        <v>1126</v>
      </c>
      <c r="H1133" s="6">
        <f t="shared" ca="1" si="39"/>
        <v>4.4522985061559071E-2</v>
      </c>
    </row>
    <row r="1134" spans="2:8" x14ac:dyDescent="0.3">
      <c r="B1134" s="4">
        <v>40669</v>
      </c>
      <c r="C1134" s="7">
        <v>236.87</v>
      </c>
      <c r="D1134" s="6">
        <f t="shared" si="38"/>
        <v>-0.89987784310658936</v>
      </c>
      <c r="E1134" s="6">
        <v>1.2135196342349285E-2</v>
      </c>
      <c r="F1134" s="6"/>
      <c r="G1134" s="6">
        <v>1127</v>
      </c>
      <c r="H1134" s="6">
        <f t="shared" ca="1" si="39"/>
        <v>4.0758323699448158E-3</v>
      </c>
    </row>
    <row r="1135" spans="2:8" x14ac:dyDescent="0.3">
      <c r="B1135" s="4">
        <v>45839</v>
      </c>
      <c r="C1135" s="5">
        <v>2365.81</v>
      </c>
      <c r="D1135" s="6">
        <f t="shared" si="38"/>
        <v>7.6981506673039437</v>
      </c>
      <c r="E1135" s="6">
        <v>1.2132879847697332E-2</v>
      </c>
      <c r="F1135" s="6"/>
      <c r="G1135" s="6">
        <v>1128</v>
      </c>
      <c r="H1135" s="6">
        <f t="shared" ca="1" si="39"/>
        <v>-1.636034351706989E-2</v>
      </c>
    </row>
    <row r="1136" spans="2:8" x14ac:dyDescent="0.3">
      <c r="B1136" s="4">
        <v>40955</v>
      </c>
      <c r="C1136" s="7">
        <v>271.99</v>
      </c>
      <c r="D1136" s="6">
        <f t="shared" si="38"/>
        <v>0.33511682701747503</v>
      </c>
      <c r="E1136" s="6">
        <v>1.2131135340304361E-2</v>
      </c>
      <c r="F1136" s="6"/>
      <c r="G1136" s="6">
        <v>1129</v>
      </c>
      <c r="H1136" s="6">
        <f t="shared" ca="1" si="39"/>
        <v>-3.5817079795867936E-2</v>
      </c>
    </row>
    <row r="1137" spans="2:8" x14ac:dyDescent="0.3">
      <c r="B1137" s="4">
        <v>40360</v>
      </c>
      <c r="C1137" s="7">
        <v>203.72</v>
      </c>
      <c r="D1137" s="6">
        <f t="shared" si="38"/>
        <v>-0.80788562914344453</v>
      </c>
      <c r="E1137" s="6">
        <v>1.2122416534181229E-2</v>
      </c>
      <c r="F1137" s="6"/>
      <c r="G1137" s="6">
        <v>1130</v>
      </c>
      <c r="H1137" s="6">
        <f t="shared" ca="1" si="39"/>
        <v>2.3280449137146979E-2</v>
      </c>
    </row>
    <row r="1138" spans="2:8" x14ac:dyDescent="0.3">
      <c r="B1138" s="4">
        <v>43186</v>
      </c>
      <c r="C1138" s="5">
        <v>1060.4100000000001</v>
      </c>
      <c r="D1138" s="6">
        <f t="shared" si="38"/>
        <v>9.3748165541532149</v>
      </c>
      <c r="E1138" s="6">
        <v>1.2121674890952693E-2</v>
      </c>
      <c r="F1138" s="6"/>
      <c r="G1138" s="6">
        <v>1131</v>
      </c>
      <c r="H1138" s="6">
        <f t="shared" ca="1" si="39"/>
        <v>1.0654589747542567E-2</v>
      </c>
    </row>
    <row r="1139" spans="2:8" x14ac:dyDescent="0.3">
      <c r="B1139" s="4">
        <v>39660</v>
      </c>
      <c r="C1139" s="7">
        <v>102.21</v>
      </c>
      <c r="D1139" s="6">
        <f t="shared" si="38"/>
        <v>3.0656324582338899</v>
      </c>
      <c r="E1139" s="6">
        <v>1.2080404000396068E-2</v>
      </c>
      <c r="F1139" s="6"/>
      <c r="G1139" s="6">
        <v>1132</v>
      </c>
      <c r="H1139" s="6">
        <f t="shared" ca="1" si="39"/>
        <v>-6.5673482174764125E-3</v>
      </c>
    </row>
    <row r="1140" spans="2:8" x14ac:dyDescent="0.3">
      <c r="B1140" s="4">
        <v>37966</v>
      </c>
      <c r="C1140" s="7">
        <v>25.14</v>
      </c>
      <c r="D1140" s="6">
        <f t="shared" si="38"/>
        <v>-0.98540281608361147</v>
      </c>
      <c r="E1140" s="6">
        <v>1.2077294685990368E-2</v>
      </c>
      <c r="F1140" s="6"/>
      <c r="G1140" s="6">
        <v>1133</v>
      </c>
      <c r="H1140" s="6">
        <f t="shared" ca="1" si="39"/>
        <v>-8.743959278349615E-3</v>
      </c>
    </row>
    <row r="1141" spans="2:8" x14ac:dyDescent="0.3">
      <c r="B1141" s="4">
        <v>43767</v>
      </c>
      <c r="C1141" s="5">
        <v>1722.25</v>
      </c>
      <c r="D1141" s="6">
        <f t="shared" si="38"/>
        <v>0.60525874282305558</v>
      </c>
      <c r="E1141" s="6">
        <v>1.2076159134982637E-2</v>
      </c>
      <c r="F1141" s="6"/>
      <c r="G1141" s="6">
        <v>1134</v>
      </c>
      <c r="H1141" s="6">
        <f t="shared" ca="1" si="39"/>
        <v>-1.4503730810413697E-2</v>
      </c>
    </row>
    <row r="1142" spans="2:8" x14ac:dyDescent="0.3">
      <c r="B1142" s="4">
        <v>43143</v>
      </c>
      <c r="C1142" s="5">
        <v>1072.8800000000001</v>
      </c>
      <c r="D1142" s="6">
        <f t="shared" si="38"/>
        <v>0.16556579176082054</v>
      </c>
      <c r="E1142" s="6">
        <v>1.2074560410535227E-2</v>
      </c>
      <c r="F1142" s="6"/>
      <c r="G1142" s="6">
        <v>1135</v>
      </c>
      <c r="H1142" s="6">
        <f t="shared" ca="1" si="39"/>
        <v>3.0136198251418805E-2</v>
      </c>
    </row>
    <row r="1143" spans="2:8" x14ac:dyDescent="0.3">
      <c r="B1143" s="4">
        <v>42536</v>
      </c>
      <c r="C1143" s="7">
        <v>920.48</v>
      </c>
      <c r="D1143" s="6">
        <f t="shared" si="38"/>
        <v>-0.16389168960223818</v>
      </c>
      <c r="E1143" s="6">
        <v>1.2061439676309252E-2</v>
      </c>
      <c r="F1143" s="6"/>
      <c r="G1143" s="6">
        <v>1136</v>
      </c>
      <c r="H1143" s="6">
        <f t="shared" ca="1" si="39"/>
        <v>-2.1677805854088846E-2</v>
      </c>
    </row>
    <row r="1144" spans="2:8" x14ac:dyDescent="0.3">
      <c r="B1144" s="4">
        <v>43061</v>
      </c>
      <c r="C1144" s="5">
        <v>1100.9100000000001</v>
      </c>
      <c r="D1144" s="6">
        <f t="shared" si="38"/>
        <v>-2.4707654145995635E-2</v>
      </c>
      <c r="E1144" s="6">
        <v>1.206115150902299E-2</v>
      </c>
      <c r="F1144" s="6"/>
      <c r="G1144" s="6">
        <v>1137</v>
      </c>
      <c r="H1144" s="6">
        <f t="shared" ca="1" si="39"/>
        <v>-1.9602045293907227E-2</v>
      </c>
    </row>
    <row r="1145" spans="2:8" x14ac:dyDescent="0.3">
      <c r="B1145" s="4">
        <v>43115</v>
      </c>
      <c r="C1145" s="5">
        <v>1128.8</v>
      </c>
      <c r="D1145" s="6">
        <f t="shared" si="38"/>
        <v>-0.13028068634475967</v>
      </c>
      <c r="E1145" s="6">
        <v>1.2058994934325589E-2</v>
      </c>
      <c r="F1145" s="6"/>
      <c r="G1145" s="6">
        <v>1138</v>
      </c>
      <c r="H1145" s="6">
        <f t="shared" ca="1" si="39"/>
        <v>2.8181690537437101E-2</v>
      </c>
    </row>
    <row r="1146" spans="2:8" x14ac:dyDescent="0.3">
      <c r="B1146" s="4">
        <v>43615</v>
      </c>
      <c r="C1146" s="5">
        <v>1297.8900000000001</v>
      </c>
      <c r="D1146" s="6">
        <f t="shared" si="38"/>
        <v>-0.51139730379885029</v>
      </c>
      <c r="E1146" s="6">
        <v>1.2039455729268241E-2</v>
      </c>
      <c r="F1146" s="6"/>
      <c r="G1146" s="6">
        <v>1139</v>
      </c>
      <c r="H1146" s="6">
        <f t="shared" ca="1" si="39"/>
        <v>1.3300436673950651E-2</v>
      </c>
    </row>
    <row r="1147" spans="2:8" x14ac:dyDescent="0.3">
      <c r="B1147" s="4">
        <v>44981</v>
      </c>
      <c r="C1147" s="5">
        <v>2656.33</v>
      </c>
      <c r="D1147" s="6">
        <f t="shared" si="38"/>
        <v>94.620230381569456</v>
      </c>
      <c r="E1147" s="6">
        <v>1.2031622059243709E-2</v>
      </c>
      <c r="F1147" s="6"/>
      <c r="G1147" s="6">
        <v>1140</v>
      </c>
      <c r="H1147" s="6">
        <f t="shared" ca="1" si="39"/>
        <v>-1.866071147817501E-2</v>
      </c>
    </row>
    <row r="1148" spans="2:8" x14ac:dyDescent="0.3">
      <c r="B1148" s="4">
        <v>38391</v>
      </c>
      <c r="C1148" s="7">
        <v>27.78</v>
      </c>
      <c r="D1148" s="6">
        <f t="shared" si="38"/>
        <v>-0.89970032855543924</v>
      </c>
      <c r="E1148" s="6">
        <v>1.2021857923497335E-2</v>
      </c>
      <c r="F1148" s="6"/>
      <c r="G1148" s="6">
        <v>1141</v>
      </c>
      <c r="H1148" s="6">
        <f t="shared" ca="1" si="39"/>
        <v>-1.9567503704312698E-2</v>
      </c>
    </row>
    <row r="1149" spans="2:8" x14ac:dyDescent="0.3">
      <c r="B1149" s="4">
        <v>40814</v>
      </c>
      <c r="C1149" s="7">
        <v>276.97000000000003</v>
      </c>
      <c r="D1149" s="6">
        <f t="shared" si="38"/>
        <v>-0.87556440127414292</v>
      </c>
      <c r="E1149" s="6">
        <v>1.2021338789827611E-2</v>
      </c>
      <c r="F1149" s="6"/>
      <c r="G1149" s="6">
        <v>1142</v>
      </c>
      <c r="H1149" s="6">
        <f t="shared" ca="1" si="39"/>
        <v>-1.4129993413482289E-2</v>
      </c>
    </row>
    <row r="1150" spans="2:8" x14ac:dyDescent="0.3">
      <c r="B1150" s="4">
        <v>45687</v>
      </c>
      <c r="C1150" s="5">
        <v>2225.81</v>
      </c>
      <c r="D1150" s="6">
        <f t="shared" si="38"/>
        <v>1.5629389954632336</v>
      </c>
      <c r="E1150" s="6">
        <v>1.2012421625996333E-2</v>
      </c>
      <c r="F1150" s="6"/>
      <c r="G1150" s="6">
        <v>1143</v>
      </c>
      <c r="H1150" s="6">
        <f t="shared" ca="1" si="39"/>
        <v>-1.7343337485784688E-3</v>
      </c>
    </row>
    <row r="1151" spans="2:8" x14ac:dyDescent="0.3">
      <c r="B1151" s="4">
        <v>42746</v>
      </c>
      <c r="C1151" s="7">
        <v>868.46</v>
      </c>
      <c r="D1151" s="6">
        <f t="shared" si="38"/>
        <v>-0.6787205942740453</v>
      </c>
      <c r="E1151" s="6">
        <v>1.1967046924340741E-2</v>
      </c>
      <c r="F1151" s="6"/>
      <c r="G1151" s="6">
        <v>1144</v>
      </c>
      <c r="H1151" s="6">
        <f t="shared" ca="1" si="39"/>
        <v>8.707455031426059E-3</v>
      </c>
    </row>
    <row r="1152" spans="2:8" x14ac:dyDescent="0.3">
      <c r="B1152" s="4">
        <v>45028</v>
      </c>
      <c r="C1152" s="5">
        <v>2703.13</v>
      </c>
      <c r="D1152" s="6">
        <f t="shared" si="38"/>
        <v>1.1688544056998895</v>
      </c>
      <c r="E1152" s="6">
        <v>1.196479445336689E-2</v>
      </c>
      <c r="F1152" s="6"/>
      <c r="G1152" s="6">
        <v>1145</v>
      </c>
      <c r="H1152" s="6">
        <f t="shared" ca="1" si="39"/>
        <v>8.5674893951218217E-3</v>
      </c>
    </row>
    <row r="1153" spans="2:8" x14ac:dyDescent="0.3">
      <c r="B1153" s="4">
        <v>43602</v>
      </c>
      <c r="C1153" s="5">
        <v>1246.3399999999999</v>
      </c>
      <c r="D1153" s="6">
        <f t="shared" si="38"/>
        <v>51.56600590468156</v>
      </c>
      <c r="E1153" s="6">
        <v>1.195995485583912E-2</v>
      </c>
      <c r="F1153" s="6"/>
      <c r="G1153" s="6">
        <v>1146</v>
      </c>
      <c r="H1153" s="6">
        <f t="shared" ca="1" si="39"/>
        <v>3.4548758773573834E-4</v>
      </c>
    </row>
    <row r="1154" spans="2:8" x14ac:dyDescent="0.3">
      <c r="B1154" s="4">
        <v>38112</v>
      </c>
      <c r="C1154" s="7">
        <v>23.71</v>
      </c>
      <c r="D1154" s="6">
        <f t="shared" si="38"/>
        <v>-3.4609120521172557E-2</v>
      </c>
      <c r="E1154" s="6">
        <v>1.1950490823730309E-2</v>
      </c>
      <c r="F1154" s="6"/>
      <c r="G1154" s="6">
        <v>1147</v>
      </c>
      <c r="H1154" s="6">
        <f t="shared" ca="1" si="39"/>
        <v>1.181499848783424E-2</v>
      </c>
    </row>
    <row r="1155" spans="2:8" x14ac:dyDescent="0.3">
      <c r="B1155" s="4">
        <v>38229</v>
      </c>
      <c r="C1155" s="7">
        <v>24.56</v>
      </c>
      <c r="D1155" s="6">
        <f t="shared" si="38"/>
        <v>-0.95424227745277057</v>
      </c>
      <c r="E1155" s="6">
        <v>1.1948908117016859E-2</v>
      </c>
      <c r="F1155" s="6"/>
      <c r="G1155" s="6">
        <v>1148</v>
      </c>
      <c r="H1155" s="6">
        <f t="shared" ca="1" si="39"/>
        <v>8.1143632920217743E-3</v>
      </c>
    </row>
    <row r="1156" spans="2:8" x14ac:dyDescent="0.3">
      <c r="B1156" s="4">
        <v>41824</v>
      </c>
      <c r="C1156" s="7">
        <v>536.74</v>
      </c>
      <c r="D1156" s="6">
        <f t="shared" si="38"/>
        <v>1.2826401292846816</v>
      </c>
      <c r="E1156" s="6">
        <v>1.1934164137176979E-2</v>
      </c>
      <c r="F1156" s="6"/>
      <c r="G1156" s="6">
        <v>1149</v>
      </c>
      <c r="H1156" s="6">
        <f t="shared" ca="1" si="39"/>
        <v>-1.4264069707626008E-4</v>
      </c>
    </row>
    <row r="1157" spans="2:8" x14ac:dyDescent="0.3">
      <c r="B1157" s="4">
        <v>40513</v>
      </c>
      <c r="C1157" s="7">
        <v>235.14</v>
      </c>
      <c r="D1157" s="6">
        <f t="shared" si="38"/>
        <v>-0.91669736991270834</v>
      </c>
      <c r="E1157" s="6">
        <v>1.1920643800834798E-2</v>
      </c>
      <c r="F1157" s="6"/>
      <c r="G1157" s="6">
        <v>1150</v>
      </c>
      <c r="H1157" s="6">
        <f t="shared" ca="1" si="39"/>
        <v>-4.2633420969750806E-3</v>
      </c>
    </row>
    <row r="1158" spans="2:8" x14ac:dyDescent="0.3">
      <c r="B1158" s="4">
        <v>45434</v>
      </c>
      <c r="C1158" s="5">
        <v>2822.72</v>
      </c>
      <c r="D1158" s="6">
        <f t="shared" si="38"/>
        <v>0.12249669938123339</v>
      </c>
      <c r="E1158" s="6">
        <v>1.1905316704367282E-2</v>
      </c>
      <c r="F1158" s="6"/>
      <c r="G1158" s="6">
        <v>1151</v>
      </c>
      <c r="H1158" s="6">
        <f t="shared" ca="1" si="39"/>
        <v>-2.2053965068352468E-2</v>
      </c>
    </row>
    <row r="1159" spans="2:8" x14ac:dyDescent="0.3">
      <c r="B1159" s="4">
        <v>45898</v>
      </c>
      <c r="C1159" s="5">
        <v>2514.6799999999998</v>
      </c>
      <c r="D1159" s="6">
        <f t="shared" si="38"/>
        <v>9.906381937220822E-2</v>
      </c>
      <c r="E1159" s="6">
        <v>1.1894797836724161E-2</v>
      </c>
      <c r="F1159" s="6"/>
      <c r="G1159" s="6">
        <v>1152</v>
      </c>
      <c r="H1159" s="6">
        <f t="shared" ca="1" si="39"/>
        <v>-8.5416450167256647E-3</v>
      </c>
    </row>
    <row r="1160" spans="2:8" x14ac:dyDescent="0.3">
      <c r="B1160" s="4">
        <v>44257</v>
      </c>
      <c r="C1160" s="5">
        <v>2288.02</v>
      </c>
      <c r="D1160" s="6">
        <f t="shared" ref="D1160:D1223" si="40">((C1160-C1161)/C1161)</f>
        <v>-4.3257912497334204E-2</v>
      </c>
      <c r="E1160" s="6">
        <v>1.1892283946522256E-2</v>
      </c>
      <c r="F1160" s="6"/>
      <c r="G1160" s="6">
        <v>1153</v>
      </c>
      <c r="H1160" s="6">
        <f t="shared" ca="1" si="39"/>
        <v>-7.9746995311639427E-5</v>
      </c>
    </row>
    <row r="1161" spans="2:8" x14ac:dyDescent="0.3">
      <c r="B1161" s="4">
        <v>45637</v>
      </c>
      <c r="C1161" s="5">
        <v>2391.4699999999998</v>
      </c>
      <c r="D1161" s="6">
        <f t="shared" si="40"/>
        <v>-0.132830998734494</v>
      </c>
      <c r="E1161" s="6">
        <v>1.1889801427622382E-2</v>
      </c>
      <c r="F1161" s="6"/>
      <c r="G1161" s="6">
        <v>1154</v>
      </c>
      <c r="H1161" s="6">
        <f t="shared" ref="H1161:H1224" ca="1" si="41">_xlfn.NORM.INV(RAND(),N$10,N$11)</f>
        <v>-1.2709419503764648E-2</v>
      </c>
    </row>
    <row r="1162" spans="2:8" x14ac:dyDescent="0.3">
      <c r="B1162" s="4">
        <v>45033</v>
      </c>
      <c r="C1162" s="5">
        <v>2757.79</v>
      </c>
      <c r="D1162" s="6">
        <f t="shared" si="40"/>
        <v>-7.9106979689040988E-3</v>
      </c>
      <c r="E1162" s="6">
        <v>1.1869643066807527E-2</v>
      </c>
      <c r="F1162" s="6"/>
      <c r="G1162" s="6">
        <v>1155</v>
      </c>
      <c r="H1162" s="6">
        <f t="shared" ca="1" si="41"/>
        <v>-9.1295719054647097E-3</v>
      </c>
    </row>
    <row r="1163" spans="2:8" x14ac:dyDescent="0.3">
      <c r="B1163" s="4">
        <v>45404</v>
      </c>
      <c r="C1163" s="5">
        <v>2779.78</v>
      </c>
      <c r="D1163" s="6">
        <f t="shared" si="40"/>
        <v>7.8998527245949939</v>
      </c>
      <c r="E1163" s="6">
        <v>1.1859347699475969E-2</v>
      </c>
      <c r="F1163" s="6"/>
      <c r="G1163" s="6">
        <v>1156</v>
      </c>
      <c r="H1163" s="6">
        <f t="shared" ca="1" si="41"/>
        <v>-7.3203768176510527E-3</v>
      </c>
    </row>
    <row r="1164" spans="2:8" x14ac:dyDescent="0.3">
      <c r="B1164" s="4">
        <v>41026</v>
      </c>
      <c r="C1164" s="7">
        <v>312.33999999999997</v>
      </c>
      <c r="D1164" s="6">
        <f t="shared" si="40"/>
        <v>0.3554070473876062</v>
      </c>
      <c r="E1164" s="6">
        <v>1.1856939225087366E-2</v>
      </c>
      <c r="F1164" s="6"/>
      <c r="G1164" s="6">
        <v>1157</v>
      </c>
      <c r="H1164" s="6">
        <f t="shared" ca="1" si="41"/>
        <v>-9.13122632536526E-3</v>
      </c>
    </row>
    <row r="1165" spans="2:8" x14ac:dyDescent="0.3">
      <c r="B1165" s="4">
        <v>40472</v>
      </c>
      <c r="C1165" s="7">
        <v>230.44</v>
      </c>
      <c r="D1165" s="6">
        <f t="shared" si="40"/>
        <v>-0.74429933089956835</v>
      </c>
      <c r="E1165" s="6">
        <v>1.1855624835338493E-2</v>
      </c>
      <c r="F1165" s="6"/>
      <c r="G1165" s="6">
        <v>1158</v>
      </c>
      <c r="H1165" s="6">
        <f t="shared" ca="1" si="41"/>
        <v>-1.8442600182267913E-2</v>
      </c>
    </row>
    <row r="1166" spans="2:8" x14ac:dyDescent="0.3">
      <c r="B1166" s="4">
        <v>42704</v>
      </c>
      <c r="C1166" s="7">
        <v>901.21</v>
      </c>
      <c r="D1166" s="6">
        <f t="shared" si="40"/>
        <v>7.6447002398081541</v>
      </c>
      <c r="E1166" s="6">
        <v>1.1845148541531077E-2</v>
      </c>
      <c r="F1166" s="6"/>
      <c r="G1166" s="6">
        <v>1159</v>
      </c>
      <c r="H1166" s="6">
        <f t="shared" ca="1" si="41"/>
        <v>1.2901604122753919E-2</v>
      </c>
    </row>
    <row r="1167" spans="2:8" x14ac:dyDescent="0.3">
      <c r="B1167" s="4">
        <v>40001</v>
      </c>
      <c r="C1167" s="7">
        <v>104.25</v>
      </c>
      <c r="D1167" s="6">
        <f t="shared" si="40"/>
        <v>1.6493011435832274</v>
      </c>
      <c r="E1167" s="6">
        <v>1.1841211297680275E-2</v>
      </c>
      <c r="F1167" s="6"/>
      <c r="G1167" s="6">
        <v>1160</v>
      </c>
      <c r="H1167" s="6">
        <f t="shared" ca="1" si="41"/>
        <v>-1.9925395833229664E-2</v>
      </c>
    </row>
    <row r="1168" spans="2:8" x14ac:dyDescent="0.3">
      <c r="B1168" s="4">
        <v>38603</v>
      </c>
      <c r="C1168" s="7">
        <v>39.35</v>
      </c>
      <c r="D1168" s="6">
        <f t="shared" si="40"/>
        <v>0.31385642737896502</v>
      </c>
      <c r="E1168" s="6">
        <v>1.1828233479043477E-2</v>
      </c>
      <c r="F1168" s="6"/>
      <c r="G1168" s="6">
        <v>1161</v>
      </c>
      <c r="H1168" s="6">
        <f t="shared" ca="1" si="41"/>
        <v>3.3599471217952905E-2</v>
      </c>
    </row>
    <row r="1169" spans="2:8" x14ac:dyDescent="0.3">
      <c r="B1169" s="4">
        <v>38478</v>
      </c>
      <c r="C1169" s="7">
        <v>29.95</v>
      </c>
      <c r="D1169" s="6">
        <f t="shared" si="40"/>
        <v>-0.86842683301849499</v>
      </c>
      <c r="E1169" s="6">
        <v>1.1824324324324252E-2</v>
      </c>
      <c r="F1169" s="6"/>
      <c r="G1169" s="6">
        <v>1162</v>
      </c>
      <c r="H1169" s="6">
        <f t="shared" ca="1" si="41"/>
        <v>5.9866044789241039E-3</v>
      </c>
    </row>
    <row r="1170" spans="2:8" x14ac:dyDescent="0.3">
      <c r="B1170" s="4">
        <v>40591</v>
      </c>
      <c r="C1170" s="7">
        <v>227.63</v>
      </c>
      <c r="D1170" s="6">
        <f t="shared" si="40"/>
        <v>2.577621558289396E-2</v>
      </c>
      <c r="E1170" s="6">
        <v>1.182379872871937E-2</v>
      </c>
      <c r="F1170" s="6"/>
      <c r="G1170" s="6">
        <v>1163</v>
      </c>
      <c r="H1170" s="6">
        <f t="shared" ca="1" si="41"/>
        <v>4.2714366844169831E-3</v>
      </c>
    </row>
    <row r="1171" spans="2:8" x14ac:dyDescent="0.3">
      <c r="B1171" s="4">
        <v>40613</v>
      </c>
      <c r="C1171" s="7">
        <v>221.91</v>
      </c>
      <c r="D1171" s="6">
        <f t="shared" si="40"/>
        <v>12.622467771639043</v>
      </c>
      <c r="E1171" s="6">
        <v>1.1809228524530382E-2</v>
      </c>
      <c r="F1171" s="6"/>
      <c r="G1171" s="6">
        <v>1164</v>
      </c>
      <c r="H1171" s="6">
        <f t="shared" ca="1" si="41"/>
        <v>2.0253542152767666E-2</v>
      </c>
    </row>
    <row r="1172" spans="2:8" x14ac:dyDescent="0.3">
      <c r="B1172" s="4">
        <v>37656</v>
      </c>
      <c r="C1172" s="7">
        <v>16.29</v>
      </c>
      <c r="D1172" s="6">
        <f t="shared" si="40"/>
        <v>-0.75076499388004903</v>
      </c>
      <c r="E1172" s="6">
        <v>1.1801242236024703E-2</v>
      </c>
      <c r="F1172" s="6"/>
      <c r="G1172" s="6">
        <v>1165</v>
      </c>
      <c r="H1172" s="6">
        <f t="shared" ca="1" si="41"/>
        <v>7.0839336502718613E-3</v>
      </c>
    </row>
    <row r="1173" spans="2:8" x14ac:dyDescent="0.3">
      <c r="B1173" s="4">
        <v>39212</v>
      </c>
      <c r="C1173" s="7">
        <v>65.36</v>
      </c>
      <c r="D1173" s="6">
        <f t="shared" si="40"/>
        <v>-0.90550133738162364</v>
      </c>
      <c r="E1173" s="6">
        <v>1.1764705882353021E-2</v>
      </c>
      <c r="F1173" s="6"/>
      <c r="G1173" s="6">
        <v>1166</v>
      </c>
      <c r="H1173" s="6">
        <f t="shared" ca="1" si="41"/>
        <v>-6.8476253853598842E-3</v>
      </c>
    </row>
    <row r="1174" spans="2:8" x14ac:dyDescent="0.3">
      <c r="B1174" s="4">
        <v>42178</v>
      </c>
      <c r="C1174" s="7">
        <v>691.65</v>
      </c>
      <c r="D1174" s="6">
        <f t="shared" si="40"/>
        <v>1.5194885618534169</v>
      </c>
      <c r="E1174" s="6">
        <v>1.1761091850616526E-2</v>
      </c>
      <c r="F1174" s="6"/>
      <c r="G1174" s="6">
        <v>1167</v>
      </c>
      <c r="H1174" s="6">
        <f t="shared" ca="1" si="41"/>
        <v>1.5220380028332156E-2</v>
      </c>
    </row>
    <row r="1175" spans="2:8" x14ac:dyDescent="0.3">
      <c r="B1175" s="4">
        <v>40995</v>
      </c>
      <c r="C1175" s="7">
        <v>274.52</v>
      </c>
      <c r="D1175" s="6">
        <f t="shared" si="40"/>
        <v>4.0593438997419833</v>
      </c>
      <c r="E1175" s="6">
        <v>1.1756901190432307E-2</v>
      </c>
      <c r="F1175" s="6"/>
      <c r="G1175" s="6">
        <v>1168</v>
      </c>
      <c r="H1175" s="6">
        <f t="shared" ca="1" si="41"/>
        <v>9.5551881281397705E-3</v>
      </c>
    </row>
    <row r="1176" spans="2:8" x14ac:dyDescent="0.3">
      <c r="B1176" s="4">
        <v>38803</v>
      </c>
      <c r="C1176" s="7">
        <v>54.26</v>
      </c>
      <c r="D1176" s="6">
        <f t="shared" si="40"/>
        <v>-0.96844046088792468</v>
      </c>
      <c r="E1176" s="6">
        <v>1.1747156442289677E-2</v>
      </c>
      <c r="F1176" s="6"/>
      <c r="G1176" s="6">
        <v>1169</v>
      </c>
      <c r="H1176" s="6">
        <f t="shared" ca="1" si="41"/>
        <v>1.7553779377292491E-2</v>
      </c>
    </row>
    <row r="1177" spans="2:8" x14ac:dyDescent="0.3">
      <c r="B1177" s="4">
        <v>43893</v>
      </c>
      <c r="C1177" s="5">
        <v>1719.29</v>
      </c>
      <c r="D1177" s="6">
        <f t="shared" si="40"/>
        <v>82.137814313346226</v>
      </c>
      <c r="E1177" s="6">
        <v>1.1745805699893509E-2</v>
      </c>
      <c r="F1177" s="6"/>
      <c r="G1177" s="6">
        <v>1170</v>
      </c>
      <c r="H1177" s="6">
        <f t="shared" ca="1" si="41"/>
        <v>1.8962736402363886E-2</v>
      </c>
    </row>
    <row r="1178" spans="2:8" x14ac:dyDescent="0.3">
      <c r="B1178" s="4">
        <v>37841</v>
      </c>
      <c r="C1178" s="7">
        <v>20.68</v>
      </c>
      <c r="D1178" s="6">
        <f t="shared" si="40"/>
        <v>-0.98294798641116121</v>
      </c>
      <c r="E1178" s="6">
        <v>1.174168297455961E-2</v>
      </c>
      <c r="F1178" s="6"/>
      <c r="G1178" s="6">
        <v>1171</v>
      </c>
      <c r="H1178" s="6">
        <f t="shared" ca="1" si="41"/>
        <v>7.0704863911738901E-3</v>
      </c>
    </row>
    <row r="1179" spans="2:8" x14ac:dyDescent="0.3">
      <c r="B1179" s="4">
        <v>43244</v>
      </c>
      <c r="C1179" s="5">
        <v>1212.76</v>
      </c>
      <c r="D1179" s="6">
        <f t="shared" si="40"/>
        <v>1.5635337369880053E-2</v>
      </c>
      <c r="E1179" s="6">
        <v>1.173781378004316E-2</v>
      </c>
      <c r="F1179" s="6"/>
      <c r="G1179" s="6">
        <v>1172</v>
      </c>
      <c r="H1179" s="6">
        <f t="shared" ca="1" si="41"/>
        <v>1.1070212337111829E-2</v>
      </c>
    </row>
    <row r="1180" spans="2:8" x14ac:dyDescent="0.3">
      <c r="B1180" s="4">
        <v>43273</v>
      </c>
      <c r="C1180" s="5">
        <v>1194.0899999999999</v>
      </c>
      <c r="D1180" s="6">
        <f t="shared" si="40"/>
        <v>1.0167373203398129</v>
      </c>
      <c r="E1180" s="6">
        <v>1.1734901375991246E-2</v>
      </c>
      <c r="F1180" s="6"/>
      <c r="G1180" s="6">
        <v>1173</v>
      </c>
      <c r="H1180" s="6">
        <f t="shared" ca="1" si="41"/>
        <v>1.0248683268824782E-2</v>
      </c>
    </row>
    <row r="1181" spans="2:8" x14ac:dyDescent="0.3">
      <c r="B1181" s="4">
        <v>41932</v>
      </c>
      <c r="C1181" s="7">
        <v>592.09</v>
      </c>
      <c r="D1181" s="6">
        <f t="shared" si="40"/>
        <v>-0.76640996709721698</v>
      </c>
      <c r="E1181" s="6">
        <v>1.1721887121302758E-2</v>
      </c>
      <c r="F1181" s="6"/>
      <c r="G1181" s="6">
        <v>1174</v>
      </c>
      <c r="H1181" s="6">
        <f t="shared" ca="1" si="41"/>
        <v>-8.1026898997130468E-3</v>
      </c>
    </row>
    <row r="1182" spans="2:8" x14ac:dyDescent="0.3">
      <c r="B1182" s="4">
        <v>45959</v>
      </c>
      <c r="C1182" s="5">
        <v>2534.7399999999998</v>
      </c>
      <c r="D1182" s="6">
        <f t="shared" si="40"/>
        <v>132.40736842105261</v>
      </c>
      <c r="E1182" s="6">
        <v>1.1714743014061647E-2</v>
      </c>
      <c r="F1182" s="6"/>
      <c r="G1182" s="6">
        <v>1175</v>
      </c>
      <c r="H1182" s="6">
        <f t="shared" ca="1" si="41"/>
        <v>6.4038534236045448E-3</v>
      </c>
    </row>
    <row r="1183" spans="2:8" x14ac:dyDescent="0.3">
      <c r="B1183" s="4">
        <v>37790</v>
      </c>
      <c r="C1183" s="7">
        <v>19</v>
      </c>
      <c r="D1183" s="6">
        <f t="shared" si="40"/>
        <v>-0.99367290939606256</v>
      </c>
      <c r="E1183" s="6">
        <v>1.1714589989350311E-2</v>
      </c>
      <c r="F1183" s="6"/>
      <c r="G1183" s="6">
        <v>1176</v>
      </c>
      <c r="H1183" s="6">
        <f t="shared" ca="1" si="41"/>
        <v>1.0002976913054998E-2</v>
      </c>
    </row>
    <row r="1184" spans="2:8" x14ac:dyDescent="0.3">
      <c r="B1184" s="4">
        <v>45513</v>
      </c>
      <c r="C1184" s="5">
        <v>3002.96</v>
      </c>
      <c r="D1184" s="6">
        <f t="shared" si="40"/>
        <v>101.14149659863946</v>
      </c>
      <c r="E1184" s="6">
        <v>1.1710801158951628E-2</v>
      </c>
      <c r="F1184" s="6"/>
      <c r="G1184" s="6">
        <v>1177</v>
      </c>
      <c r="H1184" s="6">
        <f t="shared" ca="1" si="41"/>
        <v>7.8645999600206584E-3</v>
      </c>
    </row>
    <row r="1185" spans="2:8" x14ac:dyDescent="0.3">
      <c r="B1185" s="4">
        <v>38471</v>
      </c>
      <c r="C1185" s="7">
        <v>29.4</v>
      </c>
      <c r="D1185" s="6">
        <f t="shared" si="40"/>
        <v>-0.9910799076436696</v>
      </c>
      <c r="E1185" s="6">
        <v>1.1699931176875426E-2</v>
      </c>
      <c r="F1185" s="6"/>
      <c r="G1185" s="6">
        <v>1178</v>
      </c>
      <c r="H1185" s="6">
        <f t="shared" ca="1" si="41"/>
        <v>3.0281549840694751E-3</v>
      </c>
    </row>
    <row r="1186" spans="2:8" x14ac:dyDescent="0.3">
      <c r="B1186" s="4">
        <v>44564</v>
      </c>
      <c r="C1186" s="5">
        <v>3295.93</v>
      </c>
      <c r="D1186" s="6">
        <f t="shared" si="40"/>
        <v>6.5052487760446311</v>
      </c>
      <c r="E1186" s="6">
        <v>1.1663847903423339E-2</v>
      </c>
      <c r="F1186" s="6"/>
      <c r="G1186" s="6">
        <v>1179</v>
      </c>
      <c r="H1186" s="6">
        <f t="shared" ca="1" si="41"/>
        <v>-1.5047802930580547E-2</v>
      </c>
    </row>
    <row r="1187" spans="2:8" x14ac:dyDescent="0.3">
      <c r="B1187" s="4">
        <v>41564</v>
      </c>
      <c r="C1187" s="7">
        <v>439.15</v>
      </c>
      <c r="D1187" s="6">
        <f t="shared" si="40"/>
        <v>13.445723684210527</v>
      </c>
      <c r="E1187" s="6">
        <v>1.1656568914280454E-2</v>
      </c>
      <c r="F1187" s="6"/>
      <c r="G1187" s="6">
        <v>1180</v>
      </c>
      <c r="H1187" s="6">
        <f t="shared" ca="1" si="41"/>
        <v>1.8603025053471299E-2</v>
      </c>
    </row>
    <row r="1188" spans="2:8" x14ac:dyDescent="0.3">
      <c r="B1188" s="4">
        <v>38485</v>
      </c>
      <c r="C1188" s="7">
        <v>30.4</v>
      </c>
      <c r="D1188" s="6">
        <f t="shared" si="40"/>
        <v>0.84019370460048426</v>
      </c>
      <c r="E1188" s="6">
        <v>1.1647254575707084E-2</v>
      </c>
      <c r="F1188" s="6"/>
      <c r="G1188" s="6">
        <v>1181</v>
      </c>
      <c r="H1188" s="6">
        <f t="shared" ca="1" si="41"/>
        <v>-5.4561260606511069E-3</v>
      </c>
    </row>
    <row r="1189" spans="2:8" x14ac:dyDescent="0.3">
      <c r="B1189" s="4">
        <v>37691</v>
      </c>
      <c r="C1189" s="7">
        <v>16.52</v>
      </c>
      <c r="D1189" s="6">
        <f t="shared" si="40"/>
        <v>-0.99412538672166706</v>
      </c>
      <c r="E1189" s="6">
        <v>1.1635027556644292E-2</v>
      </c>
      <c r="F1189" s="6"/>
      <c r="G1189" s="6">
        <v>1182</v>
      </c>
      <c r="H1189" s="6">
        <f t="shared" ca="1" si="41"/>
        <v>-1.0939833646924201E-2</v>
      </c>
    </row>
    <row r="1190" spans="2:8" x14ac:dyDescent="0.3">
      <c r="B1190" s="4">
        <v>45405</v>
      </c>
      <c r="C1190" s="5">
        <v>2812.1</v>
      </c>
      <c r="D1190" s="6">
        <f t="shared" si="40"/>
        <v>-0.13958853478239591</v>
      </c>
      <c r="E1190" s="6">
        <v>1.1626819388584602E-2</v>
      </c>
      <c r="F1190" s="6"/>
      <c r="G1190" s="6">
        <v>1183</v>
      </c>
      <c r="H1190" s="6">
        <f t="shared" ca="1" si="41"/>
        <v>-1.3901202526121797E-2</v>
      </c>
    </row>
    <row r="1191" spans="2:8" x14ac:dyDescent="0.3">
      <c r="B1191" s="4">
        <v>45282</v>
      </c>
      <c r="C1191" s="5">
        <v>3268.32</v>
      </c>
      <c r="D1191" s="6">
        <f t="shared" si="40"/>
        <v>51.706337687469762</v>
      </c>
      <c r="E1191" s="6">
        <v>1.1613222731212078E-2</v>
      </c>
      <c r="F1191" s="6"/>
      <c r="G1191" s="6">
        <v>1184</v>
      </c>
      <c r="H1191" s="6">
        <f t="shared" ca="1" si="41"/>
        <v>-1.2365447088968067E-2</v>
      </c>
    </row>
    <row r="1192" spans="2:8" x14ac:dyDescent="0.3">
      <c r="B1192" s="4">
        <v>39086</v>
      </c>
      <c r="C1192" s="7">
        <v>62.01</v>
      </c>
      <c r="D1192" s="6">
        <f t="shared" si="40"/>
        <v>-0.97951409995507033</v>
      </c>
      <c r="E1192" s="6">
        <v>1.1582381729200668E-2</v>
      </c>
      <c r="F1192" s="6"/>
      <c r="G1192" s="6">
        <v>1185</v>
      </c>
      <c r="H1192" s="6">
        <f t="shared" ca="1" si="41"/>
        <v>2.9994704425210222E-2</v>
      </c>
    </row>
    <row r="1193" spans="2:8" x14ac:dyDescent="0.3">
      <c r="B1193" s="4">
        <v>45069</v>
      </c>
      <c r="C1193" s="5">
        <v>3026.96</v>
      </c>
      <c r="D1193" s="6">
        <f t="shared" si="40"/>
        <v>8.1717722631275969</v>
      </c>
      <c r="E1193" s="6">
        <v>1.1572921435804243E-2</v>
      </c>
      <c r="F1193" s="6"/>
      <c r="G1193" s="6">
        <v>1186</v>
      </c>
      <c r="H1193" s="6">
        <f t="shared" ca="1" si="41"/>
        <v>1.5421431982847665E-2</v>
      </c>
    </row>
    <row r="1194" spans="2:8" x14ac:dyDescent="0.3">
      <c r="B1194" s="4">
        <v>41156</v>
      </c>
      <c r="C1194" s="7">
        <v>330.03</v>
      </c>
      <c r="D1194" s="6">
        <f t="shared" si="40"/>
        <v>-6.2920582640052319E-2</v>
      </c>
      <c r="E1194" s="6">
        <v>1.1555201373137933E-2</v>
      </c>
      <c r="F1194" s="6"/>
      <c r="G1194" s="6">
        <v>1187</v>
      </c>
      <c r="H1194" s="6">
        <f t="shared" ca="1" si="41"/>
        <v>-6.3511323128988117E-3</v>
      </c>
    </row>
    <row r="1195" spans="2:8" x14ac:dyDescent="0.3">
      <c r="B1195" s="4">
        <v>41211</v>
      </c>
      <c r="C1195" s="7">
        <v>352.19</v>
      </c>
      <c r="D1195" s="6">
        <f t="shared" si="40"/>
        <v>-0.8893580258548921</v>
      </c>
      <c r="E1195" s="6">
        <v>1.1546083809633172E-2</v>
      </c>
      <c r="F1195" s="6"/>
      <c r="G1195" s="6">
        <v>1188</v>
      </c>
      <c r="H1195" s="6">
        <f t="shared" ca="1" si="41"/>
        <v>9.1104230350250986E-3</v>
      </c>
    </row>
    <row r="1196" spans="2:8" x14ac:dyDescent="0.3">
      <c r="B1196" s="4">
        <v>44460</v>
      </c>
      <c r="C1196" s="5">
        <v>3183.15</v>
      </c>
      <c r="D1196" s="6">
        <f t="shared" si="40"/>
        <v>3.1854915058118132</v>
      </c>
      <c r="E1196" s="6">
        <v>1.1506415756258472E-2</v>
      </c>
      <c r="F1196" s="6"/>
      <c r="G1196" s="6">
        <v>1189</v>
      </c>
      <c r="H1196" s="6">
        <f t="shared" ca="1" si="41"/>
        <v>5.4072396015139345E-3</v>
      </c>
    </row>
    <row r="1197" spans="2:8" x14ac:dyDescent="0.3">
      <c r="B1197" s="4">
        <v>42304</v>
      </c>
      <c r="C1197" s="7">
        <v>760.52</v>
      </c>
      <c r="D1197" s="6">
        <f t="shared" si="40"/>
        <v>1.8214431459840472</v>
      </c>
      <c r="E1197" s="6">
        <v>1.1491195403521821E-2</v>
      </c>
      <c r="F1197" s="6"/>
      <c r="G1197" s="6">
        <v>1190</v>
      </c>
      <c r="H1197" s="6">
        <f t="shared" ca="1" si="41"/>
        <v>-3.1607016475197446E-2</v>
      </c>
    </row>
    <row r="1198" spans="2:8" x14ac:dyDescent="0.3">
      <c r="B1198" s="4">
        <v>40840</v>
      </c>
      <c r="C1198" s="7">
        <v>269.55</v>
      </c>
      <c r="D1198" s="6">
        <f t="shared" si="40"/>
        <v>-0.36052856329474275</v>
      </c>
      <c r="E1198" s="6">
        <v>1.1482607227288086E-2</v>
      </c>
      <c r="F1198" s="6"/>
      <c r="G1198" s="6">
        <v>1191</v>
      </c>
      <c r="H1198" s="6">
        <f t="shared" ca="1" si="41"/>
        <v>-4.5000667562518728E-4</v>
      </c>
    </row>
    <row r="1199" spans="2:8" x14ac:dyDescent="0.3">
      <c r="B1199" s="4">
        <v>41390</v>
      </c>
      <c r="C1199" s="7">
        <v>421.52</v>
      </c>
      <c r="D1199" s="6">
        <f t="shared" si="40"/>
        <v>-0.86536133514333624</v>
      </c>
      <c r="E1199" s="6">
        <v>1.1469981283294075E-2</v>
      </c>
      <c r="F1199" s="6"/>
      <c r="G1199" s="6">
        <v>1192</v>
      </c>
      <c r="H1199" s="6">
        <f t="shared" ca="1" si="41"/>
        <v>1.1151205428983513E-2</v>
      </c>
    </row>
    <row r="1200" spans="2:8" x14ac:dyDescent="0.3">
      <c r="B1200" s="4">
        <v>45204</v>
      </c>
      <c r="C1200" s="5">
        <v>3130.75</v>
      </c>
      <c r="D1200" s="6">
        <f t="shared" si="40"/>
        <v>10.260475488256665</v>
      </c>
      <c r="E1200" s="6">
        <v>1.1465918856574175E-2</v>
      </c>
      <c r="F1200" s="6"/>
      <c r="G1200" s="6">
        <v>1193</v>
      </c>
      <c r="H1200" s="6">
        <f t="shared" ca="1" si="41"/>
        <v>7.6068948104918103E-3</v>
      </c>
    </row>
    <row r="1201" spans="2:8" x14ac:dyDescent="0.3">
      <c r="B1201" s="4">
        <v>40695</v>
      </c>
      <c r="C1201" s="7">
        <v>278.02999999999997</v>
      </c>
      <c r="D1201" s="6">
        <f t="shared" si="40"/>
        <v>-0.52405162969049579</v>
      </c>
      <c r="E1201" s="6">
        <v>1.1459545983701896E-2</v>
      </c>
      <c r="F1201" s="6"/>
      <c r="G1201" s="6">
        <v>1194</v>
      </c>
      <c r="H1201" s="6">
        <f t="shared" ca="1" si="41"/>
        <v>2.3254633689987845E-2</v>
      </c>
    </row>
    <row r="1202" spans="2:8" x14ac:dyDescent="0.3">
      <c r="B1202" s="4">
        <v>41857</v>
      </c>
      <c r="C1202" s="7">
        <v>584.16</v>
      </c>
      <c r="D1202" s="6">
        <f t="shared" si="40"/>
        <v>-0.27645659928656369</v>
      </c>
      <c r="E1202" s="6">
        <v>1.144489654575364E-2</v>
      </c>
      <c r="F1202" s="6"/>
      <c r="G1202" s="6">
        <v>1195</v>
      </c>
      <c r="H1202" s="6">
        <f t="shared" ca="1" si="41"/>
        <v>-2.1555050139099762E-2</v>
      </c>
    </row>
    <row r="1203" spans="2:8" x14ac:dyDescent="0.3">
      <c r="B1203" s="4">
        <v>42437</v>
      </c>
      <c r="C1203" s="7">
        <v>807.36</v>
      </c>
      <c r="D1203" s="6">
        <f t="shared" si="40"/>
        <v>-0.54962262151141061</v>
      </c>
      <c r="E1203" s="6">
        <v>1.1437806146098236E-2</v>
      </c>
      <c r="F1203" s="6"/>
      <c r="G1203" s="6">
        <v>1196</v>
      </c>
      <c r="H1203" s="6">
        <f t="shared" ca="1" si="41"/>
        <v>-3.3417136522767435E-3</v>
      </c>
    </row>
    <row r="1204" spans="2:8" x14ac:dyDescent="0.3">
      <c r="B1204" s="4">
        <v>43880</v>
      </c>
      <c r="C1204" s="5">
        <v>1792.63</v>
      </c>
      <c r="D1204" s="6">
        <f t="shared" si="40"/>
        <v>13.538767234387674</v>
      </c>
      <c r="E1204" s="6">
        <v>1.1402489251983184E-2</v>
      </c>
      <c r="F1204" s="6"/>
      <c r="G1204" s="6">
        <v>1197</v>
      </c>
      <c r="H1204" s="6">
        <f t="shared" ca="1" si="41"/>
        <v>1.7223928721125464E-2</v>
      </c>
    </row>
    <row r="1205" spans="2:8" x14ac:dyDescent="0.3">
      <c r="B1205" s="4">
        <v>40030</v>
      </c>
      <c r="C1205" s="7">
        <v>123.3</v>
      </c>
      <c r="D1205" s="6">
        <f t="shared" si="40"/>
        <v>-0.95116367496316478</v>
      </c>
      <c r="E1205" s="6">
        <v>1.1401853826593394E-2</v>
      </c>
      <c r="F1205" s="6"/>
      <c r="G1205" s="6">
        <v>1198</v>
      </c>
      <c r="H1205" s="6">
        <f t="shared" ca="1" si="41"/>
        <v>1.4921505938618941E-2</v>
      </c>
    </row>
    <row r="1206" spans="2:8" x14ac:dyDescent="0.3">
      <c r="B1206" s="4">
        <v>45883</v>
      </c>
      <c r="C1206" s="5">
        <v>2524.7600000000002</v>
      </c>
      <c r="D1206" s="6">
        <f t="shared" si="40"/>
        <v>7.9766052762568442</v>
      </c>
      <c r="E1206" s="6">
        <v>1.1400873292472873E-2</v>
      </c>
      <c r="F1206" s="6"/>
      <c r="G1206" s="6">
        <v>1199</v>
      </c>
      <c r="H1206" s="6">
        <f t="shared" ca="1" si="41"/>
        <v>3.8457340612425544E-3</v>
      </c>
    </row>
    <row r="1207" spans="2:8" x14ac:dyDescent="0.3">
      <c r="B1207" s="4">
        <v>40701</v>
      </c>
      <c r="C1207" s="7">
        <v>281.26</v>
      </c>
      <c r="D1207" s="6">
        <f t="shared" si="40"/>
        <v>11.186308492201041</v>
      </c>
      <c r="E1207" s="6">
        <v>1.139918731345973E-2</v>
      </c>
      <c r="F1207" s="6"/>
      <c r="G1207" s="6">
        <v>1200</v>
      </c>
      <c r="H1207" s="6">
        <f t="shared" ca="1" si="41"/>
        <v>-4.9382658296412731E-3</v>
      </c>
    </row>
    <row r="1208" spans="2:8" x14ac:dyDescent="0.3">
      <c r="B1208" s="4">
        <v>38301</v>
      </c>
      <c r="C1208" s="7">
        <v>23.08</v>
      </c>
      <c r="D1208" s="6">
        <f t="shared" si="40"/>
        <v>-0.95684206589625642</v>
      </c>
      <c r="E1208" s="6">
        <v>1.1393514460999036E-2</v>
      </c>
      <c r="F1208" s="6"/>
      <c r="G1208" s="6">
        <v>1201</v>
      </c>
      <c r="H1208" s="6">
        <f t="shared" ca="1" si="41"/>
        <v>2.2767887523613188E-2</v>
      </c>
    </row>
    <row r="1209" spans="2:8" x14ac:dyDescent="0.3">
      <c r="B1209" s="4">
        <v>41815</v>
      </c>
      <c r="C1209" s="7">
        <v>534.78</v>
      </c>
      <c r="D1209" s="6">
        <f t="shared" si="40"/>
        <v>-0.77975371689798612</v>
      </c>
      <c r="E1209" s="6">
        <v>1.1385127468038395E-2</v>
      </c>
      <c r="F1209" s="6"/>
      <c r="G1209" s="6">
        <v>1202</v>
      </c>
      <c r="H1209" s="6">
        <f t="shared" ca="1" si="41"/>
        <v>6.4044707393196261E-3</v>
      </c>
    </row>
    <row r="1210" spans="2:8" x14ac:dyDescent="0.3">
      <c r="B1210" s="4">
        <v>46073</v>
      </c>
      <c r="C1210" s="5">
        <v>2428.1</v>
      </c>
      <c r="D1210" s="6">
        <f t="shared" si="40"/>
        <v>108.03008531656937</v>
      </c>
      <c r="E1210" s="6">
        <v>1.1371209596800953E-2</v>
      </c>
      <c r="F1210" s="6"/>
      <c r="G1210" s="6">
        <v>1203</v>
      </c>
      <c r="H1210" s="6">
        <f t="shared" ca="1" si="41"/>
        <v>-7.2907506549602769E-4</v>
      </c>
    </row>
    <row r="1211" spans="2:8" x14ac:dyDescent="0.3">
      <c r="B1211" s="4">
        <v>37855</v>
      </c>
      <c r="C1211" s="7">
        <v>22.27</v>
      </c>
      <c r="D1211" s="6">
        <f t="shared" si="40"/>
        <v>-0.99182521299596582</v>
      </c>
      <c r="E1211" s="6">
        <v>1.1353315168029064E-2</v>
      </c>
      <c r="F1211" s="6"/>
      <c r="G1211" s="6">
        <v>1204</v>
      </c>
      <c r="H1211" s="6">
        <f t="shared" ca="1" si="41"/>
        <v>2.7352095438682245E-3</v>
      </c>
    </row>
    <row r="1212" spans="2:8" x14ac:dyDescent="0.3">
      <c r="B1212" s="4">
        <v>45021</v>
      </c>
      <c r="C1212" s="5">
        <v>2724.23</v>
      </c>
      <c r="D1212" s="6">
        <f t="shared" si="40"/>
        <v>0.16704365334361471</v>
      </c>
      <c r="E1212" s="6">
        <v>1.1345116513901089E-2</v>
      </c>
      <c r="F1212" s="6"/>
      <c r="G1212" s="6">
        <v>1205</v>
      </c>
      <c r="H1212" s="6">
        <f t="shared" ca="1" si="41"/>
        <v>1.6618610062651654E-2</v>
      </c>
    </row>
    <row r="1213" spans="2:8" x14ac:dyDescent="0.3">
      <c r="B1213" s="4">
        <v>44169</v>
      </c>
      <c r="C1213" s="5">
        <v>2334.3000000000002</v>
      </c>
      <c r="D1213" s="6">
        <f t="shared" si="40"/>
        <v>21.299388612915553</v>
      </c>
      <c r="E1213" s="6">
        <v>1.1342564511377351E-2</v>
      </c>
      <c r="F1213" s="6"/>
      <c r="G1213" s="6">
        <v>1206</v>
      </c>
      <c r="H1213" s="6">
        <f t="shared" ca="1" si="41"/>
        <v>2.3190611497520219E-2</v>
      </c>
    </row>
    <row r="1214" spans="2:8" x14ac:dyDescent="0.3">
      <c r="B1214" s="4">
        <v>39566</v>
      </c>
      <c r="C1214" s="7">
        <v>104.68</v>
      </c>
      <c r="D1214" s="6">
        <f t="shared" si="40"/>
        <v>-0.63718286427284065</v>
      </c>
      <c r="E1214" s="6">
        <v>1.1303255724084645E-2</v>
      </c>
      <c r="F1214" s="6"/>
      <c r="G1214" s="6">
        <v>1207</v>
      </c>
      <c r="H1214" s="6">
        <f t="shared" ca="1" si="41"/>
        <v>1.2421354958598392E-2</v>
      </c>
    </row>
    <row r="1215" spans="2:8" x14ac:dyDescent="0.3">
      <c r="B1215" s="4">
        <v>40780</v>
      </c>
      <c r="C1215" s="7">
        <v>288.52</v>
      </c>
      <c r="D1215" s="6">
        <f t="shared" si="40"/>
        <v>-0.83076020647583293</v>
      </c>
      <c r="E1215" s="6">
        <v>1.1286365229582792E-2</v>
      </c>
      <c r="F1215" s="6"/>
      <c r="G1215" s="6">
        <v>1208</v>
      </c>
      <c r="H1215" s="6">
        <f t="shared" ca="1" si="41"/>
        <v>4.4180128170894931E-3</v>
      </c>
    </row>
    <row r="1216" spans="2:8" x14ac:dyDescent="0.3">
      <c r="B1216" s="4">
        <v>43840</v>
      </c>
      <c r="C1216" s="5">
        <v>1704.8</v>
      </c>
      <c r="D1216" s="6">
        <f t="shared" si="40"/>
        <v>1.3498924849754643</v>
      </c>
      <c r="E1216" s="6">
        <v>1.1282611016858655E-2</v>
      </c>
      <c r="F1216" s="6"/>
      <c r="G1216" s="6">
        <v>1209</v>
      </c>
      <c r="H1216" s="6">
        <f t="shared" ca="1" si="41"/>
        <v>9.3971313226134459E-3</v>
      </c>
    </row>
    <row r="1217" spans="2:8" x14ac:dyDescent="0.3">
      <c r="B1217" s="4">
        <v>41981</v>
      </c>
      <c r="C1217" s="7">
        <v>725.48</v>
      </c>
      <c r="D1217" s="6">
        <f t="shared" si="40"/>
        <v>0.65661178727193847</v>
      </c>
      <c r="E1217" s="6">
        <v>1.1276990200588288E-2</v>
      </c>
      <c r="F1217" s="6"/>
      <c r="G1217" s="6">
        <v>1210</v>
      </c>
      <c r="H1217" s="6">
        <f t="shared" ca="1" si="41"/>
        <v>-1.7503128017911242E-2</v>
      </c>
    </row>
    <row r="1218" spans="2:8" x14ac:dyDescent="0.3">
      <c r="B1218" s="4">
        <v>41558</v>
      </c>
      <c r="C1218" s="7">
        <v>437.93</v>
      </c>
      <c r="D1218" s="6">
        <f t="shared" si="40"/>
        <v>-0.6058874349790313</v>
      </c>
      <c r="E1218" s="6">
        <v>1.1268906592772186E-2</v>
      </c>
      <c r="F1218" s="6"/>
      <c r="G1218" s="6">
        <v>1211</v>
      </c>
      <c r="H1218" s="6">
        <f t="shared" ca="1" si="41"/>
        <v>1.9958372369696309E-3</v>
      </c>
    </row>
    <row r="1219" spans="2:8" x14ac:dyDescent="0.3">
      <c r="B1219" s="4">
        <v>43105</v>
      </c>
      <c r="C1219" s="5">
        <v>1111.18</v>
      </c>
      <c r="D1219" s="6">
        <f t="shared" si="40"/>
        <v>-0.65401261668566013</v>
      </c>
      <c r="E1219" s="6">
        <v>1.1266836548962605E-2</v>
      </c>
      <c r="F1219" s="6"/>
      <c r="G1219" s="6">
        <v>1212</v>
      </c>
      <c r="H1219" s="6">
        <f t="shared" ca="1" si="41"/>
        <v>-2.6465919289619236E-2</v>
      </c>
    </row>
    <row r="1220" spans="2:8" x14ac:dyDescent="0.3">
      <c r="B1220" s="4">
        <v>44442</v>
      </c>
      <c r="C1220" s="5">
        <v>3211.62</v>
      </c>
      <c r="D1220" s="6">
        <f t="shared" si="40"/>
        <v>1.9810644736109306</v>
      </c>
      <c r="E1220" s="6">
        <v>1.1266310645372483E-2</v>
      </c>
      <c r="F1220" s="6"/>
      <c r="G1220" s="6">
        <v>1213</v>
      </c>
      <c r="H1220" s="6">
        <f t="shared" ca="1" si="41"/>
        <v>-5.5110711118999761E-2</v>
      </c>
    </row>
    <row r="1221" spans="2:8" x14ac:dyDescent="0.3">
      <c r="B1221" s="4">
        <v>42885</v>
      </c>
      <c r="C1221" s="5">
        <v>1077.3399999999999</v>
      </c>
      <c r="D1221" s="6">
        <f t="shared" si="40"/>
        <v>12.773203784198413</v>
      </c>
      <c r="E1221" s="6">
        <v>1.125451729478576E-2</v>
      </c>
      <c r="F1221" s="6"/>
      <c r="G1221" s="6">
        <v>1214</v>
      </c>
      <c r="H1221" s="6">
        <f t="shared" ca="1" si="41"/>
        <v>-1.3929994969746198E-2</v>
      </c>
    </row>
    <row r="1222" spans="2:8" x14ac:dyDescent="0.3">
      <c r="B1222" s="4">
        <v>39314</v>
      </c>
      <c r="C1222" s="7">
        <v>78.22</v>
      </c>
      <c r="D1222" s="6">
        <f t="shared" si="40"/>
        <v>0.49732006125574263</v>
      </c>
      <c r="E1222" s="6">
        <v>1.1247575953458365E-2</v>
      </c>
      <c r="F1222" s="6"/>
      <c r="G1222" s="6">
        <v>1215</v>
      </c>
      <c r="H1222" s="6">
        <f t="shared" ca="1" si="41"/>
        <v>9.7757659330336734E-3</v>
      </c>
    </row>
    <row r="1223" spans="2:8" x14ac:dyDescent="0.3">
      <c r="B1223" s="4">
        <v>38939</v>
      </c>
      <c r="C1223" s="7">
        <v>52.24</v>
      </c>
      <c r="D1223" s="6">
        <f t="shared" si="40"/>
        <v>-0.97696750584189418</v>
      </c>
      <c r="E1223" s="6">
        <v>1.1227255129694259E-2</v>
      </c>
      <c r="F1223" s="6"/>
      <c r="G1223" s="6">
        <v>1216</v>
      </c>
      <c r="H1223" s="6">
        <f t="shared" ca="1" si="41"/>
        <v>1.4463231576939385E-2</v>
      </c>
    </row>
    <row r="1224" spans="2:8" x14ac:dyDescent="0.3">
      <c r="B1224" s="4">
        <v>45664</v>
      </c>
      <c r="C1224" s="5">
        <v>2268.1</v>
      </c>
      <c r="D1224" s="6">
        <f t="shared" ref="D1224:D1287" si="42">((C1224-C1225)/C1225)</f>
        <v>-0.19828777654847715</v>
      </c>
      <c r="E1224" s="6">
        <v>1.1226436966097693E-2</v>
      </c>
      <c r="F1224" s="6"/>
      <c r="G1224" s="6">
        <v>1217</v>
      </c>
      <c r="H1224" s="6">
        <f t="shared" ca="1" si="41"/>
        <v>2.2244233649194704E-2</v>
      </c>
    </row>
    <row r="1225" spans="2:8" x14ac:dyDescent="0.3">
      <c r="B1225" s="4">
        <v>45365</v>
      </c>
      <c r="C1225" s="5">
        <v>2829.07</v>
      </c>
      <c r="D1225" s="6">
        <f t="shared" si="42"/>
        <v>59.295609548167093</v>
      </c>
      <c r="E1225" s="6">
        <v>1.1220010866146353E-2</v>
      </c>
      <c r="F1225" s="6"/>
      <c r="G1225" s="6">
        <v>1218</v>
      </c>
      <c r="H1225" s="6">
        <f t="shared" ref="H1225:H1288" ca="1" si="43">_xlfn.NORM.INV(RAND(),N$10,N$11)</f>
        <v>2.3780023505953203E-3</v>
      </c>
    </row>
    <row r="1226" spans="2:8" x14ac:dyDescent="0.3">
      <c r="B1226" s="4">
        <v>38888</v>
      </c>
      <c r="C1226" s="7">
        <v>46.92</v>
      </c>
      <c r="D1226" s="6">
        <f t="shared" si="42"/>
        <v>-0.95650843969856225</v>
      </c>
      <c r="E1226" s="6">
        <v>1.1206896551724205E-2</v>
      </c>
      <c r="F1226" s="6"/>
      <c r="G1226" s="6">
        <v>1219</v>
      </c>
      <c r="H1226" s="6">
        <f t="shared" ca="1" si="43"/>
        <v>-1.331864156048836E-2</v>
      </c>
    </row>
    <row r="1227" spans="2:8" x14ac:dyDescent="0.3">
      <c r="B1227" s="4">
        <v>43095</v>
      </c>
      <c r="C1227" s="5">
        <v>1078.83</v>
      </c>
      <c r="D1227" s="6">
        <f t="shared" si="42"/>
        <v>3.1003002546463452</v>
      </c>
      <c r="E1227" s="6">
        <v>1.1200884823035221E-2</v>
      </c>
      <c r="F1227" s="6"/>
      <c r="G1227" s="6">
        <v>1220</v>
      </c>
      <c r="H1227" s="6">
        <f t="shared" ca="1" si="43"/>
        <v>3.745054653277409E-2</v>
      </c>
    </row>
    <row r="1228" spans="2:8" x14ac:dyDescent="0.3">
      <c r="B1228" s="4">
        <v>40941</v>
      </c>
      <c r="C1228" s="7">
        <v>263.11</v>
      </c>
      <c r="D1228" s="6">
        <f t="shared" si="42"/>
        <v>5.7654924145024431</v>
      </c>
      <c r="E1228" s="6">
        <v>1.1183704842428997E-2</v>
      </c>
      <c r="F1228" s="6"/>
      <c r="G1228" s="6">
        <v>1221</v>
      </c>
      <c r="H1228" s="6">
        <f t="shared" ca="1" si="43"/>
        <v>-1.4460229746003866E-2</v>
      </c>
    </row>
    <row r="1229" spans="2:8" x14ac:dyDescent="0.3">
      <c r="B1229" s="4">
        <v>38601</v>
      </c>
      <c r="C1229" s="7">
        <v>38.89</v>
      </c>
      <c r="D1229" s="6">
        <f t="shared" si="42"/>
        <v>-0.32855662983425415</v>
      </c>
      <c r="E1229" s="6">
        <v>1.1180447217888708E-2</v>
      </c>
      <c r="F1229" s="6"/>
      <c r="G1229" s="6">
        <v>1222</v>
      </c>
      <c r="H1229" s="6">
        <f t="shared" ca="1" si="43"/>
        <v>-5.0702909934732133E-3</v>
      </c>
    </row>
    <row r="1230" spans="2:8" x14ac:dyDescent="0.3">
      <c r="B1230" s="4">
        <v>39027</v>
      </c>
      <c r="C1230" s="7">
        <v>57.92</v>
      </c>
      <c r="D1230" s="6">
        <f t="shared" si="42"/>
        <v>-0.97597537808085078</v>
      </c>
      <c r="E1230" s="6">
        <v>1.1173184357541908E-2</v>
      </c>
      <c r="F1230" s="6"/>
      <c r="G1230" s="6">
        <v>1223</v>
      </c>
      <c r="H1230" s="6">
        <f t="shared" ca="1" si="43"/>
        <v>-1.5308938771234583E-2</v>
      </c>
    </row>
    <row r="1231" spans="2:8" x14ac:dyDescent="0.3">
      <c r="B1231" s="4">
        <v>45782</v>
      </c>
      <c r="C1231" s="5">
        <v>2410.86</v>
      </c>
      <c r="D1231" s="6">
        <f t="shared" si="42"/>
        <v>15.733948774901091</v>
      </c>
      <c r="E1231" s="6">
        <v>1.116074237181509E-2</v>
      </c>
      <c r="F1231" s="6"/>
      <c r="G1231" s="6">
        <v>1224</v>
      </c>
      <c r="H1231" s="6">
        <f t="shared" ca="1" si="43"/>
        <v>-2.6916820138076078E-3</v>
      </c>
    </row>
    <row r="1232" spans="2:8" x14ac:dyDescent="0.3">
      <c r="B1232" s="4">
        <v>40120</v>
      </c>
      <c r="C1232" s="7">
        <v>144.07</v>
      </c>
      <c r="D1232" s="6">
        <f t="shared" si="42"/>
        <v>-0.82897470292857223</v>
      </c>
      <c r="E1232" s="6">
        <v>1.115946097697925E-2</v>
      </c>
      <c r="F1232" s="6"/>
      <c r="G1232" s="6">
        <v>1225</v>
      </c>
      <c r="H1232" s="6">
        <f t="shared" ca="1" si="43"/>
        <v>6.0444655650715882E-3</v>
      </c>
    </row>
    <row r="1233" spans="2:8" x14ac:dyDescent="0.3">
      <c r="B1233" s="4">
        <v>42739</v>
      </c>
      <c r="C1233" s="7">
        <v>842.39</v>
      </c>
      <c r="D1233" s="6">
        <f t="shared" si="42"/>
        <v>5.8721651166585085</v>
      </c>
      <c r="E1233" s="6">
        <v>1.1151122314247945E-2</v>
      </c>
      <c r="F1233" s="6"/>
      <c r="G1233" s="6">
        <v>1226</v>
      </c>
      <c r="H1233" s="6">
        <f t="shared" ca="1" si="43"/>
        <v>-3.6725743935941586E-3</v>
      </c>
    </row>
    <row r="1234" spans="2:8" x14ac:dyDescent="0.3">
      <c r="B1234" s="4">
        <v>40092</v>
      </c>
      <c r="C1234" s="7">
        <v>122.58</v>
      </c>
      <c r="D1234" s="6">
        <f t="shared" si="42"/>
        <v>-0.8521475870553753</v>
      </c>
      <c r="E1234" s="6">
        <v>1.1135857461024452E-2</v>
      </c>
      <c r="F1234" s="6"/>
      <c r="G1234" s="6">
        <v>1227</v>
      </c>
      <c r="H1234" s="6">
        <f t="shared" ca="1" si="43"/>
        <v>-8.4450838481430358E-3</v>
      </c>
    </row>
    <row r="1235" spans="2:8" x14ac:dyDescent="0.3">
      <c r="B1235" s="4">
        <v>42405</v>
      </c>
      <c r="C1235" s="7">
        <v>829.07</v>
      </c>
      <c r="D1235" s="6">
        <f t="shared" si="42"/>
        <v>1.105948994106889</v>
      </c>
      <c r="E1235" s="6">
        <v>1.113496109471424E-2</v>
      </c>
      <c r="F1235" s="6"/>
      <c r="G1235" s="6">
        <v>1228</v>
      </c>
      <c r="H1235" s="6">
        <f t="shared" ca="1" si="43"/>
        <v>-4.5141385799510872E-3</v>
      </c>
    </row>
    <row r="1236" spans="2:8" x14ac:dyDescent="0.3">
      <c r="B1236" s="4">
        <v>41271</v>
      </c>
      <c r="C1236" s="7">
        <v>393.68</v>
      </c>
      <c r="D1236" s="6">
        <f t="shared" si="42"/>
        <v>15.653130287648054</v>
      </c>
      <c r="E1236" s="6">
        <v>1.1121099268010746E-2</v>
      </c>
      <c r="F1236" s="6"/>
      <c r="G1236" s="6">
        <v>1229</v>
      </c>
      <c r="H1236" s="6">
        <f t="shared" ca="1" si="43"/>
        <v>4.3792652393530439E-2</v>
      </c>
    </row>
    <row r="1237" spans="2:8" x14ac:dyDescent="0.3">
      <c r="B1237" s="4">
        <v>38107</v>
      </c>
      <c r="C1237" s="7">
        <v>23.64</v>
      </c>
      <c r="D1237" s="6">
        <f t="shared" si="42"/>
        <v>-0.99248844192364527</v>
      </c>
      <c r="E1237" s="6">
        <v>1.112061591103514E-2</v>
      </c>
      <c r="F1237" s="6"/>
      <c r="G1237" s="6">
        <v>1230</v>
      </c>
      <c r="H1237" s="6">
        <f t="shared" ca="1" si="43"/>
        <v>1.597373719696301E-2</v>
      </c>
    </row>
    <row r="1238" spans="2:8" x14ac:dyDescent="0.3">
      <c r="B1238" s="4">
        <v>45526</v>
      </c>
      <c r="C1238" s="5">
        <v>3147.15</v>
      </c>
      <c r="D1238" s="6">
        <f t="shared" si="42"/>
        <v>191.25106902871104</v>
      </c>
      <c r="E1238" s="6">
        <v>1.1119535813194409E-2</v>
      </c>
      <c r="F1238" s="6"/>
      <c r="G1238" s="6">
        <v>1231</v>
      </c>
      <c r="H1238" s="6">
        <f t="shared" ca="1" si="43"/>
        <v>-4.5893489445641899E-3</v>
      </c>
    </row>
    <row r="1239" spans="2:8" x14ac:dyDescent="0.3">
      <c r="B1239" s="4">
        <v>37475</v>
      </c>
      <c r="C1239" s="7">
        <v>16.37</v>
      </c>
      <c r="D1239" s="6">
        <f t="shared" si="42"/>
        <v>-0.99454164124211841</v>
      </c>
      <c r="E1239" s="6">
        <v>1.1117974058060512E-2</v>
      </c>
      <c r="F1239" s="6"/>
      <c r="G1239" s="6">
        <v>1232</v>
      </c>
      <c r="H1239" s="6">
        <f t="shared" ca="1" si="43"/>
        <v>-1.9357769495152298E-2</v>
      </c>
    </row>
    <row r="1240" spans="2:8" x14ac:dyDescent="0.3">
      <c r="B1240" s="4">
        <v>44652</v>
      </c>
      <c r="C1240" s="5">
        <v>2999.07</v>
      </c>
      <c r="D1240" s="6">
        <f t="shared" si="42"/>
        <v>181.7586837294333</v>
      </c>
      <c r="E1240" s="6">
        <v>1.1105379737233382E-2</v>
      </c>
      <c r="F1240" s="6"/>
      <c r="G1240" s="6">
        <v>1233</v>
      </c>
      <c r="H1240" s="6">
        <f t="shared" ca="1" si="43"/>
        <v>2.0487875313950077E-2</v>
      </c>
    </row>
    <row r="1241" spans="2:8" x14ac:dyDescent="0.3">
      <c r="B1241" s="4">
        <v>37582</v>
      </c>
      <c r="C1241" s="7">
        <v>16.41</v>
      </c>
      <c r="D1241" s="6">
        <f t="shared" si="42"/>
        <v>-0.98428010345818562</v>
      </c>
      <c r="E1241" s="6">
        <v>1.1090573012938984E-2</v>
      </c>
      <c r="F1241" s="6"/>
      <c r="G1241" s="6">
        <v>1234</v>
      </c>
      <c r="H1241" s="6">
        <f t="shared" ca="1" si="43"/>
        <v>5.5969699566418467E-3</v>
      </c>
    </row>
    <row r="1242" spans="2:8" x14ac:dyDescent="0.3">
      <c r="B1242" s="4">
        <v>42605</v>
      </c>
      <c r="C1242" s="5">
        <v>1043.9000000000001</v>
      </c>
      <c r="D1242" s="6">
        <f t="shared" si="42"/>
        <v>-7.6497076178596218E-2</v>
      </c>
      <c r="E1242" s="6">
        <v>1.1090125429802939E-2</v>
      </c>
      <c r="F1242" s="6"/>
      <c r="G1242" s="6">
        <v>1235</v>
      </c>
      <c r="H1242" s="6">
        <f t="shared" ca="1" si="43"/>
        <v>-4.9480451101010375E-3</v>
      </c>
    </row>
    <row r="1243" spans="2:8" x14ac:dyDescent="0.3">
      <c r="B1243" s="4">
        <v>43398</v>
      </c>
      <c r="C1243" s="5">
        <v>1130.3699999999999</v>
      </c>
      <c r="D1243" s="6">
        <f t="shared" si="42"/>
        <v>0.39944040706671768</v>
      </c>
      <c r="E1243" s="6">
        <v>1.1082488058820259E-2</v>
      </c>
      <c r="F1243" s="6"/>
      <c r="G1243" s="6">
        <v>1236</v>
      </c>
      <c r="H1243" s="6">
        <f t="shared" ca="1" si="43"/>
        <v>1.399176139069979E-2</v>
      </c>
    </row>
    <row r="1244" spans="2:8" x14ac:dyDescent="0.3">
      <c r="B1244" s="4">
        <v>42355</v>
      </c>
      <c r="C1244" s="7">
        <v>807.73</v>
      </c>
      <c r="D1244" s="6">
        <f t="shared" si="42"/>
        <v>-0.52443669891137312</v>
      </c>
      <c r="E1244" s="6">
        <v>1.1078009212898086E-2</v>
      </c>
      <c r="F1244" s="6"/>
      <c r="G1244" s="6">
        <v>1237</v>
      </c>
      <c r="H1244" s="6">
        <f t="shared" ca="1" si="43"/>
        <v>-2.2433103163419382E-2</v>
      </c>
    </row>
    <row r="1245" spans="2:8" x14ac:dyDescent="0.3">
      <c r="B1245" s="4">
        <v>43773</v>
      </c>
      <c r="C1245" s="5">
        <v>1698.47</v>
      </c>
      <c r="D1245" s="6">
        <f t="shared" si="42"/>
        <v>83.458975634012944</v>
      </c>
      <c r="E1245" s="6">
        <v>1.1066266638093148E-2</v>
      </c>
      <c r="F1245" s="6"/>
      <c r="G1245" s="6">
        <v>1238</v>
      </c>
      <c r="H1245" s="6">
        <f t="shared" ca="1" si="43"/>
        <v>2.0395191013526871E-2</v>
      </c>
    </row>
    <row r="1246" spans="2:8" x14ac:dyDescent="0.3">
      <c r="B1246" s="4">
        <v>37830</v>
      </c>
      <c r="C1246" s="7">
        <v>20.11</v>
      </c>
      <c r="D1246" s="6">
        <f t="shared" si="42"/>
        <v>-0.72516058493918278</v>
      </c>
      <c r="E1246" s="6">
        <v>1.1060834590246298E-2</v>
      </c>
      <c r="F1246" s="6"/>
      <c r="G1246" s="6">
        <v>1239</v>
      </c>
      <c r="H1246" s="6">
        <f t="shared" ca="1" si="43"/>
        <v>1.0545843944490825E-2</v>
      </c>
    </row>
    <row r="1247" spans="2:8" x14ac:dyDescent="0.3">
      <c r="B1247" s="4">
        <v>39279</v>
      </c>
      <c r="C1247" s="7">
        <v>73.17</v>
      </c>
      <c r="D1247" s="6">
        <f t="shared" si="42"/>
        <v>-0.93063797516352265</v>
      </c>
      <c r="E1247" s="6">
        <v>1.1054304269724985E-2</v>
      </c>
      <c r="F1247" s="6"/>
      <c r="G1247" s="6">
        <v>1240</v>
      </c>
      <c r="H1247" s="6">
        <f t="shared" ca="1" si="43"/>
        <v>-3.5126621274846025E-3</v>
      </c>
    </row>
    <row r="1248" spans="2:8" x14ac:dyDescent="0.3">
      <c r="B1248" s="4">
        <v>42926</v>
      </c>
      <c r="C1248" s="5">
        <v>1054.9000000000001</v>
      </c>
      <c r="D1248" s="6">
        <f t="shared" si="42"/>
        <v>21.535782952360609</v>
      </c>
      <c r="E1248" s="6">
        <v>1.1021659957830169E-2</v>
      </c>
      <c r="F1248" s="6"/>
      <c r="G1248" s="6">
        <v>1241</v>
      </c>
      <c r="H1248" s="6">
        <f t="shared" ca="1" si="43"/>
        <v>1.353840710770778E-3</v>
      </c>
    </row>
    <row r="1249" spans="2:8" x14ac:dyDescent="0.3">
      <c r="B1249" s="4">
        <v>38716</v>
      </c>
      <c r="C1249" s="7">
        <v>46.81</v>
      </c>
      <c r="D1249" s="6">
        <f t="shared" si="42"/>
        <v>-0.98230981444389853</v>
      </c>
      <c r="E1249" s="6">
        <v>1.1015118790496872E-2</v>
      </c>
      <c r="F1249" s="6"/>
      <c r="G1249" s="6">
        <v>1242</v>
      </c>
      <c r="H1249" s="6">
        <f t="shared" ca="1" si="43"/>
        <v>1.1408267820180222E-2</v>
      </c>
    </row>
    <row r="1250" spans="2:8" x14ac:dyDescent="0.3">
      <c r="B1250" s="4">
        <v>44196</v>
      </c>
      <c r="C1250" s="5">
        <v>2646.1</v>
      </c>
      <c r="D1250" s="6">
        <f t="shared" si="42"/>
        <v>7.8851877522730096E-2</v>
      </c>
      <c r="E1250" s="6">
        <v>1.1007568897600168E-2</v>
      </c>
      <c r="F1250" s="6"/>
      <c r="G1250" s="6">
        <v>1243</v>
      </c>
      <c r="H1250" s="6">
        <f t="shared" ca="1" si="43"/>
        <v>-5.673284397124845E-3</v>
      </c>
    </row>
    <row r="1251" spans="2:8" x14ac:dyDescent="0.3">
      <c r="B1251" s="4">
        <v>46057</v>
      </c>
      <c r="C1251" s="5">
        <v>2452.6999999999998</v>
      </c>
      <c r="D1251" s="6">
        <f t="shared" si="42"/>
        <v>77.511523687580038</v>
      </c>
      <c r="E1251" s="6">
        <v>1.100577081615821E-2</v>
      </c>
      <c r="F1251" s="6"/>
      <c r="G1251" s="6">
        <v>1244</v>
      </c>
      <c r="H1251" s="6">
        <f t="shared" ca="1" si="43"/>
        <v>-9.3262165349937646E-3</v>
      </c>
    </row>
    <row r="1252" spans="2:8" x14ac:dyDescent="0.3">
      <c r="B1252" s="4">
        <v>38517</v>
      </c>
      <c r="C1252" s="7">
        <v>31.24</v>
      </c>
      <c r="D1252" s="6">
        <f t="shared" si="42"/>
        <v>0</v>
      </c>
      <c r="E1252" s="6">
        <v>1.1003236245954688E-2</v>
      </c>
      <c r="F1252" s="6"/>
      <c r="G1252" s="6">
        <v>1245</v>
      </c>
      <c r="H1252" s="6">
        <f t="shared" ca="1" si="43"/>
        <v>2.4388107714095251E-2</v>
      </c>
    </row>
    <row r="1253" spans="2:8" x14ac:dyDescent="0.3">
      <c r="B1253" s="4">
        <v>38450</v>
      </c>
      <c r="C1253" s="7">
        <v>31.24</v>
      </c>
      <c r="D1253" s="6">
        <f t="shared" si="42"/>
        <v>-0.97873759579652342</v>
      </c>
      <c r="E1253" s="6">
        <v>1.1003236245954688E-2</v>
      </c>
      <c r="F1253" s="6"/>
      <c r="G1253" s="6">
        <v>1246</v>
      </c>
      <c r="H1253" s="6">
        <f t="shared" ca="1" si="43"/>
        <v>-8.3201008922367797E-3</v>
      </c>
    </row>
    <row r="1254" spans="2:8" x14ac:dyDescent="0.3">
      <c r="B1254" s="4">
        <v>43726</v>
      </c>
      <c r="C1254" s="5">
        <v>1469.26</v>
      </c>
      <c r="D1254" s="6">
        <f t="shared" si="42"/>
        <v>25.607388627308946</v>
      </c>
      <c r="E1254" s="6">
        <v>1.1002773056624034E-2</v>
      </c>
      <c r="F1254" s="6"/>
      <c r="G1254" s="6">
        <v>1247</v>
      </c>
      <c r="H1254" s="6">
        <f t="shared" ca="1" si="43"/>
        <v>2.3985407458787158E-2</v>
      </c>
    </row>
    <row r="1255" spans="2:8" x14ac:dyDescent="0.3">
      <c r="B1255" s="4">
        <v>39017</v>
      </c>
      <c r="C1255" s="7">
        <v>55.22</v>
      </c>
      <c r="D1255" s="6">
        <f t="shared" si="42"/>
        <v>1.724222989639862</v>
      </c>
      <c r="E1255" s="6">
        <v>1.0984987184181646E-2</v>
      </c>
      <c r="F1255" s="6"/>
      <c r="G1255" s="6">
        <v>1248</v>
      </c>
      <c r="H1255" s="6">
        <f t="shared" ca="1" si="43"/>
        <v>-1.6191627854397775E-2</v>
      </c>
    </row>
    <row r="1256" spans="2:8" x14ac:dyDescent="0.3">
      <c r="B1256" s="4">
        <v>37816</v>
      </c>
      <c r="C1256" s="7">
        <v>20.27</v>
      </c>
      <c r="D1256" s="6">
        <f t="shared" si="42"/>
        <v>-0.8336206188951818</v>
      </c>
      <c r="E1256" s="6">
        <v>1.0972568578553559E-2</v>
      </c>
      <c r="F1256" s="6"/>
      <c r="G1256" s="6">
        <v>1249</v>
      </c>
      <c r="H1256" s="6">
        <f t="shared" ca="1" si="43"/>
        <v>6.0577013049593195E-3</v>
      </c>
    </row>
    <row r="1257" spans="2:8" x14ac:dyDescent="0.3">
      <c r="B1257" s="4">
        <v>40025</v>
      </c>
      <c r="C1257" s="7">
        <v>121.83</v>
      </c>
      <c r="D1257" s="6">
        <f t="shared" si="42"/>
        <v>-0.96231883161469511</v>
      </c>
      <c r="E1257" s="6">
        <v>1.0953447846651672E-2</v>
      </c>
      <c r="F1257" s="6"/>
      <c r="G1257" s="6">
        <v>1250</v>
      </c>
      <c r="H1257" s="6">
        <f t="shared" ca="1" si="43"/>
        <v>-2.5270968899977857E-2</v>
      </c>
    </row>
    <row r="1258" spans="2:8" x14ac:dyDescent="0.3">
      <c r="B1258" s="4">
        <v>45541</v>
      </c>
      <c r="C1258" s="5">
        <v>3233.18</v>
      </c>
      <c r="D1258" s="6">
        <f t="shared" si="42"/>
        <v>4.6806170496872586</v>
      </c>
      <c r="E1258" s="6">
        <v>1.0950046276609044E-2</v>
      </c>
      <c r="F1258" s="6"/>
      <c r="G1258" s="6">
        <v>1251</v>
      </c>
      <c r="H1258" s="6">
        <f t="shared" ca="1" si="43"/>
        <v>-1.8651033300932571E-2</v>
      </c>
    </row>
    <row r="1259" spans="2:8" x14ac:dyDescent="0.3">
      <c r="B1259" s="4">
        <v>41879</v>
      </c>
      <c r="C1259" s="7">
        <v>569.16</v>
      </c>
      <c r="D1259" s="6">
        <f t="shared" si="42"/>
        <v>-0.66144402012919801</v>
      </c>
      <c r="E1259" s="6">
        <v>1.0941385435168682E-2</v>
      </c>
      <c r="F1259" s="6"/>
      <c r="G1259" s="6">
        <v>1252</v>
      </c>
      <c r="H1259" s="6">
        <f t="shared" ca="1" si="43"/>
        <v>-1.5378852790567188E-2</v>
      </c>
    </row>
    <row r="1260" spans="2:8" x14ac:dyDescent="0.3">
      <c r="B1260" s="4">
        <v>43734</v>
      </c>
      <c r="C1260" s="5">
        <v>1681.14</v>
      </c>
      <c r="D1260" s="6">
        <f t="shared" si="42"/>
        <v>25.710200190657773</v>
      </c>
      <c r="E1260" s="6">
        <v>1.0926234387872344E-2</v>
      </c>
      <c r="F1260" s="6"/>
      <c r="G1260" s="6">
        <v>1253</v>
      </c>
      <c r="H1260" s="6">
        <f t="shared" ca="1" si="43"/>
        <v>-1.8816467964757867E-2</v>
      </c>
    </row>
    <row r="1261" spans="2:8" x14ac:dyDescent="0.3">
      <c r="B1261" s="4">
        <v>39878</v>
      </c>
      <c r="C1261" s="7">
        <v>62.94</v>
      </c>
      <c r="D1261" s="6">
        <f t="shared" si="42"/>
        <v>-0.92609119411923591</v>
      </c>
      <c r="E1261" s="6">
        <v>1.0921940250562154E-2</v>
      </c>
      <c r="F1261" s="6"/>
      <c r="G1261" s="6">
        <v>1254</v>
      </c>
      <c r="H1261" s="6">
        <f t="shared" ca="1" si="43"/>
        <v>3.594647290626091E-4</v>
      </c>
    </row>
    <row r="1262" spans="2:8" x14ac:dyDescent="0.3">
      <c r="B1262" s="4">
        <v>42740</v>
      </c>
      <c r="C1262" s="7">
        <v>851.59</v>
      </c>
      <c r="D1262" s="6">
        <f t="shared" si="42"/>
        <v>0.34883978775639501</v>
      </c>
      <c r="E1262" s="6">
        <v>1.0921307232991898E-2</v>
      </c>
      <c r="F1262" s="6"/>
      <c r="G1262" s="6">
        <v>1255</v>
      </c>
      <c r="H1262" s="6">
        <f t="shared" ca="1" si="43"/>
        <v>4.2155687257776554E-2</v>
      </c>
    </row>
    <row r="1263" spans="2:8" x14ac:dyDescent="0.3">
      <c r="B1263" s="4">
        <v>41963</v>
      </c>
      <c r="C1263" s="7">
        <v>631.35</v>
      </c>
      <c r="D1263" s="6">
        <f t="shared" si="42"/>
        <v>18.450092421441774</v>
      </c>
      <c r="E1263" s="6">
        <v>1.0904025362667017E-2</v>
      </c>
      <c r="F1263" s="6"/>
      <c r="G1263" s="6">
        <v>1256</v>
      </c>
      <c r="H1263" s="6">
        <f t="shared" ca="1" si="43"/>
        <v>-3.3040439423098644E-2</v>
      </c>
    </row>
    <row r="1264" spans="2:8" x14ac:dyDescent="0.3">
      <c r="B1264" s="4">
        <v>38530</v>
      </c>
      <c r="C1264" s="7">
        <v>32.46</v>
      </c>
      <c r="D1264" s="6">
        <f t="shared" si="42"/>
        <v>-0.98844687734683923</v>
      </c>
      <c r="E1264" s="6">
        <v>1.0900031142946166E-2</v>
      </c>
      <c r="F1264" s="6"/>
      <c r="G1264" s="6">
        <v>1257</v>
      </c>
      <c r="H1264" s="6">
        <f t="shared" ca="1" si="43"/>
        <v>1.5574551818792866E-2</v>
      </c>
    </row>
    <row r="1265" spans="2:8" x14ac:dyDescent="0.3">
      <c r="B1265" s="4">
        <v>44350</v>
      </c>
      <c r="C1265" s="5">
        <v>2809.63</v>
      </c>
      <c r="D1265" s="6">
        <f t="shared" si="42"/>
        <v>120.15696420871065</v>
      </c>
      <c r="E1265" s="6">
        <v>1.089827081249504E-2</v>
      </c>
      <c r="F1265" s="6"/>
      <c r="G1265" s="6">
        <v>1258</v>
      </c>
      <c r="H1265" s="6">
        <f t="shared" ca="1" si="43"/>
        <v>-1.7553597829379188E-2</v>
      </c>
    </row>
    <row r="1266" spans="2:8" x14ac:dyDescent="0.3">
      <c r="B1266" s="4">
        <v>38279</v>
      </c>
      <c r="C1266" s="7">
        <v>23.19</v>
      </c>
      <c r="D1266" s="6">
        <f t="shared" si="42"/>
        <v>-0.98292806819938594</v>
      </c>
      <c r="E1266" s="6">
        <v>1.0897994768962511E-2</v>
      </c>
      <c r="F1266" s="6"/>
      <c r="G1266" s="6">
        <v>1259</v>
      </c>
      <c r="H1266" s="6">
        <f t="shared" ca="1" si="43"/>
        <v>-2.3378380618941645E-2</v>
      </c>
    </row>
    <row r="1267" spans="2:8" x14ac:dyDescent="0.3">
      <c r="B1267" s="4">
        <v>43567</v>
      </c>
      <c r="C1267" s="5">
        <v>1358.37</v>
      </c>
      <c r="D1267" s="6">
        <f t="shared" si="42"/>
        <v>0.26489431045721185</v>
      </c>
      <c r="E1267" s="6">
        <v>1.0895045879752534E-2</v>
      </c>
      <c r="F1267" s="6"/>
      <c r="G1267" s="6">
        <v>1260</v>
      </c>
      <c r="H1267" s="6">
        <f t="shared" ca="1" si="43"/>
        <v>-8.8505517169497894E-3</v>
      </c>
    </row>
    <row r="1268" spans="2:8" x14ac:dyDescent="0.3">
      <c r="B1268" s="4">
        <v>42895</v>
      </c>
      <c r="C1268" s="5">
        <v>1073.9000000000001</v>
      </c>
      <c r="D1268" s="6">
        <f t="shared" si="42"/>
        <v>3.4146181040861636</v>
      </c>
      <c r="E1268" s="6">
        <v>1.0891154349401942E-2</v>
      </c>
      <c r="F1268" s="6"/>
      <c r="G1268" s="6">
        <v>1261</v>
      </c>
      <c r="H1268" s="6">
        <f t="shared" ca="1" si="43"/>
        <v>-2.8583911927741918E-2</v>
      </c>
    </row>
    <row r="1269" spans="2:8" x14ac:dyDescent="0.3">
      <c r="B1269" s="4">
        <v>40666</v>
      </c>
      <c r="C1269" s="7">
        <v>243.26</v>
      </c>
      <c r="D1269" s="6">
        <f t="shared" si="42"/>
        <v>-0.57592134165475406</v>
      </c>
      <c r="E1269" s="6">
        <v>1.0887632978723423E-2</v>
      </c>
      <c r="F1269" s="6"/>
      <c r="G1269" s="6">
        <v>1262</v>
      </c>
      <c r="H1269" s="6">
        <f t="shared" ca="1" si="43"/>
        <v>-2.4035095265872993E-2</v>
      </c>
    </row>
    <row r="1270" spans="2:8" x14ac:dyDescent="0.3">
      <c r="B1270" s="4">
        <v>41908</v>
      </c>
      <c r="C1270" s="7">
        <v>573.62</v>
      </c>
      <c r="D1270" s="6">
        <f t="shared" si="42"/>
        <v>-0.45701006238108316</v>
      </c>
      <c r="E1270" s="6">
        <v>1.0873204687637604E-2</v>
      </c>
      <c r="F1270" s="6"/>
      <c r="G1270" s="6">
        <v>1263</v>
      </c>
      <c r="H1270" s="6">
        <f t="shared" ca="1" si="43"/>
        <v>2.5609050335784738E-2</v>
      </c>
    </row>
    <row r="1271" spans="2:8" x14ac:dyDescent="0.3">
      <c r="B1271" s="4">
        <v>42668</v>
      </c>
      <c r="C1271" s="5">
        <v>1056.4100000000001</v>
      </c>
      <c r="D1271" s="6">
        <f t="shared" si="42"/>
        <v>20.826652892561984</v>
      </c>
      <c r="E1271" s="6">
        <v>1.087029328740264E-2</v>
      </c>
      <c r="F1271" s="6"/>
      <c r="G1271" s="6">
        <v>1264</v>
      </c>
      <c r="H1271" s="6">
        <f t="shared" ca="1" si="43"/>
        <v>2.0107553734807604E-2</v>
      </c>
    </row>
    <row r="1272" spans="2:8" x14ac:dyDescent="0.3">
      <c r="B1272" s="4">
        <v>38925</v>
      </c>
      <c r="C1272" s="7">
        <v>48.4</v>
      </c>
      <c r="D1272" s="6">
        <f t="shared" si="42"/>
        <v>-0.78344519015659952</v>
      </c>
      <c r="E1272" s="6">
        <v>1.0860484544694987E-2</v>
      </c>
      <c r="F1272" s="6"/>
      <c r="G1272" s="6">
        <v>1265</v>
      </c>
      <c r="H1272" s="6">
        <f t="shared" ca="1" si="43"/>
        <v>3.0994944719159737E-3</v>
      </c>
    </row>
    <row r="1273" spans="2:8" x14ac:dyDescent="0.3">
      <c r="B1273" s="4">
        <v>40508</v>
      </c>
      <c r="C1273" s="7">
        <v>223.5</v>
      </c>
      <c r="D1273" s="6">
        <f t="shared" si="42"/>
        <v>1.7582376897445391</v>
      </c>
      <c r="E1273" s="6">
        <v>1.0854816824966104E-2</v>
      </c>
      <c r="F1273" s="6"/>
      <c r="G1273" s="6">
        <v>1266</v>
      </c>
      <c r="H1273" s="6">
        <f t="shared" ca="1" si="43"/>
        <v>-2.2093314641748563E-2</v>
      </c>
    </row>
    <row r="1274" spans="2:8" x14ac:dyDescent="0.3">
      <c r="B1274" s="4">
        <v>39738</v>
      </c>
      <c r="C1274" s="7">
        <v>81.03</v>
      </c>
      <c r="D1274" s="6">
        <f t="shared" si="42"/>
        <v>-0.94656916401809388</v>
      </c>
      <c r="E1274" s="6">
        <v>1.085329341317371E-2</v>
      </c>
      <c r="F1274" s="6"/>
      <c r="G1274" s="6">
        <v>1267</v>
      </c>
      <c r="H1274" s="6">
        <f t="shared" ca="1" si="43"/>
        <v>-2.2650133915338298E-2</v>
      </c>
    </row>
    <row r="1275" spans="2:8" x14ac:dyDescent="0.3">
      <c r="B1275" s="4">
        <v>43703</v>
      </c>
      <c r="C1275" s="5">
        <v>1516.54</v>
      </c>
      <c r="D1275" s="6">
        <f t="shared" si="42"/>
        <v>2.9412146885314066</v>
      </c>
      <c r="E1275" s="6">
        <v>1.085145241491473E-2</v>
      </c>
      <c r="F1275" s="6"/>
      <c r="G1275" s="6">
        <v>1268</v>
      </c>
      <c r="H1275" s="6">
        <f t="shared" ca="1" si="43"/>
        <v>2.6439252633604457E-2</v>
      </c>
    </row>
    <row r="1276" spans="2:8" x14ac:dyDescent="0.3">
      <c r="B1276" s="4">
        <v>41261</v>
      </c>
      <c r="C1276" s="7">
        <v>384.79</v>
      </c>
      <c r="D1276" s="6">
        <f t="shared" si="42"/>
        <v>-0.10866342367384751</v>
      </c>
      <c r="E1276" s="6">
        <v>1.0849577050386158E-2</v>
      </c>
      <c r="F1276" s="6"/>
      <c r="G1276" s="6">
        <v>1269</v>
      </c>
      <c r="H1276" s="6">
        <f t="shared" ca="1" si="43"/>
        <v>1.9976415970757853E-2</v>
      </c>
    </row>
    <row r="1277" spans="2:8" x14ac:dyDescent="0.3">
      <c r="B1277" s="4">
        <v>41696</v>
      </c>
      <c r="C1277" s="7">
        <v>431.7</v>
      </c>
      <c r="D1277" s="6">
        <f t="shared" si="42"/>
        <v>-0.82300268140482646</v>
      </c>
      <c r="E1277" s="6">
        <v>1.0793977850101884E-2</v>
      </c>
      <c r="F1277" s="6"/>
      <c r="G1277" s="6">
        <v>1270</v>
      </c>
      <c r="H1277" s="6">
        <f t="shared" ca="1" si="43"/>
        <v>-6.6838348624910972E-3</v>
      </c>
    </row>
    <row r="1278" spans="2:8" x14ac:dyDescent="0.3">
      <c r="B1278" s="4">
        <v>44179</v>
      </c>
      <c r="C1278" s="5">
        <v>2439.02</v>
      </c>
      <c r="D1278" s="6">
        <f t="shared" si="42"/>
        <v>-0.26788254999309613</v>
      </c>
      <c r="E1278" s="6">
        <v>1.079163523941349E-2</v>
      </c>
      <c r="F1278" s="6"/>
      <c r="G1278" s="6">
        <v>1271</v>
      </c>
      <c r="H1278" s="6">
        <f t="shared" ca="1" si="43"/>
        <v>6.6745226459880881E-3</v>
      </c>
    </row>
    <row r="1279" spans="2:8" x14ac:dyDescent="0.3">
      <c r="B1279" s="4">
        <v>44565</v>
      </c>
      <c r="C1279" s="5">
        <v>3331.46</v>
      </c>
      <c r="D1279" s="6">
        <f t="shared" si="42"/>
        <v>6.7017292398742372</v>
      </c>
      <c r="E1279" s="6">
        <v>1.0779961953075521E-2</v>
      </c>
      <c r="F1279" s="6"/>
      <c r="G1279" s="6">
        <v>1272</v>
      </c>
      <c r="H1279" s="6">
        <f t="shared" ca="1" si="43"/>
        <v>-2.2671821272454512E-2</v>
      </c>
    </row>
    <row r="1280" spans="2:8" x14ac:dyDescent="0.3">
      <c r="B1280" s="4">
        <v>41663</v>
      </c>
      <c r="C1280" s="7">
        <v>432.56</v>
      </c>
      <c r="D1280" s="6">
        <f t="shared" si="42"/>
        <v>24.610420367081112</v>
      </c>
      <c r="E1280" s="6">
        <v>1.0772286482065694E-2</v>
      </c>
      <c r="F1280" s="6"/>
      <c r="G1280" s="6">
        <v>1273</v>
      </c>
      <c r="H1280" s="6">
        <f t="shared" ca="1" si="43"/>
        <v>2.7773554409013968E-4</v>
      </c>
    </row>
    <row r="1281" spans="2:8" x14ac:dyDescent="0.3">
      <c r="B1281" s="4">
        <v>37546</v>
      </c>
      <c r="C1281" s="7">
        <v>16.89</v>
      </c>
      <c r="D1281" s="6">
        <f t="shared" si="42"/>
        <v>-0.28219294517637061</v>
      </c>
      <c r="E1281" s="6">
        <v>1.0771992818671437E-2</v>
      </c>
      <c r="F1281" s="6"/>
      <c r="G1281" s="6">
        <v>1274</v>
      </c>
      <c r="H1281" s="6">
        <f t="shared" ca="1" si="43"/>
        <v>2.5483714317628723E-2</v>
      </c>
    </row>
    <row r="1282" spans="2:8" x14ac:dyDescent="0.3">
      <c r="B1282" s="4">
        <v>38275</v>
      </c>
      <c r="C1282" s="7">
        <v>23.53</v>
      </c>
      <c r="D1282" s="6">
        <f t="shared" si="42"/>
        <v>-0.99173167474875246</v>
      </c>
      <c r="E1282" s="6">
        <v>1.0738831615120275E-2</v>
      </c>
      <c r="F1282" s="6"/>
      <c r="G1282" s="6">
        <v>1275</v>
      </c>
      <c r="H1282" s="6">
        <f t="shared" ca="1" si="43"/>
        <v>-1.1534294832552121E-2</v>
      </c>
    </row>
    <row r="1283" spans="2:8" x14ac:dyDescent="0.3">
      <c r="B1283" s="4">
        <v>46028</v>
      </c>
      <c r="C1283" s="5">
        <v>2845.8</v>
      </c>
      <c r="D1283" s="6">
        <f t="shared" si="42"/>
        <v>11.450997549877496</v>
      </c>
      <c r="E1283" s="6">
        <v>1.072595539139092E-2</v>
      </c>
      <c r="F1283" s="6"/>
      <c r="G1283" s="6">
        <v>1276</v>
      </c>
      <c r="H1283" s="6">
        <f t="shared" ca="1" si="43"/>
        <v>4.0400227118274237E-4</v>
      </c>
    </row>
    <row r="1284" spans="2:8" x14ac:dyDescent="0.3">
      <c r="B1284" s="4">
        <v>40388</v>
      </c>
      <c r="C1284" s="7">
        <v>228.56</v>
      </c>
      <c r="D1284" s="6">
        <f t="shared" si="42"/>
        <v>2.5033721643163704</v>
      </c>
      <c r="E1284" s="6">
        <v>1.0701335455912338E-2</v>
      </c>
      <c r="F1284" s="6"/>
      <c r="G1284" s="6">
        <v>1277</v>
      </c>
      <c r="H1284" s="6">
        <f t="shared" ca="1" si="43"/>
        <v>1.5957864224275059E-2</v>
      </c>
    </row>
    <row r="1285" spans="2:8" x14ac:dyDescent="0.3">
      <c r="B1285" s="4">
        <v>39098</v>
      </c>
      <c r="C1285" s="7">
        <v>65.239999999999995</v>
      </c>
      <c r="D1285" s="6">
        <f t="shared" si="42"/>
        <v>0.76898047722342711</v>
      </c>
      <c r="E1285" s="6">
        <v>1.0689388071262552E-2</v>
      </c>
      <c r="F1285" s="6"/>
      <c r="G1285" s="6">
        <v>1278</v>
      </c>
      <c r="H1285" s="6">
        <f t="shared" ca="1" si="43"/>
        <v>-4.1089534189117051E-3</v>
      </c>
    </row>
    <row r="1286" spans="2:8" x14ac:dyDescent="0.3">
      <c r="B1286" s="4">
        <v>38565</v>
      </c>
      <c r="C1286" s="7">
        <v>36.880000000000003</v>
      </c>
      <c r="D1286" s="6">
        <f t="shared" si="42"/>
        <v>-0.98369656513858794</v>
      </c>
      <c r="E1286" s="6">
        <v>1.0687859687585654E-2</v>
      </c>
      <c r="F1286" s="6"/>
      <c r="G1286" s="6">
        <v>1279</v>
      </c>
      <c r="H1286" s="6">
        <f t="shared" ca="1" si="43"/>
        <v>1.0356214779538717E-2</v>
      </c>
    </row>
    <row r="1287" spans="2:8" x14ac:dyDescent="0.3">
      <c r="B1287" s="4">
        <v>46099</v>
      </c>
      <c r="C1287" s="5">
        <v>2262.1</v>
      </c>
      <c r="D1287" s="6">
        <f t="shared" si="42"/>
        <v>2.2450616132780556</v>
      </c>
      <c r="E1287" s="6">
        <v>1.0678223572513669E-2</v>
      </c>
      <c r="F1287" s="6"/>
      <c r="G1287" s="6">
        <v>1280</v>
      </c>
      <c r="H1287" s="6">
        <f t="shared" ca="1" si="43"/>
        <v>-6.5382171326870617E-3</v>
      </c>
    </row>
    <row r="1288" spans="2:8" x14ac:dyDescent="0.3">
      <c r="B1288" s="4">
        <v>42124</v>
      </c>
      <c r="C1288" s="7">
        <v>697.09</v>
      </c>
      <c r="D1288" s="6">
        <f t="shared" ref="D1288:D1351" si="44">((C1288-C1289)/C1289)</f>
        <v>13.718961148648649</v>
      </c>
      <c r="E1288" s="6">
        <v>1.0670842213619842E-2</v>
      </c>
      <c r="F1288" s="6"/>
      <c r="G1288" s="6">
        <v>1281</v>
      </c>
      <c r="H1288" s="6">
        <f t="shared" ca="1" si="43"/>
        <v>4.4692122195799924E-3</v>
      </c>
    </row>
    <row r="1289" spans="2:8" x14ac:dyDescent="0.3">
      <c r="B1289" s="4">
        <v>38729</v>
      </c>
      <c r="C1289" s="7">
        <v>47.36</v>
      </c>
      <c r="D1289" s="6">
        <f t="shared" si="44"/>
        <v>-0.984920703148631</v>
      </c>
      <c r="E1289" s="6">
        <v>1.0670081092616303E-2</v>
      </c>
      <c r="F1289" s="6"/>
      <c r="G1289" s="6">
        <v>1282</v>
      </c>
      <c r="H1289" s="6">
        <f t="shared" ref="H1289:H1352" ca="1" si="45">_xlfn.NORM.INV(RAND(),N$10,N$11)</f>
        <v>5.4093117058723727E-3</v>
      </c>
    </row>
    <row r="1290" spans="2:8" x14ac:dyDescent="0.3">
      <c r="B1290" s="4">
        <v>44522</v>
      </c>
      <c r="C1290" s="5">
        <v>3140.73</v>
      </c>
      <c r="D1290" s="6">
        <f t="shared" si="44"/>
        <v>3.4767165072622825</v>
      </c>
      <c r="E1290" s="6">
        <v>1.0660960226541418E-2</v>
      </c>
      <c r="F1290" s="6"/>
      <c r="G1290" s="6">
        <v>1283</v>
      </c>
      <c r="H1290" s="6">
        <f t="shared" ca="1" si="45"/>
        <v>2.9239756761972234E-2</v>
      </c>
    </row>
    <row r="1291" spans="2:8" x14ac:dyDescent="0.3">
      <c r="B1291" s="4">
        <v>42152</v>
      </c>
      <c r="C1291" s="7">
        <v>701.57</v>
      </c>
      <c r="D1291" s="6">
        <f t="shared" si="44"/>
        <v>-0.72418226136184927</v>
      </c>
      <c r="E1291" s="6">
        <v>1.0660212916144591E-2</v>
      </c>
      <c r="F1291" s="6"/>
      <c r="G1291" s="6">
        <v>1284</v>
      </c>
      <c r="H1291" s="6">
        <f t="shared" ca="1" si="45"/>
        <v>-8.6313565382589025E-4</v>
      </c>
    </row>
    <row r="1292" spans="2:8" x14ac:dyDescent="0.3">
      <c r="B1292" s="4">
        <v>46133</v>
      </c>
      <c r="C1292" s="5">
        <v>2543.6</v>
      </c>
      <c r="D1292" s="6">
        <f t="shared" si="44"/>
        <v>7.1184769078548404</v>
      </c>
      <c r="E1292" s="6">
        <v>1.0648442466624176E-2</v>
      </c>
      <c r="F1292" s="6"/>
      <c r="G1292" s="6">
        <v>1285</v>
      </c>
      <c r="H1292" s="6">
        <f t="shared" ca="1" si="45"/>
        <v>-1.2960934274662014E-2</v>
      </c>
    </row>
    <row r="1293" spans="2:8" x14ac:dyDescent="0.3">
      <c r="B1293" s="4">
        <v>41117</v>
      </c>
      <c r="C1293" s="7">
        <v>313.31</v>
      </c>
      <c r="D1293" s="6">
        <f t="shared" si="44"/>
        <v>-0.70804912594580494</v>
      </c>
      <c r="E1293" s="6">
        <v>1.0644817909099744E-2</v>
      </c>
      <c r="F1293" s="6"/>
      <c r="G1293" s="6">
        <v>1286</v>
      </c>
      <c r="H1293" s="6">
        <f t="shared" ca="1" si="45"/>
        <v>-1.3487942828340867E-2</v>
      </c>
    </row>
    <row r="1294" spans="2:8" x14ac:dyDescent="0.3">
      <c r="B1294" s="4">
        <v>42872</v>
      </c>
      <c r="C1294" s="5">
        <v>1073.1600000000001</v>
      </c>
      <c r="D1294" s="6">
        <f t="shared" si="44"/>
        <v>1.4773996952767903</v>
      </c>
      <c r="E1294" s="6">
        <v>1.0594118145605558E-2</v>
      </c>
      <c r="F1294" s="6"/>
      <c r="G1294" s="6">
        <v>1287</v>
      </c>
      <c r="H1294" s="6">
        <f t="shared" ca="1" si="45"/>
        <v>1.8890409778953934E-3</v>
      </c>
    </row>
    <row r="1295" spans="2:8" x14ac:dyDescent="0.3">
      <c r="B1295" s="4">
        <v>41416</v>
      </c>
      <c r="C1295" s="7">
        <v>433.18</v>
      </c>
      <c r="D1295" s="6">
        <f t="shared" si="44"/>
        <v>-0.48246117084826762</v>
      </c>
      <c r="E1295" s="6">
        <v>1.0591638671145999E-2</v>
      </c>
      <c r="F1295" s="6"/>
      <c r="G1295" s="6">
        <v>1288</v>
      </c>
      <c r="H1295" s="6">
        <f t="shared" ca="1" si="45"/>
        <v>3.3869957309654595E-3</v>
      </c>
    </row>
    <row r="1296" spans="2:8" x14ac:dyDescent="0.3">
      <c r="B1296" s="4">
        <v>42501</v>
      </c>
      <c r="C1296" s="7">
        <v>837</v>
      </c>
      <c r="D1296" s="6">
        <f t="shared" si="44"/>
        <v>18.904875148632584</v>
      </c>
      <c r="E1296" s="6">
        <v>1.057664445088379E-2</v>
      </c>
      <c r="F1296" s="6"/>
      <c r="G1296" s="6">
        <v>1289</v>
      </c>
      <c r="H1296" s="6">
        <f t="shared" ca="1" si="45"/>
        <v>1.0326873385930177E-2</v>
      </c>
    </row>
    <row r="1297" spans="2:8" x14ac:dyDescent="0.3">
      <c r="B1297" s="4">
        <v>38631</v>
      </c>
      <c r="C1297" s="7">
        <v>42.05</v>
      </c>
      <c r="D1297" s="6">
        <f t="shared" si="44"/>
        <v>-0.81048314404182431</v>
      </c>
      <c r="E1297" s="6">
        <v>1.0574381158375336E-2</v>
      </c>
      <c r="F1297" s="6"/>
      <c r="G1297" s="6">
        <v>1290</v>
      </c>
      <c r="H1297" s="6">
        <f t="shared" ca="1" si="45"/>
        <v>7.2801734938266653E-4</v>
      </c>
    </row>
    <row r="1298" spans="2:8" x14ac:dyDescent="0.3">
      <c r="B1298" s="4">
        <v>40627</v>
      </c>
      <c r="C1298" s="7">
        <v>221.88</v>
      </c>
      <c r="D1298" s="6">
        <f t="shared" si="44"/>
        <v>-0.71200124607357029</v>
      </c>
      <c r="E1298" s="6">
        <v>1.0566587720896307E-2</v>
      </c>
      <c r="F1298" s="6"/>
      <c r="G1298" s="6">
        <v>1291</v>
      </c>
      <c r="H1298" s="6">
        <f t="shared" ca="1" si="45"/>
        <v>7.9397411999939382E-3</v>
      </c>
    </row>
    <row r="1299" spans="2:8" x14ac:dyDescent="0.3">
      <c r="B1299" s="4">
        <v>42018</v>
      </c>
      <c r="C1299" s="7">
        <v>770.42</v>
      </c>
      <c r="D1299" s="6">
        <f t="shared" si="44"/>
        <v>-0.76169604662024848</v>
      </c>
      <c r="E1299" s="6">
        <v>1.0559177302359687E-2</v>
      </c>
      <c r="F1299" s="6"/>
      <c r="G1299" s="6">
        <v>1292</v>
      </c>
      <c r="H1299" s="6">
        <f t="shared" ca="1" si="45"/>
        <v>-3.1453142421049166E-3</v>
      </c>
    </row>
    <row r="1300" spans="2:8" x14ac:dyDescent="0.3">
      <c r="B1300" s="4">
        <v>44838</v>
      </c>
      <c r="C1300" s="5">
        <v>3232.93</v>
      </c>
      <c r="D1300" s="6">
        <f t="shared" si="44"/>
        <v>6.5993841380283005</v>
      </c>
      <c r="E1300" s="6">
        <v>1.0552737116189438E-2</v>
      </c>
      <c r="F1300" s="6"/>
      <c r="G1300" s="6">
        <v>1293</v>
      </c>
      <c r="H1300" s="6">
        <f t="shared" ca="1" si="45"/>
        <v>1.2302738248763346E-2</v>
      </c>
    </row>
    <row r="1301" spans="2:8" x14ac:dyDescent="0.3">
      <c r="B1301" s="4">
        <v>41408</v>
      </c>
      <c r="C1301" s="7">
        <v>425.42</v>
      </c>
      <c r="D1301" s="6">
        <f t="shared" si="44"/>
        <v>0.82701309856130567</v>
      </c>
      <c r="E1301" s="6">
        <v>1.0546819326333787E-2</v>
      </c>
      <c r="F1301" s="6"/>
      <c r="G1301" s="6">
        <v>1294</v>
      </c>
      <c r="H1301" s="6">
        <f t="shared" ca="1" si="45"/>
        <v>-4.2286974751130184E-3</v>
      </c>
    </row>
    <row r="1302" spans="2:8" x14ac:dyDescent="0.3">
      <c r="B1302" s="4">
        <v>40906</v>
      </c>
      <c r="C1302" s="7">
        <v>232.85</v>
      </c>
      <c r="D1302" s="6">
        <f t="shared" si="44"/>
        <v>1.8577565046637212</v>
      </c>
      <c r="E1302" s="6">
        <v>1.0545959552122243E-2</v>
      </c>
      <c r="F1302" s="6"/>
      <c r="G1302" s="6">
        <v>1295</v>
      </c>
      <c r="H1302" s="6">
        <f t="shared" ca="1" si="45"/>
        <v>-1.1732158069181427E-2</v>
      </c>
    </row>
    <row r="1303" spans="2:8" x14ac:dyDescent="0.3">
      <c r="B1303" s="4">
        <v>39759</v>
      </c>
      <c r="C1303" s="7">
        <v>81.48</v>
      </c>
      <c r="D1303" s="6">
        <f t="shared" si="44"/>
        <v>3.9987730061349698</v>
      </c>
      <c r="E1303" s="6">
        <v>1.0541981892595914E-2</v>
      </c>
      <c r="F1303" s="6"/>
      <c r="G1303" s="6">
        <v>1296</v>
      </c>
      <c r="H1303" s="6">
        <f t="shared" ca="1" si="45"/>
        <v>-1.1465638588226787E-2</v>
      </c>
    </row>
    <row r="1304" spans="2:8" x14ac:dyDescent="0.3">
      <c r="B1304" s="4">
        <v>37728</v>
      </c>
      <c r="C1304" s="7">
        <v>16.3</v>
      </c>
      <c r="D1304" s="6">
        <f t="shared" si="44"/>
        <v>-1.2254901960784053E-3</v>
      </c>
      <c r="E1304" s="6">
        <v>1.053936763794183E-2</v>
      </c>
      <c r="F1304" s="6"/>
      <c r="G1304" s="6">
        <v>1297</v>
      </c>
      <c r="H1304" s="6">
        <f t="shared" ca="1" si="45"/>
        <v>-8.9829215655295959E-4</v>
      </c>
    </row>
    <row r="1305" spans="2:8" x14ac:dyDescent="0.3">
      <c r="B1305" s="4">
        <v>37439</v>
      </c>
      <c r="C1305" s="7">
        <v>16.32</v>
      </c>
      <c r="D1305" s="6">
        <f t="shared" si="44"/>
        <v>-0.97969618930317615</v>
      </c>
      <c r="E1305" s="6">
        <v>1.0526315789473792E-2</v>
      </c>
      <c r="F1305" s="6"/>
      <c r="G1305" s="6">
        <v>1298</v>
      </c>
      <c r="H1305" s="6">
        <f t="shared" ca="1" si="45"/>
        <v>-8.9678115261422921E-3</v>
      </c>
    </row>
    <row r="1306" spans="2:8" x14ac:dyDescent="0.3">
      <c r="B1306" s="4">
        <v>42285</v>
      </c>
      <c r="C1306" s="7">
        <v>803.79</v>
      </c>
      <c r="D1306" s="6">
        <f t="shared" si="44"/>
        <v>-0.71038769186423578</v>
      </c>
      <c r="E1306" s="6">
        <v>1.0522742701968778E-2</v>
      </c>
      <c r="F1306" s="6"/>
      <c r="G1306" s="6">
        <v>1299</v>
      </c>
      <c r="H1306" s="6">
        <f t="shared" ca="1" si="45"/>
        <v>-5.6952760100089095E-3</v>
      </c>
    </row>
    <row r="1307" spans="2:8" x14ac:dyDescent="0.3">
      <c r="B1307" s="4">
        <v>46020</v>
      </c>
      <c r="C1307" s="5">
        <v>2775.4</v>
      </c>
      <c r="D1307" s="6">
        <f t="shared" si="44"/>
        <v>-0.10960398326617557</v>
      </c>
      <c r="E1307" s="6">
        <v>1.052248316038598E-2</v>
      </c>
      <c r="F1307" s="6"/>
      <c r="G1307" s="6">
        <v>1300</v>
      </c>
      <c r="H1307" s="6">
        <f t="shared" ca="1" si="45"/>
        <v>1.1417544504519941E-2</v>
      </c>
    </row>
    <row r="1308" spans="2:8" x14ac:dyDescent="0.3">
      <c r="B1308" s="4">
        <v>44596</v>
      </c>
      <c r="C1308" s="5">
        <v>3117.04</v>
      </c>
      <c r="D1308" s="6">
        <f t="shared" si="44"/>
        <v>9.2429494166424264E-2</v>
      </c>
      <c r="E1308" s="6">
        <v>1.0506932760168919E-2</v>
      </c>
      <c r="F1308" s="6"/>
      <c r="G1308" s="6">
        <v>1301</v>
      </c>
      <c r="H1308" s="6">
        <f t="shared" ca="1" si="45"/>
        <v>-5.4640319775070938E-3</v>
      </c>
    </row>
    <row r="1309" spans="2:8" x14ac:dyDescent="0.3">
      <c r="B1309" s="4">
        <v>44634</v>
      </c>
      <c r="C1309" s="5">
        <v>2853.31</v>
      </c>
      <c r="D1309" s="6">
        <f t="shared" si="44"/>
        <v>28.9528658408566</v>
      </c>
      <c r="E1309" s="6">
        <v>1.0504134719246314E-2</v>
      </c>
      <c r="F1309" s="6"/>
      <c r="G1309" s="6">
        <v>1302</v>
      </c>
      <c r="H1309" s="6">
        <f t="shared" ca="1" si="45"/>
        <v>5.5866438313278391E-4</v>
      </c>
    </row>
    <row r="1310" spans="2:8" x14ac:dyDescent="0.3">
      <c r="B1310" s="4">
        <v>39653</v>
      </c>
      <c r="C1310" s="7">
        <v>95.26</v>
      </c>
      <c r="D1310" s="6">
        <f t="shared" si="44"/>
        <v>-0.91077015305644538</v>
      </c>
      <c r="E1310" s="6">
        <v>1.0501750291715383E-2</v>
      </c>
      <c r="F1310" s="6"/>
      <c r="G1310" s="6">
        <v>1303</v>
      </c>
      <c r="H1310" s="6">
        <f t="shared" ca="1" si="45"/>
        <v>3.6176259273153925E-2</v>
      </c>
    </row>
    <row r="1311" spans="2:8" x14ac:dyDescent="0.3">
      <c r="B1311" s="4">
        <v>42970</v>
      </c>
      <c r="C1311" s="5">
        <v>1067.58</v>
      </c>
      <c r="D1311" s="6">
        <f t="shared" si="44"/>
        <v>-0.61880311361851037</v>
      </c>
      <c r="E1311" s="6">
        <v>1.0497023161601074E-2</v>
      </c>
      <c r="F1311" s="6"/>
      <c r="G1311" s="6">
        <v>1304</v>
      </c>
      <c r="H1311" s="6">
        <f t="shared" ca="1" si="45"/>
        <v>2.4141699537577867E-2</v>
      </c>
    </row>
    <row r="1312" spans="2:8" x14ac:dyDescent="0.3">
      <c r="B1312" s="4">
        <v>44749</v>
      </c>
      <c r="C1312" s="5">
        <v>2800.6</v>
      </c>
      <c r="D1312" s="6">
        <f t="shared" si="44"/>
        <v>1.4434847096802335</v>
      </c>
      <c r="E1312" s="6">
        <v>1.0485145442605896E-2</v>
      </c>
      <c r="F1312" s="6"/>
      <c r="G1312" s="6">
        <v>1305</v>
      </c>
      <c r="H1312" s="6">
        <f t="shared" ca="1" si="45"/>
        <v>1.0976771581094767E-3</v>
      </c>
    </row>
    <row r="1313" spans="2:8" x14ac:dyDescent="0.3">
      <c r="B1313" s="4">
        <v>43229</v>
      </c>
      <c r="C1313" s="5">
        <v>1146.1500000000001</v>
      </c>
      <c r="D1313" s="6">
        <f t="shared" si="44"/>
        <v>-0.63986425979167649</v>
      </c>
      <c r="E1313" s="6">
        <v>1.0455879889622696E-2</v>
      </c>
      <c r="F1313" s="6"/>
      <c r="G1313" s="6">
        <v>1306</v>
      </c>
      <c r="H1313" s="6">
        <f t="shared" ca="1" si="45"/>
        <v>2.1271162098817895E-2</v>
      </c>
    </row>
    <row r="1314" spans="2:8" x14ac:dyDescent="0.3">
      <c r="B1314" s="4">
        <v>45163</v>
      </c>
      <c r="C1314" s="5">
        <v>3182.55</v>
      </c>
      <c r="D1314" s="6">
        <f t="shared" si="44"/>
        <v>1.3212162763389179</v>
      </c>
      <c r="E1314" s="6">
        <v>1.044560506722972E-2</v>
      </c>
      <c r="F1314" s="6"/>
      <c r="G1314" s="6">
        <v>1307</v>
      </c>
      <c r="H1314" s="6">
        <f t="shared" ca="1" si="45"/>
        <v>-9.1112546205312298E-3</v>
      </c>
    </row>
    <row r="1315" spans="2:8" x14ac:dyDescent="0.3">
      <c r="B1315" s="4">
        <v>43508</v>
      </c>
      <c r="C1315" s="5">
        <v>1371.07</v>
      </c>
      <c r="D1315" s="6">
        <f t="shared" si="44"/>
        <v>0.93561001778806774</v>
      </c>
      <c r="E1315" s="6">
        <v>1.0442921364875705E-2</v>
      </c>
      <c r="F1315" s="6"/>
      <c r="G1315" s="6">
        <v>1308</v>
      </c>
      <c r="H1315" s="6">
        <f t="shared" ca="1" si="45"/>
        <v>6.5130447494584943E-3</v>
      </c>
    </row>
    <row r="1316" spans="2:8" x14ac:dyDescent="0.3">
      <c r="B1316" s="4">
        <v>42143</v>
      </c>
      <c r="C1316" s="7">
        <v>708.34</v>
      </c>
      <c r="D1316" s="6">
        <f t="shared" si="44"/>
        <v>24.234770217313859</v>
      </c>
      <c r="E1316" s="6">
        <v>1.0441927477104861E-2</v>
      </c>
      <c r="F1316" s="6"/>
      <c r="G1316" s="6">
        <v>1309</v>
      </c>
      <c r="H1316" s="6">
        <f t="shared" ca="1" si="45"/>
        <v>-2.6298405525751363E-2</v>
      </c>
    </row>
    <row r="1317" spans="2:8" x14ac:dyDescent="0.3">
      <c r="B1317" s="4">
        <v>38392</v>
      </c>
      <c r="C1317" s="7">
        <v>28.07</v>
      </c>
      <c r="D1317" s="6">
        <f t="shared" si="44"/>
        <v>-0.60850767085076707</v>
      </c>
      <c r="E1317" s="6">
        <v>1.0439164866810624E-2</v>
      </c>
      <c r="F1317" s="6"/>
      <c r="G1317" s="6">
        <v>1310</v>
      </c>
      <c r="H1317" s="6">
        <f t="shared" ca="1" si="45"/>
        <v>1.1735330617008797E-2</v>
      </c>
    </row>
    <row r="1318" spans="2:8" x14ac:dyDescent="0.3">
      <c r="B1318" s="4">
        <v>39272</v>
      </c>
      <c r="C1318" s="7">
        <v>71.7</v>
      </c>
      <c r="D1318" s="6">
        <f t="shared" si="44"/>
        <v>-0.89511563610830736</v>
      </c>
      <c r="E1318" s="6">
        <v>1.0428410372040715E-2</v>
      </c>
      <c r="F1318" s="6"/>
      <c r="G1318" s="6">
        <v>1311</v>
      </c>
      <c r="H1318" s="6">
        <f t="shared" ca="1" si="45"/>
        <v>6.7146336465353333E-3</v>
      </c>
    </row>
    <row r="1319" spans="2:8" x14ac:dyDescent="0.3">
      <c r="B1319" s="4">
        <v>42177</v>
      </c>
      <c r="C1319" s="7">
        <v>683.61</v>
      </c>
      <c r="D1319" s="6">
        <f t="shared" si="44"/>
        <v>-0.75944387164428051</v>
      </c>
      <c r="E1319" s="6">
        <v>1.0405427376324642E-2</v>
      </c>
      <c r="F1319" s="6"/>
      <c r="G1319" s="6">
        <v>1312</v>
      </c>
      <c r="H1319" s="6">
        <f t="shared" ca="1" si="45"/>
        <v>-3.1630083448641398E-2</v>
      </c>
    </row>
    <row r="1320" spans="2:8" x14ac:dyDescent="0.3">
      <c r="B1320" s="4">
        <v>45049</v>
      </c>
      <c r="C1320" s="5">
        <v>2841.79</v>
      </c>
      <c r="D1320" s="6">
        <f t="shared" si="44"/>
        <v>4.7181174292728079</v>
      </c>
      <c r="E1320" s="6">
        <v>1.0399852090992484E-2</v>
      </c>
      <c r="F1320" s="6"/>
      <c r="G1320" s="6">
        <v>1313</v>
      </c>
      <c r="H1320" s="6">
        <f t="shared" ca="1" si="45"/>
        <v>1.128824566627936E-2</v>
      </c>
    </row>
    <row r="1321" spans="2:8" x14ac:dyDescent="0.3">
      <c r="B1321" s="4">
        <v>41802</v>
      </c>
      <c r="C1321" s="7">
        <v>496.98</v>
      </c>
      <c r="D1321" s="6">
        <f t="shared" si="44"/>
        <v>-0.73272454461851211</v>
      </c>
      <c r="E1321" s="6">
        <v>1.0388923902657233E-2</v>
      </c>
      <c r="F1321" s="6"/>
      <c r="G1321" s="6">
        <v>1314</v>
      </c>
      <c r="H1321" s="6">
        <f t="shared" ca="1" si="45"/>
        <v>-1.2026293356354458E-2</v>
      </c>
    </row>
    <row r="1322" spans="2:8" x14ac:dyDescent="0.3">
      <c r="B1322" s="4">
        <v>44102</v>
      </c>
      <c r="C1322" s="5">
        <v>1859.43</v>
      </c>
      <c r="D1322" s="6">
        <f t="shared" si="44"/>
        <v>0.51297406813725099</v>
      </c>
      <c r="E1322" s="6">
        <v>1.0384063641105964E-2</v>
      </c>
      <c r="F1322" s="6"/>
      <c r="G1322" s="6">
        <v>1315</v>
      </c>
      <c r="H1322" s="6">
        <f t="shared" ca="1" si="45"/>
        <v>-1.9549707363553673E-2</v>
      </c>
    </row>
    <row r="1323" spans="2:8" x14ac:dyDescent="0.3">
      <c r="B1323" s="4">
        <v>43364</v>
      </c>
      <c r="C1323" s="5">
        <v>1228.99</v>
      </c>
      <c r="D1323" s="6">
        <f t="shared" si="44"/>
        <v>49.47186858316222</v>
      </c>
      <c r="E1323" s="6">
        <v>1.0375132566571126E-2</v>
      </c>
      <c r="F1323" s="6"/>
      <c r="G1323" s="6">
        <v>1316</v>
      </c>
      <c r="H1323" s="6">
        <f t="shared" ca="1" si="45"/>
        <v>1.5171935880484197E-2</v>
      </c>
    </row>
    <row r="1324" spans="2:8" x14ac:dyDescent="0.3">
      <c r="B1324" s="4">
        <v>38252</v>
      </c>
      <c r="C1324" s="7">
        <v>24.35</v>
      </c>
      <c r="D1324" s="6">
        <f t="shared" si="44"/>
        <v>-0.98247129539646549</v>
      </c>
      <c r="E1324" s="6">
        <v>1.0373443983402489E-2</v>
      </c>
      <c r="F1324" s="6"/>
      <c r="G1324" s="6">
        <v>1317</v>
      </c>
      <c r="H1324" s="6">
        <f t="shared" ca="1" si="45"/>
        <v>-6.0378110393268592E-3</v>
      </c>
    </row>
    <row r="1325" spans="2:8" x14ac:dyDescent="0.3">
      <c r="B1325" s="4">
        <v>43546</v>
      </c>
      <c r="C1325" s="5">
        <v>1389.15</v>
      </c>
      <c r="D1325" s="6">
        <f t="shared" si="44"/>
        <v>5.5105216290949999</v>
      </c>
      <c r="E1325" s="6">
        <v>1.0371738830015485E-2</v>
      </c>
      <c r="F1325" s="6"/>
      <c r="G1325" s="6">
        <v>1318</v>
      </c>
      <c r="H1325" s="6">
        <f t="shared" ca="1" si="45"/>
        <v>2.1326246469661383E-3</v>
      </c>
    </row>
    <row r="1326" spans="2:8" x14ac:dyDescent="0.3">
      <c r="B1326" s="4">
        <v>40374</v>
      </c>
      <c r="C1326" s="7">
        <v>213.37</v>
      </c>
      <c r="D1326" s="6">
        <f t="shared" si="44"/>
        <v>11.822716346153847</v>
      </c>
      <c r="E1326" s="6">
        <v>1.0370300217823647E-2</v>
      </c>
      <c r="F1326" s="6"/>
      <c r="G1326" s="6">
        <v>1319</v>
      </c>
      <c r="H1326" s="6">
        <f t="shared" ca="1" si="45"/>
        <v>-1.6195889255346738E-2</v>
      </c>
    </row>
    <row r="1327" spans="2:8" x14ac:dyDescent="0.3">
      <c r="B1327" s="4">
        <v>37441</v>
      </c>
      <c r="C1327" s="7">
        <v>16.64</v>
      </c>
      <c r="D1327" s="6">
        <f t="shared" si="44"/>
        <v>-0.76057553956834534</v>
      </c>
      <c r="E1327" s="6">
        <v>1.0321797207043213E-2</v>
      </c>
      <c r="F1327" s="6"/>
      <c r="G1327" s="6">
        <v>1320</v>
      </c>
      <c r="H1327" s="6">
        <f t="shared" ca="1" si="45"/>
        <v>1.7072178429899679E-2</v>
      </c>
    </row>
    <row r="1328" spans="2:8" x14ac:dyDescent="0.3">
      <c r="B1328" s="4">
        <v>39231</v>
      </c>
      <c r="C1328" s="7">
        <v>69.5</v>
      </c>
      <c r="D1328" s="6">
        <f t="shared" si="44"/>
        <v>0.31404802420117223</v>
      </c>
      <c r="E1328" s="6">
        <v>1.0321267626108355E-2</v>
      </c>
      <c r="F1328" s="6"/>
      <c r="G1328" s="6">
        <v>1321</v>
      </c>
      <c r="H1328" s="6">
        <f t="shared" ca="1" si="45"/>
        <v>4.137058161355802E-2</v>
      </c>
    </row>
    <row r="1329" spans="2:8" x14ac:dyDescent="0.3">
      <c r="B1329" s="4">
        <v>38966</v>
      </c>
      <c r="C1329" s="7">
        <v>52.89</v>
      </c>
      <c r="D1329" s="6">
        <f t="shared" si="44"/>
        <v>-0.48080887405516837</v>
      </c>
      <c r="E1329" s="6">
        <v>1.0315186246418322E-2</v>
      </c>
      <c r="F1329" s="6"/>
      <c r="G1329" s="6">
        <v>1322</v>
      </c>
      <c r="H1329" s="6">
        <f t="shared" ca="1" si="45"/>
        <v>-1.8491470584760233E-2</v>
      </c>
    </row>
    <row r="1330" spans="2:8" x14ac:dyDescent="0.3">
      <c r="B1330" s="4">
        <v>39716</v>
      </c>
      <c r="C1330" s="7">
        <v>101.87</v>
      </c>
      <c r="D1330" s="6">
        <f t="shared" si="44"/>
        <v>0.99784271425769755</v>
      </c>
      <c r="E1330" s="6">
        <v>1.0314390558365628E-2</v>
      </c>
      <c r="F1330" s="6"/>
      <c r="G1330" s="6">
        <v>1323</v>
      </c>
      <c r="H1330" s="6">
        <f t="shared" ca="1" si="45"/>
        <v>-9.2288470507572301E-3</v>
      </c>
    </row>
    <row r="1331" spans="2:8" x14ac:dyDescent="0.3">
      <c r="B1331" s="4">
        <v>38832</v>
      </c>
      <c r="C1331" s="7">
        <v>50.99</v>
      </c>
      <c r="D1331" s="6">
        <f t="shared" si="44"/>
        <v>-0.82498712888278702</v>
      </c>
      <c r="E1331" s="6">
        <v>1.0303150386368202E-2</v>
      </c>
      <c r="F1331" s="6"/>
      <c r="G1331" s="6">
        <v>1324</v>
      </c>
      <c r="H1331" s="6">
        <f t="shared" ca="1" si="45"/>
        <v>-1.7200189035345666E-3</v>
      </c>
    </row>
    <row r="1332" spans="2:8" x14ac:dyDescent="0.3">
      <c r="B1332" s="4">
        <v>40784</v>
      </c>
      <c r="C1332" s="7">
        <v>291.35000000000002</v>
      </c>
      <c r="D1332" s="6">
        <f t="shared" si="44"/>
        <v>-0.9108958734100564</v>
      </c>
      <c r="E1332" s="6">
        <v>1.0298911158887673E-2</v>
      </c>
      <c r="F1332" s="6"/>
      <c r="G1332" s="6">
        <v>1325</v>
      </c>
      <c r="H1332" s="6">
        <f t="shared" ca="1" si="45"/>
        <v>-3.6608956241027009E-3</v>
      </c>
    </row>
    <row r="1333" spans="2:8" x14ac:dyDescent="0.3">
      <c r="B1333" s="4">
        <v>45562</v>
      </c>
      <c r="C1333" s="5">
        <v>3269.77</v>
      </c>
      <c r="D1333" s="6">
        <f t="shared" si="44"/>
        <v>0.31311845402557353</v>
      </c>
      <c r="E1333" s="6">
        <v>1.0285866126161745E-2</v>
      </c>
      <c r="F1333" s="6"/>
      <c r="G1333" s="6">
        <v>1326</v>
      </c>
      <c r="H1333" s="6">
        <f t="shared" ca="1" si="45"/>
        <v>9.6402955467584789E-3</v>
      </c>
    </row>
    <row r="1334" spans="2:8" x14ac:dyDescent="0.3">
      <c r="B1334" s="4">
        <v>44183</v>
      </c>
      <c r="C1334" s="5">
        <v>2490.08</v>
      </c>
      <c r="D1334" s="6">
        <f t="shared" si="44"/>
        <v>34.086374524446953</v>
      </c>
      <c r="E1334" s="6">
        <v>1.0272805465846455E-2</v>
      </c>
      <c r="F1334" s="6"/>
      <c r="G1334" s="6">
        <v>1327</v>
      </c>
      <c r="H1334" s="6">
        <f t="shared" ca="1" si="45"/>
        <v>1.6592483190356905E-2</v>
      </c>
    </row>
    <row r="1335" spans="2:8" x14ac:dyDescent="0.3">
      <c r="B1335" s="4">
        <v>39240</v>
      </c>
      <c r="C1335" s="7">
        <v>70.97</v>
      </c>
      <c r="D1335" s="6">
        <f t="shared" si="44"/>
        <v>-0.2727738497796906</v>
      </c>
      <c r="E1335" s="6">
        <v>1.0249110320284681E-2</v>
      </c>
      <c r="F1335" s="6"/>
      <c r="G1335" s="6">
        <v>1328</v>
      </c>
      <c r="H1335" s="6">
        <f t="shared" ca="1" si="45"/>
        <v>6.7262656100291439E-3</v>
      </c>
    </row>
    <row r="1336" spans="2:8" x14ac:dyDescent="0.3">
      <c r="B1336" s="4">
        <v>39658</v>
      </c>
      <c r="C1336" s="7">
        <v>97.59</v>
      </c>
      <c r="D1336" s="6">
        <f t="shared" si="44"/>
        <v>-0.94449594767524536</v>
      </c>
      <c r="E1336" s="6">
        <v>1.0248447204969039E-2</v>
      </c>
      <c r="F1336" s="6"/>
      <c r="G1336" s="6">
        <v>1329</v>
      </c>
      <c r="H1336" s="6">
        <f t="shared" ca="1" si="45"/>
        <v>-1.6601591826799447E-2</v>
      </c>
    </row>
    <row r="1337" spans="2:8" x14ac:dyDescent="0.3">
      <c r="B1337" s="4">
        <v>43850</v>
      </c>
      <c r="C1337" s="5">
        <v>1758.25</v>
      </c>
      <c r="D1337" s="6">
        <f t="shared" si="44"/>
        <v>-0.22884448382031736</v>
      </c>
      <c r="E1337" s="6">
        <v>1.022143571239785E-2</v>
      </c>
      <c r="F1337" s="6"/>
      <c r="G1337" s="6">
        <v>1330</v>
      </c>
      <c r="H1337" s="6">
        <f t="shared" ca="1" si="45"/>
        <v>1.0975989128425326E-2</v>
      </c>
    </row>
    <row r="1338" spans="2:8" x14ac:dyDescent="0.3">
      <c r="B1338" s="4">
        <v>45658</v>
      </c>
      <c r="C1338" s="5">
        <v>2280.02</v>
      </c>
      <c r="D1338" s="6">
        <f t="shared" si="44"/>
        <v>1.124446763508288</v>
      </c>
      <c r="E1338" s="6">
        <v>1.0212807436518954E-2</v>
      </c>
      <c r="F1338" s="6"/>
      <c r="G1338" s="6">
        <v>1331</v>
      </c>
      <c r="H1338" s="6">
        <f t="shared" ca="1" si="45"/>
        <v>-3.7413648416566355E-3</v>
      </c>
    </row>
    <row r="1339" spans="2:8" x14ac:dyDescent="0.3">
      <c r="B1339" s="4">
        <v>42613</v>
      </c>
      <c r="C1339" s="5">
        <v>1073.23</v>
      </c>
      <c r="D1339" s="6">
        <f t="shared" si="44"/>
        <v>0.21733853587713528</v>
      </c>
      <c r="E1339" s="6">
        <v>1.0203409294138609E-2</v>
      </c>
      <c r="F1339" s="6"/>
      <c r="G1339" s="6">
        <v>1332</v>
      </c>
      <c r="H1339" s="6">
        <f t="shared" ca="1" si="45"/>
        <v>1.2103308684378618E-2</v>
      </c>
    </row>
    <row r="1340" spans="2:8" x14ac:dyDescent="0.3">
      <c r="B1340" s="4">
        <v>42514</v>
      </c>
      <c r="C1340" s="7">
        <v>881.62</v>
      </c>
      <c r="D1340" s="6">
        <f t="shared" si="44"/>
        <v>-0.54522147768716112</v>
      </c>
      <c r="E1340" s="6">
        <v>1.0198001650013723E-2</v>
      </c>
      <c r="F1340" s="6"/>
      <c r="G1340" s="6">
        <v>1333</v>
      </c>
      <c r="H1340" s="6">
        <f t="shared" ca="1" si="45"/>
        <v>1.6582596095262025E-2</v>
      </c>
    </row>
    <row r="1341" spans="2:8" x14ac:dyDescent="0.3">
      <c r="B1341" s="4">
        <v>44092</v>
      </c>
      <c r="C1341" s="5">
        <v>1938.57</v>
      </c>
      <c r="D1341" s="6">
        <f t="shared" si="44"/>
        <v>113.98042704626336</v>
      </c>
      <c r="E1341" s="6">
        <v>1.018749153213617E-2</v>
      </c>
      <c r="F1341" s="6"/>
      <c r="G1341" s="6">
        <v>1334</v>
      </c>
      <c r="H1341" s="6">
        <f t="shared" ca="1" si="45"/>
        <v>-8.0003377267610725E-4</v>
      </c>
    </row>
    <row r="1342" spans="2:8" x14ac:dyDescent="0.3">
      <c r="B1342" s="4">
        <v>37502</v>
      </c>
      <c r="C1342" s="7">
        <v>16.86</v>
      </c>
      <c r="D1342" s="6">
        <f t="shared" si="44"/>
        <v>-0.85839072736435407</v>
      </c>
      <c r="E1342" s="6">
        <v>1.0185739964050217E-2</v>
      </c>
      <c r="F1342" s="6"/>
      <c r="G1342" s="6">
        <v>1335</v>
      </c>
      <c r="H1342" s="6">
        <f t="shared" ca="1" si="45"/>
        <v>2.4339499102468643E-3</v>
      </c>
    </row>
    <row r="1343" spans="2:8" x14ac:dyDescent="0.3">
      <c r="B1343" s="4">
        <v>40081</v>
      </c>
      <c r="C1343" s="7">
        <v>119.06</v>
      </c>
      <c r="D1343" s="6">
        <f t="shared" si="44"/>
        <v>-0.47379121364801552</v>
      </c>
      <c r="E1343" s="6">
        <v>1.0181571355845943E-2</v>
      </c>
      <c r="F1343" s="6"/>
      <c r="G1343" s="6">
        <v>1336</v>
      </c>
      <c r="H1343" s="6">
        <f t="shared" ca="1" si="45"/>
        <v>-8.0119329702800762E-3</v>
      </c>
    </row>
    <row r="1344" spans="2:8" x14ac:dyDescent="0.3">
      <c r="B1344" s="4">
        <v>40619</v>
      </c>
      <c r="C1344" s="7">
        <v>226.26</v>
      </c>
      <c r="D1344" s="6">
        <f t="shared" si="44"/>
        <v>1.959581425768476</v>
      </c>
      <c r="E1344" s="6">
        <v>1.0179480310742036E-2</v>
      </c>
      <c r="F1344" s="6"/>
      <c r="G1344" s="6">
        <v>1337</v>
      </c>
      <c r="H1344" s="6">
        <f t="shared" ca="1" si="45"/>
        <v>1.1706168806134039E-2</v>
      </c>
    </row>
    <row r="1345" spans="2:8" x14ac:dyDescent="0.3">
      <c r="B1345" s="4">
        <v>39938</v>
      </c>
      <c r="C1345" s="7">
        <v>76.45</v>
      </c>
      <c r="D1345" s="6">
        <f t="shared" si="44"/>
        <v>-0.96716699950610929</v>
      </c>
      <c r="E1345" s="6">
        <v>1.017441860465111E-2</v>
      </c>
      <c r="F1345" s="6"/>
      <c r="G1345" s="6">
        <v>1338</v>
      </c>
      <c r="H1345" s="6">
        <f t="shared" ca="1" si="45"/>
        <v>1.3951726417152035E-2</v>
      </c>
    </row>
    <row r="1346" spans="2:8" x14ac:dyDescent="0.3">
      <c r="B1346" s="4">
        <v>45793</v>
      </c>
      <c r="C1346" s="5">
        <v>2328.4499999999998</v>
      </c>
      <c r="D1346" s="6">
        <f t="shared" si="44"/>
        <v>2.102738356985808</v>
      </c>
      <c r="E1346" s="6">
        <v>1.0173535791756972E-2</v>
      </c>
      <c r="F1346" s="6"/>
      <c r="G1346" s="6">
        <v>1339</v>
      </c>
      <c r="H1346" s="6">
        <f t="shared" ca="1" si="45"/>
        <v>-1.6779377385942696E-2</v>
      </c>
    </row>
    <row r="1347" spans="2:8" x14ac:dyDescent="0.3">
      <c r="B1347" s="4">
        <v>42258</v>
      </c>
      <c r="C1347" s="7">
        <v>750.45</v>
      </c>
      <c r="D1347" s="6">
        <f t="shared" si="44"/>
        <v>-0.54240295613361134</v>
      </c>
      <c r="E1347" s="6">
        <v>1.0149277839846116E-2</v>
      </c>
      <c r="F1347" s="6"/>
      <c r="G1347" s="6">
        <v>1340</v>
      </c>
      <c r="H1347" s="6">
        <f t="shared" ca="1" si="45"/>
        <v>1.9620667600305466E-2</v>
      </c>
    </row>
    <row r="1348" spans="2:8" x14ac:dyDescent="0.3">
      <c r="B1348" s="4">
        <v>43837</v>
      </c>
      <c r="C1348" s="5">
        <v>1639.98</v>
      </c>
      <c r="D1348" s="6">
        <f t="shared" si="44"/>
        <v>-0.4388511363403067</v>
      </c>
      <c r="E1348" s="6">
        <v>1.0101134529866156E-2</v>
      </c>
      <c r="F1348" s="6"/>
      <c r="G1348" s="6">
        <v>1341</v>
      </c>
      <c r="H1348" s="6">
        <f t="shared" ca="1" si="45"/>
        <v>1.6142816890673078E-2</v>
      </c>
    </row>
    <row r="1349" spans="2:8" x14ac:dyDescent="0.3">
      <c r="B1349" s="4">
        <v>45051</v>
      </c>
      <c r="C1349" s="5">
        <v>2922.54</v>
      </c>
      <c r="D1349" s="6">
        <f t="shared" si="44"/>
        <v>4.5271578788108027</v>
      </c>
      <c r="E1349" s="6">
        <v>1.0092142644832552E-2</v>
      </c>
      <c r="F1349" s="6"/>
      <c r="G1349" s="6">
        <v>1342</v>
      </c>
      <c r="H1349" s="6">
        <f t="shared" ca="1" si="45"/>
        <v>9.2876820486252221E-3</v>
      </c>
    </row>
    <row r="1350" spans="2:8" x14ac:dyDescent="0.3">
      <c r="B1350" s="4">
        <v>41814</v>
      </c>
      <c r="C1350" s="7">
        <v>528.76</v>
      </c>
      <c r="D1350" s="6">
        <f t="shared" si="44"/>
        <v>8.9521927348014305</v>
      </c>
      <c r="E1350" s="6">
        <v>1.0086345228088892E-2</v>
      </c>
      <c r="F1350" s="6"/>
      <c r="G1350" s="6">
        <v>1343</v>
      </c>
      <c r="H1350" s="6">
        <f t="shared" ca="1" si="45"/>
        <v>1.8435409228102034E-2</v>
      </c>
    </row>
    <row r="1351" spans="2:8" x14ac:dyDescent="0.3">
      <c r="B1351" s="4">
        <v>38846</v>
      </c>
      <c r="C1351" s="7">
        <v>53.13</v>
      </c>
      <c r="D1351" s="6">
        <f t="shared" si="44"/>
        <v>-0.11802788844621513</v>
      </c>
      <c r="E1351" s="6">
        <v>1.0076045627376446E-2</v>
      </c>
      <c r="F1351" s="6"/>
      <c r="G1351" s="6">
        <v>1344</v>
      </c>
      <c r="H1351" s="6">
        <f t="shared" ca="1" si="45"/>
        <v>-9.508851758213005E-3</v>
      </c>
    </row>
    <row r="1352" spans="2:8" x14ac:dyDescent="0.3">
      <c r="B1352" s="4">
        <v>39093</v>
      </c>
      <c r="C1352" s="7">
        <v>60.24</v>
      </c>
      <c r="D1352" s="6">
        <f t="shared" ref="D1352:D1415" si="46">((C1352-C1353)/C1353)</f>
        <v>-0.66871975362956437</v>
      </c>
      <c r="E1352" s="6">
        <v>1.0060362173038254E-2</v>
      </c>
      <c r="F1352" s="6"/>
      <c r="G1352" s="6">
        <v>1345</v>
      </c>
      <c r="H1352" s="6">
        <f t="shared" ca="1" si="45"/>
        <v>-1.8710447899307231E-2</v>
      </c>
    </row>
    <row r="1353" spans="2:8" x14ac:dyDescent="0.3">
      <c r="B1353" s="4">
        <v>40291</v>
      </c>
      <c r="C1353" s="7">
        <v>181.84</v>
      </c>
      <c r="D1353" s="6">
        <f t="shared" si="46"/>
        <v>-0.84604703930101421</v>
      </c>
      <c r="E1353" s="6">
        <v>1.0053879908904084E-2</v>
      </c>
      <c r="F1353" s="6"/>
      <c r="G1353" s="6">
        <v>1346</v>
      </c>
      <c r="H1353" s="6">
        <f t="shared" ref="H1353:H1416" ca="1" si="47">_xlfn.NORM.INV(RAND(),N$10,N$11)</f>
        <v>1.0683754152262507E-2</v>
      </c>
    </row>
    <row r="1354" spans="2:8" x14ac:dyDescent="0.3">
      <c r="B1354" s="4">
        <v>43411</v>
      </c>
      <c r="C1354" s="5">
        <v>1181.1400000000001</v>
      </c>
      <c r="D1354" s="6">
        <f t="shared" si="46"/>
        <v>50.043215211754536</v>
      </c>
      <c r="E1354" s="6">
        <v>1.0047973729893363E-2</v>
      </c>
      <c r="F1354" s="6"/>
      <c r="G1354" s="6">
        <v>1347</v>
      </c>
      <c r="H1354" s="6">
        <f t="shared" ca="1" si="47"/>
        <v>-3.2670815690567572E-3</v>
      </c>
    </row>
    <row r="1355" spans="2:8" x14ac:dyDescent="0.3">
      <c r="B1355" s="4">
        <v>37890</v>
      </c>
      <c r="C1355" s="7">
        <v>23.14</v>
      </c>
      <c r="D1355" s="6">
        <f t="shared" si="46"/>
        <v>-0.65682930446388854</v>
      </c>
      <c r="E1355" s="6">
        <v>1.0039284155390679E-2</v>
      </c>
      <c r="F1355" s="6"/>
      <c r="G1355" s="6">
        <v>1348</v>
      </c>
      <c r="H1355" s="6">
        <f t="shared" ca="1" si="47"/>
        <v>-2.4388880776397538E-2</v>
      </c>
    </row>
    <row r="1356" spans="2:8" x14ac:dyDescent="0.3">
      <c r="B1356" s="4">
        <v>39183</v>
      </c>
      <c r="C1356" s="7">
        <v>67.430000000000007</v>
      </c>
      <c r="D1356" s="6">
        <f t="shared" si="46"/>
        <v>-0.83542419213121155</v>
      </c>
      <c r="E1356" s="6">
        <v>1.003594967046138E-2</v>
      </c>
      <c r="F1356" s="6"/>
      <c r="G1356" s="6">
        <v>1349</v>
      </c>
      <c r="H1356" s="6">
        <f t="shared" ca="1" si="47"/>
        <v>2.5700549647285936E-2</v>
      </c>
    </row>
    <row r="1357" spans="2:8" x14ac:dyDescent="0.3">
      <c r="B1357" s="4">
        <v>41452</v>
      </c>
      <c r="C1357" s="7">
        <v>409.72</v>
      </c>
      <c r="D1357" s="6">
        <f t="shared" si="46"/>
        <v>-0.76025465482334487</v>
      </c>
      <c r="E1357" s="6">
        <v>1.0033279921114385E-2</v>
      </c>
      <c r="F1357" s="6"/>
      <c r="G1357" s="6">
        <v>1350</v>
      </c>
      <c r="H1357" s="6">
        <f t="shared" ca="1" si="47"/>
        <v>1.2362914527275164E-2</v>
      </c>
    </row>
    <row r="1358" spans="2:8" x14ac:dyDescent="0.3">
      <c r="B1358" s="4">
        <v>43859</v>
      </c>
      <c r="C1358" s="5">
        <v>1708.98</v>
      </c>
      <c r="D1358" s="6">
        <f t="shared" si="46"/>
        <v>4.0645448079658602</v>
      </c>
      <c r="E1358" s="6">
        <v>1.0029491551468388E-2</v>
      </c>
      <c r="F1358" s="6"/>
      <c r="G1358" s="6">
        <v>1351</v>
      </c>
      <c r="H1358" s="6">
        <f t="shared" ca="1" si="47"/>
        <v>-9.3684327420771266E-3</v>
      </c>
    </row>
    <row r="1359" spans="2:8" x14ac:dyDescent="0.3">
      <c r="B1359" s="4">
        <v>41163</v>
      </c>
      <c r="C1359" s="7">
        <v>337.44</v>
      </c>
      <c r="D1359" s="6">
        <f t="shared" si="46"/>
        <v>-0.85676933002818434</v>
      </c>
      <c r="E1359" s="6">
        <v>1.0027238169355631E-2</v>
      </c>
      <c r="F1359" s="6"/>
      <c r="G1359" s="6">
        <v>1352</v>
      </c>
      <c r="H1359" s="6">
        <f t="shared" ca="1" si="47"/>
        <v>4.6016479100811653E-3</v>
      </c>
    </row>
    <row r="1360" spans="2:8" x14ac:dyDescent="0.3">
      <c r="B1360" s="4">
        <v>45866</v>
      </c>
      <c r="C1360" s="5">
        <v>2355.92</v>
      </c>
      <c r="D1360" s="6">
        <f t="shared" si="46"/>
        <v>0.79082513017369171</v>
      </c>
      <c r="E1360" s="6">
        <v>1.0014747744966959E-2</v>
      </c>
      <c r="F1360" s="6"/>
      <c r="G1360" s="6">
        <v>1353</v>
      </c>
      <c r="H1360" s="6">
        <f t="shared" ca="1" si="47"/>
        <v>-4.4886740494559053E-3</v>
      </c>
    </row>
    <row r="1361" spans="2:8" x14ac:dyDescent="0.3">
      <c r="B1361" s="4">
        <v>43494</v>
      </c>
      <c r="C1361" s="5">
        <v>1315.55</v>
      </c>
      <c r="D1361" s="6">
        <f t="shared" si="46"/>
        <v>5.5427463072561798</v>
      </c>
      <c r="E1361" s="6">
        <v>1.0003685164143333E-2</v>
      </c>
      <c r="F1361" s="6"/>
      <c r="G1361" s="6">
        <v>1354</v>
      </c>
      <c r="H1361" s="6">
        <f t="shared" ca="1" si="47"/>
        <v>-2.7680429055947461E-2</v>
      </c>
    </row>
    <row r="1362" spans="2:8" x14ac:dyDescent="0.3">
      <c r="B1362" s="4">
        <v>40345</v>
      </c>
      <c r="C1362" s="7">
        <v>201.07</v>
      </c>
      <c r="D1362" s="6">
        <f t="shared" si="46"/>
        <v>-0.91711871393239897</v>
      </c>
      <c r="E1362" s="6">
        <v>9.9959815149687596E-3</v>
      </c>
      <c r="F1362" s="6"/>
      <c r="G1362" s="6">
        <v>1355</v>
      </c>
      <c r="H1362" s="6">
        <f t="shared" ca="1" si="47"/>
        <v>1.0866538536528306E-2</v>
      </c>
    </row>
    <row r="1363" spans="2:8" x14ac:dyDescent="0.3">
      <c r="B1363" s="4">
        <v>46056</v>
      </c>
      <c r="C1363" s="5">
        <v>2426</v>
      </c>
      <c r="D1363" s="6">
        <f t="shared" si="46"/>
        <v>1.7615567621714532</v>
      </c>
      <c r="E1363" s="6">
        <v>9.9916736053288924E-3</v>
      </c>
      <c r="F1363" s="6"/>
      <c r="G1363" s="6">
        <v>1356</v>
      </c>
      <c r="H1363" s="6">
        <f t="shared" ca="1" si="47"/>
        <v>5.6886718777328675E-3</v>
      </c>
    </row>
    <row r="1364" spans="2:8" x14ac:dyDescent="0.3">
      <c r="B1364" s="4">
        <v>42699</v>
      </c>
      <c r="C1364" s="7">
        <v>878.49</v>
      </c>
      <c r="D1364" s="6">
        <f t="shared" si="46"/>
        <v>10.560600078957759</v>
      </c>
      <c r="E1364" s="6">
        <v>9.9908024833295639E-3</v>
      </c>
      <c r="F1364" s="6"/>
      <c r="G1364" s="6">
        <v>1357</v>
      </c>
      <c r="H1364" s="6">
        <f t="shared" ca="1" si="47"/>
        <v>-1.9509636855375958E-2</v>
      </c>
    </row>
    <row r="1365" spans="2:8" x14ac:dyDescent="0.3">
      <c r="B1365" s="4">
        <v>39825</v>
      </c>
      <c r="C1365" s="7">
        <v>75.989999999999995</v>
      </c>
      <c r="D1365" s="6">
        <f t="shared" si="46"/>
        <v>-0.84679126595294263</v>
      </c>
      <c r="E1365" s="6">
        <v>9.9681020733652318E-3</v>
      </c>
      <c r="F1365" s="6"/>
      <c r="G1365" s="6">
        <v>1358</v>
      </c>
      <c r="H1365" s="6">
        <f t="shared" ca="1" si="47"/>
        <v>1.4996257131511316E-2</v>
      </c>
    </row>
    <row r="1366" spans="2:8" x14ac:dyDescent="0.3">
      <c r="B1366" s="4">
        <v>41583</v>
      </c>
      <c r="C1366" s="7">
        <v>495.99</v>
      </c>
      <c r="D1366" s="6">
        <f t="shared" si="46"/>
        <v>-5.2513945136394909E-2</v>
      </c>
      <c r="E1366" s="6">
        <v>9.9572388515576996E-3</v>
      </c>
      <c r="F1366" s="6"/>
      <c r="G1366" s="6">
        <v>1359</v>
      </c>
      <c r="H1366" s="6">
        <f t="shared" ca="1" si="47"/>
        <v>-3.4757574873160368E-3</v>
      </c>
    </row>
    <row r="1367" spans="2:8" x14ac:dyDescent="0.3">
      <c r="B1367" s="4">
        <v>41813</v>
      </c>
      <c r="C1367" s="7">
        <v>523.48</v>
      </c>
      <c r="D1367" s="6">
        <f t="shared" si="46"/>
        <v>-0.83825637729879376</v>
      </c>
      <c r="E1367" s="6">
        <v>9.9552400061737305E-3</v>
      </c>
      <c r="F1367" s="6"/>
      <c r="G1367" s="6">
        <v>1360</v>
      </c>
      <c r="H1367" s="6">
        <f t="shared" ca="1" si="47"/>
        <v>-1.4729056031736859E-2</v>
      </c>
    </row>
    <row r="1368" spans="2:8" x14ac:dyDescent="0.3">
      <c r="B1368" s="4">
        <v>45561</v>
      </c>
      <c r="C1368" s="5">
        <v>3236.48</v>
      </c>
      <c r="D1368" s="6">
        <f t="shared" si="46"/>
        <v>1.3427289178429245</v>
      </c>
      <c r="E1368" s="6">
        <v>9.9545026181278324E-3</v>
      </c>
      <c r="F1368" s="6"/>
      <c r="G1368" s="6">
        <v>1361</v>
      </c>
      <c r="H1368" s="6">
        <f t="shared" ca="1" si="47"/>
        <v>-6.4512022329750278E-4</v>
      </c>
    </row>
    <row r="1369" spans="2:8" x14ac:dyDescent="0.3">
      <c r="B1369" s="4">
        <v>43585</v>
      </c>
      <c r="C1369" s="5">
        <v>1381.5</v>
      </c>
      <c r="D1369" s="6">
        <f t="shared" si="46"/>
        <v>0.70549238917077151</v>
      </c>
      <c r="E1369" s="6">
        <v>9.9422472402952763E-3</v>
      </c>
      <c r="F1369" s="6"/>
      <c r="G1369" s="6">
        <v>1362</v>
      </c>
      <c r="H1369" s="6">
        <f t="shared" ca="1" si="47"/>
        <v>-1.7102850151138098E-2</v>
      </c>
    </row>
    <row r="1370" spans="2:8" x14ac:dyDescent="0.3">
      <c r="B1370" s="4">
        <v>42394</v>
      </c>
      <c r="C1370" s="7">
        <v>810.03</v>
      </c>
      <c r="D1370" s="6">
        <f t="shared" si="46"/>
        <v>-0.74331860902851277</v>
      </c>
      <c r="E1370" s="6">
        <v>9.9369124504401513E-3</v>
      </c>
      <c r="F1370" s="6"/>
      <c r="G1370" s="6">
        <v>1363</v>
      </c>
      <c r="H1370" s="6">
        <f t="shared" ca="1" si="47"/>
        <v>-3.3481383054392133E-2</v>
      </c>
    </row>
    <row r="1371" spans="2:8" x14ac:dyDescent="0.3">
      <c r="B1371" s="4">
        <v>45265</v>
      </c>
      <c r="C1371" s="5">
        <v>3155.78</v>
      </c>
      <c r="D1371" s="6">
        <f t="shared" si="46"/>
        <v>7.5425261220291269</v>
      </c>
      <c r="E1371" s="6">
        <v>9.9239304012776041E-3</v>
      </c>
      <c r="F1371" s="6"/>
      <c r="G1371" s="6">
        <v>1364</v>
      </c>
      <c r="H1371" s="6">
        <f t="shared" ca="1" si="47"/>
        <v>-1.0111307414661392E-2</v>
      </c>
    </row>
    <row r="1372" spans="2:8" x14ac:dyDescent="0.3">
      <c r="B1372" s="4">
        <v>41240</v>
      </c>
      <c r="C1372" s="7">
        <v>369.42</v>
      </c>
      <c r="D1372" s="6">
        <f t="shared" si="46"/>
        <v>-0.53407829684189279</v>
      </c>
      <c r="E1372" s="6">
        <v>9.923726728450738E-3</v>
      </c>
      <c r="F1372" s="6"/>
      <c r="G1372" s="6">
        <v>1365</v>
      </c>
      <c r="H1372" s="6">
        <f t="shared" ca="1" si="47"/>
        <v>-3.5372240273262717E-3</v>
      </c>
    </row>
    <row r="1373" spans="2:8" x14ac:dyDescent="0.3">
      <c r="B1373" s="4">
        <v>42471</v>
      </c>
      <c r="C1373" s="7">
        <v>792.88</v>
      </c>
      <c r="D1373" s="6">
        <f t="shared" si="46"/>
        <v>-0.73987986076709322</v>
      </c>
      <c r="E1373" s="6">
        <v>9.9224292756244035E-3</v>
      </c>
      <c r="F1373" s="6"/>
      <c r="G1373" s="6">
        <v>1366</v>
      </c>
      <c r="H1373" s="6">
        <f t="shared" ca="1" si="47"/>
        <v>-5.3253812598253901E-4</v>
      </c>
    </row>
    <row r="1374" spans="2:8" x14ac:dyDescent="0.3">
      <c r="B1374" s="4">
        <v>45245</v>
      </c>
      <c r="C1374" s="5">
        <v>3048.13</v>
      </c>
      <c r="D1374" s="6">
        <f t="shared" si="46"/>
        <v>29.514866352988289</v>
      </c>
      <c r="E1374" s="6">
        <v>9.9165065270692115E-3</v>
      </c>
      <c r="F1374" s="6"/>
      <c r="G1374" s="6">
        <v>1367</v>
      </c>
      <c r="H1374" s="6">
        <f t="shared" ca="1" si="47"/>
        <v>1.9407064649535422E-3</v>
      </c>
    </row>
    <row r="1375" spans="2:8" x14ac:dyDescent="0.3">
      <c r="B1375" s="4">
        <v>39979</v>
      </c>
      <c r="C1375" s="7">
        <v>99.89</v>
      </c>
      <c r="D1375" s="6">
        <f t="shared" si="46"/>
        <v>-0.9527335875912063</v>
      </c>
      <c r="E1375" s="6">
        <v>9.907997169143706E-3</v>
      </c>
      <c r="F1375" s="6"/>
      <c r="G1375" s="6">
        <v>1368</v>
      </c>
      <c r="H1375" s="6">
        <f t="shared" ca="1" si="47"/>
        <v>-1.5504247105440235E-3</v>
      </c>
    </row>
    <row r="1376" spans="2:8" x14ac:dyDescent="0.3">
      <c r="B1376" s="4">
        <v>44159</v>
      </c>
      <c r="C1376" s="5">
        <v>2113.34</v>
      </c>
      <c r="D1376" s="6">
        <f t="shared" si="46"/>
        <v>10.564103967168263</v>
      </c>
      <c r="E1376" s="6">
        <v>9.9014632374727646E-3</v>
      </c>
      <c r="F1376" s="6"/>
      <c r="G1376" s="6">
        <v>1369</v>
      </c>
      <c r="H1376" s="6">
        <f t="shared" ca="1" si="47"/>
        <v>1.5142720509930612E-2</v>
      </c>
    </row>
    <row r="1377" spans="2:8" x14ac:dyDescent="0.3">
      <c r="B1377" s="4">
        <v>40325</v>
      </c>
      <c r="C1377" s="7">
        <v>182.75</v>
      </c>
      <c r="D1377" s="6">
        <f t="shared" si="46"/>
        <v>10.170537897310513</v>
      </c>
      <c r="E1377" s="6">
        <v>9.8916887709990711E-3</v>
      </c>
      <c r="F1377" s="6"/>
      <c r="G1377" s="6">
        <v>1370</v>
      </c>
      <c r="H1377" s="6">
        <f t="shared" ca="1" si="47"/>
        <v>1.1386522295051061E-2</v>
      </c>
    </row>
    <row r="1378" spans="2:8" x14ac:dyDescent="0.3">
      <c r="B1378" s="4">
        <v>37740</v>
      </c>
      <c r="C1378" s="7">
        <v>16.36</v>
      </c>
      <c r="D1378" s="6">
        <f t="shared" si="46"/>
        <v>-0.96314651288520448</v>
      </c>
      <c r="E1378" s="6">
        <v>9.8765432098765517E-3</v>
      </c>
      <c r="F1378" s="6"/>
      <c r="G1378" s="6">
        <v>1371</v>
      </c>
      <c r="H1378" s="6">
        <f t="shared" ca="1" si="47"/>
        <v>-1.7064689649259075E-2</v>
      </c>
    </row>
    <row r="1379" spans="2:8" x14ac:dyDescent="0.3">
      <c r="B1379" s="4">
        <v>41625</v>
      </c>
      <c r="C1379" s="7">
        <v>443.92</v>
      </c>
      <c r="D1379" s="6">
        <f t="shared" si="46"/>
        <v>7.8465524113192506</v>
      </c>
      <c r="E1379" s="6">
        <v>9.8730606488012015E-3</v>
      </c>
      <c r="F1379" s="6"/>
      <c r="G1379" s="6">
        <v>1372</v>
      </c>
      <c r="H1379" s="6">
        <f t="shared" ca="1" si="47"/>
        <v>1.1873947079060509E-2</v>
      </c>
    </row>
    <row r="1380" spans="2:8" x14ac:dyDescent="0.3">
      <c r="B1380" s="4">
        <v>38749</v>
      </c>
      <c r="C1380" s="7">
        <v>50.18</v>
      </c>
      <c r="D1380" s="6">
        <f t="shared" si="46"/>
        <v>-0.98182055313629879</v>
      </c>
      <c r="E1380" s="6">
        <v>9.8611390621855914E-3</v>
      </c>
      <c r="F1380" s="6"/>
      <c r="G1380" s="6">
        <v>1373</v>
      </c>
      <c r="H1380" s="6">
        <f t="shared" ca="1" si="47"/>
        <v>-2.698121231331883E-2</v>
      </c>
    </row>
    <row r="1381" spans="2:8" x14ac:dyDescent="0.3">
      <c r="B1381" s="4">
        <v>45351</v>
      </c>
      <c r="C1381" s="5">
        <v>2760.26</v>
      </c>
      <c r="D1381" s="6">
        <f t="shared" si="46"/>
        <v>3.7521864885338476</v>
      </c>
      <c r="E1381" s="6">
        <v>9.8598402669292078E-3</v>
      </c>
      <c r="F1381" s="6"/>
      <c r="G1381" s="6">
        <v>1374</v>
      </c>
      <c r="H1381" s="6">
        <f t="shared" ca="1" si="47"/>
        <v>-1.9315876882149035E-3</v>
      </c>
    </row>
    <row r="1382" spans="2:8" x14ac:dyDescent="0.3">
      <c r="B1382" s="4">
        <v>41920</v>
      </c>
      <c r="C1382" s="7">
        <v>580.84</v>
      </c>
      <c r="D1382" s="6">
        <f t="shared" si="46"/>
        <v>-0.78867556583969112</v>
      </c>
      <c r="E1382" s="6">
        <v>9.8579550393797892E-3</v>
      </c>
      <c r="F1382" s="6"/>
      <c r="G1382" s="6">
        <v>1375</v>
      </c>
      <c r="H1382" s="6">
        <f t="shared" ca="1" si="47"/>
        <v>-5.4244768789428726E-3</v>
      </c>
    </row>
    <row r="1383" spans="2:8" x14ac:dyDescent="0.3">
      <c r="B1383" s="4">
        <v>44974</v>
      </c>
      <c r="C1383" s="5">
        <v>2748.57</v>
      </c>
      <c r="D1383" s="6">
        <f t="shared" si="46"/>
        <v>5.4904363842448287</v>
      </c>
      <c r="E1383" s="6">
        <v>9.853954257371237E-3</v>
      </c>
      <c r="F1383" s="6"/>
      <c r="G1383" s="6">
        <v>1376</v>
      </c>
      <c r="H1383" s="6">
        <f t="shared" ca="1" si="47"/>
        <v>-1.554789812090541E-2</v>
      </c>
    </row>
    <row r="1384" spans="2:8" x14ac:dyDescent="0.3">
      <c r="B1384" s="4">
        <v>41396</v>
      </c>
      <c r="C1384" s="7">
        <v>423.48</v>
      </c>
      <c r="D1384" s="6">
        <f t="shared" si="46"/>
        <v>-0.86558153412517536</v>
      </c>
      <c r="E1384" s="6">
        <v>9.8485751758674023E-3</v>
      </c>
      <c r="F1384" s="6"/>
      <c r="G1384" s="6">
        <v>1377</v>
      </c>
      <c r="H1384" s="6">
        <f t="shared" ca="1" si="47"/>
        <v>-6.2737227750642149E-3</v>
      </c>
    </row>
    <row r="1385" spans="2:8" x14ac:dyDescent="0.3">
      <c r="B1385" s="4">
        <v>44551</v>
      </c>
      <c r="C1385" s="5">
        <v>3150.46</v>
      </c>
      <c r="D1385" s="6">
        <f t="shared" si="46"/>
        <v>6.5023456290334103</v>
      </c>
      <c r="E1385" s="6">
        <v>9.8469744273562074E-3</v>
      </c>
      <c r="F1385" s="6"/>
      <c r="G1385" s="6">
        <v>1378</v>
      </c>
      <c r="H1385" s="6">
        <f t="shared" ca="1" si="47"/>
        <v>-5.9341246708986524E-3</v>
      </c>
    </row>
    <row r="1386" spans="2:8" x14ac:dyDescent="0.3">
      <c r="B1386" s="4">
        <v>41380</v>
      </c>
      <c r="C1386" s="7">
        <v>419.93</v>
      </c>
      <c r="D1386" s="6">
        <f t="shared" si="46"/>
        <v>17.572755417956657</v>
      </c>
      <c r="E1386" s="6">
        <v>9.8355136590997302E-3</v>
      </c>
      <c r="F1386" s="6"/>
      <c r="G1386" s="6">
        <v>1379</v>
      </c>
      <c r="H1386" s="6">
        <f t="shared" ca="1" si="47"/>
        <v>-3.3339599306819474E-3</v>
      </c>
    </row>
    <row r="1387" spans="2:8" x14ac:dyDescent="0.3">
      <c r="B1387" s="4">
        <v>38138</v>
      </c>
      <c r="C1387" s="7">
        <v>22.61</v>
      </c>
      <c r="D1387" s="6">
        <f t="shared" si="46"/>
        <v>-0.91765305750810355</v>
      </c>
      <c r="E1387" s="6">
        <v>9.8258150960249604E-3</v>
      </c>
      <c r="F1387" s="6"/>
      <c r="G1387" s="6">
        <v>1380</v>
      </c>
      <c r="H1387" s="6">
        <f t="shared" ca="1" si="47"/>
        <v>2.5886983020831526E-2</v>
      </c>
    </row>
    <row r="1388" spans="2:8" x14ac:dyDescent="0.3">
      <c r="B1388" s="4">
        <v>40966</v>
      </c>
      <c r="C1388" s="7">
        <v>274.57</v>
      </c>
      <c r="D1388" s="6">
        <f t="shared" si="46"/>
        <v>-0.75367155609384118</v>
      </c>
      <c r="E1388" s="6">
        <v>9.8197866862817802E-3</v>
      </c>
      <c r="F1388" s="6"/>
      <c r="G1388" s="6">
        <v>1381</v>
      </c>
      <c r="H1388" s="6">
        <f t="shared" ca="1" si="47"/>
        <v>3.8698023424827473E-3</v>
      </c>
    </row>
    <row r="1389" spans="2:8" x14ac:dyDescent="0.3">
      <c r="B1389" s="4">
        <v>43111</v>
      </c>
      <c r="C1389" s="5">
        <v>1114.6500000000001</v>
      </c>
      <c r="D1389" s="6">
        <f t="shared" si="46"/>
        <v>9.8040127944169821</v>
      </c>
      <c r="E1389" s="6">
        <v>9.8113822905909979E-3</v>
      </c>
      <c r="F1389" s="6"/>
      <c r="G1389" s="6">
        <v>1382</v>
      </c>
      <c r="H1389" s="6">
        <f t="shared" ca="1" si="47"/>
        <v>3.134193563050414E-3</v>
      </c>
    </row>
    <row r="1390" spans="2:8" x14ac:dyDescent="0.3">
      <c r="B1390" s="4">
        <v>39588</v>
      </c>
      <c r="C1390" s="7">
        <v>103.17</v>
      </c>
      <c r="D1390" s="6">
        <f t="shared" si="46"/>
        <v>0.92301957129543344</v>
      </c>
      <c r="E1390" s="6">
        <v>9.7876088871488697E-3</v>
      </c>
      <c r="F1390" s="6"/>
      <c r="G1390" s="6">
        <v>1383</v>
      </c>
      <c r="H1390" s="6">
        <f t="shared" ca="1" si="47"/>
        <v>3.0987096260413398E-2</v>
      </c>
    </row>
    <row r="1391" spans="2:8" x14ac:dyDescent="0.3">
      <c r="B1391" s="4">
        <v>38847</v>
      </c>
      <c r="C1391" s="7">
        <v>53.65</v>
      </c>
      <c r="D1391" s="6">
        <f t="shared" si="46"/>
        <v>0.18145782867209873</v>
      </c>
      <c r="E1391" s="6">
        <v>9.7873141351401474E-3</v>
      </c>
      <c r="F1391" s="6"/>
      <c r="G1391" s="6">
        <v>1384</v>
      </c>
      <c r="H1391" s="6">
        <f t="shared" ca="1" si="47"/>
        <v>-3.3436720847043891E-3</v>
      </c>
    </row>
    <row r="1392" spans="2:8" x14ac:dyDescent="0.3">
      <c r="B1392" s="4">
        <v>38706</v>
      </c>
      <c r="C1392" s="7">
        <v>45.41</v>
      </c>
      <c r="D1392" s="6">
        <f t="shared" si="46"/>
        <v>0.91280539174389219</v>
      </c>
      <c r="E1392" s="6">
        <v>9.7843006448743112E-3</v>
      </c>
      <c r="F1392" s="6"/>
      <c r="G1392" s="6">
        <v>1385</v>
      </c>
      <c r="H1392" s="6">
        <f t="shared" ca="1" si="47"/>
        <v>7.1304875830165149E-4</v>
      </c>
    </row>
    <row r="1393" spans="2:8" x14ac:dyDescent="0.3">
      <c r="B1393" s="4">
        <v>37876</v>
      </c>
      <c r="C1393" s="7">
        <v>23.74</v>
      </c>
      <c r="D1393" s="6">
        <f t="shared" si="46"/>
        <v>-0.97741284822651853</v>
      </c>
      <c r="E1393" s="6">
        <v>9.7830710336025885E-3</v>
      </c>
      <c r="F1393" s="6"/>
      <c r="G1393" s="6">
        <v>1386</v>
      </c>
      <c r="H1393" s="6">
        <f t="shared" ca="1" si="47"/>
        <v>3.6471033655514767E-3</v>
      </c>
    </row>
    <row r="1394" spans="2:8" x14ac:dyDescent="0.3">
      <c r="B1394" s="4">
        <v>43138</v>
      </c>
      <c r="C1394" s="5">
        <v>1051.04</v>
      </c>
      <c r="D1394" s="6">
        <f t="shared" si="46"/>
        <v>0.14938104194917096</v>
      </c>
      <c r="E1394" s="6">
        <v>9.7803739215649218E-3</v>
      </c>
      <c r="F1394" s="6"/>
      <c r="G1394" s="6">
        <v>1387</v>
      </c>
      <c r="H1394" s="6">
        <f t="shared" ca="1" si="47"/>
        <v>1.0000716721572927E-4</v>
      </c>
    </row>
    <row r="1395" spans="2:8" x14ac:dyDescent="0.3">
      <c r="B1395" s="4">
        <v>42516</v>
      </c>
      <c r="C1395" s="7">
        <v>914.44</v>
      </c>
      <c r="D1395" s="6">
        <f t="shared" si="46"/>
        <v>-0.64523312564498481</v>
      </c>
      <c r="E1395" s="6">
        <v>9.7726344151327013E-3</v>
      </c>
      <c r="F1395" s="6"/>
      <c r="G1395" s="6">
        <v>1388</v>
      </c>
      <c r="H1395" s="6">
        <f t="shared" ca="1" si="47"/>
        <v>-1.5802380256309482E-2</v>
      </c>
    </row>
    <row r="1396" spans="2:8" x14ac:dyDescent="0.3">
      <c r="B1396" s="4">
        <v>44727</v>
      </c>
      <c r="C1396" s="5">
        <v>2577.58</v>
      </c>
      <c r="D1396" s="6">
        <f t="shared" si="46"/>
        <v>1.381048275352412</v>
      </c>
      <c r="E1396" s="6">
        <v>9.7702770465087352E-3</v>
      </c>
      <c r="F1396" s="6"/>
      <c r="G1396" s="6">
        <v>1389</v>
      </c>
      <c r="H1396" s="6">
        <f t="shared" ca="1" si="47"/>
        <v>-1.3377324022513508E-3</v>
      </c>
    </row>
    <row r="1397" spans="2:8" x14ac:dyDescent="0.3">
      <c r="B1397" s="4">
        <v>42951</v>
      </c>
      <c r="C1397" s="5">
        <v>1082.54</v>
      </c>
      <c r="D1397" s="6">
        <f t="shared" si="46"/>
        <v>12.192054594199366</v>
      </c>
      <c r="E1397" s="6">
        <v>9.7661533295400754E-3</v>
      </c>
      <c r="F1397" s="6"/>
      <c r="G1397" s="6">
        <v>1390</v>
      </c>
      <c r="H1397" s="6">
        <f t="shared" ca="1" si="47"/>
        <v>7.5081693470586026E-3</v>
      </c>
    </row>
    <row r="1398" spans="2:8" x14ac:dyDescent="0.3">
      <c r="B1398" s="4">
        <v>39948</v>
      </c>
      <c r="C1398" s="7">
        <v>82.06</v>
      </c>
      <c r="D1398" s="6">
        <f t="shared" si="46"/>
        <v>1.6318152661962797</v>
      </c>
      <c r="E1398" s="6">
        <v>9.7206841392888672E-3</v>
      </c>
      <c r="F1398" s="6"/>
      <c r="G1398" s="6">
        <v>1391</v>
      </c>
      <c r="H1398" s="6">
        <f t="shared" ca="1" si="47"/>
        <v>2.5174394385514616E-2</v>
      </c>
    </row>
    <row r="1399" spans="2:8" x14ac:dyDescent="0.3">
      <c r="B1399" s="4">
        <v>38489</v>
      </c>
      <c r="C1399" s="7">
        <v>31.18</v>
      </c>
      <c r="D1399" s="6">
        <f t="shared" si="46"/>
        <v>-0.98734577922077926</v>
      </c>
      <c r="E1399" s="6">
        <v>9.7150259067357754E-3</v>
      </c>
      <c r="F1399" s="6"/>
      <c r="G1399" s="6">
        <v>1392</v>
      </c>
      <c r="H1399" s="6">
        <f t="shared" ca="1" si="47"/>
        <v>1.9615390708155669E-2</v>
      </c>
    </row>
    <row r="1400" spans="2:8" x14ac:dyDescent="0.3">
      <c r="B1400" s="4">
        <v>46129</v>
      </c>
      <c r="C1400" s="5">
        <v>2464</v>
      </c>
      <c r="D1400" s="6">
        <f t="shared" si="46"/>
        <v>101.92397660818713</v>
      </c>
      <c r="E1400" s="6">
        <v>9.7119206654918723E-3</v>
      </c>
      <c r="F1400" s="6"/>
      <c r="G1400" s="6">
        <v>1393</v>
      </c>
      <c r="H1400" s="6">
        <f t="shared" ca="1" si="47"/>
        <v>-1.1193077522208267E-2</v>
      </c>
    </row>
    <row r="1401" spans="2:8" x14ac:dyDescent="0.3">
      <c r="B1401" s="4">
        <v>38113</v>
      </c>
      <c r="C1401" s="7">
        <v>23.94</v>
      </c>
      <c r="D1401" s="6">
        <f t="shared" si="46"/>
        <v>-0.97587812103258564</v>
      </c>
      <c r="E1401" s="6">
        <v>9.7005482918599926E-3</v>
      </c>
      <c r="F1401" s="6"/>
      <c r="G1401" s="6">
        <v>1394</v>
      </c>
      <c r="H1401" s="6">
        <f t="shared" ca="1" si="47"/>
        <v>-2.7861376146311775E-2</v>
      </c>
    </row>
    <row r="1402" spans="2:8" x14ac:dyDescent="0.3">
      <c r="B1402" s="4">
        <v>42823</v>
      </c>
      <c r="C1402" s="7">
        <v>992.46</v>
      </c>
      <c r="D1402" s="6">
        <f t="shared" si="46"/>
        <v>-0.51022281442001627</v>
      </c>
      <c r="E1402" s="6">
        <v>9.6955022229457712E-3</v>
      </c>
      <c r="F1402" s="6"/>
      <c r="G1402" s="6">
        <v>1395</v>
      </c>
      <c r="H1402" s="6">
        <f t="shared" ca="1" si="47"/>
        <v>-1.3697771219565603E-2</v>
      </c>
    </row>
    <row r="1403" spans="2:8" x14ac:dyDescent="0.3">
      <c r="B1403" s="4">
        <v>44127</v>
      </c>
      <c r="C1403" s="5">
        <v>2026.35</v>
      </c>
      <c r="D1403" s="6">
        <f t="shared" si="46"/>
        <v>52.892287234042549</v>
      </c>
      <c r="E1403" s="6">
        <v>9.6915641038416555E-3</v>
      </c>
      <c r="F1403" s="6"/>
      <c r="G1403" s="6">
        <v>1396</v>
      </c>
      <c r="H1403" s="6">
        <f t="shared" ca="1" si="47"/>
        <v>-1.568063780552181E-2</v>
      </c>
    </row>
    <row r="1404" spans="2:8" x14ac:dyDescent="0.3">
      <c r="B1404" s="4">
        <v>38582</v>
      </c>
      <c r="C1404" s="7">
        <v>37.6</v>
      </c>
      <c r="D1404" s="6">
        <f t="shared" si="46"/>
        <v>-0.98706352291923993</v>
      </c>
      <c r="E1404" s="6">
        <v>9.6670247046186739E-3</v>
      </c>
      <c r="F1404" s="6"/>
      <c r="G1404" s="6">
        <v>1397</v>
      </c>
      <c r="H1404" s="6">
        <f t="shared" ca="1" si="47"/>
        <v>1.2935539963594478E-2</v>
      </c>
    </row>
    <row r="1405" spans="2:8" x14ac:dyDescent="0.3">
      <c r="B1405" s="4">
        <v>44378</v>
      </c>
      <c r="C1405" s="5">
        <v>2906.51</v>
      </c>
      <c r="D1405" s="6">
        <f t="shared" si="46"/>
        <v>-6.3757196187557734E-3</v>
      </c>
      <c r="E1405" s="6">
        <v>9.6571033553224123E-3</v>
      </c>
      <c r="F1405" s="6"/>
      <c r="G1405" s="6">
        <v>1398</v>
      </c>
      <c r="H1405" s="6">
        <f t="shared" ca="1" si="47"/>
        <v>1.8243537727296762E-3</v>
      </c>
    </row>
    <row r="1406" spans="2:8" x14ac:dyDescent="0.3">
      <c r="B1406" s="4">
        <v>45230</v>
      </c>
      <c r="C1406" s="5">
        <v>2925.16</v>
      </c>
      <c r="D1406" s="6">
        <f t="shared" si="46"/>
        <v>2.6044113116875112</v>
      </c>
      <c r="E1406" s="6">
        <v>9.6402425765299386E-3</v>
      </c>
      <c r="F1406" s="6"/>
      <c r="G1406" s="6">
        <v>1399</v>
      </c>
      <c r="H1406" s="6">
        <f t="shared" ca="1" si="47"/>
        <v>-3.1418515082750212E-3</v>
      </c>
    </row>
    <row r="1407" spans="2:8" x14ac:dyDescent="0.3">
      <c r="B1407" s="4">
        <v>42432</v>
      </c>
      <c r="C1407" s="7">
        <v>811.55</v>
      </c>
      <c r="D1407" s="6">
        <f t="shared" si="46"/>
        <v>1.9088856231406142</v>
      </c>
      <c r="E1407" s="6">
        <v>9.6291412149637472E-3</v>
      </c>
      <c r="F1407" s="6"/>
      <c r="G1407" s="6">
        <v>1400</v>
      </c>
      <c r="H1407" s="6">
        <f t="shared" ca="1" si="47"/>
        <v>3.9857608416780273E-3</v>
      </c>
    </row>
    <row r="1408" spans="2:8" x14ac:dyDescent="0.3">
      <c r="B1408" s="4">
        <v>40836</v>
      </c>
      <c r="C1408" s="7">
        <v>278.99</v>
      </c>
      <c r="D1408" s="6">
        <f t="shared" si="46"/>
        <v>1.0394031580472274E-2</v>
      </c>
      <c r="E1408" s="6">
        <v>9.6261716064127145E-3</v>
      </c>
      <c r="F1408" s="6"/>
      <c r="G1408" s="6">
        <v>1401</v>
      </c>
      <c r="H1408" s="6">
        <f t="shared" ca="1" si="47"/>
        <v>-3.07383183202838E-2</v>
      </c>
    </row>
    <row r="1409" spans="2:8" x14ac:dyDescent="0.3">
      <c r="B1409" s="4">
        <v>40737</v>
      </c>
      <c r="C1409" s="7">
        <v>276.12</v>
      </c>
      <c r="D1409" s="6">
        <f t="shared" si="46"/>
        <v>8.7396825396825388</v>
      </c>
      <c r="E1409" s="6">
        <v>9.6164393579289756E-3</v>
      </c>
      <c r="F1409" s="6"/>
      <c r="G1409" s="6">
        <v>1402</v>
      </c>
      <c r="H1409" s="6">
        <f t="shared" ca="1" si="47"/>
        <v>-3.5785453099047411E-2</v>
      </c>
    </row>
    <row r="1410" spans="2:8" x14ac:dyDescent="0.3">
      <c r="B1410" s="4">
        <v>38394</v>
      </c>
      <c r="C1410" s="7">
        <v>28.35</v>
      </c>
      <c r="D1410" s="6">
        <f t="shared" si="46"/>
        <v>-3.5260930888568443E-4</v>
      </c>
      <c r="E1410" s="6">
        <v>9.6153846153847269E-3</v>
      </c>
      <c r="F1410" s="6"/>
      <c r="G1410" s="6">
        <v>1403</v>
      </c>
      <c r="H1410" s="6">
        <f t="shared" ca="1" si="47"/>
        <v>-1.6855336035908979E-2</v>
      </c>
    </row>
    <row r="1411" spans="2:8" x14ac:dyDescent="0.3">
      <c r="B1411" s="4">
        <v>38412</v>
      </c>
      <c r="C1411" s="7">
        <v>28.36</v>
      </c>
      <c r="D1411" s="6">
        <f t="shared" si="46"/>
        <v>-0.9876571150029595</v>
      </c>
      <c r="E1411" s="6">
        <v>9.6119615521537763E-3</v>
      </c>
      <c r="F1411" s="6"/>
      <c r="G1411" s="6">
        <v>1404</v>
      </c>
      <c r="H1411" s="6">
        <f t="shared" ca="1" si="47"/>
        <v>-3.9289423704648614E-3</v>
      </c>
    </row>
    <row r="1412" spans="2:8" x14ac:dyDescent="0.3">
      <c r="B1412" s="4">
        <v>45740</v>
      </c>
      <c r="C1412" s="5">
        <v>2297.6799999999998</v>
      </c>
      <c r="D1412" s="6">
        <f t="shared" si="46"/>
        <v>59.704887714663137</v>
      </c>
      <c r="E1412" s="6">
        <v>9.6053290682038429E-3</v>
      </c>
      <c r="F1412" s="6"/>
      <c r="G1412" s="6">
        <v>1405</v>
      </c>
      <c r="H1412" s="6">
        <f t="shared" ca="1" si="47"/>
        <v>2.0630948653460299E-2</v>
      </c>
    </row>
    <row r="1413" spans="2:8" x14ac:dyDescent="0.3">
      <c r="B1413" s="4">
        <v>38587</v>
      </c>
      <c r="C1413" s="7">
        <v>37.85</v>
      </c>
      <c r="D1413" s="6">
        <f t="shared" si="46"/>
        <v>-5.3986503374156378E-2</v>
      </c>
      <c r="E1413" s="6">
        <v>9.6025606828487441E-3</v>
      </c>
      <c r="F1413" s="6"/>
      <c r="G1413" s="6">
        <v>1406</v>
      </c>
      <c r="H1413" s="6">
        <f t="shared" ca="1" si="47"/>
        <v>-6.8454972783066805E-3</v>
      </c>
    </row>
    <row r="1414" spans="2:8" x14ac:dyDescent="0.3">
      <c r="B1414" s="4">
        <v>38608</v>
      </c>
      <c r="C1414" s="7">
        <v>40.01</v>
      </c>
      <c r="D1414" s="6">
        <f t="shared" si="46"/>
        <v>-0.93060927175289199</v>
      </c>
      <c r="E1414" s="6">
        <v>9.5886954327528487E-3</v>
      </c>
      <c r="F1414" s="6"/>
      <c r="G1414" s="6">
        <v>1407</v>
      </c>
      <c r="H1414" s="6">
        <f t="shared" ca="1" si="47"/>
        <v>2.5234633498236611E-2</v>
      </c>
    </row>
    <row r="1415" spans="2:8" x14ac:dyDescent="0.3">
      <c r="B1415" s="4">
        <v>41886</v>
      </c>
      <c r="C1415" s="7">
        <v>576.59</v>
      </c>
      <c r="D1415" s="6">
        <f t="shared" si="46"/>
        <v>1.0013536966331134</v>
      </c>
      <c r="E1415" s="6">
        <v>9.577671942849187E-3</v>
      </c>
      <c r="F1415" s="6"/>
      <c r="G1415" s="6">
        <v>1408</v>
      </c>
      <c r="H1415" s="6">
        <f t="shared" ca="1" si="47"/>
        <v>-1.0018152239870371E-2</v>
      </c>
    </row>
    <row r="1416" spans="2:8" x14ac:dyDescent="0.3">
      <c r="B1416" s="4">
        <v>40771</v>
      </c>
      <c r="C1416" s="7">
        <v>288.10000000000002</v>
      </c>
      <c r="D1416" s="6">
        <f t="shared" ref="D1416:D1479" si="48">((C1416-C1417)/C1417)</f>
        <v>3.6147685407656578</v>
      </c>
      <c r="E1416" s="6">
        <v>9.5665276658373974E-3</v>
      </c>
      <c r="F1416" s="6"/>
      <c r="G1416" s="6">
        <v>1409</v>
      </c>
      <c r="H1416" s="6">
        <f t="shared" ca="1" si="47"/>
        <v>-2.3233578342035533E-2</v>
      </c>
    </row>
    <row r="1417" spans="2:8" x14ac:dyDescent="0.3">
      <c r="B1417" s="4">
        <v>39175</v>
      </c>
      <c r="C1417" s="7">
        <v>62.43</v>
      </c>
      <c r="D1417" s="6">
        <f t="shared" si="48"/>
        <v>-0.9289195035864739</v>
      </c>
      <c r="E1417" s="6">
        <v>9.540750323415205E-3</v>
      </c>
      <c r="F1417" s="6"/>
      <c r="G1417" s="6">
        <v>1410</v>
      </c>
      <c r="H1417" s="6">
        <f t="shared" ref="H1417:H1480" ca="1" si="49">_xlfn.NORM.INV(RAND(),N$10,N$11)</f>
        <v>-4.2728394994444828E-3</v>
      </c>
    </row>
    <row r="1418" spans="2:8" x14ac:dyDescent="0.3">
      <c r="B1418" s="4">
        <v>42506</v>
      </c>
      <c r="C1418" s="7">
        <v>878.3</v>
      </c>
      <c r="D1418" s="6">
        <f t="shared" si="48"/>
        <v>-0.5356349793803532</v>
      </c>
      <c r="E1418" s="6">
        <v>9.5402298850574187E-3</v>
      </c>
      <c r="F1418" s="6"/>
      <c r="G1418" s="6">
        <v>1411</v>
      </c>
      <c r="H1418" s="6">
        <f t="shared" ca="1" si="49"/>
        <v>-3.641457766733352E-3</v>
      </c>
    </row>
    <row r="1419" spans="2:8" x14ac:dyDescent="0.3">
      <c r="B1419" s="4">
        <v>44083</v>
      </c>
      <c r="C1419" s="5">
        <v>1891.4</v>
      </c>
      <c r="D1419" s="6">
        <f t="shared" si="48"/>
        <v>6.9755429053341764</v>
      </c>
      <c r="E1419" s="6">
        <v>9.5381445720111868E-3</v>
      </c>
      <c r="F1419" s="6"/>
      <c r="G1419" s="6">
        <v>1412</v>
      </c>
      <c r="H1419" s="6">
        <f t="shared" ca="1" si="49"/>
        <v>1.1376340081816075E-2</v>
      </c>
    </row>
    <row r="1420" spans="2:8" x14ac:dyDescent="0.3">
      <c r="B1420" s="4">
        <v>40554</v>
      </c>
      <c r="C1420" s="7">
        <v>237.15</v>
      </c>
      <c r="D1420" s="6">
        <f t="shared" si="48"/>
        <v>-0.40824932628006783</v>
      </c>
      <c r="E1420" s="6">
        <v>9.53556681282197E-3</v>
      </c>
      <c r="F1420" s="6"/>
      <c r="G1420" s="6">
        <v>1413</v>
      </c>
      <c r="H1420" s="6">
        <f t="shared" ca="1" si="49"/>
        <v>1.5592040402580623E-2</v>
      </c>
    </row>
    <row r="1421" spans="2:8" x14ac:dyDescent="0.3">
      <c r="B1421" s="4">
        <v>41304</v>
      </c>
      <c r="C1421" s="7">
        <v>400.76</v>
      </c>
      <c r="D1421" s="6">
        <f t="shared" si="48"/>
        <v>0.68719740664337137</v>
      </c>
      <c r="E1421" s="6">
        <v>9.5218902715501347E-3</v>
      </c>
      <c r="F1421" s="6"/>
      <c r="G1421" s="6">
        <v>1414</v>
      </c>
      <c r="H1421" s="6">
        <f t="shared" ca="1" si="49"/>
        <v>2.214128695681365E-3</v>
      </c>
    </row>
    <row r="1422" spans="2:8" x14ac:dyDescent="0.3">
      <c r="B1422" s="4">
        <v>40519</v>
      </c>
      <c r="C1422" s="7">
        <v>237.53</v>
      </c>
      <c r="D1422" s="6">
        <f t="shared" si="48"/>
        <v>-0.89289353835054341</v>
      </c>
      <c r="E1422" s="6">
        <v>9.5201666029155908E-3</v>
      </c>
      <c r="F1422" s="6"/>
      <c r="G1422" s="6">
        <v>1415</v>
      </c>
      <c r="H1422" s="6">
        <f t="shared" ca="1" si="49"/>
        <v>1.3893832147910293E-2</v>
      </c>
    </row>
    <row r="1423" spans="2:8" x14ac:dyDescent="0.3">
      <c r="B1423" s="4">
        <v>46097</v>
      </c>
      <c r="C1423" s="5">
        <v>2217.6999999999998</v>
      </c>
      <c r="D1423" s="6">
        <f t="shared" si="48"/>
        <v>3.6134803411691281</v>
      </c>
      <c r="E1423" s="6">
        <v>9.5138383102693173E-3</v>
      </c>
      <c r="F1423" s="6"/>
      <c r="G1423" s="6">
        <v>1416</v>
      </c>
      <c r="H1423" s="6">
        <f t="shared" ca="1" si="49"/>
        <v>1.2255726278278584E-2</v>
      </c>
    </row>
    <row r="1424" spans="2:8" x14ac:dyDescent="0.3">
      <c r="B1424" s="4">
        <v>41597</v>
      </c>
      <c r="C1424" s="7">
        <v>480.7</v>
      </c>
      <c r="D1424" s="6">
        <f t="shared" si="48"/>
        <v>4.8765281173594133</v>
      </c>
      <c r="E1424" s="6">
        <v>9.5134090765902363E-3</v>
      </c>
      <c r="F1424" s="6"/>
      <c r="G1424" s="6">
        <v>1417</v>
      </c>
      <c r="H1424" s="6">
        <f t="shared" ca="1" si="49"/>
        <v>-4.947015142092023E-3</v>
      </c>
    </row>
    <row r="1425" spans="2:8" x14ac:dyDescent="0.3">
      <c r="B1425" s="4">
        <v>39741</v>
      </c>
      <c r="C1425" s="7">
        <v>81.8</v>
      </c>
      <c r="D1425" s="6">
        <f t="shared" si="48"/>
        <v>-0.69984955784684244</v>
      </c>
      <c r="E1425" s="6">
        <v>9.502653338269728E-3</v>
      </c>
      <c r="F1425" s="6"/>
      <c r="G1425" s="6">
        <v>1418</v>
      </c>
      <c r="H1425" s="6">
        <f t="shared" ca="1" si="49"/>
        <v>1.0362431836724691E-2</v>
      </c>
    </row>
    <row r="1426" spans="2:8" x14ac:dyDescent="0.3">
      <c r="B1426" s="4">
        <v>40961</v>
      </c>
      <c r="C1426" s="7">
        <v>272.52999999999997</v>
      </c>
      <c r="D1426" s="6">
        <f t="shared" si="48"/>
        <v>-0.91892969226421539</v>
      </c>
      <c r="E1426" s="6">
        <v>9.4825350964920004E-3</v>
      </c>
      <c r="F1426" s="6"/>
      <c r="G1426" s="6">
        <v>1419</v>
      </c>
      <c r="H1426" s="6">
        <f t="shared" ca="1" si="49"/>
        <v>-1.7371160280060589E-2</v>
      </c>
    </row>
    <row r="1427" spans="2:8" x14ac:dyDescent="0.3">
      <c r="B1427" s="4">
        <v>44831</v>
      </c>
      <c r="C1427" s="5">
        <v>3361.65</v>
      </c>
      <c r="D1427" s="6">
        <f t="shared" si="48"/>
        <v>1.0596452531936402</v>
      </c>
      <c r="E1427" s="6">
        <v>9.4802527266612709E-3</v>
      </c>
      <c r="F1427" s="6"/>
      <c r="G1427" s="6">
        <v>1420</v>
      </c>
      <c r="H1427" s="6">
        <f t="shared" ca="1" si="49"/>
        <v>9.1186303006375829E-4</v>
      </c>
    </row>
    <row r="1428" spans="2:8" x14ac:dyDescent="0.3">
      <c r="B1428" s="4">
        <v>43984</v>
      </c>
      <c r="C1428" s="5">
        <v>1632.15</v>
      </c>
      <c r="D1428" s="6">
        <f t="shared" si="48"/>
        <v>-0.46020002513543362</v>
      </c>
      <c r="E1428" s="6">
        <v>9.4753313582752446E-3</v>
      </c>
      <c r="F1428" s="6"/>
      <c r="G1428" s="6">
        <v>1421</v>
      </c>
      <c r="H1428" s="6">
        <f t="shared" ca="1" si="49"/>
        <v>8.0110265460249849E-3</v>
      </c>
    </row>
    <row r="1429" spans="2:8" x14ac:dyDescent="0.3">
      <c r="B1429" s="4">
        <v>44858</v>
      </c>
      <c r="C1429" s="5">
        <v>3023.62</v>
      </c>
      <c r="D1429" s="6">
        <f t="shared" si="48"/>
        <v>27.613797671997727</v>
      </c>
      <c r="E1429" s="6">
        <v>9.4615528431397696E-3</v>
      </c>
      <c r="F1429" s="6"/>
      <c r="G1429" s="6">
        <v>1422</v>
      </c>
      <c r="H1429" s="6">
        <f t="shared" ca="1" si="49"/>
        <v>1.7945218964233019E-2</v>
      </c>
    </row>
    <row r="1430" spans="2:8" x14ac:dyDescent="0.3">
      <c r="B1430" s="4">
        <v>39567</v>
      </c>
      <c r="C1430" s="7">
        <v>105.67</v>
      </c>
      <c r="D1430" s="6">
        <f t="shared" si="48"/>
        <v>-0.8701778957196914</v>
      </c>
      <c r="E1430" s="6">
        <v>9.4573939625524923E-3</v>
      </c>
      <c r="F1430" s="6"/>
      <c r="G1430" s="6">
        <v>1423</v>
      </c>
      <c r="H1430" s="6">
        <f t="shared" ca="1" si="49"/>
        <v>2.8402390262295225E-3</v>
      </c>
    </row>
    <row r="1431" spans="2:8" x14ac:dyDescent="0.3">
      <c r="B1431" s="4">
        <v>42731</v>
      </c>
      <c r="C1431" s="7">
        <v>813.96</v>
      </c>
      <c r="D1431" s="6">
        <f t="shared" si="48"/>
        <v>-0.74545772952147449</v>
      </c>
      <c r="E1431" s="6">
        <v>9.4501078949326637E-3</v>
      </c>
      <c r="F1431" s="6"/>
      <c r="G1431" s="6">
        <v>1424</v>
      </c>
      <c r="H1431" s="6">
        <f t="shared" ca="1" si="49"/>
        <v>-1.0950986277481587E-2</v>
      </c>
    </row>
    <row r="1432" spans="2:8" x14ac:dyDescent="0.3">
      <c r="B1432" s="4">
        <v>45191</v>
      </c>
      <c r="C1432" s="5">
        <v>3197.74</v>
      </c>
      <c r="D1432" s="6">
        <f t="shared" si="48"/>
        <v>46.493539284122974</v>
      </c>
      <c r="E1432" s="6">
        <v>9.4481676615705609E-3</v>
      </c>
      <c r="F1432" s="6"/>
      <c r="G1432" s="6">
        <v>1425</v>
      </c>
      <c r="H1432" s="6">
        <f t="shared" ca="1" si="49"/>
        <v>1.1180766996910618E-3</v>
      </c>
    </row>
    <row r="1433" spans="2:8" x14ac:dyDescent="0.3">
      <c r="B1433" s="4">
        <v>39192</v>
      </c>
      <c r="C1433" s="7">
        <v>67.33</v>
      </c>
      <c r="D1433" s="6">
        <f t="shared" si="48"/>
        <v>-0.8662999662423797</v>
      </c>
      <c r="E1433" s="6">
        <v>9.4452773613192716E-3</v>
      </c>
      <c r="F1433" s="6"/>
      <c r="G1433" s="6">
        <v>1426</v>
      </c>
      <c r="H1433" s="6">
        <f t="shared" ca="1" si="49"/>
        <v>2.7745076634632885E-3</v>
      </c>
    </row>
    <row r="1434" spans="2:8" x14ac:dyDescent="0.3">
      <c r="B1434" s="4">
        <v>41586</v>
      </c>
      <c r="C1434" s="7">
        <v>503.59</v>
      </c>
      <c r="D1434" s="6">
        <f t="shared" si="48"/>
        <v>-0.62522977086170595</v>
      </c>
      <c r="E1434" s="6">
        <v>9.4411481719050266E-3</v>
      </c>
      <c r="F1434" s="6"/>
      <c r="G1434" s="6">
        <v>1427</v>
      </c>
      <c r="H1434" s="6">
        <f t="shared" ca="1" si="49"/>
        <v>-1.727328885166925E-3</v>
      </c>
    </row>
    <row r="1435" spans="2:8" x14ac:dyDescent="0.3">
      <c r="B1435" s="4">
        <v>43566</v>
      </c>
      <c r="C1435" s="5">
        <v>1343.73</v>
      </c>
      <c r="D1435" s="6">
        <f t="shared" si="48"/>
        <v>6.9988689802964457</v>
      </c>
      <c r="E1435" s="6">
        <v>9.435308788509315E-3</v>
      </c>
      <c r="F1435" s="6"/>
      <c r="G1435" s="6">
        <v>1428</v>
      </c>
      <c r="H1435" s="6">
        <f t="shared" ca="1" si="49"/>
        <v>1.0038200563584829E-2</v>
      </c>
    </row>
    <row r="1436" spans="2:8" x14ac:dyDescent="0.3">
      <c r="B1436" s="4">
        <v>40214</v>
      </c>
      <c r="C1436" s="7">
        <v>167.99</v>
      </c>
      <c r="D1436" s="6">
        <f t="shared" si="48"/>
        <v>-0.49044528027177869</v>
      </c>
      <c r="E1436" s="6">
        <v>9.4339622641510731E-3</v>
      </c>
      <c r="F1436" s="6"/>
      <c r="G1436" s="6">
        <v>1429</v>
      </c>
      <c r="H1436" s="6">
        <f t="shared" ca="1" si="49"/>
        <v>1.1032756592089464E-2</v>
      </c>
    </row>
    <row r="1437" spans="2:8" x14ac:dyDescent="0.3">
      <c r="B1437" s="4">
        <v>41065</v>
      </c>
      <c r="C1437" s="7">
        <v>329.68</v>
      </c>
      <c r="D1437" s="6">
        <f t="shared" si="48"/>
        <v>-0.66489464429107237</v>
      </c>
      <c r="E1437" s="6">
        <v>9.4304960195957868E-3</v>
      </c>
      <c r="F1437" s="6"/>
      <c r="G1437" s="6">
        <v>1430</v>
      </c>
      <c r="H1437" s="6">
        <f t="shared" ca="1" si="49"/>
        <v>4.8066413030430793E-4</v>
      </c>
    </row>
    <row r="1438" spans="2:8" x14ac:dyDescent="0.3">
      <c r="B1438" s="4">
        <v>42845</v>
      </c>
      <c r="C1438" s="7">
        <v>983.81</v>
      </c>
      <c r="D1438" s="6">
        <f t="shared" si="48"/>
        <v>-0.58209189806850092</v>
      </c>
      <c r="E1438" s="6">
        <v>9.4293160411236601E-3</v>
      </c>
      <c r="F1438" s="6"/>
      <c r="G1438" s="6">
        <v>1431</v>
      </c>
      <c r="H1438" s="6">
        <f t="shared" ca="1" si="49"/>
        <v>8.7310926313884166E-3</v>
      </c>
    </row>
    <row r="1439" spans="2:8" x14ac:dyDescent="0.3">
      <c r="B1439" s="4">
        <v>45933</v>
      </c>
      <c r="C1439" s="5">
        <v>2354.13</v>
      </c>
      <c r="D1439" s="6">
        <f t="shared" si="48"/>
        <v>103.58151932474455</v>
      </c>
      <c r="E1439" s="6">
        <v>9.4204514270034029E-3</v>
      </c>
      <c r="F1439" s="6"/>
      <c r="G1439" s="6">
        <v>1432</v>
      </c>
      <c r="H1439" s="6">
        <f t="shared" ca="1" si="49"/>
        <v>2.6558765346578899E-2</v>
      </c>
    </row>
    <row r="1440" spans="2:8" x14ac:dyDescent="0.3">
      <c r="B1440" s="4">
        <v>38131</v>
      </c>
      <c r="C1440" s="7">
        <v>22.51</v>
      </c>
      <c r="D1440" s="6">
        <f t="shared" si="48"/>
        <v>-0.4484195050232786</v>
      </c>
      <c r="E1440" s="6">
        <v>9.4170403587444333E-3</v>
      </c>
      <c r="F1440" s="6"/>
      <c r="G1440" s="6">
        <v>1433</v>
      </c>
      <c r="H1440" s="6">
        <f t="shared" ca="1" si="49"/>
        <v>3.5823175286404746E-2</v>
      </c>
    </row>
    <row r="1441" spans="2:8" x14ac:dyDescent="0.3">
      <c r="B1441" s="4">
        <v>38628</v>
      </c>
      <c r="C1441" s="7">
        <v>40.81</v>
      </c>
      <c r="D1441" s="6">
        <f t="shared" si="48"/>
        <v>-0.98503077476102796</v>
      </c>
      <c r="E1441" s="6">
        <v>9.3989611674499766E-3</v>
      </c>
      <c r="F1441" s="6"/>
      <c r="G1441" s="6">
        <v>1434</v>
      </c>
      <c r="H1441" s="6">
        <f t="shared" ca="1" si="49"/>
        <v>-7.2481115030230622E-3</v>
      </c>
    </row>
    <row r="1442" spans="2:8" x14ac:dyDescent="0.3">
      <c r="B1442" s="4">
        <v>44950</v>
      </c>
      <c r="C1442" s="5">
        <v>2726.26</v>
      </c>
      <c r="D1442" s="6">
        <f t="shared" si="48"/>
        <v>0.55471788496412988</v>
      </c>
      <c r="E1442" s="6">
        <v>9.3894627716687492E-3</v>
      </c>
      <c r="F1442" s="6"/>
      <c r="G1442" s="6">
        <v>1435</v>
      </c>
      <c r="H1442" s="6">
        <f t="shared" ca="1" si="49"/>
        <v>-1.366817971922722E-2</v>
      </c>
    </row>
    <row r="1443" spans="2:8" x14ac:dyDescent="0.3">
      <c r="B1443" s="4">
        <v>43888</v>
      </c>
      <c r="C1443" s="5">
        <v>1753.54</v>
      </c>
      <c r="D1443" s="6">
        <f t="shared" si="48"/>
        <v>23.711668545659528</v>
      </c>
      <c r="E1443" s="6">
        <v>9.388509293530474E-3</v>
      </c>
      <c r="F1443" s="6"/>
      <c r="G1443" s="6">
        <v>1436</v>
      </c>
      <c r="H1443" s="6">
        <f t="shared" ca="1" si="49"/>
        <v>6.58785841530271E-3</v>
      </c>
    </row>
    <row r="1444" spans="2:8" x14ac:dyDescent="0.3">
      <c r="B1444" s="4">
        <v>39269</v>
      </c>
      <c r="C1444" s="7">
        <v>70.959999999999994</v>
      </c>
      <c r="D1444" s="6">
        <f t="shared" si="48"/>
        <v>4.6916494541162472E-2</v>
      </c>
      <c r="E1444" s="6">
        <v>9.3883357041251291E-3</v>
      </c>
      <c r="F1444" s="6"/>
      <c r="G1444" s="6">
        <v>1437</v>
      </c>
      <c r="H1444" s="6">
        <f t="shared" ca="1" si="49"/>
        <v>-1.9622019643242269E-2</v>
      </c>
    </row>
    <row r="1445" spans="2:8" x14ac:dyDescent="0.3">
      <c r="B1445" s="4">
        <v>39185</v>
      </c>
      <c r="C1445" s="7">
        <v>67.78</v>
      </c>
      <c r="D1445" s="6">
        <f t="shared" si="48"/>
        <v>-0.97673037376279259</v>
      </c>
      <c r="E1445" s="6">
        <v>9.3819806403573399E-3</v>
      </c>
      <c r="F1445" s="6"/>
      <c r="G1445" s="6">
        <v>1438</v>
      </c>
      <c r="H1445" s="6">
        <f t="shared" ca="1" si="49"/>
        <v>2.1419849307683942E-2</v>
      </c>
    </row>
    <row r="1446" spans="2:8" x14ac:dyDescent="0.3">
      <c r="B1446" s="4">
        <v>45233</v>
      </c>
      <c r="C1446" s="5">
        <v>2912.81</v>
      </c>
      <c r="D1446" s="6">
        <f t="shared" si="48"/>
        <v>1.6042342801455534</v>
      </c>
      <c r="E1446" s="6">
        <v>9.3561253166355371E-3</v>
      </c>
      <c r="F1446" s="6"/>
      <c r="G1446" s="6">
        <v>1439</v>
      </c>
      <c r="H1446" s="6">
        <f t="shared" ca="1" si="49"/>
        <v>-2.2979292447960582E-3</v>
      </c>
    </row>
    <row r="1447" spans="2:8" x14ac:dyDescent="0.3">
      <c r="B1447" s="4">
        <v>43109</v>
      </c>
      <c r="C1447" s="5">
        <v>1118.49</v>
      </c>
      <c r="D1447" s="6">
        <f t="shared" si="48"/>
        <v>-0.60275393254037313</v>
      </c>
      <c r="E1447" s="6">
        <v>9.3490835912753006E-3</v>
      </c>
      <c r="F1447" s="6"/>
      <c r="G1447" s="6">
        <v>1440</v>
      </c>
      <c r="H1447" s="6">
        <f t="shared" ca="1" si="49"/>
        <v>1.1478907158318546E-2</v>
      </c>
    </row>
    <row r="1448" spans="2:8" x14ac:dyDescent="0.3">
      <c r="B1448" s="4">
        <v>44342</v>
      </c>
      <c r="C1448" s="5">
        <v>2815.61</v>
      </c>
      <c r="D1448" s="6">
        <f t="shared" si="48"/>
        <v>22.342812137290665</v>
      </c>
      <c r="E1448" s="6">
        <v>9.3311537937611402E-3</v>
      </c>
      <c r="F1448" s="6"/>
      <c r="G1448" s="6">
        <v>1441</v>
      </c>
      <c r="H1448" s="6">
        <f t="shared" ca="1" si="49"/>
        <v>-1.7557303619992585E-2</v>
      </c>
    </row>
    <row r="1449" spans="2:8" x14ac:dyDescent="0.3">
      <c r="B1449" s="4">
        <v>40023</v>
      </c>
      <c r="C1449" s="7">
        <v>120.62</v>
      </c>
      <c r="D1449" s="6">
        <f t="shared" si="48"/>
        <v>-0.96192322140532427</v>
      </c>
      <c r="E1449" s="6">
        <v>9.2879256965944217E-3</v>
      </c>
      <c r="F1449" s="6"/>
      <c r="G1449" s="6">
        <v>1442</v>
      </c>
      <c r="H1449" s="6">
        <f t="shared" ca="1" si="49"/>
        <v>9.9211148094987701E-3</v>
      </c>
    </row>
    <row r="1450" spans="2:8" x14ac:dyDescent="0.3">
      <c r="B1450" s="4">
        <v>45190</v>
      </c>
      <c r="C1450" s="5">
        <v>3167.81</v>
      </c>
      <c r="D1450" s="6">
        <f t="shared" si="48"/>
        <v>65.161445279866328</v>
      </c>
      <c r="E1450" s="6">
        <v>9.287402904424211E-3</v>
      </c>
      <c r="F1450" s="6"/>
      <c r="G1450" s="6">
        <v>1443</v>
      </c>
      <c r="H1450" s="6">
        <f t="shared" ca="1" si="49"/>
        <v>-3.9635470149878161E-3</v>
      </c>
    </row>
    <row r="1451" spans="2:8" x14ac:dyDescent="0.3">
      <c r="B1451" s="4">
        <v>38736</v>
      </c>
      <c r="C1451" s="7">
        <v>47.88</v>
      </c>
      <c r="D1451" s="6">
        <f t="shared" si="48"/>
        <v>1.928440366972477</v>
      </c>
      <c r="E1451" s="6">
        <v>9.274873524452042E-3</v>
      </c>
      <c r="F1451" s="6"/>
      <c r="G1451" s="6">
        <v>1444</v>
      </c>
      <c r="H1451" s="6">
        <f t="shared" ca="1" si="49"/>
        <v>4.8219883412892982E-3</v>
      </c>
    </row>
    <row r="1452" spans="2:8" x14ac:dyDescent="0.3">
      <c r="B1452" s="4">
        <v>37459</v>
      </c>
      <c r="C1452" s="7">
        <v>16.350000000000001</v>
      </c>
      <c r="D1452" s="6">
        <f t="shared" si="48"/>
        <v>-0.9926950227861675</v>
      </c>
      <c r="E1452" s="6">
        <v>9.2592592592593906E-3</v>
      </c>
      <c r="F1452" s="6"/>
      <c r="G1452" s="6">
        <v>1445</v>
      </c>
      <c r="H1452" s="6">
        <f t="shared" ca="1" si="49"/>
        <v>-5.5215821059691628E-3</v>
      </c>
    </row>
    <row r="1453" spans="2:8" x14ac:dyDescent="0.3">
      <c r="B1453" s="4">
        <v>46098</v>
      </c>
      <c r="C1453" s="5">
        <v>2238.1999999999998</v>
      </c>
      <c r="D1453" s="6">
        <f t="shared" si="48"/>
        <v>-6.3471540531154183E-2</v>
      </c>
      <c r="E1453" s="6">
        <v>9.2438111557018535E-3</v>
      </c>
      <c r="F1453" s="6"/>
      <c r="G1453" s="6">
        <v>1446</v>
      </c>
      <c r="H1453" s="6">
        <f t="shared" ca="1" si="49"/>
        <v>1.3968382889356288E-2</v>
      </c>
    </row>
    <row r="1454" spans="2:8" x14ac:dyDescent="0.3">
      <c r="B1454" s="4">
        <v>45762</v>
      </c>
      <c r="C1454" s="5">
        <v>2389.89</v>
      </c>
      <c r="D1454" s="6">
        <f t="shared" si="48"/>
        <v>42.738836017569547</v>
      </c>
      <c r="E1454" s="6">
        <v>9.2355638888184603E-3</v>
      </c>
      <c r="F1454" s="6"/>
      <c r="G1454" s="6">
        <v>1447</v>
      </c>
      <c r="H1454" s="6">
        <f t="shared" ca="1" si="49"/>
        <v>-9.9769429431161485E-3</v>
      </c>
    </row>
    <row r="1455" spans="2:8" x14ac:dyDescent="0.3">
      <c r="B1455" s="4">
        <v>38974</v>
      </c>
      <c r="C1455" s="7">
        <v>54.64</v>
      </c>
      <c r="D1455" s="6">
        <f t="shared" si="48"/>
        <v>-0.98201578555864955</v>
      </c>
      <c r="E1455" s="6">
        <v>9.2353158478019944E-3</v>
      </c>
      <c r="F1455" s="6"/>
      <c r="G1455" s="6">
        <v>1448</v>
      </c>
      <c r="H1455" s="6">
        <f t="shared" ca="1" si="49"/>
        <v>3.341165004037301E-3</v>
      </c>
    </row>
    <row r="1456" spans="2:8" x14ac:dyDescent="0.3">
      <c r="B1456" s="4">
        <v>45523</v>
      </c>
      <c r="C1456" s="5">
        <v>3038.22</v>
      </c>
      <c r="D1456" s="6">
        <f t="shared" si="48"/>
        <v>27.954731725912509</v>
      </c>
      <c r="E1456" s="6">
        <v>9.2345918509708705E-3</v>
      </c>
      <c r="F1456" s="6"/>
      <c r="G1456" s="6">
        <v>1449</v>
      </c>
      <c r="H1456" s="6">
        <f t="shared" ca="1" si="49"/>
        <v>-4.2433302111980799E-4</v>
      </c>
    </row>
    <row r="1457" spans="2:8" x14ac:dyDescent="0.3">
      <c r="B1457" s="4">
        <v>39665</v>
      </c>
      <c r="C1457" s="7">
        <v>104.93</v>
      </c>
      <c r="D1457" s="6">
        <f t="shared" si="48"/>
        <v>-0.94747906520444269</v>
      </c>
      <c r="E1457" s="6">
        <v>9.2334327209772811E-3</v>
      </c>
      <c r="F1457" s="6"/>
      <c r="G1457" s="6">
        <v>1450</v>
      </c>
      <c r="H1457" s="6">
        <f t="shared" ca="1" si="49"/>
        <v>-2.5393979022103615E-2</v>
      </c>
    </row>
    <row r="1458" spans="2:8" x14ac:dyDescent="0.3">
      <c r="B1458" s="4">
        <v>44119</v>
      </c>
      <c r="C1458" s="5">
        <v>1997.87</v>
      </c>
      <c r="D1458" s="6">
        <f t="shared" si="48"/>
        <v>34.740071556350621</v>
      </c>
      <c r="E1458" s="6">
        <v>9.224039078404328E-3</v>
      </c>
      <c r="F1458" s="6"/>
      <c r="G1458" s="6">
        <v>1451</v>
      </c>
      <c r="H1458" s="6">
        <f t="shared" ca="1" si="49"/>
        <v>-3.9174442633060132E-3</v>
      </c>
    </row>
    <row r="1459" spans="2:8" x14ac:dyDescent="0.3">
      <c r="B1459" s="4">
        <v>38995</v>
      </c>
      <c r="C1459" s="7">
        <v>55.9</v>
      </c>
      <c r="D1459" s="6">
        <f t="shared" si="48"/>
        <v>-0.86262656050329312</v>
      </c>
      <c r="E1459" s="6">
        <v>9.2074381657338503E-3</v>
      </c>
      <c r="F1459" s="6"/>
      <c r="G1459" s="6">
        <v>1452</v>
      </c>
      <c r="H1459" s="6">
        <f t="shared" ca="1" si="49"/>
        <v>2.25761939131594E-2</v>
      </c>
    </row>
    <row r="1460" spans="2:8" x14ac:dyDescent="0.3">
      <c r="B1460" s="4">
        <v>41306</v>
      </c>
      <c r="C1460" s="7">
        <v>406.92</v>
      </c>
      <c r="D1460" s="6">
        <f t="shared" si="48"/>
        <v>0.74150475049216824</v>
      </c>
      <c r="E1460" s="6">
        <v>9.201160685498963E-3</v>
      </c>
      <c r="F1460" s="6"/>
      <c r="G1460" s="6">
        <v>1453</v>
      </c>
      <c r="H1460" s="6">
        <f t="shared" ca="1" si="49"/>
        <v>1.8588607020367195E-3</v>
      </c>
    </row>
    <row r="1461" spans="2:8" x14ac:dyDescent="0.3">
      <c r="B1461" s="4">
        <v>40497</v>
      </c>
      <c r="C1461" s="7">
        <v>233.66</v>
      </c>
      <c r="D1461" s="6">
        <f t="shared" si="48"/>
        <v>-0.92286234001181866</v>
      </c>
      <c r="E1461" s="6">
        <v>9.1996717488014319E-3</v>
      </c>
      <c r="F1461" s="6"/>
      <c r="G1461" s="6">
        <v>1454</v>
      </c>
      <c r="H1461" s="6">
        <f t="shared" ca="1" si="49"/>
        <v>-2.9895057712090847E-2</v>
      </c>
    </row>
    <row r="1462" spans="2:8" x14ac:dyDescent="0.3">
      <c r="B1462" s="4">
        <v>45580</v>
      </c>
      <c r="C1462" s="5">
        <v>3029.13</v>
      </c>
      <c r="D1462" s="6">
        <f t="shared" si="48"/>
        <v>182.91803278688528</v>
      </c>
      <c r="E1462" s="6">
        <v>9.1953103917002017E-3</v>
      </c>
      <c r="F1462" s="6"/>
      <c r="G1462" s="6">
        <v>1455</v>
      </c>
      <c r="H1462" s="6">
        <f t="shared" ca="1" si="49"/>
        <v>1.3504279818779412E-2</v>
      </c>
    </row>
    <row r="1463" spans="2:8" x14ac:dyDescent="0.3">
      <c r="B1463" s="4">
        <v>37440</v>
      </c>
      <c r="C1463" s="7">
        <v>16.47</v>
      </c>
      <c r="D1463" s="6">
        <f t="shared" si="48"/>
        <v>-0.99508209937921588</v>
      </c>
      <c r="E1463" s="6">
        <v>9.1911764705881489E-3</v>
      </c>
      <c r="F1463" s="6"/>
      <c r="G1463" s="6">
        <v>1456</v>
      </c>
      <c r="H1463" s="6">
        <f t="shared" ca="1" si="49"/>
        <v>1.4649216381706227E-2</v>
      </c>
    </row>
    <row r="1464" spans="2:8" x14ac:dyDescent="0.3">
      <c r="B1464" s="4">
        <v>45121</v>
      </c>
      <c r="C1464" s="5">
        <v>3348.99</v>
      </c>
      <c r="D1464" s="6">
        <f t="shared" si="48"/>
        <v>116.01572327044025</v>
      </c>
      <c r="E1464" s="6">
        <v>9.1818039366946113E-3</v>
      </c>
      <c r="F1464" s="6"/>
      <c r="G1464" s="6">
        <v>1457</v>
      </c>
      <c r="H1464" s="6">
        <f t="shared" ca="1" si="49"/>
        <v>7.5400136180845652E-3</v>
      </c>
    </row>
    <row r="1465" spans="2:8" x14ac:dyDescent="0.3">
      <c r="B1465" s="4">
        <v>38413</v>
      </c>
      <c r="C1465" s="7">
        <v>28.62</v>
      </c>
      <c r="D1465" s="6">
        <f t="shared" si="48"/>
        <v>-0.97355338298619465</v>
      </c>
      <c r="E1465" s="6">
        <v>9.1678420310296743E-3</v>
      </c>
      <c r="F1465" s="6"/>
      <c r="G1465" s="6">
        <v>1458</v>
      </c>
      <c r="H1465" s="6">
        <f t="shared" ca="1" si="49"/>
        <v>1.6681819847815499E-2</v>
      </c>
    </row>
    <row r="1466" spans="2:8" x14ac:dyDescent="0.3">
      <c r="B1466" s="4">
        <v>42615</v>
      </c>
      <c r="C1466" s="5">
        <v>1082.18</v>
      </c>
      <c r="D1466" s="6">
        <f t="shared" si="48"/>
        <v>0.67904797368584391</v>
      </c>
      <c r="E1466" s="6">
        <v>9.166783233086357E-3</v>
      </c>
      <c r="F1466" s="6"/>
      <c r="G1466" s="6">
        <v>1459</v>
      </c>
      <c r="H1466" s="6">
        <f t="shared" ca="1" si="49"/>
        <v>-6.0876999741831033E-3</v>
      </c>
    </row>
    <row r="1467" spans="2:8" x14ac:dyDescent="0.3">
      <c r="B1467" s="4">
        <v>42171</v>
      </c>
      <c r="C1467" s="7">
        <v>644.52</v>
      </c>
      <c r="D1467" s="6">
        <f t="shared" si="48"/>
        <v>-0.30692302729208343</v>
      </c>
      <c r="E1467" s="6">
        <v>9.1596599182676864E-3</v>
      </c>
      <c r="F1467" s="6"/>
      <c r="G1467" s="6">
        <v>1460</v>
      </c>
      <c r="H1467" s="6">
        <f t="shared" ca="1" si="49"/>
        <v>-2.3808442644695938E-2</v>
      </c>
    </row>
    <row r="1468" spans="2:8" x14ac:dyDescent="0.3">
      <c r="B1468" s="4">
        <v>42551</v>
      </c>
      <c r="C1468" s="7">
        <v>929.94</v>
      </c>
      <c r="D1468" s="6">
        <f t="shared" si="48"/>
        <v>1.0657529377790613</v>
      </c>
      <c r="E1468" s="6">
        <v>9.1589799240369557E-3</v>
      </c>
      <c r="F1468" s="6"/>
      <c r="G1468" s="6">
        <v>1461</v>
      </c>
      <c r="H1468" s="6">
        <f t="shared" ca="1" si="49"/>
        <v>6.3635318422646464E-3</v>
      </c>
    </row>
    <row r="1469" spans="2:8" x14ac:dyDescent="0.3">
      <c r="B1469" s="4">
        <v>41479</v>
      </c>
      <c r="C1469" s="7">
        <v>450.17</v>
      </c>
      <c r="D1469" s="6">
        <f t="shared" si="48"/>
        <v>5.777627220716651</v>
      </c>
      <c r="E1469" s="6">
        <v>9.1235149069715145E-3</v>
      </c>
      <c r="F1469" s="6"/>
      <c r="G1469" s="6">
        <v>1462</v>
      </c>
      <c r="H1469" s="6">
        <f t="shared" ca="1" si="49"/>
        <v>3.3827603216434521E-2</v>
      </c>
    </row>
    <row r="1470" spans="2:8" x14ac:dyDescent="0.3">
      <c r="B1470" s="4">
        <v>39899</v>
      </c>
      <c r="C1470" s="7">
        <v>66.42</v>
      </c>
      <c r="D1470" s="6">
        <f t="shared" si="48"/>
        <v>-0.95133816386188297</v>
      </c>
      <c r="E1470" s="6">
        <v>9.11577028258901E-3</v>
      </c>
      <c r="F1470" s="6"/>
      <c r="G1470" s="6">
        <v>1463</v>
      </c>
      <c r="H1470" s="6">
        <f t="shared" ca="1" si="49"/>
        <v>1.0464884286381438E-2</v>
      </c>
    </row>
    <row r="1471" spans="2:8" x14ac:dyDescent="0.3">
      <c r="B1471" s="4">
        <v>43542</v>
      </c>
      <c r="C1471" s="5">
        <v>1364.93</v>
      </c>
      <c r="D1471" s="6">
        <f t="shared" si="48"/>
        <v>-0.53111946246015163</v>
      </c>
      <c r="E1471" s="6">
        <v>9.108316513998984E-3</v>
      </c>
      <c r="F1471" s="6"/>
      <c r="G1471" s="6">
        <v>1464</v>
      </c>
      <c r="H1471" s="6">
        <f t="shared" ca="1" si="49"/>
        <v>3.1764070820595016E-3</v>
      </c>
    </row>
    <row r="1472" spans="2:8" x14ac:dyDescent="0.3">
      <c r="B1472" s="4">
        <v>45320</v>
      </c>
      <c r="C1472" s="5">
        <v>2911.04</v>
      </c>
      <c r="D1472" s="6">
        <f t="shared" si="48"/>
        <v>0.39109824048322206</v>
      </c>
      <c r="E1472" s="6">
        <v>9.1029471918135044E-3</v>
      </c>
      <c r="F1472" s="6"/>
      <c r="G1472" s="6">
        <v>1465</v>
      </c>
      <c r="H1472" s="6">
        <f t="shared" ca="1" si="49"/>
        <v>-5.1582812943040176E-3</v>
      </c>
    </row>
    <row r="1473" spans="2:8" x14ac:dyDescent="0.3">
      <c r="B1473" s="4">
        <v>44158</v>
      </c>
      <c r="C1473" s="5">
        <v>2092.62</v>
      </c>
      <c r="D1473" s="6">
        <f t="shared" si="48"/>
        <v>1.3135399276956583</v>
      </c>
      <c r="E1473" s="6">
        <v>9.0945914667076577E-3</v>
      </c>
      <c r="F1473" s="6"/>
      <c r="G1473" s="6">
        <v>1466</v>
      </c>
      <c r="H1473" s="6">
        <f t="shared" ca="1" si="49"/>
        <v>7.4991077467311471E-3</v>
      </c>
    </row>
    <row r="1474" spans="2:8" x14ac:dyDescent="0.3">
      <c r="B1474" s="4">
        <v>42759</v>
      </c>
      <c r="C1474" s="7">
        <v>904.51</v>
      </c>
      <c r="D1474" s="6">
        <f t="shared" si="48"/>
        <v>2.6909736391087899</v>
      </c>
      <c r="E1474" s="6">
        <v>9.0698141413239862E-3</v>
      </c>
      <c r="F1474" s="6"/>
      <c r="G1474" s="6">
        <v>1467</v>
      </c>
      <c r="H1474" s="6">
        <f t="shared" ca="1" si="49"/>
        <v>2.7281006162035697E-3</v>
      </c>
    </row>
    <row r="1475" spans="2:8" x14ac:dyDescent="0.3">
      <c r="B1475" s="4">
        <v>40679</v>
      </c>
      <c r="C1475" s="7">
        <v>245.06</v>
      </c>
      <c r="D1475" s="6">
        <f t="shared" si="48"/>
        <v>-0.44170046019957171</v>
      </c>
      <c r="E1475" s="6">
        <v>9.058716956271055E-3</v>
      </c>
      <c r="F1475" s="6"/>
      <c r="G1475" s="6">
        <v>1468</v>
      </c>
      <c r="H1475" s="6">
        <f t="shared" ca="1" si="49"/>
        <v>2.101699291409318E-3</v>
      </c>
    </row>
    <row r="1476" spans="2:8" x14ac:dyDescent="0.3">
      <c r="B1476" s="4">
        <v>41401</v>
      </c>
      <c r="C1476" s="7">
        <v>438.94</v>
      </c>
      <c r="D1476" s="6">
        <f t="shared" si="48"/>
        <v>-0.45133871653208668</v>
      </c>
      <c r="E1476" s="6">
        <v>9.0574712643678116E-3</v>
      </c>
      <c r="F1476" s="6"/>
      <c r="G1476" s="6">
        <v>1469</v>
      </c>
      <c r="H1476" s="6">
        <f t="shared" ca="1" si="49"/>
        <v>-5.7128255691879081E-4</v>
      </c>
    </row>
    <row r="1477" spans="2:8" x14ac:dyDescent="0.3">
      <c r="B1477" s="4">
        <v>42292</v>
      </c>
      <c r="C1477" s="7">
        <v>800.02</v>
      </c>
      <c r="D1477" s="6">
        <f t="shared" si="48"/>
        <v>16.945715567519066</v>
      </c>
      <c r="E1477" s="6">
        <v>9.0560516623782224E-3</v>
      </c>
      <c r="F1477" s="6"/>
      <c r="G1477" s="6">
        <v>1470</v>
      </c>
      <c r="H1477" s="6">
        <f t="shared" ca="1" si="49"/>
        <v>-1.4991990278382767E-2</v>
      </c>
    </row>
    <row r="1478" spans="2:8" x14ac:dyDescent="0.3">
      <c r="B1478" s="4">
        <v>38863</v>
      </c>
      <c r="C1478" s="7">
        <v>44.58</v>
      </c>
      <c r="D1478" s="6">
        <f t="shared" si="48"/>
        <v>-0.92236965834291085</v>
      </c>
      <c r="E1478" s="6">
        <v>9.0538705296513942E-3</v>
      </c>
      <c r="F1478" s="6"/>
      <c r="G1478" s="6">
        <v>1471</v>
      </c>
      <c r="H1478" s="6">
        <f t="shared" ca="1" si="49"/>
        <v>1.7391625195059455E-3</v>
      </c>
    </row>
    <row r="1479" spans="2:8" x14ac:dyDescent="0.3">
      <c r="B1479" s="4">
        <v>41883</v>
      </c>
      <c r="C1479" s="7">
        <v>574.26</v>
      </c>
      <c r="D1479" s="6">
        <f t="shared" si="48"/>
        <v>-0.24702025830984067</v>
      </c>
      <c r="E1479" s="6">
        <v>8.9605734767025502E-3</v>
      </c>
      <c r="F1479" s="6"/>
      <c r="G1479" s="6">
        <v>1472</v>
      </c>
      <c r="H1479" s="6">
        <f t="shared" ca="1" si="49"/>
        <v>6.947797775113073E-3</v>
      </c>
    </row>
    <row r="1480" spans="2:8" x14ac:dyDescent="0.3">
      <c r="B1480" s="4">
        <v>42051</v>
      </c>
      <c r="C1480" s="7">
        <v>762.65</v>
      </c>
      <c r="D1480" s="6">
        <f t="shared" ref="D1480:D1543" si="50">((C1480-C1481)/C1481)</f>
        <v>7.4550997782705091</v>
      </c>
      <c r="E1480" s="6">
        <v>8.9564481134571383E-3</v>
      </c>
      <c r="F1480" s="6"/>
      <c r="G1480" s="6">
        <v>1473</v>
      </c>
      <c r="H1480" s="6">
        <f t="shared" ca="1" si="49"/>
        <v>1.1539612605485347E-2</v>
      </c>
    </row>
    <row r="1481" spans="2:8" x14ac:dyDescent="0.3">
      <c r="B1481" s="4">
        <v>39959</v>
      </c>
      <c r="C1481" s="7">
        <v>90.2</v>
      </c>
      <c r="D1481" s="6">
        <f t="shared" si="50"/>
        <v>-0.97330507972961777</v>
      </c>
      <c r="E1481" s="6">
        <v>8.948545861297506E-3</v>
      </c>
      <c r="F1481" s="6"/>
      <c r="G1481" s="6">
        <v>1474</v>
      </c>
      <c r="H1481" s="6">
        <f t="shared" ref="H1481:H1544" ca="1" si="51">_xlfn.NORM.INV(RAND(),N$10,N$11)</f>
        <v>1.7780451163830254E-2</v>
      </c>
    </row>
    <row r="1482" spans="2:8" x14ac:dyDescent="0.3">
      <c r="B1482" s="4">
        <v>45124</v>
      </c>
      <c r="C1482" s="5">
        <v>3378.92</v>
      </c>
      <c r="D1482" s="6">
        <f t="shared" si="50"/>
        <v>81.918282208588963</v>
      </c>
      <c r="E1482" s="6">
        <v>8.9370228038902159E-3</v>
      </c>
      <c r="F1482" s="6"/>
      <c r="G1482" s="6">
        <v>1475</v>
      </c>
      <c r="H1482" s="6">
        <f t="shared" ca="1" si="51"/>
        <v>-1.3915896966557395E-2</v>
      </c>
    </row>
    <row r="1483" spans="2:8" x14ac:dyDescent="0.3">
      <c r="B1483" s="4">
        <v>38672</v>
      </c>
      <c r="C1483" s="7">
        <v>40.75</v>
      </c>
      <c r="D1483" s="6">
        <f t="shared" si="50"/>
        <v>-0.51360706612556695</v>
      </c>
      <c r="E1483" s="6">
        <v>8.9130973013121922E-3</v>
      </c>
      <c r="F1483" s="6"/>
      <c r="G1483" s="6">
        <v>1476</v>
      </c>
      <c r="H1483" s="6">
        <f t="shared" ca="1" si="51"/>
        <v>-2.116976046661688E-3</v>
      </c>
    </row>
    <row r="1484" spans="2:8" x14ac:dyDescent="0.3">
      <c r="B1484" s="4">
        <v>39420</v>
      </c>
      <c r="C1484" s="7">
        <v>83.78</v>
      </c>
      <c r="D1484" s="6">
        <f t="shared" si="50"/>
        <v>-0.96295002365927107</v>
      </c>
      <c r="E1484" s="6">
        <v>8.9113680154141953E-3</v>
      </c>
      <c r="F1484" s="6"/>
      <c r="G1484" s="6">
        <v>1477</v>
      </c>
      <c r="H1484" s="6">
        <f t="shared" ca="1" si="51"/>
        <v>3.3768700758397892E-2</v>
      </c>
    </row>
    <row r="1485" spans="2:8" x14ac:dyDescent="0.3">
      <c r="B1485" s="4">
        <v>45825</v>
      </c>
      <c r="C1485" s="5">
        <v>2261.27</v>
      </c>
      <c r="D1485" s="6">
        <f t="shared" si="50"/>
        <v>7.3134926470588235</v>
      </c>
      <c r="E1485" s="6">
        <v>8.9100075848836825E-3</v>
      </c>
      <c r="F1485" s="6"/>
      <c r="G1485" s="6">
        <v>1478</v>
      </c>
      <c r="H1485" s="6">
        <f t="shared" ca="1" si="51"/>
        <v>4.1801989689126485E-3</v>
      </c>
    </row>
    <row r="1486" spans="2:8" x14ac:dyDescent="0.3">
      <c r="B1486" s="4">
        <v>40806</v>
      </c>
      <c r="C1486" s="7">
        <v>272</v>
      </c>
      <c r="D1486" s="6">
        <f t="shared" si="50"/>
        <v>-0.7281223449447749</v>
      </c>
      <c r="E1486" s="6">
        <v>8.8646563554763778E-3</v>
      </c>
      <c r="F1486" s="6"/>
      <c r="G1486" s="6">
        <v>1479</v>
      </c>
      <c r="H1486" s="6">
        <f t="shared" ca="1" si="51"/>
        <v>4.2260072351780927E-3</v>
      </c>
    </row>
    <row r="1487" spans="2:8" x14ac:dyDescent="0.3">
      <c r="B1487" s="4">
        <v>42675</v>
      </c>
      <c r="C1487" s="5">
        <v>1000.45</v>
      </c>
      <c r="D1487" s="6">
        <f t="shared" si="50"/>
        <v>0.24364472621045433</v>
      </c>
      <c r="E1487" s="6">
        <v>8.853751752095039E-3</v>
      </c>
      <c r="F1487" s="6"/>
      <c r="G1487" s="6">
        <v>1480</v>
      </c>
      <c r="H1487" s="6">
        <f t="shared" ca="1" si="51"/>
        <v>-1.4851518937149108E-2</v>
      </c>
    </row>
    <row r="1488" spans="2:8" x14ac:dyDescent="0.3">
      <c r="B1488" s="4">
        <v>42446</v>
      </c>
      <c r="C1488" s="7">
        <v>804.45</v>
      </c>
      <c r="D1488" s="6">
        <f t="shared" si="50"/>
        <v>-0.67774305972839799</v>
      </c>
      <c r="E1488" s="6">
        <v>8.8412340105343216E-3</v>
      </c>
      <c r="F1488" s="6"/>
      <c r="G1488" s="6">
        <v>1481</v>
      </c>
      <c r="H1488" s="6">
        <f t="shared" ca="1" si="51"/>
        <v>8.1496630781137912E-3</v>
      </c>
    </row>
    <row r="1489" spans="2:8" x14ac:dyDescent="0.3">
      <c r="B1489" s="4">
        <v>45882</v>
      </c>
      <c r="C1489" s="5">
        <v>2496.3000000000002</v>
      </c>
      <c r="D1489" s="6">
        <f t="shared" si="50"/>
        <v>-0.20106639697363446</v>
      </c>
      <c r="E1489" s="6">
        <v>8.8343221092449711E-3</v>
      </c>
      <c r="F1489" s="6"/>
      <c r="G1489" s="6">
        <v>1482</v>
      </c>
      <c r="H1489" s="6">
        <f t="shared" ca="1" si="51"/>
        <v>-9.61822482861921E-4</v>
      </c>
    </row>
    <row r="1490" spans="2:8" x14ac:dyDescent="0.3">
      <c r="B1490" s="4">
        <v>44852</v>
      </c>
      <c r="C1490" s="5">
        <v>3124.54</v>
      </c>
      <c r="D1490" s="6">
        <f t="shared" si="50"/>
        <v>1.8945398625238543</v>
      </c>
      <c r="E1490" s="6">
        <v>8.8338423985690629E-3</v>
      </c>
      <c r="F1490" s="6"/>
      <c r="G1490" s="6">
        <v>1483</v>
      </c>
      <c r="H1490" s="6">
        <f t="shared" ca="1" si="51"/>
        <v>2.8242032565256408E-2</v>
      </c>
    </row>
    <row r="1491" spans="2:8" x14ac:dyDescent="0.3">
      <c r="B1491" s="4">
        <v>42961</v>
      </c>
      <c r="C1491" s="5">
        <v>1079.46</v>
      </c>
      <c r="D1491" s="6">
        <f t="shared" si="50"/>
        <v>17.114784359791912</v>
      </c>
      <c r="E1491" s="6">
        <v>8.8316931617461944E-3</v>
      </c>
      <c r="F1491" s="6"/>
      <c r="G1491" s="6">
        <v>1484</v>
      </c>
      <c r="H1491" s="6">
        <f t="shared" ca="1" si="51"/>
        <v>1.6060100021197891E-2</v>
      </c>
    </row>
    <row r="1492" spans="2:8" x14ac:dyDescent="0.3">
      <c r="B1492" s="4">
        <v>39065</v>
      </c>
      <c r="C1492" s="7">
        <v>59.59</v>
      </c>
      <c r="D1492" s="6">
        <f t="shared" si="50"/>
        <v>-0.97929867711633589</v>
      </c>
      <c r="E1492" s="6">
        <v>8.8031149483663983E-3</v>
      </c>
      <c r="F1492" s="6"/>
      <c r="G1492" s="6">
        <v>1485</v>
      </c>
      <c r="H1492" s="6">
        <f t="shared" ca="1" si="51"/>
        <v>-4.4792511718750837E-3</v>
      </c>
    </row>
    <row r="1493" spans="2:8" x14ac:dyDescent="0.3">
      <c r="B1493" s="4">
        <v>44417</v>
      </c>
      <c r="C1493" s="5">
        <v>2878.56</v>
      </c>
      <c r="D1493" s="6">
        <f t="shared" si="50"/>
        <v>118.49190535491904</v>
      </c>
      <c r="E1493" s="6">
        <v>8.7963384803010757E-3</v>
      </c>
      <c r="F1493" s="6"/>
      <c r="G1493" s="6">
        <v>1486</v>
      </c>
      <c r="H1493" s="6">
        <f t="shared" ca="1" si="51"/>
        <v>1.901320560790843E-2</v>
      </c>
    </row>
    <row r="1494" spans="2:8" x14ac:dyDescent="0.3">
      <c r="B1494" s="4">
        <v>38183</v>
      </c>
      <c r="C1494" s="7">
        <v>24.09</v>
      </c>
      <c r="D1494" s="6">
        <f t="shared" si="50"/>
        <v>-4.5562599049128315E-2</v>
      </c>
      <c r="E1494" s="6">
        <v>8.7939698492462675E-3</v>
      </c>
      <c r="F1494" s="6"/>
      <c r="G1494" s="6">
        <v>1487</v>
      </c>
      <c r="H1494" s="6">
        <f t="shared" ca="1" si="51"/>
        <v>9.6992513070824245E-3</v>
      </c>
    </row>
    <row r="1495" spans="2:8" x14ac:dyDescent="0.3">
      <c r="B1495" s="4">
        <v>38366</v>
      </c>
      <c r="C1495" s="7">
        <v>25.24</v>
      </c>
      <c r="D1495" s="6">
        <f t="shared" si="50"/>
        <v>-0.93680204316690874</v>
      </c>
      <c r="E1495" s="6">
        <v>8.7929656274979562E-3</v>
      </c>
      <c r="F1495" s="6"/>
      <c r="G1495" s="6">
        <v>1488</v>
      </c>
      <c r="H1495" s="6">
        <f t="shared" ca="1" si="51"/>
        <v>1.1784424993383762E-2</v>
      </c>
    </row>
    <row r="1496" spans="2:8" x14ac:dyDescent="0.3">
      <c r="B1496" s="4">
        <v>41530</v>
      </c>
      <c r="C1496" s="7">
        <v>399.38</v>
      </c>
      <c r="D1496" s="6">
        <f t="shared" si="50"/>
        <v>16.379460400348126</v>
      </c>
      <c r="E1496" s="6">
        <v>8.7900985097247239E-3</v>
      </c>
      <c r="F1496" s="6"/>
      <c r="G1496" s="6">
        <v>1489</v>
      </c>
      <c r="H1496" s="6">
        <f t="shared" ca="1" si="51"/>
        <v>1.6023152446984344E-2</v>
      </c>
    </row>
    <row r="1497" spans="2:8" x14ac:dyDescent="0.3">
      <c r="B1497" s="4">
        <v>37901</v>
      </c>
      <c r="C1497" s="7">
        <v>22.98</v>
      </c>
      <c r="D1497" s="6">
        <f t="shared" si="50"/>
        <v>-0.74036831996384589</v>
      </c>
      <c r="E1497" s="6">
        <v>8.7796312554872386E-3</v>
      </c>
      <c r="F1497" s="6"/>
      <c r="G1497" s="6">
        <v>1490</v>
      </c>
      <c r="H1497" s="6">
        <f t="shared" ca="1" si="51"/>
        <v>-2.5543648013918686E-3</v>
      </c>
    </row>
    <row r="1498" spans="2:8" x14ac:dyDescent="0.3">
      <c r="B1498" s="4">
        <v>39393</v>
      </c>
      <c r="C1498" s="7">
        <v>88.51</v>
      </c>
      <c r="D1498" s="6">
        <f t="shared" si="50"/>
        <v>-0.88464145139848294</v>
      </c>
      <c r="E1498" s="6">
        <v>8.7759288807842516E-3</v>
      </c>
      <c r="F1498" s="6"/>
      <c r="G1498" s="6">
        <v>1491</v>
      </c>
      <c r="H1498" s="6">
        <f t="shared" ca="1" si="51"/>
        <v>-3.0585571493021387E-2</v>
      </c>
    </row>
    <row r="1499" spans="2:8" x14ac:dyDescent="0.3">
      <c r="B1499" s="4">
        <v>42024</v>
      </c>
      <c r="C1499" s="7">
        <v>767.26</v>
      </c>
      <c r="D1499" s="6">
        <f t="shared" si="50"/>
        <v>-0.68722840487546366</v>
      </c>
      <c r="E1499" s="6">
        <v>8.7695078820388891E-3</v>
      </c>
      <c r="F1499" s="6"/>
      <c r="G1499" s="6">
        <v>1492</v>
      </c>
      <c r="H1499" s="6">
        <f t="shared" ca="1" si="51"/>
        <v>2.4536952207975044E-2</v>
      </c>
    </row>
    <row r="1500" spans="2:8" x14ac:dyDescent="0.3">
      <c r="B1500" s="4">
        <v>45625</v>
      </c>
      <c r="C1500" s="5">
        <v>2453.1</v>
      </c>
      <c r="D1500" s="6">
        <f t="shared" si="50"/>
        <v>0.10162565115861312</v>
      </c>
      <c r="E1500" s="6">
        <v>8.7672404576070641E-3</v>
      </c>
      <c r="F1500" s="6"/>
      <c r="G1500" s="6">
        <v>1493</v>
      </c>
      <c r="H1500" s="6">
        <f t="shared" ca="1" si="51"/>
        <v>-1.3991665393487764E-2</v>
      </c>
    </row>
    <row r="1501" spans="2:8" x14ac:dyDescent="0.3">
      <c r="B1501" s="4">
        <v>45705</v>
      </c>
      <c r="C1501" s="5">
        <v>2226.8000000000002</v>
      </c>
      <c r="D1501" s="6">
        <f t="shared" si="50"/>
        <v>-0.27342493286652586</v>
      </c>
      <c r="E1501" s="6">
        <v>8.7612006559575923E-3</v>
      </c>
      <c r="F1501" s="6"/>
      <c r="G1501" s="6">
        <v>1494</v>
      </c>
      <c r="H1501" s="6">
        <f t="shared" ca="1" si="51"/>
        <v>3.6400403836465995E-3</v>
      </c>
    </row>
    <row r="1502" spans="2:8" x14ac:dyDescent="0.3">
      <c r="B1502" s="4">
        <v>45524</v>
      </c>
      <c r="C1502" s="5">
        <v>3064.79</v>
      </c>
      <c r="D1502" s="6">
        <f t="shared" si="50"/>
        <v>12.482271687489002</v>
      </c>
      <c r="E1502" s="6">
        <v>8.7452521542219341E-3</v>
      </c>
      <c r="F1502" s="6"/>
      <c r="G1502" s="6">
        <v>1495</v>
      </c>
      <c r="H1502" s="6">
        <f t="shared" ca="1" si="51"/>
        <v>-2.2406304501218222E-2</v>
      </c>
    </row>
    <row r="1503" spans="2:8" x14ac:dyDescent="0.3">
      <c r="B1503" s="4">
        <v>40654</v>
      </c>
      <c r="C1503" s="7">
        <v>227.32</v>
      </c>
      <c r="D1503" s="6">
        <f t="shared" si="50"/>
        <v>-0.69336606685191671</v>
      </c>
      <c r="E1503" s="6">
        <v>8.7419569558464562E-3</v>
      </c>
      <c r="F1503" s="6"/>
      <c r="G1503" s="6">
        <v>1496</v>
      </c>
      <c r="H1503" s="6">
        <f t="shared" ca="1" si="51"/>
        <v>1.9845252987714286E-3</v>
      </c>
    </row>
    <row r="1504" spans="2:8" x14ac:dyDescent="0.3">
      <c r="B1504" s="4">
        <v>42040</v>
      </c>
      <c r="C1504" s="7">
        <v>741.34</v>
      </c>
      <c r="D1504" s="6">
        <f t="shared" si="50"/>
        <v>2.3098490936690776</v>
      </c>
      <c r="E1504" s="6">
        <v>8.7081938661659145E-3</v>
      </c>
      <c r="F1504" s="6"/>
      <c r="G1504" s="6">
        <v>1497</v>
      </c>
      <c r="H1504" s="6">
        <f t="shared" ca="1" si="51"/>
        <v>3.720862437497869E-2</v>
      </c>
    </row>
    <row r="1505" spans="2:8" x14ac:dyDescent="0.3">
      <c r="B1505" s="4">
        <v>40618</v>
      </c>
      <c r="C1505" s="7">
        <v>223.98</v>
      </c>
      <c r="D1505" s="6">
        <f t="shared" si="50"/>
        <v>-0.90770904326112845</v>
      </c>
      <c r="E1505" s="6">
        <v>8.6917360954738947E-3</v>
      </c>
      <c r="F1505" s="6"/>
      <c r="G1505" s="6">
        <v>1498</v>
      </c>
      <c r="H1505" s="6">
        <f t="shared" ca="1" si="51"/>
        <v>-5.6716577682555417E-3</v>
      </c>
    </row>
    <row r="1506" spans="2:8" x14ac:dyDescent="0.3">
      <c r="B1506" s="4">
        <v>45770</v>
      </c>
      <c r="C1506" s="5">
        <v>2426.89</v>
      </c>
      <c r="D1506" s="6">
        <f t="shared" si="50"/>
        <v>8.4050922337622058</v>
      </c>
      <c r="E1506" s="6">
        <v>8.6782681701238363E-3</v>
      </c>
      <c r="F1506" s="6"/>
      <c r="G1506" s="6">
        <v>1499</v>
      </c>
      <c r="H1506" s="6">
        <f t="shared" ca="1" si="51"/>
        <v>3.7439353656623115E-3</v>
      </c>
    </row>
    <row r="1507" spans="2:8" x14ac:dyDescent="0.3">
      <c r="B1507" s="4">
        <v>40534</v>
      </c>
      <c r="C1507" s="7">
        <v>258.04000000000002</v>
      </c>
      <c r="D1507" s="6">
        <f t="shared" si="50"/>
        <v>-0.88562969266636526</v>
      </c>
      <c r="E1507" s="6">
        <v>8.6779767023689603E-3</v>
      </c>
      <c r="F1507" s="6"/>
      <c r="G1507" s="6">
        <v>1500</v>
      </c>
      <c r="H1507" s="6">
        <f t="shared" ca="1" si="51"/>
        <v>5.2035217556626453E-3</v>
      </c>
    </row>
    <row r="1508" spans="2:8" x14ac:dyDescent="0.3">
      <c r="B1508" s="4">
        <v>45677</v>
      </c>
      <c r="C1508" s="5">
        <v>2256.1799999999998</v>
      </c>
      <c r="D1508" s="6">
        <f t="shared" si="50"/>
        <v>91.051407588739266</v>
      </c>
      <c r="E1508" s="6">
        <v>8.6461257845888342E-3</v>
      </c>
      <c r="F1508" s="6"/>
      <c r="G1508" s="6">
        <v>1501</v>
      </c>
      <c r="H1508" s="6">
        <f t="shared" ca="1" si="51"/>
        <v>1.2526030156898271E-2</v>
      </c>
    </row>
    <row r="1509" spans="2:8" x14ac:dyDescent="0.3">
      <c r="B1509" s="4">
        <v>37963</v>
      </c>
      <c r="C1509" s="7">
        <v>24.51</v>
      </c>
      <c r="D1509" s="6">
        <f t="shared" si="50"/>
        <v>-0.48809523809523808</v>
      </c>
      <c r="E1509" s="6">
        <v>8.6419753086420109E-3</v>
      </c>
      <c r="F1509" s="6"/>
      <c r="G1509" s="6">
        <v>1502</v>
      </c>
      <c r="H1509" s="6">
        <f t="shared" ca="1" si="51"/>
        <v>-1.2161959751884867E-2</v>
      </c>
    </row>
    <row r="1510" spans="2:8" x14ac:dyDescent="0.3">
      <c r="B1510" s="4">
        <v>38918</v>
      </c>
      <c r="C1510" s="7">
        <v>47.88</v>
      </c>
      <c r="D1510" s="6">
        <f t="shared" si="50"/>
        <v>-0.72122270742358086</v>
      </c>
      <c r="E1510" s="6">
        <v>8.637033916157652E-3</v>
      </c>
      <c r="F1510" s="6"/>
      <c r="G1510" s="6">
        <v>1503</v>
      </c>
      <c r="H1510" s="6">
        <f t="shared" ca="1" si="51"/>
        <v>1.0397234475064828E-2</v>
      </c>
    </row>
    <row r="1511" spans="2:8" x14ac:dyDescent="0.3">
      <c r="B1511" s="4">
        <v>40219</v>
      </c>
      <c r="C1511" s="7">
        <v>171.75</v>
      </c>
      <c r="D1511" s="6">
        <f t="shared" si="50"/>
        <v>1.9984287709497206</v>
      </c>
      <c r="E1511" s="6">
        <v>8.6328400281888585E-3</v>
      </c>
      <c r="F1511" s="6"/>
      <c r="G1511" s="6">
        <v>1504</v>
      </c>
      <c r="H1511" s="6">
        <f t="shared" ca="1" si="51"/>
        <v>1.8733554719932963E-2</v>
      </c>
    </row>
    <row r="1512" spans="2:8" x14ac:dyDescent="0.3">
      <c r="B1512" s="4">
        <v>39024</v>
      </c>
      <c r="C1512" s="7">
        <v>57.28</v>
      </c>
      <c r="D1512" s="6">
        <f t="shared" si="50"/>
        <v>1.8812877263581493</v>
      </c>
      <c r="E1512" s="6">
        <v>8.6282796266948757E-3</v>
      </c>
      <c r="F1512" s="6"/>
      <c r="G1512" s="6">
        <v>1505</v>
      </c>
      <c r="H1512" s="6">
        <f t="shared" ca="1" si="51"/>
        <v>-2.5291402931737837E-2</v>
      </c>
    </row>
    <row r="1513" spans="2:8" x14ac:dyDescent="0.3">
      <c r="B1513" s="4">
        <v>37809</v>
      </c>
      <c r="C1513" s="7">
        <v>19.88</v>
      </c>
      <c r="D1513" s="6">
        <f t="shared" si="50"/>
        <v>-0.94993326113783461</v>
      </c>
      <c r="E1513" s="6">
        <v>8.6250634195838734E-3</v>
      </c>
      <c r="F1513" s="6"/>
      <c r="G1513" s="6">
        <v>1506</v>
      </c>
      <c r="H1513" s="6">
        <f t="shared" ca="1" si="51"/>
        <v>-2.9435312526483813E-2</v>
      </c>
    </row>
    <row r="1514" spans="2:8" x14ac:dyDescent="0.3">
      <c r="B1514" s="4">
        <v>41274</v>
      </c>
      <c r="C1514" s="7">
        <v>397.07</v>
      </c>
      <c r="D1514" s="6">
        <f t="shared" si="50"/>
        <v>-0.52923671543404549</v>
      </c>
      <c r="E1514" s="6">
        <v>8.6110546636862084E-3</v>
      </c>
      <c r="F1514" s="6"/>
      <c r="G1514" s="6">
        <v>1507</v>
      </c>
      <c r="H1514" s="6">
        <f t="shared" ca="1" si="51"/>
        <v>-1.0304350625497921E-2</v>
      </c>
    </row>
    <row r="1515" spans="2:8" x14ac:dyDescent="0.3">
      <c r="B1515" s="4">
        <v>42696</v>
      </c>
      <c r="C1515" s="7">
        <v>843.46</v>
      </c>
      <c r="D1515" s="6">
        <f t="shared" si="50"/>
        <v>2.6155000214325521</v>
      </c>
      <c r="E1515" s="6">
        <v>8.6097625140507082E-3</v>
      </c>
      <c r="F1515" s="6"/>
      <c r="G1515" s="6">
        <v>1508</v>
      </c>
      <c r="H1515" s="6">
        <f t="shared" ca="1" si="51"/>
        <v>4.8529554349199901E-2</v>
      </c>
    </row>
    <row r="1516" spans="2:8" x14ac:dyDescent="0.3">
      <c r="B1516" s="4">
        <v>40504</v>
      </c>
      <c r="C1516" s="7">
        <v>233.29</v>
      </c>
      <c r="D1516" s="6">
        <f t="shared" si="50"/>
        <v>-0.41999403311620515</v>
      </c>
      <c r="E1516" s="6">
        <v>8.6035451794205815E-3</v>
      </c>
      <c r="F1516" s="6"/>
      <c r="G1516" s="6">
        <v>1509</v>
      </c>
      <c r="H1516" s="6">
        <f t="shared" ca="1" si="51"/>
        <v>-1.1206278029685544E-2</v>
      </c>
    </row>
    <row r="1517" spans="2:8" x14ac:dyDescent="0.3">
      <c r="B1517" s="4">
        <v>41535</v>
      </c>
      <c r="C1517" s="7">
        <v>402.22</v>
      </c>
      <c r="D1517" s="6">
        <f t="shared" si="50"/>
        <v>-0.50103583878130775</v>
      </c>
      <c r="E1517" s="6">
        <v>8.6010180796910821E-3</v>
      </c>
      <c r="F1517" s="6"/>
      <c r="G1517" s="6">
        <v>1510</v>
      </c>
      <c r="H1517" s="6">
        <f t="shared" ca="1" si="51"/>
        <v>-3.774808067862157E-3</v>
      </c>
    </row>
    <row r="1518" spans="2:8" x14ac:dyDescent="0.3">
      <c r="B1518" s="4">
        <v>42473</v>
      </c>
      <c r="C1518" s="7">
        <v>806.11</v>
      </c>
      <c r="D1518" s="6">
        <f t="shared" si="50"/>
        <v>33.33177172061329</v>
      </c>
      <c r="E1518" s="6">
        <v>8.5956658825884647E-3</v>
      </c>
      <c r="F1518" s="6"/>
      <c r="G1518" s="6">
        <v>1511</v>
      </c>
      <c r="H1518" s="6">
        <f t="shared" ca="1" si="51"/>
        <v>-3.0322655514812428E-3</v>
      </c>
    </row>
    <row r="1519" spans="2:8" x14ac:dyDescent="0.3">
      <c r="B1519" s="4">
        <v>38272</v>
      </c>
      <c r="C1519" s="7">
        <v>23.48</v>
      </c>
      <c r="D1519" s="6">
        <f t="shared" si="50"/>
        <v>-0.90052954882440162</v>
      </c>
      <c r="E1519" s="6">
        <v>8.5910652920961894E-3</v>
      </c>
      <c r="F1519" s="6"/>
      <c r="G1519" s="6">
        <v>1512</v>
      </c>
      <c r="H1519" s="6">
        <f t="shared" ca="1" si="51"/>
        <v>-4.7009430768536866E-3</v>
      </c>
    </row>
    <row r="1520" spans="2:8" x14ac:dyDescent="0.3">
      <c r="B1520" s="4">
        <v>40661</v>
      </c>
      <c r="C1520" s="7">
        <v>236.05</v>
      </c>
      <c r="D1520" s="6">
        <f t="shared" si="50"/>
        <v>-0.8192724961909793</v>
      </c>
      <c r="E1520" s="6">
        <v>8.5882755084601744E-3</v>
      </c>
      <c r="F1520" s="6"/>
      <c r="G1520" s="6">
        <v>1513</v>
      </c>
      <c r="H1520" s="6">
        <f t="shared" ca="1" si="51"/>
        <v>2.7245820062438322E-2</v>
      </c>
    </row>
    <row r="1521" spans="2:8" x14ac:dyDescent="0.3">
      <c r="B1521" s="4">
        <v>43467</v>
      </c>
      <c r="C1521" s="5">
        <v>1306.1099999999999</v>
      </c>
      <c r="D1521" s="6">
        <f t="shared" si="50"/>
        <v>23.129133567337885</v>
      </c>
      <c r="E1521" s="6">
        <v>8.5713623833019899E-3</v>
      </c>
      <c r="F1521" s="6"/>
      <c r="G1521" s="6">
        <v>1514</v>
      </c>
      <c r="H1521" s="6">
        <f t="shared" ca="1" si="51"/>
        <v>1.0436919946295592E-2</v>
      </c>
    </row>
    <row r="1522" spans="2:8" x14ac:dyDescent="0.3">
      <c r="B1522" s="4">
        <v>38798</v>
      </c>
      <c r="C1522" s="7">
        <v>54.13</v>
      </c>
      <c r="D1522" s="6">
        <f t="shared" si="50"/>
        <v>-0.90574776688547998</v>
      </c>
      <c r="E1522" s="6">
        <v>8.5708962176262501E-3</v>
      </c>
      <c r="F1522" s="6"/>
      <c r="G1522" s="6">
        <v>1515</v>
      </c>
      <c r="H1522" s="6">
        <f t="shared" ca="1" si="51"/>
        <v>-8.8343894647480211E-3</v>
      </c>
    </row>
    <row r="1523" spans="2:8" x14ac:dyDescent="0.3">
      <c r="B1523" s="4">
        <v>41855</v>
      </c>
      <c r="C1523" s="7">
        <v>574.30999999999995</v>
      </c>
      <c r="D1523" s="6">
        <f t="shared" si="50"/>
        <v>-0.47201537132035232</v>
      </c>
      <c r="E1523" s="6">
        <v>8.5699734822541774E-3</v>
      </c>
      <c r="F1523" s="6"/>
      <c r="G1523" s="6">
        <v>1516</v>
      </c>
      <c r="H1523" s="6">
        <f t="shared" ca="1" si="51"/>
        <v>-1.8045677922068553E-2</v>
      </c>
    </row>
    <row r="1524" spans="2:8" x14ac:dyDescent="0.3">
      <c r="B1524" s="4">
        <v>42628</v>
      </c>
      <c r="C1524" s="5">
        <v>1087.74</v>
      </c>
      <c r="D1524" s="6">
        <f t="shared" si="50"/>
        <v>-0.63582979008336404</v>
      </c>
      <c r="E1524" s="6">
        <v>8.5581033091951097E-3</v>
      </c>
      <c r="F1524" s="6"/>
      <c r="G1524" s="6">
        <v>1517</v>
      </c>
      <c r="H1524" s="6">
        <f t="shared" ca="1" si="51"/>
        <v>9.9565742031316341E-3</v>
      </c>
    </row>
    <row r="1525" spans="2:8" x14ac:dyDescent="0.3">
      <c r="B1525" s="4">
        <v>44880</v>
      </c>
      <c r="C1525" s="5">
        <v>2986.9</v>
      </c>
      <c r="D1525" s="6">
        <f t="shared" si="50"/>
        <v>11.596044363851052</v>
      </c>
      <c r="E1525" s="6">
        <v>8.5494904746791119E-3</v>
      </c>
      <c r="F1525" s="6"/>
      <c r="G1525" s="6">
        <v>1518</v>
      </c>
      <c r="H1525" s="6">
        <f t="shared" ca="1" si="51"/>
        <v>-4.7058698503328229E-3</v>
      </c>
    </row>
    <row r="1526" spans="2:8" x14ac:dyDescent="0.3">
      <c r="B1526" s="4">
        <v>40912</v>
      </c>
      <c r="C1526" s="7">
        <v>237.13</v>
      </c>
      <c r="D1526" s="6">
        <f t="shared" si="50"/>
        <v>4.0228765092141492</v>
      </c>
      <c r="E1526" s="6">
        <v>8.5488261313371502E-3</v>
      </c>
      <c r="F1526" s="6"/>
      <c r="G1526" s="6">
        <v>1519</v>
      </c>
      <c r="H1526" s="6">
        <f t="shared" ca="1" si="51"/>
        <v>2.2119875668711732E-2</v>
      </c>
    </row>
    <row r="1527" spans="2:8" x14ac:dyDescent="0.3">
      <c r="B1527" s="4">
        <v>38916</v>
      </c>
      <c r="C1527" s="7">
        <v>47.21</v>
      </c>
      <c r="D1527" s="6">
        <f t="shared" si="50"/>
        <v>-0.98418234694971585</v>
      </c>
      <c r="E1527" s="6">
        <v>8.5451826532791826E-3</v>
      </c>
      <c r="F1527" s="6"/>
      <c r="G1527" s="6">
        <v>1520</v>
      </c>
      <c r="H1527" s="6">
        <f t="shared" ca="1" si="51"/>
        <v>-2.1697892559724968E-2</v>
      </c>
    </row>
    <row r="1528" spans="2:8" x14ac:dyDescent="0.3">
      <c r="B1528" s="4">
        <v>45484</v>
      </c>
      <c r="C1528" s="5">
        <v>2984.64</v>
      </c>
      <c r="D1528" s="6">
        <f t="shared" si="50"/>
        <v>5.9772073777964794</v>
      </c>
      <c r="E1528" s="6">
        <v>8.5423875432525092E-3</v>
      </c>
      <c r="F1528" s="6"/>
      <c r="G1528" s="6">
        <v>1521</v>
      </c>
      <c r="H1528" s="6">
        <f t="shared" ca="1" si="51"/>
        <v>-4.8023344132405877E-3</v>
      </c>
    </row>
    <row r="1529" spans="2:8" x14ac:dyDescent="0.3">
      <c r="B1529" s="4">
        <v>41684</v>
      </c>
      <c r="C1529" s="7">
        <v>427.77</v>
      </c>
      <c r="D1529" s="6">
        <f t="shared" si="50"/>
        <v>-0.47331937946318647</v>
      </c>
      <c r="E1529" s="6">
        <v>8.5347164918071552E-3</v>
      </c>
      <c r="F1529" s="6"/>
      <c r="G1529" s="6">
        <v>1522</v>
      </c>
      <c r="H1529" s="6">
        <f t="shared" ca="1" si="51"/>
        <v>5.034832420581766E-3</v>
      </c>
    </row>
    <row r="1530" spans="2:8" x14ac:dyDescent="0.3">
      <c r="B1530" s="4">
        <v>42360</v>
      </c>
      <c r="C1530" s="7">
        <v>812.2</v>
      </c>
      <c r="D1530" s="6">
        <f t="shared" si="50"/>
        <v>-0.71528228138748184</v>
      </c>
      <c r="E1530" s="6">
        <v>8.5306644481144434E-3</v>
      </c>
      <c r="F1530" s="6"/>
      <c r="G1530" s="6">
        <v>1523</v>
      </c>
      <c r="H1530" s="6">
        <f t="shared" ca="1" si="51"/>
        <v>2.0772263375408224E-2</v>
      </c>
    </row>
    <row r="1531" spans="2:8" x14ac:dyDescent="0.3">
      <c r="B1531" s="4">
        <v>44943</v>
      </c>
      <c r="C1531" s="5">
        <v>2852.65</v>
      </c>
      <c r="D1531" s="6">
        <f t="shared" si="50"/>
        <v>1.5796089435207949E-2</v>
      </c>
      <c r="E1531" s="6">
        <v>8.5202665676759846E-3</v>
      </c>
      <c r="F1531" s="6"/>
      <c r="G1531" s="6">
        <v>1524</v>
      </c>
      <c r="H1531" s="6">
        <f t="shared" ca="1" si="51"/>
        <v>3.4137200822587886E-2</v>
      </c>
    </row>
    <row r="1532" spans="2:8" x14ac:dyDescent="0.3">
      <c r="B1532" s="4">
        <v>45383</v>
      </c>
      <c r="C1532" s="5">
        <v>2808.29</v>
      </c>
      <c r="D1532" s="6">
        <f t="shared" si="50"/>
        <v>168.37816646562126</v>
      </c>
      <c r="E1532" s="6">
        <v>8.5183708795253128E-3</v>
      </c>
      <c r="F1532" s="6"/>
      <c r="G1532" s="6">
        <v>1525</v>
      </c>
      <c r="H1532" s="6">
        <f t="shared" ca="1" si="51"/>
        <v>-8.8559356053186083E-3</v>
      </c>
    </row>
    <row r="1533" spans="2:8" x14ac:dyDescent="0.3">
      <c r="B1533" s="4">
        <v>37490</v>
      </c>
      <c r="C1533" s="7">
        <v>16.579999999999998</v>
      </c>
      <c r="D1533" s="6">
        <f t="shared" si="50"/>
        <v>-0.81103259630727154</v>
      </c>
      <c r="E1533" s="6">
        <v>8.5158150851579687E-3</v>
      </c>
      <c r="F1533" s="6"/>
      <c r="G1533" s="6">
        <v>1526</v>
      </c>
      <c r="H1533" s="6">
        <f t="shared" ca="1" si="51"/>
        <v>-1.1905822475378363E-2</v>
      </c>
    </row>
    <row r="1534" spans="2:8" x14ac:dyDescent="0.3">
      <c r="B1534" s="4">
        <v>39638</v>
      </c>
      <c r="C1534" s="7">
        <v>87.74</v>
      </c>
      <c r="D1534" s="6">
        <f t="shared" si="50"/>
        <v>3.6227608008429919</v>
      </c>
      <c r="E1534" s="6">
        <v>8.5057471264367232E-3</v>
      </c>
      <c r="F1534" s="6"/>
      <c r="G1534" s="6">
        <v>1527</v>
      </c>
      <c r="H1534" s="6">
        <f t="shared" ca="1" si="51"/>
        <v>-1.5900771949158388E-2</v>
      </c>
    </row>
    <row r="1535" spans="2:8" x14ac:dyDescent="0.3">
      <c r="B1535" s="4">
        <v>37776</v>
      </c>
      <c r="C1535" s="7">
        <v>18.98</v>
      </c>
      <c r="D1535" s="6">
        <f t="shared" si="50"/>
        <v>-0.92063890282655969</v>
      </c>
      <c r="E1535" s="6">
        <v>8.501594048884174E-3</v>
      </c>
      <c r="F1535" s="6"/>
      <c r="G1535" s="6">
        <v>1528</v>
      </c>
      <c r="H1535" s="6">
        <f t="shared" ca="1" si="51"/>
        <v>-1.2331494798656958E-3</v>
      </c>
    </row>
    <row r="1536" spans="2:8" x14ac:dyDescent="0.3">
      <c r="B1536" s="4">
        <v>40555</v>
      </c>
      <c r="C1536" s="7">
        <v>239.16</v>
      </c>
      <c r="D1536" s="6">
        <f t="shared" si="50"/>
        <v>3.3690171720862256</v>
      </c>
      <c r="E1536" s="6">
        <v>8.475648323845628E-3</v>
      </c>
      <c r="F1536" s="6"/>
      <c r="G1536" s="6">
        <v>1529</v>
      </c>
      <c r="H1536" s="6">
        <f t="shared" ca="1" si="51"/>
        <v>-4.7746769336625035E-4</v>
      </c>
    </row>
    <row r="1537" spans="2:8" x14ac:dyDescent="0.3">
      <c r="B1537" s="4">
        <v>38980</v>
      </c>
      <c r="C1537" s="7">
        <v>54.74</v>
      </c>
      <c r="D1537" s="6">
        <f t="shared" si="50"/>
        <v>-0.95499354584097285</v>
      </c>
      <c r="E1537" s="6">
        <v>8.4745762711864563E-3</v>
      </c>
      <c r="F1537" s="6"/>
      <c r="G1537" s="6">
        <v>1530</v>
      </c>
      <c r="H1537" s="6">
        <f t="shared" ca="1" si="51"/>
        <v>-7.2175306123515768E-4</v>
      </c>
    </row>
    <row r="1538" spans="2:8" x14ac:dyDescent="0.3">
      <c r="B1538" s="4">
        <v>43234</v>
      </c>
      <c r="C1538" s="5">
        <v>1216.27</v>
      </c>
      <c r="D1538" s="6">
        <f t="shared" si="50"/>
        <v>-0.49865210222588624</v>
      </c>
      <c r="E1538" s="6">
        <v>8.473943866340556E-3</v>
      </c>
      <c r="F1538" s="6"/>
      <c r="G1538" s="6">
        <v>1531</v>
      </c>
      <c r="H1538" s="6">
        <f t="shared" ca="1" si="51"/>
        <v>-3.9541554647471271E-3</v>
      </c>
    </row>
    <row r="1539" spans="2:8" x14ac:dyDescent="0.3">
      <c r="B1539" s="4">
        <v>45775</v>
      </c>
      <c r="C1539" s="5">
        <v>2426</v>
      </c>
      <c r="D1539" s="6">
        <f t="shared" si="50"/>
        <v>-0.13528541640676522</v>
      </c>
      <c r="E1539" s="6">
        <v>8.4718284683366913E-3</v>
      </c>
      <c r="F1539" s="6"/>
      <c r="G1539" s="6">
        <v>1532</v>
      </c>
      <c r="H1539" s="6">
        <f t="shared" ca="1" si="51"/>
        <v>1.1233869165612744E-2</v>
      </c>
    </row>
    <row r="1540" spans="2:8" x14ac:dyDescent="0.3">
      <c r="B1540" s="4">
        <v>45411</v>
      </c>
      <c r="C1540" s="5">
        <v>2805.55</v>
      </c>
      <c r="D1540" s="6">
        <f t="shared" si="50"/>
        <v>-8.009325140500094E-2</v>
      </c>
      <c r="E1540" s="6">
        <v>8.4542582215144987E-3</v>
      </c>
      <c r="F1540" s="6"/>
      <c r="G1540" s="6">
        <v>1533</v>
      </c>
      <c r="H1540" s="6">
        <f t="shared" ca="1" si="51"/>
        <v>1.2427277564173833E-2</v>
      </c>
    </row>
    <row r="1541" spans="2:8" x14ac:dyDescent="0.3">
      <c r="B1541" s="4">
        <v>45573</v>
      </c>
      <c r="C1541" s="5">
        <v>3049.82</v>
      </c>
      <c r="D1541" s="6">
        <f t="shared" si="50"/>
        <v>7.5753409250667803</v>
      </c>
      <c r="E1541" s="6">
        <v>8.4249786730327993E-3</v>
      </c>
      <c r="F1541" s="6"/>
      <c r="G1541" s="6">
        <v>1534</v>
      </c>
      <c r="H1541" s="6">
        <f t="shared" ca="1" si="51"/>
        <v>7.3760883363486679E-3</v>
      </c>
    </row>
    <row r="1542" spans="2:8" x14ac:dyDescent="0.3">
      <c r="B1542" s="4">
        <v>41176</v>
      </c>
      <c r="C1542" s="7">
        <v>355.65</v>
      </c>
      <c r="D1542" s="6">
        <f t="shared" si="50"/>
        <v>-0.34292207072386655</v>
      </c>
      <c r="E1542" s="6">
        <v>8.4212317114664009E-3</v>
      </c>
      <c r="F1542" s="6"/>
      <c r="G1542" s="6">
        <v>1535</v>
      </c>
      <c r="H1542" s="6">
        <f t="shared" ca="1" si="51"/>
        <v>9.3192691658213634E-3</v>
      </c>
    </row>
    <row r="1543" spans="2:8" x14ac:dyDescent="0.3">
      <c r="B1543" s="4">
        <v>41827</v>
      </c>
      <c r="C1543" s="7">
        <v>541.26</v>
      </c>
      <c r="D1543" s="6">
        <f t="shared" si="50"/>
        <v>-0.69894375010429011</v>
      </c>
      <c r="E1543" s="6">
        <v>8.4212095241643654E-3</v>
      </c>
      <c r="F1543" s="6"/>
      <c r="G1543" s="6">
        <v>1536</v>
      </c>
      <c r="H1543" s="6">
        <f t="shared" ca="1" si="51"/>
        <v>-2.8428667218328766E-2</v>
      </c>
    </row>
    <row r="1544" spans="2:8" x14ac:dyDescent="0.3">
      <c r="B1544" s="4">
        <v>43901</v>
      </c>
      <c r="C1544" s="5">
        <v>1797.87</v>
      </c>
      <c r="D1544" s="6">
        <f t="shared" ref="D1544:D1607" si="52">((C1544-C1545)/C1545)</f>
        <v>14.137408436473857</v>
      </c>
      <c r="E1544" s="6">
        <v>8.4077447725027944E-3</v>
      </c>
      <c r="F1544" s="6"/>
      <c r="G1544" s="6">
        <v>1537</v>
      </c>
      <c r="H1544" s="6">
        <f t="shared" ca="1" si="51"/>
        <v>-1.6249419310390505E-4</v>
      </c>
    </row>
    <row r="1545" spans="2:8" x14ac:dyDescent="0.3">
      <c r="B1545" s="4">
        <v>40074</v>
      </c>
      <c r="C1545" s="7">
        <v>118.77</v>
      </c>
      <c r="D1545" s="6">
        <f t="shared" si="52"/>
        <v>-0.74297771045228311</v>
      </c>
      <c r="E1545" s="6">
        <v>8.4055017829851829E-3</v>
      </c>
      <c r="F1545" s="6"/>
      <c r="G1545" s="6">
        <v>1538</v>
      </c>
      <c r="H1545" s="6">
        <f t="shared" ref="H1545:H1608" ca="1" si="53">_xlfn.NORM.INV(RAND(),N$10,N$11)</f>
        <v>-1.8641754620352367E-2</v>
      </c>
    </row>
    <row r="1546" spans="2:8" x14ac:dyDescent="0.3">
      <c r="B1546" s="4">
        <v>41484</v>
      </c>
      <c r="C1546" s="7">
        <v>462.1</v>
      </c>
      <c r="D1546" s="6">
        <f t="shared" si="52"/>
        <v>-0.81786506800991676</v>
      </c>
      <c r="E1546" s="6">
        <v>8.4015275504637707E-3</v>
      </c>
      <c r="F1546" s="6"/>
      <c r="G1546" s="6">
        <v>1539</v>
      </c>
      <c r="H1546" s="6">
        <f t="shared" ca="1" si="53"/>
        <v>7.8801417505472687E-3</v>
      </c>
    </row>
    <row r="1547" spans="2:8" x14ac:dyDescent="0.3">
      <c r="B1547" s="4">
        <v>44294</v>
      </c>
      <c r="C1547" s="5">
        <v>2537.13</v>
      </c>
      <c r="D1547" s="6">
        <f t="shared" si="52"/>
        <v>0.78672385016795898</v>
      </c>
      <c r="E1547" s="6">
        <v>8.390235371737954E-3</v>
      </c>
      <c r="F1547" s="6"/>
      <c r="G1547" s="6">
        <v>1540</v>
      </c>
      <c r="H1547" s="6">
        <f t="shared" ca="1" si="53"/>
        <v>-1.5428919019568265E-2</v>
      </c>
    </row>
    <row r="1548" spans="2:8" x14ac:dyDescent="0.3">
      <c r="B1548" s="4">
        <v>43671</v>
      </c>
      <c r="C1548" s="5">
        <v>1419.99</v>
      </c>
      <c r="D1548" s="6">
        <f t="shared" si="52"/>
        <v>0.20868728826543648</v>
      </c>
      <c r="E1548" s="6">
        <v>8.3867119260321449E-3</v>
      </c>
      <c r="F1548" s="6"/>
      <c r="G1548" s="6">
        <v>1541</v>
      </c>
      <c r="H1548" s="6">
        <f t="shared" ca="1" si="53"/>
        <v>3.7533915009465083E-3</v>
      </c>
    </row>
    <row r="1549" spans="2:8" x14ac:dyDescent="0.3">
      <c r="B1549" s="4">
        <v>42996</v>
      </c>
      <c r="C1549" s="5">
        <v>1174.82</v>
      </c>
      <c r="D1549" s="6">
        <f t="shared" si="52"/>
        <v>0.38280817806235934</v>
      </c>
      <c r="E1549" s="6">
        <v>8.3859061842839217E-3</v>
      </c>
      <c r="F1549" s="6"/>
      <c r="G1549" s="6">
        <v>1542</v>
      </c>
      <c r="H1549" s="6">
        <f t="shared" ca="1" si="53"/>
        <v>-2.0194374591376914E-2</v>
      </c>
    </row>
    <row r="1550" spans="2:8" x14ac:dyDescent="0.3">
      <c r="B1550" s="4">
        <v>42718</v>
      </c>
      <c r="C1550" s="7">
        <v>849.59</v>
      </c>
      <c r="D1550" s="6">
        <f t="shared" si="52"/>
        <v>1.4246289954337903</v>
      </c>
      <c r="E1550" s="6">
        <v>8.3795235777955196E-3</v>
      </c>
      <c r="F1550" s="6"/>
      <c r="G1550" s="6">
        <v>1543</v>
      </c>
      <c r="H1550" s="6">
        <f t="shared" ca="1" si="53"/>
        <v>-1.0770149733474723E-2</v>
      </c>
    </row>
    <row r="1551" spans="2:8" x14ac:dyDescent="0.3">
      <c r="B1551" s="4">
        <v>41092</v>
      </c>
      <c r="C1551" s="7">
        <v>350.4</v>
      </c>
      <c r="D1551" s="6">
        <f t="shared" si="52"/>
        <v>-0.5294244043941877</v>
      </c>
      <c r="E1551" s="6">
        <v>8.3743417076749486E-3</v>
      </c>
      <c r="F1551" s="6"/>
      <c r="G1551" s="6">
        <v>1544</v>
      </c>
      <c r="H1551" s="6">
        <f t="shared" ca="1" si="53"/>
        <v>3.773889300419668E-2</v>
      </c>
    </row>
    <row r="1552" spans="2:8" x14ac:dyDescent="0.3">
      <c r="B1552" s="4">
        <v>42325</v>
      </c>
      <c r="C1552" s="7">
        <v>744.62</v>
      </c>
      <c r="D1552" s="6">
        <f t="shared" si="52"/>
        <v>-0.22279976619906483</v>
      </c>
      <c r="E1552" s="6">
        <v>8.3689940956610549E-3</v>
      </c>
      <c r="F1552" s="6"/>
      <c r="G1552" s="6">
        <v>1545</v>
      </c>
      <c r="H1552" s="6">
        <f t="shared" ca="1" si="53"/>
        <v>5.7979005651326515E-4</v>
      </c>
    </row>
    <row r="1553" spans="2:8" x14ac:dyDescent="0.3">
      <c r="B1553" s="4">
        <v>42803</v>
      </c>
      <c r="C1553" s="7">
        <v>958.08</v>
      </c>
      <c r="D1553" s="6">
        <f t="shared" si="52"/>
        <v>11.421625826526645</v>
      </c>
      <c r="E1553" s="6">
        <v>8.3672760569606739E-3</v>
      </c>
      <c r="F1553" s="6"/>
      <c r="G1553" s="6">
        <v>1546</v>
      </c>
      <c r="H1553" s="6">
        <f t="shared" ca="1" si="53"/>
        <v>2.0146731546517326E-2</v>
      </c>
    </row>
    <row r="1554" spans="2:8" x14ac:dyDescent="0.3">
      <c r="B1554" s="4">
        <v>39815</v>
      </c>
      <c r="C1554" s="7">
        <v>77.13</v>
      </c>
      <c r="D1554" s="6">
        <f t="shared" si="52"/>
        <v>2.0426035502958575</v>
      </c>
      <c r="E1554" s="6">
        <v>8.367106811347896E-3</v>
      </c>
      <c r="F1554" s="6"/>
      <c r="G1554" s="6">
        <v>1547</v>
      </c>
      <c r="H1554" s="6">
        <f t="shared" ca="1" si="53"/>
        <v>1.5996798290834165E-2</v>
      </c>
    </row>
    <row r="1555" spans="2:8" x14ac:dyDescent="0.3">
      <c r="B1555" s="4">
        <v>38371</v>
      </c>
      <c r="C1555" s="7">
        <v>25.35</v>
      </c>
      <c r="D1555" s="6">
        <f t="shared" si="52"/>
        <v>-0.91026231017027148</v>
      </c>
      <c r="E1555" s="6">
        <v>8.3532219570406057E-3</v>
      </c>
      <c r="F1555" s="6"/>
      <c r="G1555" s="6">
        <v>1548</v>
      </c>
      <c r="H1555" s="6">
        <f t="shared" ca="1" si="53"/>
        <v>-7.5766550505606042E-3</v>
      </c>
    </row>
    <row r="1556" spans="2:8" x14ac:dyDescent="0.3">
      <c r="B1556" s="4">
        <v>40981</v>
      </c>
      <c r="C1556" s="7">
        <v>282.49</v>
      </c>
      <c r="D1556" s="6">
        <f t="shared" si="52"/>
        <v>4.4366820631254811</v>
      </c>
      <c r="E1556" s="6">
        <v>8.35266821345719E-3</v>
      </c>
      <c r="F1556" s="6"/>
      <c r="G1556" s="6">
        <v>1549</v>
      </c>
      <c r="H1556" s="6">
        <f t="shared" ca="1" si="53"/>
        <v>-8.8576314091151527E-3</v>
      </c>
    </row>
    <row r="1557" spans="2:8" x14ac:dyDescent="0.3">
      <c r="B1557" s="4">
        <v>38957</v>
      </c>
      <c r="C1557" s="7">
        <v>51.96</v>
      </c>
      <c r="D1557" s="6">
        <f t="shared" si="52"/>
        <v>-0.94585300278238027</v>
      </c>
      <c r="E1557" s="6">
        <v>8.3446535998447455E-3</v>
      </c>
      <c r="F1557" s="6"/>
      <c r="G1557" s="6">
        <v>1550</v>
      </c>
      <c r="H1557" s="6">
        <f t="shared" ca="1" si="53"/>
        <v>3.3404313222707878E-2</v>
      </c>
    </row>
    <row r="1558" spans="2:8" x14ac:dyDescent="0.3">
      <c r="B1558" s="4">
        <v>42795</v>
      </c>
      <c r="C1558" s="7">
        <v>959.61</v>
      </c>
      <c r="D1558" s="6">
        <f t="shared" si="52"/>
        <v>-0.21543442535830784</v>
      </c>
      <c r="E1558" s="6">
        <v>8.3432282198661872E-3</v>
      </c>
      <c r="F1558" s="6"/>
      <c r="G1558" s="6">
        <v>1551</v>
      </c>
      <c r="H1558" s="6">
        <f t="shared" ca="1" si="53"/>
        <v>-1.2684745287522099E-2</v>
      </c>
    </row>
    <row r="1559" spans="2:8" x14ac:dyDescent="0.3">
      <c r="B1559" s="4">
        <v>43251</v>
      </c>
      <c r="C1559" s="5">
        <v>1223.1099999999999</v>
      </c>
      <c r="D1559" s="6">
        <f t="shared" si="52"/>
        <v>1.7563042253521124</v>
      </c>
      <c r="E1559" s="6">
        <v>8.3430201403143396E-3</v>
      </c>
      <c r="F1559" s="6"/>
      <c r="G1559" s="6">
        <v>1552</v>
      </c>
      <c r="H1559" s="6">
        <f t="shared" ca="1" si="53"/>
        <v>6.8249694646473381E-3</v>
      </c>
    </row>
    <row r="1560" spans="2:8" x14ac:dyDescent="0.3">
      <c r="B1560" s="4">
        <v>41355</v>
      </c>
      <c r="C1560" s="7">
        <v>443.75</v>
      </c>
      <c r="D1560" s="6">
        <f t="shared" si="52"/>
        <v>2.7412528454599103</v>
      </c>
      <c r="E1560" s="6">
        <v>8.3393928376659151E-3</v>
      </c>
      <c r="F1560" s="6"/>
      <c r="G1560" s="6">
        <v>1553</v>
      </c>
      <c r="H1560" s="6">
        <f t="shared" ca="1" si="53"/>
        <v>-2.1402428241278474E-2</v>
      </c>
    </row>
    <row r="1561" spans="2:8" x14ac:dyDescent="0.3">
      <c r="B1561" s="4">
        <v>40071</v>
      </c>
      <c r="C1561" s="7">
        <v>118.61</v>
      </c>
      <c r="D1561" s="6">
        <f t="shared" si="52"/>
        <v>-0.85246594937496112</v>
      </c>
      <c r="E1561" s="6">
        <v>8.3312080251636833E-3</v>
      </c>
      <c r="F1561" s="6"/>
      <c r="G1561" s="6">
        <v>1554</v>
      </c>
      <c r="H1561" s="6">
        <f t="shared" ca="1" si="53"/>
        <v>1.6594383424583983E-3</v>
      </c>
    </row>
    <row r="1562" spans="2:8" x14ac:dyDescent="0.3">
      <c r="B1562" s="4">
        <v>42493</v>
      </c>
      <c r="C1562" s="7">
        <v>803.95</v>
      </c>
      <c r="D1562" s="6">
        <f t="shared" si="52"/>
        <v>-0.44733929565749403</v>
      </c>
      <c r="E1562" s="6">
        <v>8.328002909784275E-3</v>
      </c>
      <c r="F1562" s="6"/>
      <c r="G1562" s="6">
        <v>1555</v>
      </c>
      <c r="H1562" s="6">
        <f t="shared" ca="1" si="53"/>
        <v>-7.7738061925229749E-4</v>
      </c>
    </row>
    <row r="1563" spans="2:8" x14ac:dyDescent="0.3">
      <c r="B1563" s="4">
        <v>43714</v>
      </c>
      <c r="C1563" s="5">
        <v>1454.69</v>
      </c>
      <c r="D1563" s="6">
        <f t="shared" si="52"/>
        <v>-0.19228761799000552</v>
      </c>
      <c r="E1563" s="6">
        <v>8.3247844289793919E-3</v>
      </c>
      <c r="F1563" s="6"/>
      <c r="G1563" s="6">
        <v>1556</v>
      </c>
      <c r="H1563" s="6">
        <f t="shared" ca="1" si="53"/>
        <v>-1.1887141396059208E-2</v>
      </c>
    </row>
    <row r="1564" spans="2:8" x14ac:dyDescent="0.3">
      <c r="B1564" s="4">
        <v>43873</v>
      </c>
      <c r="C1564" s="5">
        <v>1801</v>
      </c>
      <c r="D1564" s="6">
        <f t="shared" si="52"/>
        <v>5.8927245589192081</v>
      </c>
      <c r="E1564" s="6">
        <v>8.3083262417700081E-3</v>
      </c>
      <c r="F1564" s="6"/>
      <c r="G1564" s="6">
        <v>1557</v>
      </c>
      <c r="H1564" s="6">
        <f t="shared" ca="1" si="53"/>
        <v>-1.4811229038170557E-2</v>
      </c>
    </row>
    <row r="1565" spans="2:8" x14ac:dyDescent="0.3">
      <c r="B1565" s="4">
        <v>40717</v>
      </c>
      <c r="C1565" s="7">
        <v>261.29000000000002</v>
      </c>
      <c r="D1565" s="6">
        <f t="shared" si="52"/>
        <v>3.9950296310456892</v>
      </c>
      <c r="E1565" s="6">
        <v>8.2966736127191264E-3</v>
      </c>
      <c r="F1565" s="6"/>
      <c r="G1565" s="6">
        <v>1558</v>
      </c>
      <c r="H1565" s="6">
        <f t="shared" ca="1" si="53"/>
        <v>-4.8989447332613428E-2</v>
      </c>
    </row>
    <row r="1566" spans="2:8" x14ac:dyDescent="0.3">
      <c r="B1566" s="4">
        <v>38814</v>
      </c>
      <c r="C1566" s="7">
        <v>52.31</v>
      </c>
      <c r="D1566" s="6">
        <f t="shared" si="52"/>
        <v>1.2625432525951557</v>
      </c>
      <c r="E1566" s="6">
        <v>8.2883577486507262E-3</v>
      </c>
      <c r="F1566" s="6"/>
      <c r="G1566" s="6">
        <v>1559</v>
      </c>
      <c r="H1566" s="6">
        <f t="shared" ca="1" si="53"/>
        <v>-1.1153783271743824E-2</v>
      </c>
    </row>
    <row r="1567" spans="2:8" x14ac:dyDescent="0.3">
      <c r="B1567" s="4">
        <v>38315</v>
      </c>
      <c r="C1567" s="7">
        <v>23.12</v>
      </c>
      <c r="D1567" s="6">
        <f t="shared" si="52"/>
        <v>-9.5461658841940453E-2</v>
      </c>
      <c r="E1567" s="6">
        <v>8.2860880941997943E-3</v>
      </c>
      <c r="F1567" s="6"/>
      <c r="G1567" s="6">
        <v>1560</v>
      </c>
      <c r="H1567" s="6">
        <f t="shared" ca="1" si="53"/>
        <v>-2.3417187508371805E-2</v>
      </c>
    </row>
    <row r="1568" spans="2:8" x14ac:dyDescent="0.3">
      <c r="B1568" s="4">
        <v>38372</v>
      </c>
      <c r="C1568" s="7">
        <v>25.56</v>
      </c>
      <c r="D1568" s="6">
        <f t="shared" si="52"/>
        <v>-0.98071685615348059</v>
      </c>
      <c r="E1568" s="6">
        <v>8.284023668638946E-3</v>
      </c>
      <c r="F1568" s="6"/>
      <c r="G1568" s="6">
        <v>1561</v>
      </c>
      <c r="H1568" s="6">
        <f t="shared" ca="1" si="53"/>
        <v>2.823100119433402E-2</v>
      </c>
    </row>
    <row r="1569" spans="2:8" x14ac:dyDescent="0.3">
      <c r="B1569" s="4">
        <v>43529</v>
      </c>
      <c r="C1569" s="5">
        <v>1325.51</v>
      </c>
      <c r="D1569" s="6">
        <f t="shared" si="52"/>
        <v>-0.51365284137607137</v>
      </c>
      <c r="E1569" s="6">
        <v>8.2607538128018094E-3</v>
      </c>
      <c r="F1569" s="6"/>
      <c r="G1569" s="6">
        <v>1562</v>
      </c>
      <c r="H1569" s="6">
        <f t="shared" ca="1" si="53"/>
        <v>1.5245584206367364E-2</v>
      </c>
    </row>
    <row r="1570" spans="2:8" x14ac:dyDescent="0.3">
      <c r="B1570" s="4">
        <v>45029</v>
      </c>
      <c r="C1570" s="5">
        <v>2725.44</v>
      </c>
      <c r="D1570" s="6">
        <f t="shared" si="52"/>
        <v>33.277952458810205</v>
      </c>
      <c r="E1570" s="6">
        <v>8.2533951382286249E-3</v>
      </c>
      <c r="F1570" s="6"/>
      <c r="G1570" s="6">
        <v>1563</v>
      </c>
      <c r="H1570" s="6">
        <f t="shared" ca="1" si="53"/>
        <v>-9.1125515856408813E-3</v>
      </c>
    </row>
    <row r="1571" spans="2:8" x14ac:dyDescent="0.3">
      <c r="B1571" s="4">
        <v>39328</v>
      </c>
      <c r="C1571" s="7">
        <v>79.510000000000005</v>
      </c>
      <c r="D1571" s="6">
        <f t="shared" si="52"/>
        <v>2.4168457241082946</v>
      </c>
      <c r="E1571" s="6">
        <v>8.2424549835151614E-3</v>
      </c>
      <c r="F1571" s="6"/>
      <c r="G1571" s="6">
        <v>1564</v>
      </c>
      <c r="H1571" s="6">
        <f t="shared" ca="1" si="53"/>
        <v>2.7006710029606395E-3</v>
      </c>
    </row>
    <row r="1572" spans="2:8" x14ac:dyDescent="0.3">
      <c r="B1572" s="4">
        <v>38302</v>
      </c>
      <c r="C1572" s="7">
        <v>23.27</v>
      </c>
      <c r="D1572" s="6">
        <f t="shared" si="52"/>
        <v>-0.99191848330039833</v>
      </c>
      <c r="E1572" s="6">
        <v>8.2322357019064679E-3</v>
      </c>
      <c r="F1572" s="6"/>
      <c r="G1572" s="6">
        <v>1565</v>
      </c>
      <c r="H1572" s="6">
        <f t="shared" ca="1" si="53"/>
        <v>-5.6968158429275958E-3</v>
      </c>
    </row>
    <row r="1573" spans="2:8" x14ac:dyDescent="0.3">
      <c r="B1573" s="4">
        <v>45463</v>
      </c>
      <c r="C1573" s="5">
        <v>2879.41</v>
      </c>
      <c r="D1573" s="6">
        <f t="shared" si="52"/>
        <v>122.57982832618023</v>
      </c>
      <c r="E1573" s="6">
        <v>8.2320809552154355E-3</v>
      </c>
      <c r="F1573" s="6"/>
      <c r="G1573" s="6">
        <v>1566</v>
      </c>
      <c r="H1573" s="6">
        <f t="shared" ca="1" si="53"/>
        <v>1.1855305739361721E-2</v>
      </c>
    </row>
    <row r="1574" spans="2:8" x14ac:dyDescent="0.3">
      <c r="B1574" s="4">
        <v>37862</v>
      </c>
      <c r="C1574" s="7">
        <v>23.3</v>
      </c>
      <c r="D1574" s="6">
        <f t="shared" si="52"/>
        <v>-0.99190061040893218</v>
      </c>
      <c r="E1574" s="6">
        <v>8.2215491129381778E-3</v>
      </c>
      <c r="F1574" s="6"/>
      <c r="G1574" s="6">
        <v>1567</v>
      </c>
      <c r="H1574" s="6">
        <f t="shared" ca="1" si="53"/>
        <v>1.5445077540102034E-2</v>
      </c>
    </row>
    <row r="1575" spans="2:8" x14ac:dyDescent="0.3">
      <c r="B1575" s="4">
        <v>44635</v>
      </c>
      <c r="C1575" s="5">
        <v>2876.76</v>
      </c>
      <c r="D1575" s="6">
        <f t="shared" si="52"/>
        <v>1.1200035373187125</v>
      </c>
      <c r="E1575" s="6">
        <v>8.2185251514908207E-3</v>
      </c>
      <c r="F1575" s="6"/>
      <c r="G1575" s="6">
        <v>1568</v>
      </c>
      <c r="H1575" s="6">
        <f t="shared" ca="1" si="53"/>
        <v>2.737161592452687E-2</v>
      </c>
    </row>
    <row r="1576" spans="2:8" x14ac:dyDescent="0.3">
      <c r="B1576" s="4">
        <v>43629</v>
      </c>
      <c r="C1576" s="5">
        <v>1356.96</v>
      </c>
      <c r="D1576" s="6">
        <f t="shared" si="52"/>
        <v>3.9932293199882252</v>
      </c>
      <c r="E1576" s="6">
        <v>8.2175495950664573E-3</v>
      </c>
      <c r="F1576" s="6"/>
      <c r="G1576" s="6">
        <v>1569</v>
      </c>
      <c r="H1576" s="6">
        <f t="shared" ca="1" si="53"/>
        <v>8.3310025638323286E-3</v>
      </c>
    </row>
    <row r="1577" spans="2:8" x14ac:dyDescent="0.3">
      <c r="B1577" s="4">
        <v>40841</v>
      </c>
      <c r="C1577" s="7">
        <v>271.76</v>
      </c>
      <c r="D1577" s="6">
        <f t="shared" si="52"/>
        <v>-0.90906474820143879</v>
      </c>
      <c r="E1577" s="6">
        <v>8.1988499350769042E-3</v>
      </c>
      <c r="F1577" s="6"/>
      <c r="G1577" s="6">
        <v>1570</v>
      </c>
      <c r="H1577" s="6">
        <f t="shared" ca="1" si="53"/>
        <v>-3.6939602463987038E-2</v>
      </c>
    </row>
    <row r="1578" spans="2:8" x14ac:dyDescent="0.3">
      <c r="B1578" s="4">
        <v>44914</v>
      </c>
      <c r="C1578" s="5">
        <v>2988.5</v>
      </c>
      <c r="D1578" s="6">
        <f t="shared" si="52"/>
        <v>-4.2117328748408518E-3</v>
      </c>
      <c r="E1578" s="6">
        <v>8.1978274070576146E-3</v>
      </c>
      <c r="F1578" s="6"/>
      <c r="G1578" s="6">
        <v>1571</v>
      </c>
      <c r="H1578" s="6">
        <f t="shared" ca="1" si="53"/>
        <v>1.7047054639242755E-2</v>
      </c>
    </row>
    <row r="1579" spans="2:8" x14ac:dyDescent="0.3">
      <c r="B1579" s="4">
        <v>44497</v>
      </c>
      <c r="C1579" s="5">
        <v>3001.14</v>
      </c>
      <c r="D1579" s="6">
        <f t="shared" si="52"/>
        <v>1.0784093742208924</v>
      </c>
      <c r="E1579" s="6">
        <v>8.186725880736467E-3</v>
      </c>
      <c r="F1579" s="6"/>
      <c r="G1579" s="6">
        <v>1572</v>
      </c>
      <c r="H1579" s="6">
        <f t="shared" ca="1" si="53"/>
        <v>2.7003441370233919E-2</v>
      </c>
    </row>
    <row r="1580" spans="2:8" x14ac:dyDescent="0.3">
      <c r="B1580" s="4">
        <v>43677</v>
      </c>
      <c r="C1580" s="5">
        <v>1443.96</v>
      </c>
      <c r="D1580" s="6">
        <f t="shared" si="52"/>
        <v>11.203853955375255</v>
      </c>
      <c r="E1580" s="6">
        <v>8.1829860917164918E-3</v>
      </c>
      <c r="F1580" s="6"/>
      <c r="G1580" s="6">
        <v>1573</v>
      </c>
      <c r="H1580" s="6">
        <f t="shared" ca="1" si="53"/>
        <v>-4.0246104117642768E-3</v>
      </c>
    </row>
    <row r="1581" spans="2:8" x14ac:dyDescent="0.3">
      <c r="B1581" s="4">
        <v>40051</v>
      </c>
      <c r="C1581" s="7">
        <v>118.32</v>
      </c>
      <c r="D1581" s="6">
        <f t="shared" si="52"/>
        <v>-0.9549030369557262</v>
      </c>
      <c r="E1581" s="6">
        <v>8.179959100204446E-3</v>
      </c>
      <c r="F1581" s="6"/>
      <c r="G1581" s="6">
        <v>1574</v>
      </c>
      <c r="H1581" s="6">
        <f t="shared" ca="1" si="53"/>
        <v>4.3874104332892912E-3</v>
      </c>
    </row>
    <row r="1582" spans="2:8" x14ac:dyDescent="0.3">
      <c r="B1582" s="4">
        <v>44722</v>
      </c>
      <c r="C1582" s="5">
        <v>2623.68</v>
      </c>
      <c r="D1582" s="6">
        <f t="shared" si="52"/>
        <v>2.5223800445721341</v>
      </c>
      <c r="E1582" s="6">
        <v>8.169319325858149E-3</v>
      </c>
      <c r="F1582" s="6"/>
      <c r="G1582" s="6">
        <v>1575</v>
      </c>
      <c r="H1582" s="6">
        <f t="shared" ca="1" si="53"/>
        <v>-2.3612558568354564E-2</v>
      </c>
    </row>
    <row r="1583" spans="2:8" x14ac:dyDescent="0.3">
      <c r="B1583" s="4">
        <v>42038</v>
      </c>
      <c r="C1583" s="7">
        <v>744.86</v>
      </c>
      <c r="D1583" s="6">
        <f t="shared" si="52"/>
        <v>42.030618139803586</v>
      </c>
      <c r="E1583" s="6">
        <v>8.161552725254758E-3</v>
      </c>
      <c r="F1583" s="6"/>
      <c r="G1583" s="6">
        <v>1576</v>
      </c>
      <c r="H1583" s="6">
        <f t="shared" ca="1" si="53"/>
        <v>6.5071993297782758E-3</v>
      </c>
    </row>
    <row r="1584" spans="2:8" x14ac:dyDescent="0.3">
      <c r="B1584" s="4">
        <v>37704</v>
      </c>
      <c r="C1584" s="7">
        <v>17.309999999999999</v>
      </c>
      <c r="D1584" s="6">
        <f t="shared" si="52"/>
        <v>-0.98179581019687034</v>
      </c>
      <c r="E1584" s="6">
        <v>8.1537565521256263E-3</v>
      </c>
      <c r="F1584" s="6"/>
      <c r="G1584" s="6">
        <v>1577</v>
      </c>
      <c r="H1584" s="6">
        <f t="shared" ca="1" si="53"/>
        <v>-6.3323810452903095E-3</v>
      </c>
    </row>
    <row r="1585" spans="2:8" x14ac:dyDescent="0.3">
      <c r="B1585" s="4">
        <v>42566</v>
      </c>
      <c r="C1585" s="7">
        <v>950.88</v>
      </c>
      <c r="D1585" s="6">
        <f t="shared" si="52"/>
        <v>-0.70112211221122112</v>
      </c>
      <c r="E1585" s="6">
        <v>8.1531822856475786E-3</v>
      </c>
      <c r="F1585" s="6"/>
      <c r="G1585" s="6">
        <v>1578</v>
      </c>
      <c r="H1585" s="6">
        <f t="shared" ca="1" si="53"/>
        <v>1.4402366963778728E-2</v>
      </c>
    </row>
    <row r="1586" spans="2:8" x14ac:dyDescent="0.3">
      <c r="B1586" s="4">
        <v>45266</v>
      </c>
      <c r="C1586" s="5">
        <v>3181.5</v>
      </c>
      <c r="D1586" s="6">
        <f t="shared" si="52"/>
        <v>6.1836614884393057</v>
      </c>
      <c r="E1586" s="6">
        <v>8.1501245333957997E-3</v>
      </c>
      <c r="F1586" s="6"/>
      <c r="G1586" s="6">
        <v>1579</v>
      </c>
      <c r="H1586" s="6">
        <f t="shared" ca="1" si="53"/>
        <v>2.0846687429673653E-2</v>
      </c>
    </row>
    <row r="1587" spans="2:8" x14ac:dyDescent="0.3">
      <c r="B1587" s="4">
        <v>41642</v>
      </c>
      <c r="C1587" s="7">
        <v>442.88</v>
      </c>
      <c r="D1587" s="6">
        <f t="shared" si="52"/>
        <v>16.020753266717911</v>
      </c>
      <c r="E1587" s="6">
        <v>8.1493284771226582E-3</v>
      </c>
      <c r="F1587" s="6"/>
      <c r="G1587" s="6">
        <v>1580</v>
      </c>
      <c r="H1587" s="6">
        <f t="shared" ca="1" si="53"/>
        <v>-3.4069457110376872E-2</v>
      </c>
    </row>
    <row r="1588" spans="2:8" x14ac:dyDescent="0.3">
      <c r="B1588" s="4">
        <v>37995</v>
      </c>
      <c r="C1588" s="7">
        <v>26.02</v>
      </c>
      <c r="D1588" s="6">
        <f t="shared" si="52"/>
        <v>-0.69570810431528485</v>
      </c>
      <c r="E1588" s="6">
        <v>8.1363812475784923E-3</v>
      </c>
      <c r="F1588" s="6"/>
      <c r="G1588" s="6">
        <v>1581</v>
      </c>
      <c r="H1588" s="6">
        <f t="shared" ca="1" si="53"/>
        <v>-1.2340434614005566E-2</v>
      </c>
    </row>
    <row r="1589" spans="2:8" x14ac:dyDescent="0.3">
      <c r="B1589" s="4">
        <v>39952</v>
      </c>
      <c r="C1589" s="7">
        <v>85.51</v>
      </c>
      <c r="D1589" s="6">
        <f t="shared" si="52"/>
        <v>-0.91226324105805345</v>
      </c>
      <c r="E1589" s="6">
        <v>8.1348738505070978E-3</v>
      </c>
      <c r="F1589" s="6"/>
      <c r="G1589" s="6">
        <v>1582</v>
      </c>
      <c r="H1589" s="6">
        <f t="shared" ca="1" si="53"/>
        <v>-2.1347763649295064E-3</v>
      </c>
    </row>
    <row r="1590" spans="2:8" x14ac:dyDescent="0.3">
      <c r="B1590" s="4">
        <v>42844</v>
      </c>
      <c r="C1590" s="7">
        <v>974.62</v>
      </c>
      <c r="D1590" s="6">
        <f t="shared" si="52"/>
        <v>3.380511483662187</v>
      </c>
      <c r="E1590" s="6">
        <v>8.1302494931524E-3</v>
      </c>
      <c r="F1590" s="6"/>
      <c r="G1590" s="6">
        <v>1583</v>
      </c>
      <c r="H1590" s="6">
        <f t="shared" ca="1" si="53"/>
        <v>-1.9558736543542937E-2</v>
      </c>
    </row>
    <row r="1591" spans="2:8" x14ac:dyDescent="0.3">
      <c r="B1591" s="4">
        <v>40632</v>
      </c>
      <c r="C1591" s="7">
        <v>222.49</v>
      </c>
      <c r="D1591" s="6">
        <f t="shared" si="52"/>
        <v>3.1625818521983162</v>
      </c>
      <c r="E1591" s="6">
        <v>8.1105573176258293E-3</v>
      </c>
      <c r="F1591" s="6"/>
      <c r="G1591" s="6">
        <v>1584</v>
      </c>
      <c r="H1591" s="6">
        <f t="shared" ca="1" si="53"/>
        <v>8.9579947120922818E-4</v>
      </c>
    </row>
    <row r="1592" spans="2:8" x14ac:dyDescent="0.3">
      <c r="B1592" s="4">
        <v>38792</v>
      </c>
      <c r="C1592" s="7">
        <v>53.45</v>
      </c>
      <c r="D1592" s="6">
        <f t="shared" si="52"/>
        <v>-0.95107014042732374</v>
      </c>
      <c r="E1592" s="6">
        <v>8.1101471142964853E-3</v>
      </c>
      <c r="F1592" s="6"/>
      <c r="G1592" s="6">
        <v>1585</v>
      </c>
      <c r="H1592" s="6">
        <f t="shared" ca="1" si="53"/>
        <v>-4.041328692504495E-3</v>
      </c>
    </row>
    <row r="1593" spans="2:8" x14ac:dyDescent="0.3">
      <c r="B1593" s="4">
        <v>43202</v>
      </c>
      <c r="C1593" s="5">
        <v>1092.3800000000001</v>
      </c>
      <c r="D1593" s="6">
        <f t="shared" si="52"/>
        <v>15.231500742942053</v>
      </c>
      <c r="E1593" s="6">
        <v>8.0933177065551348E-3</v>
      </c>
      <c r="F1593" s="6"/>
      <c r="G1593" s="6">
        <v>1586</v>
      </c>
      <c r="H1593" s="6">
        <f t="shared" ca="1" si="53"/>
        <v>2.890617845663363E-3</v>
      </c>
    </row>
    <row r="1594" spans="2:8" x14ac:dyDescent="0.3">
      <c r="B1594" s="4">
        <v>39912</v>
      </c>
      <c r="C1594" s="7">
        <v>67.3</v>
      </c>
      <c r="D1594" s="6">
        <f t="shared" si="52"/>
        <v>-0.89641851230511138</v>
      </c>
      <c r="E1594" s="6">
        <v>8.0886758538045531E-3</v>
      </c>
      <c r="F1594" s="6"/>
      <c r="G1594" s="6">
        <v>1587</v>
      </c>
      <c r="H1594" s="6">
        <f t="shared" ca="1" si="53"/>
        <v>-1.8594425281932743E-3</v>
      </c>
    </row>
    <row r="1595" spans="2:8" x14ac:dyDescent="0.3">
      <c r="B1595" s="4">
        <v>42172</v>
      </c>
      <c r="C1595" s="7">
        <v>649.73</v>
      </c>
      <c r="D1595" s="6">
        <f t="shared" si="52"/>
        <v>0.5139574983689067</v>
      </c>
      <c r="E1595" s="6">
        <v>8.0835350338236776E-3</v>
      </c>
      <c r="F1595" s="6"/>
      <c r="G1595" s="6">
        <v>1588</v>
      </c>
      <c r="H1595" s="6">
        <f t="shared" ca="1" si="53"/>
        <v>1.5415056477467584E-3</v>
      </c>
    </row>
    <row r="1596" spans="2:8" x14ac:dyDescent="0.3">
      <c r="B1596" s="4">
        <v>41346</v>
      </c>
      <c r="C1596" s="7">
        <v>429.16</v>
      </c>
      <c r="D1596" s="6">
        <f t="shared" si="52"/>
        <v>-0.60306699100065664</v>
      </c>
      <c r="E1596" s="6">
        <v>8.0804284506248176E-3</v>
      </c>
      <c r="F1596" s="6"/>
      <c r="G1596" s="6">
        <v>1589</v>
      </c>
      <c r="H1596" s="6">
        <f t="shared" ca="1" si="53"/>
        <v>-6.7874057638267048E-3</v>
      </c>
    </row>
    <row r="1597" spans="2:8" x14ac:dyDescent="0.3">
      <c r="B1597" s="4">
        <v>42935</v>
      </c>
      <c r="C1597" s="5">
        <v>1081.19</v>
      </c>
      <c r="D1597" s="6">
        <f t="shared" si="52"/>
        <v>-2.185733025738441E-2</v>
      </c>
      <c r="E1597" s="6">
        <v>8.0743662181944394E-3</v>
      </c>
      <c r="F1597" s="6"/>
      <c r="G1597" s="6">
        <v>1590</v>
      </c>
      <c r="H1597" s="6">
        <f t="shared" ca="1" si="53"/>
        <v>1.095410840266965E-2</v>
      </c>
    </row>
    <row r="1598" spans="2:8" x14ac:dyDescent="0.3">
      <c r="B1598" s="4">
        <v>42640</v>
      </c>
      <c r="C1598" s="5">
        <v>1105.3499999999999</v>
      </c>
      <c r="D1598" s="6">
        <f t="shared" si="52"/>
        <v>2.9845355250351457</v>
      </c>
      <c r="E1598" s="6">
        <v>8.0711354309164693E-3</v>
      </c>
      <c r="F1598" s="6"/>
      <c r="G1598" s="6">
        <v>1591</v>
      </c>
      <c r="H1598" s="6">
        <f t="shared" ca="1" si="53"/>
        <v>1.1746087799710404E-2</v>
      </c>
    </row>
    <row r="1599" spans="2:8" x14ac:dyDescent="0.3">
      <c r="B1599" s="4">
        <v>40750</v>
      </c>
      <c r="C1599" s="7">
        <v>277.41000000000003</v>
      </c>
      <c r="D1599" s="6">
        <f t="shared" si="52"/>
        <v>-0.83288151521723408</v>
      </c>
      <c r="E1599" s="6">
        <v>8.067153602965324E-3</v>
      </c>
      <c r="F1599" s="6"/>
      <c r="G1599" s="6">
        <v>1592</v>
      </c>
      <c r="H1599" s="6">
        <f t="shared" ca="1" si="53"/>
        <v>8.9256904839695519E-3</v>
      </c>
    </row>
    <row r="1600" spans="2:8" x14ac:dyDescent="0.3">
      <c r="B1600" s="4">
        <v>43816</v>
      </c>
      <c r="C1600" s="5">
        <v>1659.96</v>
      </c>
      <c r="D1600" s="6">
        <f t="shared" si="52"/>
        <v>12.963324360699865</v>
      </c>
      <c r="E1600" s="6">
        <v>8.0585902628909998E-3</v>
      </c>
      <c r="F1600" s="6"/>
      <c r="G1600" s="6">
        <v>1593</v>
      </c>
      <c r="H1600" s="6">
        <f t="shared" ca="1" si="53"/>
        <v>1.0441384089131991E-3</v>
      </c>
    </row>
    <row r="1601" spans="2:8" x14ac:dyDescent="0.3">
      <c r="B1601" s="4">
        <v>40066</v>
      </c>
      <c r="C1601" s="7">
        <v>118.88</v>
      </c>
      <c r="D1601" s="6">
        <f t="shared" si="52"/>
        <v>-0.88974932067107493</v>
      </c>
      <c r="E1601" s="6">
        <v>8.0556262189433441E-3</v>
      </c>
      <c r="F1601" s="6"/>
      <c r="G1601" s="6">
        <v>1594</v>
      </c>
      <c r="H1601" s="6">
        <f t="shared" ca="1" si="53"/>
        <v>2.087025540983245E-2</v>
      </c>
    </row>
    <row r="1602" spans="2:8" x14ac:dyDescent="0.3">
      <c r="B1602" s="4">
        <v>42887</v>
      </c>
      <c r="C1602" s="5">
        <v>1078.27</v>
      </c>
      <c r="D1602" s="6">
        <f t="shared" si="52"/>
        <v>0.14321610704099907</v>
      </c>
      <c r="E1602" s="6">
        <v>8.0398627614123135E-3</v>
      </c>
      <c r="F1602" s="6"/>
      <c r="G1602" s="6">
        <v>1595</v>
      </c>
      <c r="H1602" s="6">
        <f t="shared" ca="1" si="53"/>
        <v>1.5461674129251784E-3</v>
      </c>
    </row>
    <row r="1603" spans="2:8" x14ac:dyDescent="0.3">
      <c r="B1603" s="4">
        <v>42565</v>
      </c>
      <c r="C1603" s="7">
        <v>943.19</v>
      </c>
      <c r="D1603" s="6">
        <f t="shared" si="52"/>
        <v>0.18010860317301441</v>
      </c>
      <c r="E1603" s="6">
        <v>8.0262482900137922E-3</v>
      </c>
      <c r="F1603" s="6"/>
      <c r="G1603" s="6">
        <v>1596</v>
      </c>
      <c r="H1603" s="6">
        <f t="shared" ca="1" si="53"/>
        <v>4.5760164514337918E-3</v>
      </c>
    </row>
    <row r="1604" spans="2:8" x14ac:dyDescent="0.3">
      <c r="B1604" s="4">
        <v>42472</v>
      </c>
      <c r="C1604" s="7">
        <v>799.24</v>
      </c>
      <c r="D1604" s="6">
        <f t="shared" si="52"/>
        <v>1.4738911071903922</v>
      </c>
      <c r="E1604" s="6">
        <v>8.0213903743315672E-3</v>
      </c>
      <c r="F1604" s="6"/>
      <c r="G1604" s="6">
        <v>1597</v>
      </c>
      <c r="H1604" s="6">
        <f t="shared" ca="1" si="53"/>
        <v>7.9932936536844575E-3</v>
      </c>
    </row>
    <row r="1605" spans="2:8" x14ac:dyDescent="0.3">
      <c r="B1605" s="4">
        <v>41036</v>
      </c>
      <c r="C1605" s="7">
        <v>323.07</v>
      </c>
      <c r="D1605" s="6">
        <f t="shared" si="52"/>
        <v>-0.26352383340552127</v>
      </c>
      <c r="E1605" s="6">
        <v>8.0187207488299321E-3</v>
      </c>
      <c r="F1605" s="6"/>
      <c r="G1605" s="6">
        <v>1598</v>
      </c>
      <c r="H1605" s="6">
        <f t="shared" ca="1" si="53"/>
        <v>2.0109051847367963E-2</v>
      </c>
    </row>
    <row r="1606" spans="2:8" x14ac:dyDescent="0.3">
      <c r="B1606" s="4">
        <v>41708</v>
      </c>
      <c r="C1606" s="7">
        <v>438.67</v>
      </c>
      <c r="D1606" s="6">
        <f t="shared" si="52"/>
        <v>3.0430414746543781</v>
      </c>
      <c r="E1606" s="6">
        <v>7.9965072726855355E-3</v>
      </c>
      <c r="F1606" s="6"/>
      <c r="G1606" s="6">
        <v>1599</v>
      </c>
      <c r="H1606" s="6">
        <f t="shared" ca="1" si="53"/>
        <v>6.6433576689096862E-3</v>
      </c>
    </row>
    <row r="1607" spans="2:8" x14ac:dyDescent="0.3">
      <c r="B1607" s="4">
        <v>39615</v>
      </c>
      <c r="C1607" s="7">
        <v>108.5</v>
      </c>
      <c r="D1607" s="6">
        <f t="shared" si="52"/>
        <v>0.56227501799856006</v>
      </c>
      <c r="E1607" s="6">
        <v>7.9895949461166807E-3</v>
      </c>
      <c r="F1607" s="6"/>
      <c r="G1607" s="6">
        <v>1600</v>
      </c>
      <c r="H1607" s="6">
        <f t="shared" ca="1" si="53"/>
        <v>-1.4049561624862546E-2</v>
      </c>
    </row>
    <row r="1608" spans="2:8" x14ac:dyDescent="0.3">
      <c r="B1608" s="4">
        <v>39260</v>
      </c>
      <c r="C1608" s="7">
        <v>69.45</v>
      </c>
      <c r="D1608" s="6">
        <f t="shared" ref="D1608:D1671" si="54">((C1608-C1609)/C1609)</f>
        <v>-0.7029004106776181</v>
      </c>
      <c r="E1608" s="6">
        <v>7.9825834542815253E-3</v>
      </c>
      <c r="F1608" s="6"/>
      <c r="G1608" s="6">
        <v>1601</v>
      </c>
      <c r="H1608" s="6">
        <f t="shared" ca="1" si="53"/>
        <v>6.3660028090020337E-3</v>
      </c>
    </row>
    <row r="1609" spans="2:8" x14ac:dyDescent="0.3">
      <c r="B1609" s="4">
        <v>40522</v>
      </c>
      <c r="C1609" s="7">
        <v>233.76</v>
      </c>
      <c r="D1609" s="6">
        <f t="shared" si="54"/>
        <v>-0.92713966456069041</v>
      </c>
      <c r="E1609" s="6">
        <v>7.977232547108767E-3</v>
      </c>
      <c r="F1609" s="6"/>
      <c r="G1609" s="6">
        <v>1602</v>
      </c>
      <c r="H1609" s="6">
        <f t="shared" ref="H1609:H1672" ca="1" si="55">_xlfn.NORM.INV(RAND(),N$10,N$11)</f>
        <v>9.2397984713046243E-3</v>
      </c>
    </row>
    <row r="1610" spans="2:8" x14ac:dyDescent="0.3">
      <c r="B1610" s="4">
        <v>45167</v>
      </c>
      <c r="C1610" s="5">
        <v>3208.33</v>
      </c>
      <c r="D1610" s="6">
        <f t="shared" si="54"/>
        <v>-2.6285759376498546E-2</v>
      </c>
      <c r="E1610" s="6">
        <v>7.9769018580305856E-3</v>
      </c>
      <c r="F1610" s="6"/>
      <c r="G1610" s="6">
        <v>1603</v>
      </c>
      <c r="H1610" s="6">
        <f t="shared" ca="1" si="55"/>
        <v>-1.1226599373303971E-4</v>
      </c>
    </row>
    <row r="1611" spans="2:8" x14ac:dyDescent="0.3">
      <c r="B1611" s="4">
        <v>45112</v>
      </c>
      <c r="C1611" s="5">
        <v>3294.94</v>
      </c>
      <c r="D1611" s="6">
        <f t="shared" si="54"/>
        <v>40.91502353390154</v>
      </c>
      <c r="E1611" s="6">
        <v>7.9752330315981251E-3</v>
      </c>
      <c r="F1611" s="6"/>
      <c r="G1611" s="6">
        <v>1604</v>
      </c>
      <c r="H1611" s="6">
        <f t="shared" ca="1" si="55"/>
        <v>2.9233605343600963E-2</v>
      </c>
    </row>
    <row r="1612" spans="2:8" x14ac:dyDescent="0.3">
      <c r="B1612" s="4">
        <v>39321</v>
      </c>
      <c r="C1612" s="7">
        <v>78.61</v>
      </c>
      <c r="D1612" s="6">
        <f t="shared" si="54"/>
        <v>3.7642424242424242</v>
      </c>
      <c r="E1612" s="6">
        <v>7.9497371457879808E-3</v>
      </c>
      <c r="F1612" s="6"/>
      <c r="G1612" s="6">
        <v>1605</v>
      </c>
      <c r="H1612" s="6">
        <f t="shared" ca="1" si="55"/>
        <v>-2.6967623657326689E-2</v>
      </c>
    </row>
    <row r="1613" spans="2:8" x14ac:dyDescent="0.3">
      <c r="B1613" s="4">
        <v>37608</v>
      </c>
      <c r="C1613" s="7">
        <v>16.5</v>
      </c>
      <c r="D1613" s="6">
        <f t="shared" si="54"/>
        <v>-0.95040726157915301</v>
      </c>
      <c r="E1613" s="6">
        <v>7.9413561392791075E-3</v>
      </c>
      <c r="F1613" s="6"/>
      <c r="G1613" s="6">
        <v>1606</v>
      </c>
      <c r="H1613" s="6">
        <f t="shared" ca="1" si="55"/>
        <v>3.6301038473378613E-3</v>
      </c>
    </row>
    <row r="1614" spans="2:8" x14ac:dyDescent="0.3">
      <c r="B1614" s="4">
        <v>41102</v>
      </c>
      <c r="C1614" s="7">
        <v>332.71</v>
      </c>
      <c r="D1614" s="6">
        <f t="shared" si="54"/>
        <v>-0.89551254471281727</v>
      </c>
      <c r="E1614" s="6">
        <v>7.9372292405101783E-3</v>
      </c>
      <c r="F1614" s="6"/>
      <c r="G1614" s="6">
        <v>1607</v>
      </c>
      <c r="H1614" s="6">
        <f t="shared" ca="1" si="55"/>
        <v>-6.6604527715790063E-3</v>
      </c>
    </row>
    <row r="1615" spans="2:8" x14ac:dyDescent="0.3">
      <c r="B1615" s="4">
        <v>44581</v>
      </c>
      <c r="C1615" s="5">
        <v>3184.21</v>
      </c>
      <c r="D1615" s="6">
        <f t="shared" si="54"/>
        <v>7.9111553933380124E-2</v>
      </c>
      <c r="E1615" s="6">
        <v>7.9261324968266864E-3</v>
      </c>
      <c r="F1615" s="6"/>
      <c r="G1615" s="6">
        <v>1608</v>
      </c>
      <c r="H1615" s="6">
        <f t="shared" ca="1" si="55"/>
        <v>-3.5907794321466679E-3</v>
      </c>
    </row>
    <row r="1616" spans="2:8" x14ac:dyDescent="0.3">
      <c r="B1616" s="4">
        <v>44694</v>
      </c>
      <c r="C1616" s="5">
        <v>2950.77</v>
      </c>
      <c r="D1616" s="6">
        <f t="shared" si="54"/>
        <v>34.615811707905856</v>
      </c>
      <c r="E1616" s="6">
        <v>7.910889770153761E-3</v>
      </c>
      <c r="F1616" s="6"/>
      <c r="G1616" s="6">
        <v>1609</v>
      </c>
      <c r="H1616" s="6">
        <f t="shared" ca="1" si="55"/>
        <v>2.2766857921587853E-2</v>
      </c>
    </row>
    <row r="1617" spans="2:8" x14ac:dyDescent="0.3">
      <c r="B1617" s="4">
        <v>39734</v>
      </c>
      <c r="C1617" s="7">
        <v>82.85</v>
      </c>
      <c r="D1617" s="6">
        <f t="shared" si="54"/>
        <v>-0.95211259464770825</v>
      </c>
      <c r="E1617" s="6">
        <v>7.9075425790753225E-3</v>
      </c>
      <c r="F1617" s="6"/>
      <c r="G1617" s="6">
        <v>1610</v>
      </c>
      <c r="H1617" s="6">
        <f t="shared" ca="1" si="55"/>
        <v>-1.5305923624565064E-2</v>
      </c>
    </row>
    <row r="1618" spans="2:8" x14ac:dyDescent="0.3">
      <c r="B1618" s="4">
        <v>43844</v>
      </c>
      <c r="C1618" s="5">
        <v>1730.1</v>
      </c>
      <c r="D1618" s="6">
        <f t="shared" si="54"/>
        <v>0.30923372633299523</v>
      </c>
      <c r="E1618" s="6">
        <v>7.899612010206546E-3</v>
      </c>
      <c r="F1618" s="6"/>
      <c r="G1618" s="6">
        <v>1611</v>
      </c>
      <c r="H1618" s="6">
        <f t="shared" ca="1" si="55"/>
        <v>1.5862504377463015E-2</v>
      </c>
    </row>
    <row r="1619" spans="2:8" x14ac:dyDescent="0.3">
      <c r="B1619" s="4">
        <v>43636</v>
      </c>
      <c r="C1619" s="5">
        <v>1321.46</v>
      </c>
      <c r="D1619" s="6">
        <f t="shared" si="54"/>
        <v>12.429471544715446</v>
      </c>
      <c r="E1619" s="6">
        <v>7.8940744865039075E-3</v>
      </c>
      <c r="F1619" s="6"/>
      <c r="G1619" s="6">
        <v>1612</v>
      </c>
      <c r="H1619" s="6">
        <f t="shared" ca="1" si="55"/>
        <v>-2.5850499068938836E-3</v>
      </c>
    </row>
    <row r="1620" spans="2:8" x14ac:dyDescent="0.3">
      <c r="B1620" s="4">
        <v>39974</v>
      </c>
      <c r="C1620" s="7">
        <v>98.4</v>
      </c>
      <c r="D1620" s="6">
        <f t="shared" si="54"/>
        <v>-0.96563945875163681</v>
      </c>
      <c r="E1620" s="6">
        <v>7.8869200040972073E-3</v>
      </c>
      <c r="F1620" s="6"/>
      <c r="G1620" s="6">
        <v>1613</v>
      </c>
      <c r="H1620" s="6">
        <f t="shared" ca="1" si="55"/>
        <v>-7.2919170670313789E-3</v>
      </c>
    </row>
    <row r="1621" spans="2:8" x14ac:dyDescent="0.3">
      <c r="B1621" s="4">
        <v>45450</v>
      </c>
      <c r="C1621" s="5">
        <v>2863.75</v>
      </c>
      <c r="D1621" s="6">
        <f t="shared" si="54"/>
        <v>1.2163875301838896</v>
      </c>
      <c r="E1621" s="6">
        <v>7.8835764689320544E-3</v>
      </c>
      <c r="F1621" s="6"/>
      <c r="G1621" s="6">
        <v>1614</v>
      </c>
      <c r="H1621" s="6">
        <f t="shared" ca="1" si="55"/>
        <v>2.8572925772711276E-2</v>
      </c>
    </row>
    <row r="1622" spans="2:8" x14ac:dyDescent="0.3">
      <c r="B1622" s="4">
        <v>43607</v>
      </c>
      <c r="C1622" s="5">
        <v>1292.08</v>
      </c>
      <c r="D1622" s="6">
        <f t="shared" si="54"/>
        <v>7.014390274159533</v>
      </c>
      <c r="E1622" s="6">
        <v>7.8784380411550167E-3</v>
      </c>
      <c r="F1622" s="6"/>
      <c r="G1622" s="6">
        <v>1615</v>
      </c>
      <c r="H1622" s="6">
        <f t="shared" ca="1" si="55"/>
        <v>-6.1905809192809146E-3</v>
      </c>
    </row>
    <row r="1623" spans="2:8" x14ac:dyDescent="0.3">
      <c r="B1623" s="4">
        <v>40191</v>
      </c>
      <c r="C1623" s="7">
        <v>161.22</v>
      </c>
      <c r="D1623" s="6">
        <f t="shared" si="54"/>
        <v>1.0616368286445013</v>
      </c>
      <c r="E1623" s="6">
        <v>7.8769692423105199E-3</v>
      </c>
      <c r="F1623" s="6"/>
      <c r="G1623" s="6">
        <v>1616</v>
      </c>
      <c r="H1623" s="6">
        <f t="shared" ca="1" si="55"/>
        <v>2.6724141898917819E-2</v>
      </c>
    </row>
    <row r="1624" spans="2:8" x14ac:dyDescent="0.3">
      <c r="B1624" s="4">
        <v>39944</v>
      </c>
      <c r="C1624" s="7">
        <v>78.2</v>
      </c>
      <c r="D1624" s="6">
        <f t="shared" si="54"/>
        <v>-0.94086062164410489</v>
      </c>
      <c r="E1624" s="6">
        <v>7.8618378657043363E-3</v>
      </c>
      <c r="F1624" s="6"/>
      <c r="G1624" s="6">
        <v>1617</v>
      </c>
      <c r="H1624" s="6">
        <f t="shared" ca="1" si="55"/>
        <v>4.604433624703904E-2</v>
      </c>
    </row>
    <row r="1625" spans="2:8" x14ac:dyDescent="0.3">
      <c r="B1625" s="4">
        <v>43483</v>
      </c>
      <c r="C1625" s="5">
        <v>1322.3</v>
      </c>
      <c r="D1625" s="6">
        <f t="shared" si="54"/>
        <v>4.0214559677970607</v>
      </c>
      <c r="E1625" s="6">
        <v>7.8122022788765675E-3</v>
      </c>
      <c r="F1625" s="6"/>
      <c r="G1625" s="6">
        <v>1618</v>
      </c>
      <c r="H1625" s="6">
        <f t="shared" ca="1" si="55"/>
        <v>1.7955238946632437E-2</v>
      </c>
    </row>
    <row r="1626" spans="2:8" x14ac:dyDescent="0.3">
      <c r="B1626" s="4">
        <v>40718</v>
      </c>
      <c r="C1626" s="7">
        <v>263.33</v>
      </c>
      <c r="D1626" s="6">
        <f t="shared" si="54"/>
        <v>-0.88461268809100235</v>
      </c>
      <c r="E1626" s="6">
        <v>7.8074170461937447E-3</v>
      </c>
      <c r="F1626" s="6"/>
      <c r="G1626" s="6">
        <v>1619</v>
      </c>
      <c r="H1626" s="6">
        <f t="shared" ca="1" si="55"/>
        <v>-1.6550587023084287E-2</v>
      </c>
    </row>
    <row r="1627" spans="2:8" x14ac:dyDescent="0.3">
      <c r="B1627" s="4">
        <v>45828</v>
      </c>
      <c r="C1627" s="5">
        <v>2282.14</v>
      </c>
      <c r="D1627" s="6">
        <f t="shared" si="54"/>
        <v>1.1160119053138124</v>
      </c>
      <c r="E1627" s="6">
        <v>7.8031504060553127E-3</v>
      </c>
      <c r="F1627" s="6"/>
      <c r="G1627" s="6">
        <v>1620</v>
      </c>
      <c r="H1627" s="6">
        <f t="shared" ca="1" si="55"/>
        <v>-3.4400172035863298E-2</v>
      </c>
    </row>
    <row r="1628" spans="2:8" x14ac:dyDescent="0.3">
      <c r="B1628" s="4">
        <v>42627</v>
      </c>
      <c r="C1628" s="5">
        <v>1078.51</v>
      </c>
      <c r="D1628" s="6">
        <f t="shared" si="54"/>
        <v>0.51778828562582668</v>
      </c>
      <c r="E1628" s="6">
        <v>7.7931543586532209E-3</v>
      </c>
      <c r="F1628" s="6"/>
      <c r="G1628" s="6">
        <v>1621</v>
      </c>
      <c r="H1628" s="6">
        <f t="shared" ca="1" si="55"/>
        <v>1.8128191339388776E-2</v>
      </c>
    </row>
    <row r="1629" spans="2:8" x14ac:dyDescent="0.3">
      <c r="B1629" s="4">
        <v>42145</v>
      </c>
      <c r="C1629" s="7">
        <v>710.58</v>
      </c>
      <c r="D1629" s="6">
        <f t="shared" si="54"/>
        <v>-0.5645208736793077</v>
      </c>
      <c r="E1629" s="6">
        <v>7.7862400544611455E-3</v>
      </c>
      <c r="F1629" s="6"/>
      <c r="G1629" s="6">
        <v>1622</v>
      </c>
      <c r="H1629" s="6">
        <f t="shared" ca="1" si="55"/>
        <v>-3.124080650932573E-2</v>
      </c>
    </row>
    <row r="1630" spans="2:8" x14ac:dyDescent="0.3">
      <c r="B1630" s="4">
        <v>44018</v>
      </c>
      <c r="C1630" s="5">
        <v>1631.72</v>
      </c>
      <c r="D1630" s="6">
        <f t="shared" si="54"/>
        <v>-0.45656612080823017</v>
      </c>
      <c r="E1630" s="6">
        <v>7.782005039774777E-3</v>
      </c>
      <c r="F1630" s="6"/>
      <c r="G1630" s="6">
        <v>1623</v>
      </c>
      <c r="H1630" s="6">
        <f t="shared" ca="1" si="55"/>
        <v>-8.6325939010247973E-3</v>
      </c>
    </row>
    <row r="1631" spans="2:8" x14ac:dyDescent="0.3">
      <c r="B1631" s="4">
        <v>44883</v>
      </c>
      <c r="C1631" s="5">
        <v>3002.61</v>
      </c>
      <c r="D1631" s="6">
        <f t="shared" si="54"/>
        <v>1.8086975230113</v>
      </c>
      <c r="E1631" s="6">
        <v>7.7800116129596239E-3</v>
      </c>
      <c r="F1631" s="6"/>
      <c r="G1631" s="6">
        <v>1624</v>
      </c>
      <c r="H1631" s="6">
        <f t="shared" ca="1" si="55"/>
        <v>-1.3901140422621574E-2</v>
      </c>
    </row>
    <row r="1632" spans="2:8" x14ac:dyDescent="0.3">
      <c r="B1632" s="4">
        <v>43172</v>
      </c>
      <c r="C1632" s="5">
        <v>1069.04</v>
      </c>
      <c r="D1632" s="6">
        <f t="shared" si="54"/>
        <v>-5.2622250580457726E-2</v>
      </c>
      <c r="E1632" s="6">
        <v>7.7772226359599924E-3</v>
      </c>
      <c r="F1632" s="6"/>
      <c r="G1632" s="6">
        <v>1625</v>
      </c>
      <c r="H1632" s="6">
        <f t="shared" ca="1" si="55"/>
        <v>-1.5514873078671701E-2</v>
      </c>
    </row>
    <row r="1633" spans="2:8" x14ac:dyDescent="0.3">
      <c r="B1633" s="4">
        <v>42983</v>
      </c>
      <c r="C1633" s="5">
        <v>1128.42</v>
      </c>
      <c r="D1633" s="6">
        <f t="shared" si="54"/>
        <v>24.524089572494912</v>
      </c>
      <c r="E1633" s="6">
        <v>7.7697995927553725E-3</v>
      </c>
      <c r="F1633" s="6"/>
      <c r="G1633" s="6">
        <v>1626</v>
      </c>
      <c r="H1633" s="6">
        <f t="shared" ca="1" si="55"/>
        <v>1.2292721500635217E-2</v>
      </c>
    </row>
    <row r="1634" spans="2:8" x14ac:dyDescent="0.3">
      <c r="B1634" s="4">
        <v>38702</v>
      </c>
      <c r="C1634" s="7">
        <v>44.21</v>
      </c>
      <c r="D1634" s="6">
        <f t="shared" si="54"/>
        <v>-0.40353480841878037</v>
      </c>
      <c r="E1634" s="6">
        <v>7.7501709596536003E-3</v>
      </c>
      <c r="F1634" s="6"/>
      <c r="G1634" s="6">
        <v>1627</v>
      </c>
      <c r="H1634" s="6">
        <f t="shared" ca="1" si="55"/>
        <v>1.7364291986534334E-2</v>
      </c>
    </row>
    <row r="1635" spans="2:8" x14ac:dyDescent="0.3">
      <c r="B1635" s="4">
        <v>39282</v>
      </c>
      <c r="C1635" s="7">
        <v>74.12</v>
      </c>
      <c r="D1635" s="6">
        <f t="shared" si="54"/>
        <v>-0.96969721747520421</v>
      </c>
      <c r="E1635" s="6">
        <v>7.7498300475867766E-3</v>
      </c>
      <c r="F1635" s="6"/>
      <c r="G1635" s="6">
        <v>1628</v>
      </c>
      <c r="H1635" s="6">
        <f t="shared" ca="1" si="55"/>
        <v>1.3178740897023648E-2</v>
      </c>
    </row>
    <row r="1636" spans="2:8" x14ac:dyDescent="0.3">
      <c r="B1636" s="4">
        <v>45873</v>
      </c>
      <c r="C1636" s="5">
        <v>2445.98</v>
      </c>
      <c r="D1636" s="6">
        <f t="shared" si="54"/>
        <v>-0.21400408104243315</v>
      </c>
      <c r="E1636" s="6">
        <v>7.7331586471710238E-3</v>
      </c>
      <c r="F1636" s="6"/>
      <c r="G1636" s="6">
        <v>1629</v>
      </c>
      <c r="H1636" s="6">
        <f t="shared" ca="1" si="55"/>
        <v>-2.5803266381122514E-2</v>
      </c>
    </row>
    <row r="1637" spans="2:8" x14ac:dyDescent="0.3">
      <c r="B1637" s="4">
        <v>45537</v>
      </c>
      <c r="C1637" s="5">
        <v>3111.95</v>
      </c>
      <c r="D1637" s="6">
        <f t="shared" si="54"/>
        <v>6.4759765531158404</v>
      </c>
      <c r="E1637" s="6">
        <v>7.7264587495829689E-3</v>
      </c>
      <c r="F1637" s="6"/>
      <c r="G1637" s="6">
        <v>1630</v>
      </c>
      <c r="H1637" s="6">
        <f t="shared" ca="1" si="55"/>
        <v>-3.2793641608969179E-2</v>
      </c>
    </row>
    <row r="1638" spans="2:8" x14ac:dyDescent="0.3">
      <c r="B1638" s="4">
        <v>41444</v>
      </c>
      <c r="C1638" s="7">
        <v>416.26</v>
      </c>
      <c r="D1638" s="6">
        <f t="shared" si="54"/>
        <v>-0.23229007211228128</v>
      </c>
      <c r="E1638" s="6">
        <v>7.6982666795778225E-3</v>
      </c>
      <c r="F1638" s="6"/>
      <c r="G1638" s="6">
        <v>1631</v>
      </c>
      <c r="H1638" s="6">
        <f t="shared" ca="1" si="55"/>
        <v>3.5981887229166818E-3</v>
      </c>
    </row>
    <row r="1639" spans="2:8" x14ac:dyDescent="0.3">
      <c r="B1639" s="4">
        <v>41829</v>
      </c>
      <c r="C1639" s="7">
        <v>542.21</v>
      </c>
      <c r="D1639" s="6">
        <f t="shared" si="54"/>
        <v>2.184225980737609</v>
      </c>
      <c r="E1639" s="6">
        <v>7.6941661865556265E-3</v>
      </c>
      <c r="F1639" s="6"/>
      <c r="G1639" s="6">
        <v>1632</v>
      </c>
      <c r="H1639" s="6">
        <f t="shared" ca="1" si="55"/>
        <v>8.9633658919915718E-3</v>
      </c>
    </row>
    <row r="1640" spans="2:8" x14ac:dyDescent="0.3">
      <c r="B1640" s="4">
        <v>40218</v>
      </c>
      <c r="C1640" s="7">
        <v>170.28</v>
      </c>
      <c r="D1640" s="6">
        <f t="shared" si="54"/>
        <v>0.645058448459086</v>
      </c>
      <c r="E1640" s="6">
        <v>7.6932181323234195E-3</v>
      </c>
      <c r="F1640" s="6"/>
      <c r="G1640" s="6">
        <v>1633</v>
      </c>
      <c r="H1640" s="6">
        <f t="shared" ca="1" si="55"/>
        <v>1.2391690885055152E-3</v>
      </c>
    </row>
    <row r="1641" spans="2:8" x14ac:dyDescent="0.3">
      <c r="B1641" s="4">
        <v>39563</v>
      </c>
      <c r="C1641" s="7">
        <v>103.51</v>
      </c>
      <c r="D1641" s="6">
        <f t="shared" si="54"/>
        <v>1.2322738386308119E-2</v>
      </c>
      <c r="E1641" s="6">
        <v>7.6908099688474127E-3</v>
      </c>
      <c r="F1641" s="6"/>
      <c r="G1641" s="6">
        <v>1634</v>
      </c>
      <c r="H1641" s="6">
        <f t="shared" ca="1" si="55"/>
        <v>1.7474624279993353E-2</v>
      </c>
    </row>
    <row r="1642" spans="2:8" x14ac:dyDescent="0.3">
      <c r="B1642" s="4">
        <v>39701</v>
      </c>
      <c r="C1642" s="7">
        <v>102.25</v>
      </c>
      <c r="D1642" s="6">
        <f t="shared" si="54"/>
        <v>-0.7696397593890103</v>
      </c>
      <c r="E1642" s="6">
        <v>7.6870010840642666E-3</v>
      </c>
      <c r="F1642" s="6"/>
      <c r="G1642" s="6">
        <v>1635</v>
      </c>
      <c r="H1642" s="6">
        <f t="shared" ca="1" si="55"/>
        <v>9.8645049122056839E-3</v>
      </c>
    </row>
    <row r="1643" spans="2:8" x14ac:dyDescent="0.3">
      <c r="B1643" s="4">
        <v>41365</v>
      </c>
      <c r="C1643" s="7">
        <v>443.87</v>
      </c>
      <c r="D1643" s="6">
        <f t="shared" si="54"/>
        <v>-0.81801073395134871</v>
      </c>
      <c r="E1643" s="6">
        <v>7.673272946037357E-3</v>
      </c>
      <c r="F1643" s="6"/>
      <c r="G1643" s="6">
        <v>1636</v>
      </c>
      <c r="H1643" s="6">
        <f t="shared" ca="1" si="55"/>
        <v>-2.615697230938285E-2</v>
      </c>
    </row>
    <row r="1644" spans="2:8" x14ac:dyDescent="0.3">
      <c r="B1644" s="4">
        <v>45845</v>
      </c>
      <c r="C1644" s="5">
        <v>2438.9899999999998</v>
      </c>
      <c r="D1644" s="6">
        <f t="shared" si="54"/>
        <v>4.6005648809387125</v>
      </c>
      <c r="E1644" s="6">
        <v>7.6722221763163862E-3</v>
      </c>
      <c r="F1644" s="6"/>
      <c r="G1644" s="6">
        <v>1637</v>
      </c>
      <c r="H1644" s="6">
        <f t="shared" ca="1" si="55"/>
        <v>-9.1503365141257908E-3</v>
      </c>
    </row>
    <row r="1645" spans="2:8" x14ac:dyDescent="0.3">
      <c r="B1645" s="4">
        <v>41410</v>
      </c>
      <c r="C1645" s="7">
        <v>435.49</v>
      </c>
      <c r="D1645" s="6">
        <f t="shared" si="54"/>
        <v>0.57597799732204258</v>
      </c>
      <c r="E1645" s="6">
        <v>7.6588458512656813E-3</v>
      </c>
      <c r="F1645" s="6"/>
      <c r="G1645" s="6">
        <v>1638</v>
      </c>
      <c r="H1645" s="6">
        <f t="shared" ca="1" si="55"/>
        <v>3.9267067717172052E-3</v>
      </c>
    </row>
    <row r="1646" spans="2:8" x14ac:dyDescent="0.3">
      <c r="B1646" s="4">
        <v>40835</v>
      </c>
      <c r="C1646" s="7">
        <v>276.33</v>
      </c>
      <c r="D1646" s="6">
        <f t="shared" si="54"/>
        <v>-0.74404409040385333</v>
      </c>
      <c r="E1646" s="6">
        <v>7.6578054917403847E-3</v>
      </c>
      <c r="F1646" s="6"/>
      <c r="G1646" s="6">
        <v>1639</v>
      </c>
      <c r="H1646" s="6">
        <f t="shared" ca="1" si="55"/>
        <v>-1.0197581333898011E-2</v>
      </c>
    </row>
    <row r="1647" spans="2:8" x14ac:dyDescent="0.3">
      <c r="B1647" s="4">
        <v>42905</v>
      </c>
      <c r="C1647" s="5">
        <v>1079.5999999999999</v>
      </c>
      <c r="D1647" s="6">
        <f t="shared" si="54"/>
        <v>3.7063952221108156</v>
      </c>
      <c r="E1647" s="6">
        <v>7.6441324982964749E-3</v>
      </c>
      <c r="F1647" s="6"/>
      <c r="G1647" s="6">
        <v>1640</v>
      </c>
      <c r="H1647" s="6">
        <f t="shared" ca="1" si="55"/>
        <v>-3.9024041730888999E-3</v>
      </c>
    </row>
    <row r="1648" spans="2:8" x14ac:dyDescent="0.3">
      <c r="B1648" s="4">
        <v>40392</v>
      </c>
      <c r="C1648" s="7">
        <v>229.39</v>
      </c>
      <c r="D1648" s="6">
        <f t="shared" si="54"/>
        <v>3.3461538461538458</v>
      </c>
      <c r="E1648" s="6">
        <v>7.6433121019107431E-3</v>
      </c>
      <c r="F1648" s="6"/>
      <c r="G1648" s="6">
        <v>1641</v>
      </c>
      <c r="H1648" s="6">
        <f t="shared" ca="1" si="55"/>
        <v>2.1471132720575305E-2</v>
      </c>
    </row>
    <row r="1649" spans="2:8" x14ac:dyDescent="0.3">
      <c r="B1649" s="4">
        <v>38964</v>
      </c>
      <c r="C1649" s="7">
        <v>52.78</v>
      </c>
      <c r="D1649" s="6">
        <f t="shared" si="54"/>
        <v>-0.79700780739202337</v>
      </c>
      <c r="E1649" s="6">
        <v>7.6365024818632792E-3</v>
      </c>
      <c r="F1649" s="6"/>
      <c r="G1649" s="6">
        <v>1642</v>
      </c>
      <c r="H1649" s="6">
        <f t="shared" ca="1" si="55"/>
        <v>-1.1691123030541891E-2</v>
      </c>
    </row>
    <row r="1650" spans="2:8" x14ac:dyDescent="0.3">
      <c r="B1650" s="4">
        <v>40535</v>
      </c>
      <c r="C1650" s="7">
        <v>260.01</v>
      </c>
      <c r="D1650" s="6">
        <f t="shared" si="54"/>
        <v>-0.79108614954442458</v>
      </c>
      <c r="E1650" s="6">
        <v>7.6344752751510243E-3</v>
      </c>
      <c r="F1650" s="6"/>
      <c r="G1650" s="6">
        <v>1643</v>
      </c>
      <c r="H1650" s="6">
        <f t="shared" ca="1" si="55"/>
        <v>-1.0719716609787861E-2</v>
      </c>
    </row>
    <row r="1651" spans="2:8" x14ac:dyDescent="0.3">
      <c r="B1651" s="4">
        <v>43348</v>
      </c>
      <c r="C1651" s="5">
        <v>1244.58</v>
      </c>
      <c r="D1651" s="6">
        <f t="shared" si="54"/>
        <v>15.791419320021586</v>
      </c>
      <c r="E1651" s="6">
        <v>7.6265423103078506E-3</v>
      </c>
      <c r="F1651" s="6"/>
      <c r="G1651" s="6">
        <v>1644</v>
      </c>
      <c r="H1651" s="6">
        <f t="shared" ca="1" si="55"/>
        <v>-8.3195927376483927E-3</v>
      </c>
    </row>
    <row r="1652" spans="2:8" x14ac:dyDescent="0.3">
      <c r="B1652" s="4">
        <v>39808</v>
      </c>
      <c r="C1652" s="7">
        <v>74.12</v>
      </c>
      <c r="D1652" s="6">
        <f t="shared" si="54"/>
        <v>-0.68026917435941681</v>
      </c>
      <c r="E1652" s="6">
        <v>7.6128330614464688E-3</v>
      </c>
      <c r="F1652" s="6"/>
      <c r="G1652" s="6">
        <v>1645</v>
      </c>
      <c r="H1652" s="6">
        <f t="shared" ca="1" si="55"/>
        <v>-5.2108830224599709E-3</v>
      </c>
    </row>
    <row r="1653" spans="2:8" x14ac:dyDescent="0.3">
      <c r="B1653" s="4">
        <v>40408</v>
      </c>
      <c r="C1653" s="7">
        <v>231.82</v>
      </c>
      <c r="D1653" s="6">
        <f t="shared" si="54"/>
        <v>-0.90954777790783869</v>
      </c>
      <c r="E1653" s="6">
        <v>7.606380666753597E-3</v>
      </c>
      <c r="F1653" s="6"/>
      <c r="G1653" s="6">
        <v>1646</v>
      </c>
      <c r="H1653" s="6">
        <f t="shared" ca="1" si="55"/>
        <v>2.5498032897736469E-4</v>
      </c>
    </row>
    <row r="1654" spans="2:8" x14ac:dyDescent="0.3">
      <c r="B1654" s="4">
        <v>46134</v>
      </c>
      <c r="C1654" s="5">
        <v>2562.9</v>
      </c>
      <c r="D1654" s="6">
        <f t="shared" si="54"/>
        <v>7.5980721434808898E-2</v>
      </c>
      <c r="E1654" s="6">
        <v>7.5876710174556461E-3</v>
      </c>
      <c r="F1654" s="6"/>
      <c r="G1654" s="6">
        <v>1647</v>
      </c>
      <c r="H1654" s="6">
        <f t="shared" ca="1" si="55"/>
        <v>1.3443754437072594E-2</v>
      </c>
    </row>
    <row r="1655" spans="2:8" x14ac:dyDescent="0.3">
      <c r="B1655" s="4">
        <v>45639</v>
      </c>
      <c r="C1655" s="5">
        <v>2381.92</v>
      </c>
      <c r="D1655" s="6">
        <f t="shared" si="54"/>
        <v>3.7663184856125187</v>
      </c>
      <c r="E1655" s="6">
        <v>7.5718479539090581E-3</v>
      </c>
      <c r="F1655" s="6"/>
      <c r="G1655" s="6">
        <v>1648</v>
      </c>
      <c r="H1655" s="6">
        <f t="shared" ca="1" si="55"/>
        <v>1.3808654022749495E-2</v>
      </c>
    </row>
    <row r="1656" spans="2:8" x14ac:dyDescent="0.3">
      <c r="B1656" s="4">
        <v>41584</v>
      </c>
      <c r="C1656" s="7">
        <v>499.74</v>
      </c>
      <c r="D1656" s="6">
        <f t="shared" si="54"/>
        <v>-0.67408402572162729</v>
      </c>
      <c r="E1656" s="6">
        <v>7.5606363031512731E-3</v>
      </c>
      <c r="F1656" s="6"/>
      <c r="G1656" s="6">
        <v>1649</v>
      </c>
      <c r="H1656" s="6">
        <f t="shared" ca="1" si="55"/>
        <v>-1.0337318633222311E-2</v>
      </c>
    </row>
    <row r="1657" spans="2:8" x14ac:dyDescent="0.3">
      <c r="B1657" s="4">
        <v>43706</v>
      </c>
      <c r="C1657" s="5">
        <v>1533.34</v>
      </c>
      <c r="D1657" s="6">
        <f t="shared" si="54"/>
        <v>30.898065321406282</v>
      </c>
      <c r="E1657" s="6">
        <v>7.5500213555869562E-3</v>
      </c>
      <c r="F1657" s="6"/>
      <c r="G1657" s="6">
        <v>1650</v>
      </c>
      <c r="H1657" s="6">
        <f t="shared" ca="1" si="55"/>
        <v>-3.7224658531109657E-2</v>
      </c>
    </row>
    <row r="1658" spans="2:8" x14ac:dyDescent="0.3">
      <c r="B1658" s="4">
        <v>38720</v>
      </c>
      <c r="C1658" s="7">
        <v>48.07</v>
      </c>
      <c r="D1658" s="6">
        <f t="shared" si="54"/>
        <v>-0.97133537668904824</v>
      </c>
      <c r="E1658" s="6">
        <v>7.5455879270593046E-3</v>
      </c>
      <c r="F1658" s="6"/>
      <c r="G1658" s="6">
        <v>1651</v>
      </c>
      <c r="H1658" s="6">
        <f t="shared" ca="1" si="55"/>
        <v>1.2014162505072739E-2</v>
      </c>
    </row>
    <row r="1659" spans="2:8" x14ac:dyDescent="0.3">
      <c r="B1659" s="4">
        <v>43938</v>
      </c>
      <c r="C1659" s="5">
        <v>1676.98</v>
      </c>
      <c r="D1659" s="6">
        <f t="shared" si="54"/>
        <v>53.553675992192588</v>
      </c>
      <c r="E1659" s="6">
        <v>7.5401188394825583E-3</v>
      </c>
      <c r="F1659" s="6"/>
      <c r="G1659" s="6">
        <v>1652</v>
      </c>
      <c r="H1659" s="6">
        <f t="shared" ca="1" si="55"/>
        <v>-1.6731797785665827E-2</v>
      </c>
    </row>
    <row r="1660" spans="2:8" x14ac:dyDescent="0.3">
      <c r="B1660" s="4">
        <v>38497</v>
      </c>
      <c r="C1660" s="7">
        <v>30.74</v>
      </c>
      <c r="D1660" s="6">
        <f t="shared" si="54"/>
        <v>-0.95816320975556646</v>
      </c>
      <c r="E1660" s="6">
        <v>7.5385119632906212E-3</v>
      </c>
      <c r="F1660" s="6"/>
      <c r="G1660" s="6">
        <v>1653</v>
      </c>
      <c r="H1660" s="6">
        <f t="shared" ca="1" si="55"/>
        <v>-2.5086977327316701E-2</v>
      </c>
    </row>
    <row r="1661" spans="2:8" x14ac:dyDescent="0.3">
      <c r="B1661" s="4">
        <v>42044</v>
      </c>
      <c r="C1661" s="7">
        <v>734.76</v>
      </c>
      <c r="D1661" s="6">
        <f t="shared" si="54"/>
        <v>-0.74550945905693455</v>
      </c>
      <c r="E1661" s="6">
        <v>7.528076021226719E-3</v>
      </c>
      <c r="F1661" s="6"/>
      <c r="G1661" s="6">
        <v>1654</v>
      </c>
      <c r="H1661" s="6">
        <f t="shared" ca="1" si="55"/>
        <v>6.1552774120325502E-3</v>
      </c>
    </row>
    <row r="1662" spans="2:8" x14ac:dyDescent="0.3">
      <c r="B1662" s="4">
        <v>45331</v>
      </c>
      <c r="C1662" s="5">
        <v>2887.18</v>
      </c>
      <c r="D1662" s="6">
        <f t="shared" si="54"/>
        <v>0.19775150383737808</v>
      </c>
      <c r="E1662" s="6">
        <v>7.5271931630611659E-3</v>
      </c>
      <c r="F1662" s="6"/>
      <c r="G1662" s="6">
        <v>1655</v>
      </c>
      <c r="H1662" s="6">
        <f t="shared" ca="1" si="55"/>
        <v>7.8920588247837469E-3</v>
      </c>
    </row>
    <row r="1663" spans="2:8" x14ac:dyDescent="0.3">
      <c r="B1663" s="4">
        <v>46065</v>
      </c>
      <c r="C1663" s="5">
        <v>2410.5</v>
      </c>
      <c r="D1663" s="6">
        <f t="shared" si="54"/>
        <v>4.4416777659886675</v>
      </c>
      <c r="E1663" s="6">
        <v>7.5235109717868339E-3</v>
      </c>
      <c r="F1663" s="6"/>
      <c r="G1663" s="6">
        <v>1656</v>
      </c>
      <c r="H1663" s="6">
        <f t="shared" ca="1" si="55"/>
        <v>-2.0614700362694593E-2</v>
      </c>
    </row>
    <row r="1664" spans="2:8" x14ac:dyDescent="0.3">
      <c r="B1664" s="4">
        <v>41628</v>
      </c>
      <c r="C1664" s="7">
        <v>442.97</v>
      </c>
      <c r="D1664" s="6">
        <f t="shared" si="54"/>
        <v>-0.84023299430137788</v>
      </c>
      <c r="E1664" s="6">
        <v>7.5056292219164633E-3</v>
      </c>
      <c r="F1664" s="6"/>
      <c r="G1664" s="6">
        <v>1657</v>
      </c>
      <c r="H1664" s="6">
        <f t="shared" ca="1" si="55"/>
        <v>1.1461296499118178E-2</v>
      </c>
    </row>
    <row r="1665" spans="2:8" x14ac:dyDescent="0.3">
      <c r="B1665" s="4">
        <v>46024</v>
      </c>
      <c r="C1665" s="5">
        <v>2772.6</v>
      </c>
      <c r="D1665" s="6">
        <f t="shared" si="54"/>
        <v>-9.9702888315230678E-2</v>
      </c>
      <c r="E1665" s="6">
        <v>7.4854651162790369E-3</v>
      </c>
      <c r="F1665" s="6"/>
      <c r="G1665" s="6">
        <v>1658</v>
      </c>
      <c r="H1665" s="6">
        <f t="shared" ca="1" si="55"/>
        <v>1.9860599269369988E-2</v>
      </c>
    </row>
    <row r="1666" spans="2:8" x14ac:dyDescent="0.3">
      <c r="B1666" s="4">
        <v>44473</v>
      </c>
      <c r="C1666" s="5">
        <v>3079.65</v>
      </c>
      <c r="D1666" s="6">
        <f t="shared" si="54"/>
        <v>119.11115444617785</v>
      </c>
      <c r="E1666" s="6">
        <v>7.4751373985867276E-3</v>
      </c>
      <c r="F1666" s="6"/>
      <c r="G1666" s="6">
        <v>1659</v>
      </c>
      <c r="H1666" s="6">
        <f t="shared" ca="1" si="55"/>
        <v>-1.9897526904453341E-2</v>
      </c>
    </row>
    <row r="1667" spans="2:8" x14ac:dyDescent="0.3">
      <c r="B1667" s="4">
        <v>38349</v>
      </c>
      <c r="C1667" s="7">
        <v>25.64</v>
      </c>
      <c r="D1667" s="6">
        <f t="shared" si="54"/>
        <v>-0.54882984339257435</v>
      </c>
      <c r="E1667" s="6">
        <v>7.4656188605108555E-3</v>
      </c>
      <c r="F1667" s="6"/>
      <c r="G1667" s="6">
        <v>1660</v>
      </c>
      <c r="H1667" s="6">
        <f t="shared" ca="1" si="55"/>
        <v>-1.3730461682945946E-2</v>
      </c>
    </row>
    <row r="1668" spans="2:8" x14ac:dyDescent="0.3">
      <c r="B1668" s="4">
        <v>39042</v>
      </c>
      <c r="C1668" s="7">
        <v>56.83</v>
      </c>
      <c r="D1668" s="6">
        <f t="shared" si="54"/>
        <v>-0.92714289377195447</v>
      </c>
      <c r="E1668" s="6">
        <v>7.445488388583615E-3</v>
      </c>
      <c r="F1668" s="6"/>
      <c r="G1668" s="6">
        <v>1661</v>
      </c>
      <c r="H1668" s="6">
        <f t="shared" ca="1" si="55"/>
        <v>-3.233136667994814E-2</v>
      </c>
    </row>
    <row r="1669" spans="2:8" x14ac:dyDescent="0.3">
      <c r="B1669" s="4">
        <v>42103</v>
      </c>
      <c r="C1669" s="7">
        <v>780.02</v>
      </c>
      <c r="D1669" s="6">
        <f t="shared" si="54"/>
        <v>-0.6554377595193922</v>
      </c>
      <c r="E1669" s="6">
        <v>7.4393614548084507E-3</v>
      </c>
      <c r="F1669" s="6"/>
      <c r="G1669" s="6">
        <v>1662</v>
      </c>
      <c r="H1669" s="6">
        <f t="shared" ca="1" si="55"/>
        <v>-2.30855322581313E-2</v>
      </c>
    </row>
    <row r="1670" spans="2:8" x14ac:dyDescent="0.3">
      <c r="B1670" s="4">
        <v>45656</v>
      </c>
      <c r="C1670" s="5">
        <v>2263.8000000000002</v>
      </c>
      <c r="D1670" s="6">
        <f t="shared" si="54"/>
        <v>97.042442615851016</v>
      </c>
      <c r="E1670" s="6">
        <v>7.418351408240766E-3</v>
      </c>
      <c r="F1670" s="6"/>
      <c r="G1670" s="6">
        <v>1663</v>
      </c>
      <c r="H1670" s="6">
        <f t="shared" ca="1" si="55"/>
        <v>8.9583114965160731E-3</v>
      </c>
    </row>
    <row r="1671" spans="2:8" x14ac:dyDescent="0.3">
      <c r="B1671" s="4">
        <v>37911</v>
      </c>
      <c r="C1671" s="7">
        <v>23.09</v>
      </c>
      <c r="D1671" s="6">
        <f t="shared" si="54"/>
        <v>-0.97076289965178852</v>
      </c>
      <c r="E1671" s="6">
        <v>7.4171029668411055E-3</v>
      </c>
      <c r="F1671" s="6"/>
      <c r="G1671" s="6">
        <v>1664</v>
      </c>
      <c r="H1671" s="6">
        <f t="shared" ca="1" si="55"/>
        <v>3.3439783770518733E-2</v>
      </c>
    </row>
    <row r="1672" spans="2:8" x14ac:dyDescent="0.3">
      <c r="B1672" s="4">
        <v>42332</v>
      </c>
      <c r="C1672" s="7">
        <v>789.75</v>
      </c>
      <c r="D1672" s="6">
        <f t="shared" ref="D1672:D1735" si="56">((C1672-C1673)/C1673)</f>
        <v>-0.7620769126485607</v>
      </c>
      <c r="E1672" s="6">
        <v>7.411281475623064E-3</v>
      </c>
      <c r="F1672" s="6"/>
      <c r="G1672" s="6">
        <v>1665</v>
      </c>
      <c r="H1672" s="6">
        <f t="shared" ca="1" si="55"/>
        <v>-4.4557119905388031E-3</v>
      </c>
    </row>
    <row r="1673" spans="2:8" x14ac:dyDescent="0.3">
      <c r="B1673" s="4">
        <v>45113</v>
      </c>
      <c r="C1673" s="5">
        <v>3319.35</v>
      </c>
      <c r="D1673" s="6">
        <f t="shared" si="56"/>
        <v>202.39154411764704</v>
      </c>
      <c r="E1673" s="6">
        <v>7.4083291349766166E-3</v>
      </c>
      <c r="F1673" s="6"/>
      <c r="G1673" s="6">
        <v>1666</v>
      </c>
      <c r="H1673" s="6">
        <f t="shared" ref="H1673:H1736" ca="1" si="57">_xlfn.NORM.INV(RAND(),N$10,N$11)</f>
        <v>2.7187491373325864E-2</v>
      </c>
    </row>
    <row r="1674" spans="2:8" x14ac:dyDescent="0.3">
      <c r="B1674" s="4">
        <v>37560</v>
      </c>
      <c r="C1674" s="7">
        <v>16.32</v>
      </c>
      <c r="D1674" s="6">
        <f t="shared" si="56"/>
        <v>-0.84838350055741352</v>
      </c>
      <c r="E1674" s="6">
        <v>7.4074074074074693E-3</v>
      </c>
      <c r="F1674" s="6"/>
      <c r="G1674" s="6">
        <v>1667</v>
      </c>
      <c r="H1674" s="6">
        <f t="shared" ca="1" si="57"/>
        <v>1.1963319627840731E-2</v>
      </c>
    </row>
    <row r="1675" spans="2:8" x14ac:dyDescent="0.3">
      <c r="B1675" s="4">
        <v>39612</v>
      </c>
      <c r="C1675" s="7">
        <v>107.64</v>
      </c>
      <c r="D1675" s="6">
        <f t="shared" si="56"/>
        <v>-0.89962326084523858</v>
      </c>
      <c r="E1675" s="6">
        <v>7.3935423490875648E-3</v>
      </c>
      <c r="F1675" s="6"/>
      <c r="G1675" s="6">
        <v>1668</v>
      </c>
      <c r="H1675" s="6">
        <f t="shared" ca="1" si="57"/>
        <v>-2.8489146178074281E-2</v>
      </c>
    </row>
    <row r="1676" spans="2:8" x14ac:dyDescent="0.3">
      <c r="B1676" s="4">
        <v>43147</v>
      </c>
      <c r="C1676" s="5">
        <v>1072.3599999999999</v>
      </c>
      <c r="D1676" s="6">
        <f t="shared" si="56"/>
        <v>-0.69009175637598452</v>
      </c>
      <c r="E1676" s="6">
        <v>7.3932117727737142E-3</v>
      </c>
      <c r="F1676" s="6"/>
      <c r="G1676" s="6">
        <v>1669</v>
      </c>
      <c r="H1676" s="6">
        <f t="shared" ca="1" si="57"/>
        <v>2.0310227339575684E-2</v>
      </c>
    </row>
    <row r="1677" spans="2:8" x14ac:dyDescent="0.3">
      <c r="B1677" s="4">
        <v>45131</v>
      </c>
      <c r="C1677" s="5">
        <v>3460.25</v>
      </c>
      <c r="D1677" s="6">
        <f t="shared" si="56"/>
        <v>1.2233966677161712</v>
      </c>
      <c r="E1677" s="6">
        <v>7.3889259273277035E-3</v>
      </c>
      <c r="F1677" s="6"/>
      <c r="G1677" s="6">
        <v>1670</v>
      </c>
      <c r="H1677" s="6">
        <f t="shared" ca="1" si="57"/>
        <v>-3.2377585044685506E-2</v>
      </c>
    </row>
    <row r="1678" spans="2:8" x14ac:dyDescent="0.3">
      <c r="B1678" s="4">
        <v>43977</v>
      </c>
      <c r="C1678" s="5">
        <v>1556.29</v>
      </c>
      <c r="D1678" s="6">
        <f t="shared" si="56"/>
        <v>-0.51619632054414666</v>
      </c>
      <c r="E1678" s="6">
        <v>7.3856869141938879E-3</v>
      </c>
      <c r="F1678" s="6"/>
      <c r="G1678" s="6">
        <v>1671</v>
      </c>
      <c r="H1678" s="6">
        <f t="shared" ca="1" si="57"/>
        <v>-3.8497655332816065E-2</v>
      </c>
    </row>
    <row r="1679" spans="2:8" x14ac:dyDescent="0.3">
      <c r="B1679" s="4">
        <v>45092</v>
      </c>
      <c r="C1679" s="5">
        <v>3216.78</v>
      </c>
      <c r="D1679" s="6">
        <f t="shared" si="56"/>
        <v>3.0937412507317572</v>
      </c>
      <c r="E1679" s="6">
        <v>7.3844419391207511E-3</v>
      </c>
      <c r="F1679" s="6"/>
      <c r="G1679" s="6">
        <v>1672</v>
      </c>
      <c r="H1679" s="6">
        <f t="shared" ca="1" si="57"/>
        <v>1.5131298643024479E-2</v>
      </c>
    </row>
    <row r="1680" spans="2:8" x14ac:dyDescent="0.3">
      <c r="B1680" s="4">
        <v>42104</v>
      </c>
      <c r="C1680" s="7">
        <v>785.78</v>
      </c>
      <c r="D1680" s="6">
        <f t="shared" si="56"/>
        <v>-0.5805034300509837</v>
      </c>
      <c r="E1680" s="6">
        <v>7.3844260403579283E-3</v>
      </c>
      <c r="F1680" s="6"/>
      <c r="G1680" s="6">
        <v>1673</v>
      </c>
      <c r="H1680" s="6">
        <f t="shared" ca="1" si="57"/>
        <v>-2.8627071622257484E-3</v>
      </c>
    </row>
    <row r="1681" spans="2:8" x14ac:dyDescent="0.3">
      <c r="B1681" s="4">
        <v>44103</v>
      </c>
      <c r="C1681" s="5">
        <v>1873.15</v>
      </c>
      <c r="D1681" s="6">
        <f t="shared" si="56"/>
        <v>-0.3777778515954584</v>
      </c>
      <c r="E1681" s="6">
        <v>7.3786052715079497E-3</v>
      </c>
      <c r="F1681" s="6"/>
      <c r="G1681" s="6">
        <v>1674</v>
      </c>
      <c r="H1681" s="6">
        <f t="shared" ca="1" si="57"/>
        <v>-1.5998394131068912E-2</v>
      </c>
    </row>
    <row r="1682" spans="2:8" x14ac:dyDescent="0.3">
      <c r="B1682" s="4">
        <v>45520</v>
      </c>
      <c r="C1682" s="5">
        <v>3010.42</v>
      </c>
      <c r="D1682" s="6">
        <f t="shared" si="56"/>
        <v>4.0753953535421656</v>
      </c>
      <c r="E1682" s="6">
        <v>7.3718624409799928E-3</v>
      </c>
      <c r="F1682" s="6"/>
      <c r="G1682" s="6">
        <v>1675</v>
      </c>
      <c r="H1682" s="6">
        <f t="shared" ca="1" si="57"/>
        <v>-1.9606581369266685E-2</v>
      </c>
    </row>
    <row r="1683" spans="2:8" x14ac:dyDescent="0.3">
      <c r="B1683" s="4">
        <v>41939</v>
      </c>
      <c r="C1683" s="7">
        <v>593.14</v>
      </c>
      <c r="D1683" s="6">
        <f t="shared" si="56"/>
        <v>0.49413068668446763</v>
      </c>
      <c r="E1683" s="6">
        <v>7.3709239130435329E-3</v>
      </c>
      <c r="F1683" s="6"/>
      <c r="G1683" s="6">
        <v>1676</v>
      </c>
      <c r="H1683" s="6">
        <f t="shared" ca="1" si="57"/>
        <v>2.5686621783028676E-2</v>
      </c>
    </row>
    <row r="1684" spans="2:8" x14ac:dyDescent="0.3">
      <c r="B1684" s="4">
        <v>41303</v>
      </c>
      <c r="C1684" s="7">
        <v>396.98</v>
      </c>
      <c r="D1684" s="6">
        <f t="shared" si="56"/>
        <v>-0.86013015245524471</v>
      </c>
      <c r="E1684" s="6">
        <v>7.3589118960618004E-3</v>
      </c>
      <c r="F1684" s="6"/>
      <c r="G1684" s="6">
        <v>1677</v>
      </c>
      <c r="H1684" s="6">
        <f t="shared" ca="1" si="57"/>
        <v>-1.4792085159577287E-3</v>
      </c>
    </row>
    <row r="1685" spans="2:8" x14ac:dyDescent="0.3">
      <c r="B1685" s="4">
        <v>44357</v>
      </c>
      <c r="C1685" s="5">
        <v>2838.21</v>
      </c>
      <c r="D1685" s="6">
        <f t="shared" si="56"/>
        <v>18.360231923601638</v>
      </c>
      <c r="E1685" s="6">
        <v>7.3576387410026044E-3</v>
      </c>
      <c r="F1685" s="6"/>
      <c r="G1685" s="6">
        <v>1678</v>
      </c>
      <c r="H1685" s="6">
        <f t="shared" ca="1" si="57"/>
        <v>-2.0412508794667153E-4</v>
      </c>
    </row>
    <row r="1686" spans="2:8" x14ac:dyDescent="0.3">
      <c r="B1686" s="4">
        <v>40136</v>
      </c>
      <c r="C1686" s="7">
        <v>146.6</v>
      </c>
      <c r="D1686" s="6">
        <f t="shared" si="56"/>
        <v>-0.86509119687850844</v>
      </c>
      <c r="E1686" s="6">
        <v>7.3524359238644485E-3</v>
      </c>
      <c r="F1686" s="6"/>
      <c r="G1686" s="6">
        <v>1679</v>
      </c>
      <c r="H1686" s="6">
        <f t="shared" ca="1" si="57"/>
        <v>3.4170711539934055E-2</v>
      </c>
    </row>
    <row r="1687" spans="2:8" x14ac:dyDescent="0.3">
      <c r="B1687" s="4">
        <v>42947</v>
      </c>
      <c r="C1687" s="5">
        <v>1086.6600000000001</v>
      </c>
      <c r="D1687" s="6">
        <f t="shared" si="56"/>
        <v>64.898120072771391</v>
      </c>
      <c r="E1687" s="6">
        <v>7.3325608342990328E-3</v>
      </c>
      <c r="F1687" s="6"/>
      <c r="G1687" s="6">
        <v>1680</v>
      </c>
      <c r="H1687" s="6">
        <f t="shared" ca="1" si="57"/>
        <v>6.132240469315862E-3</v>
      </c>
    </row>
    <row r="1688" spans="2:8" x14ac:dyDescent="0.3">
      <c r="B1688" s="4">
        <v>37476</v>
      </c>
      <c r="C1688" s="7">
        <v>16.489999999999998</v>
      </c>
      <c r="D1688" s="6">
        <f t="shared" si="56"/>
        <v>-0.98354176439471819</v>
      </c>
      <c r="E1688" s="6">
        <v>7.3304825901036917E-3</v>
      </c>
      <c r="F1688" s="6"/>
      <c r="G1688" s="6">
        <v>1681</v>
      </c>
      <c r="H1688" s="6">
        <f t="shared" ca="1" si="57"/>
        <v>4.1025053813288177E-3</v>
      </c>
    </row>
    <row r="1689" spans="2:8" x14ac:dyDescent="0.3">
      <c r="B1689" s="4">
        <v>42838</v>
      </c>
      <c r="C1689" s="5">
        <v>1001.93</v>
      </c>
      <c r="D1689" s="6">
        <f t="shared" si="56"/>
        <v>-0.23986799180638796</v>
      </c>
      <c r="E1689" s="6">
        <v>7.3292849674253639E-3</v>
      </c>
      <c r="F1689" s="6"/>
      <c r="G1689" s="6">
        <v>1682</v>
      </c>
      <c r="H1689" s="6">
        <f t="shared" ca="1" si="57"/>
        <v>1.7851150892407935E-2</v>
      </c>
    </row>
    <row r="1690" spans="2:8" x14ac:dyDescent="0.3">
      <c r="B1690" s="4">
        <v>43472</v>
      </c>
      <c r="C1690" s="5">
        <v>1318.1</v>
      </c>
      <c r="D1690" s="6">
        <f t="shared" si="56"/>
        <v>-0.4213377585783023</v>
      </c>
      <c r="E1690" s="6">
        <v>7.3289466645267655E-3</v>
      </c>
      <c r="F1690" s="6"/>
      <c r="G1690" s="6">
        <v>1683</v>
      </c>
      <c r="H1690" s="6">
        <f t="shared" ca="1" si="57"/>
        <v>1.80340209766172E-3</v>
      </c>
    </row>
    <row r="1691" spans="2:8" x14ac:dyDescent="0.3">
      <c r="B1691" s="4">
        <v>45826</v>
      </c>
      <c r="C1691" s="5">
        <v>2277.84</v>
      </c>
      <c r="D1691" s="6">
        <f t="shared" si="56"/>
        <v>-4.3056533009279705E-3</v>
      </c>
      <c r="E1691" s="6">
        <v>7.327740605942751E-3</v>
      </c>
      <c r="F1691" s="6"/>
      <c r="G1691" s="6">
        <v>1684</v>
      </c>
      <c r="H1691" s="6">
        <f t="shared" ca="1" si="57"/>
        <v>-2.3397626989325054E-2</v>
      </c>
    </row>
    <row r="1692" spans="2:8" x14ac:dyDescent="0.3">
      <c r="B1692" s="4">
        <v>45798</v>
      </c>
      <c r="C1692" s="5">
        <v>2287.69</v>
      </c>
      <c r="D1692" s="6">
        <f t="shared" si="56"/>
        <v>1.1211578937608369</v>
      </c>
      <c r="E1692" s="6">
        <v>7.3181363850519316E-3</v>
      </c>
      <c r="F1692" s="6"/>
      <c r="G1692" s="6">
        <v>1685</v>
      </c>
      <c r="H1692" s="6">
        <f t="shared" ca="1" si="57"/>
        <v>1.9455087849917872E-2</v>
      </c>
    </row>
    <row r="1693" spans="2:8" x14ac:dyDescent="0.3">
      <c r="B1693" s="4">
        <v>42632</v>
      </c>
      <c r="C1693" s="5">
        <v>1078.51</v>
      </c>
      <c r="D1693" s="6">
        <f t="shared" si="56"/>
        <v>-0.49363350392037186</v>
      </c>
      <c r="E1693" s="6">
        <v>7.3131094257854138E-3</v>
      </c>
      <c r="F1693" s="6"/>
      <c r="G1693" s="6">
        <v>1686</v>
      </c>
      <c r="H1693" s="6">
        <f t="shared" ca="1" si="57"/>
        <v>3.1639307214776986E-2</v>
      </c>
    </row>
    <row r="1694" spans="2:8" x14ac:dyDescent="0.3">
      <c r="B1694" s="4">
        <v>44144</v>
      </c>
      <c r="C1694" s="5">
        <v>2129.9</v>
      </c>
      <c r="D1694" s="6">
        <f t="shared" si="56"/>
        <v>24.343883864826275</v>
      </c>
      <c r="E1694" s="6">
        <v>7.3116286108851685E-3</v>
      </c>
      <c r="F1694" s="6"/>
      <c r="G1694" s="6">
        <v>1687</v>
      </c>
      <c r="H1694" s="6">
        <f t="shared" ca="1" si="57"/>
        <v>8.8117492123522146E-3</v>
      </c>
    </row>
    <row r="1695" spans="2:8" x14ac:dyDescent="0.3">
      <c r="B1695" s="4">
        <v>39412</v>
      </c>
      <c r="C1695" s="7">
        <v>84.04</v>
      </c>
      <c r="D1695" s="6">
        <f t="shared" si="56"/>
        <v>-0.9722157018973594</v>
      </c>
      <c r="E1695" s="6">
        <v>7.311518638379472E-3</v>
      </c>
      <c r="F1695" s="6"/>
      <c r="G1695" s="6">
        <v>1688</v>
      </c>
      <c r="H1695" s="6">
        <f t="shared" ca="1" si="57"/>
        <v>-1.7908638280307223E-2</v>
      </c>
    </row>
    <row r="1696" spans="2:8" x14ac:dyDescent="0.3">
      <c r="B1696" s="4">
        <v>44656</v>
      </c>
      <c r="C1696" s="5">
        <v>3024.73</v>
      </c>
      <c r="D1696" s="6">
        <f t="shared" si="56"/>
        <v>1.3477002126701747</v>
      </c>
      <c r="E1696" s="6">
        <v>7.309892832641691E-3</v>
      </c>
      <c r="F1696" s="6"/>
      <c r="G1696" s="6">
        <v>1689</v>
      </c>
      <c r="H1696" s="6">
        <f t="shared" ca="1" si="57"/>
        <v>4.5223348051691252E-3</v>
      </c>
    </row>
    <row r="1697" spans="2:8" x14ac:dyDescent="0.3">
      <c r="B1697" s="4">
        <v>43294</v>
      </c>
      <c r="C1697" s="5">
        <v>1288.3800000000001</v>
      </c>
      <c r="D1697" s="6">
        <f t="shared" si="56"/>
        <v>0.65454802296164072</v>
      </c>
      <c r="E1697" s="6">
        <v>7.2944763691803723E-3</v>
      </c>
      <c r="F1697" s="6"/>
      <c r="G1697" s="6">
        <v>1690</v>
      </c>
      <c r="H1697" s="6">
        <f t="shared" ca="1" si="57"/>
        <v>1.7870596655467077E-3</v>
      </c>
    </row>
    <row r="1698" spans="2:8" x14ac:dyDescent="0.3">
      <c r="B1698" s="4">
        <v>42339</v>
      </c>
      <c r="C1698" s="7">
        <v>778.69</v>
      </c>
      <c r="D1698" s="6">
        <f t="shared" si="56"/>
        <v>-0.43881838295173642</v>
      </c>
      <c r="E1698" s="6">
        <v>7.2827464879829636E-3</v>
      </c>
      <c r="F1698" s="6"/>
      <c r="G1698" s="6">
        <v>1691</v>
      </c>
      <c r="H1698" s="6">
        <f t="shared" ca="1" si="57"/>
        <v>2.6405256626220706E-2</v>
      </c>
    </row>
    <row r="1699" spans="2:8" x14ac:dyDescent="0.3">
      <c r="B1699" s="4">
        <v>43573</v>
      </c>
      <c r="C1699" s="5">
        <v>1387.59</v>
      </c>
      <c r="D1699" s="6">
        <f t="shared" si="56"/>
        <v>-0.54235158311345644</v>
      </c>
      <c r="E1699" s="6">
        <v>7.2663656557150885E-3</v>
      </c>
      <c r="F1699" s="6"/>
      <c r="G1699" s="6">
        <v>1692</v>
      </c>
      <c r="H1699" s="6">
        <f t="shared" ca="1" si="57"/>
        <v>-3.3788546657804279E-2</v>
      </c>
    </row>
    <row r="1700" spans="2:8" x14ac:dyDescent="0.3">
      <c r="B1700" s="4">
        <v>44678</v>
      </c>
      <c r="C1700" s="5">
        <v>3032</v>
      </c>
      <c r="D1700" s="6">
        <f t="shared" si="56"/>
        <v>127.42016094875052</v>
      </c>
      <c r="E1700" s="6">
        <v>7.2621206987050864E-3</v>
      </c>
      <c r="F1700" s="6"/>
      <c r="G1700" s="6">
        <v>1693</v>
      </c>
      <c r="H1700" s="6">
        <f t="shared" ca="1" si="57"/>
        <v>-1.0805135485181215E-2</v>
      </c>
    </row>
    <row r="1701" spans="2:8" x14ac:dyDescent="0.3">
      <c r="B1701" s="4">
        <v>38072</v>
      </c>
      <c r="C1701" s="7">
        <v>23.61</v>
      </c>
      <c r="D1701" s="6">
        <f t="shared" si="56"/>
        <v>-0.97757302303490867</v>
      </c>
      <c r="E1701" s="6">
        <v>7.2525597269623779E-3</v>
      </c>
      <c r="F1701" s="6"/>
      <c r="G1701" s="6">
        <v>1694</v>
      </c>
      <c r="H1701" s="6">
        <f t="shared" ca="1" si="57"/>
        <v>-9.1908138210603906E-4</v>
      </c>
    </row>
    <row r="1702" spans="2:8" x14ac:dyDescent="0.3">
      <c r="B1702" s="4">
        <v>42933</v>
      </c>
      <c r="C1702" s="5">
        <v>1052.75</v>
      </c>
      <c r="D1702" s="6">
        <f t="shared" si="56"/>
        <v>-6.7785353758965688E-2</v>
      </c>
      <c r="E1702" s="6">
        <v>7.2524086990632406E-3</v>
      </c>
      <c r="F1702" s="6"/>
      <c r="G1702" s="6">
        <v>1695</v>
      </c>
      <c r="H1702" s="6">
        <f t="shared" ca="1" si="57"/>
        <v>-8.7996664678968353E-3</v>
      </c>
    </row>
    <row r="1703" spans="2:8" x14ac:dyDescent="0.3">
      <c r="B1703" s="4">
        <v>43402</v>
      </c>
      <c r="C1703" s="5">
        <v>1129.3</v>
      </c>
      <c r="D1703" s="6">
        <f t="shared" si="56"/>
        <v>4.6384492791223406E-2</v>
      </c>
      <c r="E1703" s="6">
        <v>7.2423696462654442E-3</v>
      </c>
      <c r="F1703" s="6"/>
      <c r="G1703" s="6">
        <v>1696</v>
      </c>
      <c r="H1703" s="6">
        <f t="shared" ca="1" si="57"/>
        <v>-8.9515901073015693E-3</v>
      </c>
    </row>
    <row r="1704" spans="2:8" x14ac:dyDescent="0.3">
      <c r="B1704" s="4">
        <v>42893</v>
      </c>
      <c r="C1704" s="5">
        <v>1079.24</v>
      </c>
      <c r="D1704" s="6">
        <f t="shared" si="56"/>
        <v>1.2544755697603978</v>
      </c>
      <c r="E1704" s="6">
        <v>7.2423190353529615E-3</v>
      </c>
      <c r="F1704" s="6"/>
      <c r="G1704" s="6">
        <v>1697</v>
      </c>
      <c r="H1704" s="6">
        <f t="shared" ca="1" si="57"/>
        <v>1.0181233525423817E-2</v>
      </c>
    </row>
    <row r="1705" spans="2:8" x14ac:dyDescent="0.3">
      <c r="B1705" s="4">
        <v>41724</v>
      </c>
      <c r="C1705" s="7">
        <v>478.71</v>
      </c>
      <c r="D1705" s="6">
        <f t="shared" si="56"/>
        <v>0.30870171409825298</v>
      </c>
      <c r="E1705" s="6">
        <v>7.2379910366738862E-3</v>
      </c>
      <c r="F1705" s="6"/>
      <c r="G1705" s="6">
        <v>1698</v>
      </c>
      <c r="H1705" s="6">
        <f t="shared" ca="1" si="57"/>
        <v>-1.3588807261872596E-2</v>
      </c>
    </row>
    <row r="1706" spans="2:8" x14ac:dyDescent="0.3">
      <c r="B1706" s="4">
        <v>41239</v>
      </c>
      <c r="C1706" s="7">
        <v>365.79</v>
      </c>
      <c r="D1706" s="6">
        <f t="shared" si="56"/>
        <v>-0.47711418605980893</v>
      </c>
      <c r="E1706" s="6">
        <v>7.2142522785472486E-3</v>
      </c>
      <c r="F1706" s="6"/>
      <c r="G1706" s="6">
        <v>1699</v>
      </c>
      <c r="H1706" s="6">
        <f t="shared" ca="1" si="57"/>
        <v>-2.1797792117407847E-2</v>
      </c>
    </row>
    <row r="1707" spans="2:8" x14ac:dyDescent="0.3">
      <c r="B1707" s="4">
        <v>42186</v>
      </c>
      <c r="C1707" s="7">
        <v>699.56</v>
      </c>
      <c r="D1707" s="6">
        <f t="shared" si="56"/>
        <v>-0.74830810633834999</v>
      </c>
      <c r="E1707" s="6">
        <v>7.2133035778561535E-3</v>
      </c>
      <c r="F1707" s="6"/>
      <c r="G1707" s="6">
        <v>1700</v>
      </c>
      <c r="H1707" s="6">
        <f t="shared" ca="1" si="57"/>
        <v>-1.0557791815252677E-2</v>
      </c>
    </row>
    <row r="1708" spans="2:8" x14ac:dyDescent="0.3">
      <c r="B1708" s="4">
        <v>45373</v>
      </c>
      <c r="C1708" s="5">
        <v>2779.43</v>
      </c>
      <c r="D1708" s="6">
        <f t="shared" si="56"/>
        <v>1.1973863133261651</v>
      </c>
      <c r="E1708" s="6">
        <v>7.2113729511908316E-3</v>
      </c>
      <c r="F1708" s="6"/>
      <c r="G1708" s="6">
        <v>1701</v>
      </c>
      <c r="H1708" s="6">
        <f t="shared" ca="1" si="57"/>
        <v>1.1261071028941765E-2</v>
      </c>
    </row>
    <row r="1709" spans="2:8" x14ac:dyDescent="0.3">
      <c r="B1709" s="4">
        <v>43657</v>
      </c>
      <c r="C1709" s="5">
        <v>1264.8800000000001</v>
      </c>
      <c r="D1709" s="6">
        <f t="shared" si="56"/>
        <v>-4.2866979939918025E-2</v>
      </c>
      <c r="E1709" s="6">
        <v>7.1823292405206072E-3</v>
      </c>
      <c r="F1709" s="6"/>
      <c r="G1709" s="6">
        <v>1702</v>
      </c>
      <c r="H1709" s="6">
        <f t="shared" ca="1" si="57"/>
        <v>-2.5992532046125658E-3</v>
      </c>
    </row>
    <row r="1710" spans="2:8" x14ac:dyDescent="0.3">
      <c r="B1710" s="4">
        <v>43300</v>
      </c>
      <c r="C1710" s="5">
        <v>1321.53</v>
      </c>
      <c r="D1710" s="6">
        <f t="shared" si="56"/>
        <v>-0.34310085148898734</v>
      </c>
      <c r="E1710" s="6">
        <v>7.1792761277637345E-3</v>
      </c>
      <c r="F1710" s="6"/>
      <c r="G1710" s="6">
        <v>1703</v>
      </c>
      <c r="H1710" s="6">
        <f t="shared" ca="1" si="57"/>
        <v>1.2707462967479351E-2</v>
      </c>
    </row>
    <row r="1711" spans="2:8" x14ac:dyDescent="0.3">
      <c r="B1711" s="4">
        <v>44111</v>
      </c>
      <c r="C1711" s="5">
        <v>2011.77</v>
      </c>
      <c r="D1711" s="6">
        <f t="shared" si="56"/>
        <v>1.487813021702838</v>
      </c>
      <c r="E1711" s="6">
        <v>7.1741829541813159E-3</v>
      </c>
      <c r="F1711" s="6"/>
      <c r="G1711" s="6">
        <v>1704</v>
      </c>
      <c r="H1711" s="6">
        <f t="shared" ca="1" si="57"/>
        <v>-3.4351167222843572E-2</v>
      </c>
    </row>
    <row r="1712" spans="2:8" x14ac:dyDescent="0.3">
      <c r="B1712" s="4">
        <v>42423</v>
      </c>
      <c r="C1712" s="7">
        <v>808.65</v>
      </c>
      <c r="D1712" s="6">
        <f t="shared" si="56"/>
        <v>10.743392390357247</v>
      </c>
      <c r="E1712" s="6">
        <v>7.1740836229122187E-3</v>
      </c>
      <c r="F1712" s="6"/>
      <c r="G1712" s="6">
        <v>1705</v>
      </c>
      <c r="H1712" s="6">
        <f t="shared" ca="1" si="57"/>
        <v>6.6730121498475917E-3</v>
      </c>
    </row>
    <row r="1713" spans="2:8" x14ac:dyDescent="0.3">
      <c r="B1713" s="4">
        <v>39226</v>
      </c>
      <c r="C1713" s="7">
        <v>68.86</v>
      </c>
      <c r="D1713" s="6">
        <f t="shared" si="56"/>
        <v>-0.95864140064266201</v>
      </c>
      <c r="E1713" s="6">
        <v>7.1668860611378508E-3</v>
      </c>
      <c r="F1713" s="6"/>
      <c r="G1713" s="6">
        <v>1706</v>
      </c>
      <c r="H1713" s="6">
        <f t="shared" ca="1" si="57"/>
        <v>-9.1780042556765581E-3</v>
      </c>
    </row>
    <row r="1714" spans="2:8" x14ac:dyDescent="0.3">
      <c r="B1714" s="4">
        <v>43811</v>
      </c>
      <c r="C1714" s="5">
        <v>1664.95</v>
      </c>
      <c r="D1714" s="6">
        <f t="shared" si="56"/>
        <v>97.576080521018341</v>
      </c>
      <c r="E1714" s="6">
        <v>7.1622578049858427E-3</v>
      </c>
      <c r="F1714" s="6"/>
      <c r="G1714" s="6">
        <v>1707</v>
      </c>
      <c r="H1714" s="6">
        <f t="shared" ca="1" si="57"/>
        <v>1.1830716927404575E-2</v>
      </c>
    </row>
    <row r="1715" spans="2:8" x14ac:dyDescent="0.3">
      <c r="B1715" s="4">
        <v>37540</v>
      </c>
      <c r="C1715" s="7">
        <v>16.89</v>
      </c>
      <c r="D1715" s="6">
        <f t="shared" si="56"/>
        <v>-0.98437427722937143</v>
      </c>
      <c r="E1715" s="6">
        <v>7.1556350626118667E-3</v>
      </c>
      <c r="F1715" s="6"/>
      <c r="G1715" s="6">
        <v>1708</v>
      </c>
      <c r="H1715" s="6">
        <f t="shared" ca="1" si="57"/>
        <v>-1.1920025572029277E-2</v>
      </c>
    </row>
    <row r="1716" spans="2:8" x14ac:dyDescent="0.3">
      <c r="B1716" s="4">
        <v>42956</v>
      </c>
      <c r="C1716" s="5">
        <v>1080.9100000000001</v>
      </c>
      <c r="D1716" s="6">
        <f t="shared" si="56"/>
        <v>2.9702846648301198</v>
      </c>
      <c r="E1716" s="6">
        <v>7.1465841750214983E-3</v>
      </c>
      <c r="F1716" s="6"/>
      <c r="G1716" s="6">
        <v>1709</v>
      </c>
      <c r="H1716" s="6">
        <f t="shared" ca="1" si="57"/>
        <v>9.0398252364466639E-3</v>
      </c>
    </row>
    <row r="1717" spans="2:8" x14ac:dyDescent="0.3">
      <c r="B1717" s="4">
        <v>40763</v>
      </c>
      <c r="C1717" s="7">
        <v>272.25</v>
      </c>
      <c r="D1717" s="6">
        <f t="shared" si="56"/>
        <v>-0.90721965682348726</v>
      </c>
      <c r="E1717" s="6">
        <v>7.1396862977212445E-3</v>
      </c>
      <c r="F1717" s="6"/>
      <c r="G1717" s="6">
        <v>1710</v>
      </c>
      <c r="H1717" s="6">
        <f t="shared" ca="1" si="57"/>
        <v>3.0535064050449864E-3</v>
      </c>
    </row>
    <row r="1718" spans="2:8" x14ac:dyDescent="0.3">
      <c r="B1718" s="4">
        <v>44645</v>
      </c>
      <c r="C1718" s="5">
        <v>2934.35</v>
      </c>
      <c r="D1718" s="6">
        <f t="shared" si="56"/>
        <v>70.569512195121945</v>
      </c>
      <c r="E1718" s="6">
        <v>7.1390571639408026E-3</v>
      </c>
      <c r="F1718" s="6"/>
      <c r="G1718" s="6">
        <v>1711</v>
      </c>
      <c r="H1718" s="6">
        <f t="shared" ca="1" si="57"/>
        <v>3.6937617549990302E-2</v>
      </c>
    </row>
    <row r="1719" spans="2:8" x14ac:dyDescent="0.3">
      <c r="B1719" s="4">
        <v>38677</v>
      </c>
      <c r="C1719" s="7">
        <v>41</v>
      </c>
      <c r="D1719" s="6">
        <f t="shared" si="56"/>
        <v>0.38000673174015481</v>
      </c>
      <c r="E1719" s="6">
        <v>7.1235568656349583E-3</v>
      </c>
      <c r="F1719" s="6"/>
      <c r="G1719" s="6">
        <v>1712</v>
      </c>
      <c r="H1719" s="6">
        <f t="shared" ca="1" si="57"/>
        <v>6.6420542469061081E-3</v>
      </c>
    </row>
    <row r="1720" spans="2:8" x14ac:dyDescent="0.3">
      <c r="B1720" s="4">
        <v>38427</v>
      </c>
      <c r="C1720" s="7">
        <v>29.71</v>
      </c>
      <c r="D1720" s="6">
        <f t="shared" si="56"/>
        <v>-0.99019413694542913</v>
      </c>
      <c r="E1720" s="6">
        <v>7.1186440677966393E-3</v>
      </c>
      <c r="F1720" s="6"/>
      <c r="G1720" s="6">
        <v>1713</v>
      </c>
      <c r="H1720" s="6">
        <f t="shared" ca="1" si="57"/>
        <v>4.9198441779646799E-3</v>
      </c>
    </row>
    <row r="1721" spans="2:8" x14ac:dyDescent="0.3">
      <c r="B1721" s="4">
        <v>45071</v>
      </c>
      <c r="C1721" s="5">
        <v>3029.82</v>
      </c>
      <c r="D1721" s="6">
        <f t="shared" si="56"/>
        <v>4.9902800253655032E-2</v>
      </c>
      <c r="E1721" s="6">
        <v>7.1100208414356754E-3</v>
      </c>
      <c r="F1721" s="6"/>
      <c r="G1721" s="6">
        <v>1714</v>
      </c>
      <c r="H1721" s="6">
        <f t="shared" ca="1" si="57"/>
        <v>-1.8026455809210442E-2</v>
      </c>
    </row>
    <row r="1722" spans="2:8" x14ac:dyDescent="0.3">
      <c r="B1722" s="4">
        <v>45232</v>
      </c>
      <c r="C1722" s="5">
        <v>2885.81</v>
      </c>
      <c r="D1722" s="6">
        <f t="shared" si="56"/>
        <v>6.0277395058326425E-2</v>
      </c>
      <c r="E1722" s="6">
        <v>7.1053412204017266E-3</v>
      </c>
      <c r="F1722" s="6"/>
      <c r="G1722" s="6">
        <v>1715</v>
      </c>
      <c r="H1722" s="6">
        <f t="shared" ca="1" si="57"/>
        <v>1.4209939130758931E-2</v>
      </c>
    </row>
    <row r="1723" spans="2:8" x14ac:dyDescent="0.3">
      <c r="B1723" s="4">
        <v>44973</v>
      </c>
      <c r="C1723" s="5">
        <v>2721.75</v>
      </c>
      <c r="D1723" s="6">
        <f t="shared" si="56"/>
        <v>173.47115384615387</v>
      </c>
      <c r="E1723" s="6">
        <v>7.1044013986789577E-3</v>
      </c>
      <c r="F1723" s="6"/>
      <c r="G1723" s="6">
        <v>1716</v>
      </c>
      <c r="H1723" s="6">
        <f t="shared" ca="1" si="57"/>
        <v>-2.1600437852372202E-3</v>
      </c>
    </row>
    <row r="1724" spans="2:8" x14ac:dyDescent="0.3">
      <c r="B1724" s="4">
        <v>37686</v>
      </c>
      <c r="C1724" s="7">
        <v>15.6</v>
      </c>
      <c r="D1724" s="6">
        <f t="shared" si="56"/>
        <v>-0.99351820304644456</v>
      </c>
      <c r="E1724" s="6">
        <v>7.1013557133634232E-3</v>
      </c>
      <c r="F1724" s="6"/>
      <c r="G1724" s="6">
        <v>1717</v>
      </c>
      <c r="H1724" s="6">
        <f t="shared" ca="1" si="57"/>
        <v>-5.7121625741110111E-3</v>
      </c>
    </row>
    <row r="1725" spans="2:8" x14ac:dyDescent="0.3">
      <c r="B1725" s="4">
        <v>45854</v>
      </c>
      <c r="C1725" s="5">
        <v>2406.7399999999998</v>
      </c>
      <c r="D1725" s="6">
        <f t="shared" si="56"/>
        <v>2.0247206826779269</v>
      </c>
      <c r="E1725" s="6">
        <v>7.1011017796690891E-3</v>
      </c>
      <c r="F1725" s="6"/>
      <c r="G1725" s="6">
        <v>1718</v>
      </c>
      <c r="H1725" s="6">
        <f t="shared" ca="1" si="57"/>
        <v>-2.5902710912315351E-2</v>
      </c>
    </row>
    <row r="1726" spans="2:8" x14ac:dyDescent="0.3">
      <c r="B1726" s="4">
        <v>42290</v>
      </c>
      <c r="C1726" s="7">
        <v>795.69</v>
      </c>
      <c r="D1726" s="6">
        <f t="shared" si="56"/>
        <v>-0.67393763061918621</v>
      </c>
      <c r="E1726" s="6">
        <v>7.1005467800729213E-3</v>
      </c>
      <c r="F1726" s="6"/>
      <c r="G1726" s="6">
        <v>1719</v>
      </c>
      <c r="H1726" s="6">
        <f t="shared" ca="1" si="57"/>
        <v>-3.0058566181870175E-5</v>
      </c>
    </row>
    <row r="1727" spans="2:8" x14ac:dyDescent="0.3">
      <c r="B1727" s="4">
        <v>46128</v>
      </c>
      <c r="C1727" s="5">
        <v>2440.3000000000002</v>
      </c>
      <c r="D1727" s="6">
        <f t="shared" si="56"/>
        <v>6.5279645183257934E-2</v>
      </c>
      <c r="E1727" s="6">
        <v>7.0983450951261906E-3</v>
      </c>
      <c r="F1727" s="6"/>
      <c r="G1727" s="6">
        <v>1720</v>
      </c>
      <c r="H1727" s="6">
        <f t="shared" ca="1" si="57"/>
        <v>3.7246266704403931E-2</v>
      </c>
    </row>
    <row r="1728" spans="2:8" x14ac:dyDescent="0.3">
      <c r="B1728" s="4">
        <v>45800</v>
      </c>
      <c r="C1728" s="5">
        <v>2290.7600000000002</v>
      </c>
      <c r="D1728" s="6">
        <f t="shared" si="56"/>
        <v>-0.11894185022365297</v>
      </c>
      <c r="E1728" s="6">
        <v>7.0912631944536507E-3</v>
      </c>
      <c r="F1728" s="6"/>
      <c r="G1728" s="6">
        <v>1721</v>
      </c>
      <c r="H1728" s="6">
        <f t="shared" ca="1" si="57"/>
        <v>3.2759718091667184E-4</v>
      </c>
    </row>
    <row r="1729" spans="2:8" x14ac:dyDescent="0.3">
      <c r="B1729" s="4">
        <v>44217</v>
      </c>
      <c r="C1729" s="5">
        <v>2600.0100000000002</v>
      </c>
      <c r="D1729" s="6">
        <f t="shared" si="56"/>
        <v>23.040776699029127</v>
      </c>
      <c r="E1729" s="6">
        <v>7.080523524923288E-3</v>
      </c>
      <c r="F1729" s="6"/>
      <c r="G1729" s="6">
        <v>1722</v>
      </c>
      <c r="H1729" s="6">
        <f t="shared" ca="1" si="57"/>
        <v>-1.3759286864714471E-2</v>
      </c>
    </row>
    <row r="1730" spans="2:8" x14ac:dyDescent="0.3">
      <c r="B1730" s="4">
        <v>39573</v>
      </c>
      <c r="C1730" s="7">
        <v>108.15</v>
      </c>
      <c r="D1730" s="6">
        <f t="shared" si="56"/>
        <v>-0.95466131182453107</v>
      </c>
      <c r="E1730" s="6">
        <v>7.0770090324984184E-3</v>
      </c>
      <c r="F1730" s="6"/>
      <c r="G1730" s="6">
        <v>1723</v>
      </c>
      <c r="H1730" s="6">
        <f t="shared" ca="1" si="57"/>
        <v>-6.0339769030954317E-3</v>
      </c>
    </row>
    <row r="1731" spans="2:8" x14ac:dyDescent="0.3">
      <c r="B1731" s="4">
        <v>45756</v>
      </c>
      <c r="C1731" s="5">
        <v>2385.38</v>
      </c>
      <c r="D1731" s="6">
        <f t="shared" si="56"/>
        <v>9.2056951883898688E-2</v>
      </c>
      <c r="E1731" s="6">
        <v>7.0758500730384016E-3</v>
      </c>
      <c r="F1731" s="6"/>
      <c r="G1731" s="6">
        <v>1724</v>
      </c>
      <c r="H1731" s="6">
        <f t="shared" ca="1" si="57"/>
        <v>-5.0678236317292262E-3</v>
      </c>
    </row>
    <row r="1732" spans="2:8" x14ac:dyDescent="0.3">
      <c r="B1732" s="4">
        <v>46118</v>
      </c>
      <c r="C1732" s="5">
        <v>2184.3000000000002</v>
      </c>
      <c r="D1732" s="6">
        <f t="shared" si="56"/>
        <v>42.67726454709058</v>
      </c>
      <c r="E1732" s="6">
        <v>7.0539419087137772E-3</v>
      </c>
      <c r="F1732" s="6"/>
      <c r="G1732" s="6">
        <v>1725</v>
      </c>
      <c r="H1732" s="6">
        <f t="shared" ca="1" si="57"/>
        <v>2.406805069895572E-2</v>
      </c>
    </row>
    <row r="1733" spans="2:8" x14ac:dyDescent="0.3">
      <c r="B1733" s="4">
        <v>38931</v>
      </c>
      <c r="C1733" s="7">
        <v>50.01</v>
      </c>
      <c r="D1733" s="6">
        <f t="shared" si="56"/>
        <v>-0.40725376318596662</v>
      </c>
      <c r="E1733" s="6">
        <v>7.0479258960934642E-3</v>
      </c>
      <c r="F1733" s="6"/>
      <c r="G1733" s="6">
        <v>1726</v>
      </c>
      <c r="H1733" s="6">
        <f t="shared" ca="1" si="57"/>
        <v>-2.0729535959642324E-2</v>
      </c>
    </row>
    <row r="1734" spans="2:8" x14ac:dyDescent="0.3">
      <c r="B1734" s="4">
        <v>39421</v>
      </c>
      <c r="C1734" s="7">
        <v>84.37</v>
      </c>
      <c r="D1734" s="6">
        <f t="shared" si="56"/>
        <v>-0.18095330550431996</v>
      </c>
      <c r="E1734" s="6">
        <v>7.0422535211268015E-3</v>
      </c>
      <c r="F1734" s="6"/>
      <c r="G1734" s="6">
        <v>1727</v>
      </c>
      <c r="H1734" s="6">
        <f t="shared" ca="1" si="57"/>
        <v>1.9135068182488266E-2</v>
      </c>
    </row>
    <row r="1735" spans="2:8" x14ac:dyDescent="0.3">
      <c r="B1735" s="4">
        <v>39997</v>
      </c>
      <c r="C1735" s="7">
        <v>103.01</v>
      </c>
      <c r="D1735" s="6">
        <f t="shared" si="56"/>
        <v>-0.90495829642751702</v>
      </c>
      <c r="E1735" s="6">
        <v>7.0388112229934387E-3</v>
      </c>
      <c r="F1735" s="6"/>
      <c r="G1735" s="6">
        <v>1728</v>
      </c>
      <c r="H1735" s="6">
        <f t="shared" ca="1" si="57"/>
        <v>1.9605050388491665E-2</v>
      </c>
    </row>
    <row r="1736" spans="2:8" x14ac:dyDescent="0.3">
      <c r="B1736" s="4">
        <v>42866</v>
      </c>
      <c r="C1736" s="5">
        <v>1083.8399999999999</v>
      </c>
      <c r="D1736" s="6">
        <f t="shared" ref="D1736:D1799" si="58">((C1736-C1737)/C1737)</f>
        <v>-0.66391411800092415</v>
      </c>
      <c r="E1736" s="6">
        <v>7.0335510606074096E-3</v>
      </c>
      <c r="F1736" s="6"/>
      <c r="G1736" s="6">
        <v>1729</v>
      </c>
      <c r="H1736" s="6">
        <f t="shared" ca="1" si="57"/>
        <v>1.907561577751005E-2</v>
      </c>
    </row>
    <row r="1737" spans="2:8" x14ac:dyDescent="0.3">
      <c r="B1737" s="4">
        <v>45307</v>
      </c>
      <c r="C1737" s="5">
        <v>3224.89</v>
      </c>
      <c r="D1737" s="6">
        <f t="shared" si="58"/>
        <v>9.2564548204914429E-2</v>
      </c>
      <c r="E1737" s="6">
        <v>7.0260024544168574E-3</v>
      </c>
      <c r="F1737" s="6"/>
      <c r="G1737" s="6">
        <v>1730</v>
      </c>
      <c r="H1737" s="6">
        <f t="shared" ref="H1737:H1800" ca="1" si="59">_xlfn.NORM.INV(RAND(),N$10,N$11)</f>
        <v>2.1707230581316712E-3</v>
      </c>
    </row>
    <row r="1738" spans="2:8" x14ac:dyDescent="0.3">
      <c r="B1738" s="4">
        <v>44368</v>
      </c>
      <c r="C1738" s="5">
        <v>2951.67</v>
      </c>
      <c r="D1738" s="6">
        <f t="shared" si="58"/>
        <v>36.320394487292958</v>
      </c>
      <c r="E1738" s="6">
        <v>7.007536342639174E-3</v>
      </c>
      <c r="F1738" s="6"/>
      <c r="G1738" s="6">
        <v>1731</v>
      </c>
      <c r="H1738" s="6">
        <f t="shared" ca="1" si="59"/>
        <v>1.6148330878953281E-2</v>
      </c>
    </row>
    <row r="1739" spans="2:8" x14ac:dyDescent="0.3">
      <c r="B1739" s="4">
        <v>39304</v>
      </c>
      <c r="C1739" s="7">
        <v>79.09</v>
      </c>
      <c r="D1739" s="6">
        <f t="shared" si="58"/>
        <v>-0.97369313872886198</v>
      </c>
      <c r="E1739" s="6">
        <v>7.0028011204481422E-3</v>
      </c>
      <c r="F1739" s="6"/>
      <c r="G1739" s="6">
        <v>1732</v>
      </c>
      <c r="H1739" s="6">
        <f t="shared" ca="1" si="59"/>
        <v>1.8411916888539968E-2</v>
      </c>
    </row>
    <row r="1740" spans="2:8" x14ac:dyDescent="0.3">
      <c r="B1740" s="4">
        <v>44501</v>
      </c>
      <c r="C1740" s="5">
        <v>3006.44</v>
      </c>
      <c r="D1740" s="6">
        <f t="shared" si="58"/>
        <v>6.5688930288764134</v>
      </c>
      <c r="E1740" s="6">
        <v>7.000408636293632E-3</v>
      </c>
      <c r="F1740" s="6"/>
      <c r="G1740" s="6">
        <v>1733</v>
      </c>
      <c r="H1740" s="6">
        <f t="shared" ca="1" si="59"/>
        <v>1.5112786857653802E-2</v>
      </c>
    </row>
    <row r="1741" spans="2:8" x14ac:dyDescent="0.3">
      <c r="B1741" s="4">
        <v>41499</v>
      </c>
      <c r="C1741" s="7">
        <v>397.21</v>
      </c>
      <c r="D1741" s="6">
        <f t="shared" si="58"/>
        <v>-0.6934895170189288</v>
      </c>
      <c r="E1741" s="6">
        <v>6.9715560513106531E-3</v>
      </c>
      <c r="F1741" s="6"/>
      <c r="G1741" s="6">
        <v>1734</v>
      </c>
      <c r="H1741" s="6">
        <f t="shared" ca="1" si="59"/>
        <v>-1.6025924672449975E-2</v>
      </c>
    </row>
    <row r="1742" spans="2:8" x14ac:dyDescent="0.3">
      <c r="B1742" s="4">
        <v>43461</v>
      </c>
      <c r="C1742" s="5">
        <v>1295.9100000000001</v>
      </c>
      <c r="D1742" s="6">
        <f t="shared" si="58"/>
        <v>20.846089008766018</v>
      </c>
      <c r="E1742" s="6">
        <v>6.9700219124434913E-3</v>
      </c>
      <c r="F1742" s="6"/>
      <c r="G1742" s="6">
        <v>1735</v>
      </c>
      <c r="H1742" s="6">
        <f t="shared" ca="1" si="59"/>
        <v>-6.5289244464016528E-3</v>
      </c>
    </row>
    <row r="1743" spans="2:8" x14ac:dyDescent="0.3">
      <c r="B1743" s="4">
        <v>39036</v>
      </c>
      <c r="C1743" s="7">
        <v>59.32</v>
      </c>
      <c r="D1743" s="6">
        <f t="shared" si="58"/>
        <v>-6.8759811616954505E-2</v>
      </c>
      <c r="E1743" s="6">
        <v>6.9597691393651967E-3</v>
      </c>
      <c r="F1743" s="6"/>
      <c r="G1743" s="6">
        <v>1736</v>
      </c>
      <c r="H1743" s="6">
        <f t="shared" ca="1" si="59"/>
        <v>-1.3757411069431673E-2</v>
      </c>
    </row>
    <row r="1744" spans="2:8" x14ac:dyDescent="0.3">
      <c r="B1744" s="4">
        <v>39171</v>
      </c>
      <c r="C1744" s="7">
        <v>63.7</v>
      </c>
      <c r="D1744" s="6">
        <f t="shared" si="58"/>
        <v>0.18688280231041551</v>
      </c>
      <c r="E1744" s="6">
        <v>6.9554220676573643E-3</v>
      </c>
      <c r="F1744" s="6"/>
      <c r="G1744" s="6">
        <v>1737</v>
      </c>
      <c r="H1744" s="6">
        <f t="shared" ca="1" si="59"/>
        <v>6.7376473854760723E-3</v>
      </c>
    </row>
    <row r="1745" spans="2:8" x14ac:dyDescent="0.3">
      <c r="B1745" s="4">
        <v>38797</v>
      </c>
      <c r="C1745" s="7">
        <v>53.67</v>
      </c>
      <c r="D1745" s="6">
        <f t="shared" si="58"/>
        <v>-0.12001967535661584</v>
      </c>
      <c r="E1745" s="6">
        <v>6.9418386491558078E-3</v>
      </c>
      <c r="F1745" s="6"/>
      <c r="G1745" s="6">
        <v>1738</v>
      </c>
      <c r="H1745" s="6">
        <f t="shared" ca="1" si="59"/>
        <v>1.3346383879399905E-2</v>
      </c>
    </row>
    <row r="1746" spans="2:8" x14ac:dyDescent="0.3">
      <c r="B1746" s="4">
        <v>39141</v>
      </c>
      <c r="C1746" s="7">
        <v>60.99</v>
      </c>
      <c r="D1746" s="6">
        <f t="shared" si="58"/>
        <v>1.622098022355976</v>
      </c>
      <c r="E1746" s="6">
        <v>6.9341258048539163E-3</v>
      </c>
      <c r="F1746" s="6"/>
      <c r="G1746" s="6">
        <v>1739</v>
      </c>
      <c r="H1746" s="6">
        <f t="shared" ca="1" si="59"/>
        <v>-1.2576816440355613E-3</v>
      </c>
    </row>
    <row r="1747" spans="2:8" x14ac:dyDescent="0.3">
      <c r="B1747" s="4">
        <v>38285</v>
      </c>
      <c r="C1747" s="7">
        <v>23.26</v>
      </c>
      <c r="D1747" s="6">
        <f t="shared" si="58"/>
        <v>-6.1718434852763113E-2</v>
      </c>
      <c r="E1747" s="6">
        <v>6.9264069264069325E-3</v>
      </c>
      <c r="F1747" s="6"/>
      <c r="G1747" s="6">
        <v>1740</v>
      </c>
      <c r="H1747" s="6">
        <f t="shared" ca="1" si="59"/>
        <v>-6.8385613191651543E-3</v>
      </c>
    </row>
    <row r="1748" spans="2:8" x14ac:dyDescent="0.3">
      <c r="B1748" s="4">
        <v>38243</v>
      </c>
      <c r="C1748" s="7">
        <v>24.79</v>
      </c>
      <c r="D1748" s="6">
        <f t="shared" si="58"/>
        <v>0.30473684210526314</v>
      </c>
      <c r="E1748" s="6">
        <v>6.9049553208772605E-3</v>
      </c>
      <c r="F1748" s="6"/>
      <c r="G1748" s="6">
        <v>1741</v>
      </c>
      <c r="H1748" s="6">
        <f t="shared" ca="1" si="59"/>
        <v>2.9071136789305899E-3</v>
      </c>
    </row>
    <row r="1749" spans="2:8" x14ac:dyDescent="0.3">
      <c r="B1749" s="4">
        <v>37803</v>
      </c>
      <c r="C1749" s="7">
        <v>19</v>
      </c>
      <c r="D1749" s="6">
        <f t="shared" si="58"/>
        <v>-0.84341519696719958</v>
      </c>
      <c r="E1749" s="6">
        <v>6.8892421833597773E-3</v>
      </c>
      <c r="F1749" s="6"/>
      <c r="G1749" s="6">
        <v>1742</v>
      </c>
      <c r="H1749" s="6">
        <f t="shared" ca="1" si="59"/>
        <v>-2.1750669509307562E-2</v>
      </c>
    </row>
    <row r="1750" spans="2:8" x14ac:dyDescent="0.3">
      <c r="B1750" s="4">
        <v>40086</v>
      </c>
      <c r="C1750" s="7">
        <v>121.34</v>
      </c>
      <c r="D1750" s="6">
        <f t="shared" si="58"/>
        <v>-0.92931128898831372</v>
      </c>
      <c r="E1750" s="6">
        <v>6.8873952369097853E-3</v>
      </c>
      <c r="F1750" s="6"/>
      <c r="G1750" s="6">
        <v>1743</v>
      </c>
      <c r="H1750" s="6">
        <f t="shared" ca="1" si="59"/>
        <v>1.5928130788197516E-2</v>
      </c>
    </row>
    <row r="1751" spans="2:8" x14ac:dyDescent="0.3">
      <c r="B1751" s="4">
        <v>43843</v>
      </c>
      <c r="C1751" s="5">
        <v>1716.54</v>
      </c>
      <c r="D1751" s="6">
        <f t="shared" si="58"/>
        <v>0.38322441316067263</v>
      </c>
      <c r="E1751" s="6">
        <v>6.8864382918817513E-3</v>
      </c>
      <c r="F1751" s="6"/>
      <c r="G1751" s="6">
        <v>1744</v>
      </c>
      <c r="H1751" s="6">
        <f t="shared" ca="1" si="59"/>
        <v>4.3079929095439107E-3</v>
      </c>
    </row>
    <row r="1752" spans="2:8" x14ac:dyDescent="0.3">
      <c r="B1752" s="4">
        <v>43236</v>
      </c>
      <c r="C1752" s="5">
        <v>1240.97</v>
      </c>
      <c r="D1752" s="6">
        <f t="shared" si="58"/>
        <v>21.917266851338873</v>
      </c>
      <c r="E1752" s="6">
        <v>6.8803803681977286E-3</v>
      </c>
      <c r="F1752" s="6"/>
      <c r="G1752" s="6">
        <v>1745</v>
      </c>
      <c r="H1752" s="6">
        <f t="shared" ca="1" si="59"/>
        <v>1.3632176349535565E-2</v>
      </c>
    </row>
    <row r="1753" spans="2:8" x14ac:dyDescent="0.3">
      <c r="B1753" s="4">
        <v>38776</v>
      </c>
      <c r="C1753" s="7">
        <v>54.15</v>
      </c>
      <c r="D1753" s="6">
        <f t="shared" si="58"/>
        <v>-0.97846815752640282</v>
      </c>
      <c r="E1753" s="6">
        <v>6.8798809966529829E-3</v>
      </c>
      <c r="F1753" s="6"/>
      <c r="G1753" s="6">
        <v>1746</v>
      </c>
      <c r="H1753" s="6">
        <f t="shared" ca="1" si="59"/>
        <v>2.1511595986413558E-3</v>
      </c>
    </row>
    <row r="1754" spans="2:8" x14ac:dyDescent="0.3">
      <c r="B1754" s="4">
        <v>45957</v>
      </c>
      <c r="C1754" s="5">
        <v>2514.88</v>
      </c>
      <c r="D1754" s="6">
        <f t="shared" si="58"/>
        <v>9.7367971651795244</v>
      </c>
      <c r="E1754" s="6">
        <v>6.8783280618169886E-3</v>
      </c>
      <c r="F1754" s="6"/>
      <c r="G1754" s="6">
        <v>1747</v>
      </c>
      <c r="H1754" s="6">
        <f t="shared" ca="1" si="59"/>
        <v>-1.7841473904772781E-3</v>
      </c>
    </row>
    <row r="1755" spans="2:8" x14ac:dyDescent="0.3">
      <c r="B1755" s="4">
        <v>40515</v>
      </c>
      <c r="C1755" s="7">
        <v>234.23</v>
      </c>
      <c r="D1755" s="6">
        <f t="shared" si="58"/>
        <v>-0.88720178758897006</v>
      </c>
      <c r="E1755" s="6">
        <v>6.8778747367063331E-3</v>
      </c>
      <c r="F1755" s="6"/>
      <c r="G1755" s="6">
        <v>1748</v>
      </c>
      <c r="H1755" s="6">
        <f t="shared" ca="1" si="59"/>
        <v>-2.1902804094605054E-2</v>
      </c>
    </row>
    <row r="1756" spans="2:8" x14ac:dyDescent="0.3">
      <c r="B1756" s="4">
        <v>44139</v>
      </c>
      <c r="C1756" s="5">
        <v>2076.54</v>
      </c>
      <c r="D1756" s="6">
        <f t="shared" si="58"/>
        <v>1.2363736228231721</v>
      </c>
      <c r="E1756" s="6">
        <v>6.8707360948811677E-3</v>
      </c>
      <c r="F1756" s="6"/>
      <c r="G1756" s="6">
        <v>1749</v>
      </c>
      <c r="H1756" s="6">
        <f t="shared" ca="1" si="59"/>
        <v>-1.7650831371659414E-2</v>
      </c>
    </row>
    <row r="1757" spans="2:8" x14ac:dyDescent="0.3">
      <c r="B1757" s="4">
        <v>42773</v>
      </c>
      <c r="C1757" s="7">
        <v>928.53</v>
      </c>
      <c r="D1757" s="6">
        <f t="shared" si="58"/>
        <v>-0.71330605943651104</v>
      </c>
      <c r="E1757" s="6">
        <v>6.8531028724476382E-3</v>
      </c>
      <c r="F1757" s="6"/>
      <c r="G1757" s="6">
        <v>1750</v>
      </c>
      <c r="H1757" s="6">
        <f t="shared" ca="1" si="59"/>
        <v>-5.6796448823141178E-3</v>
      </c>
    </row>
    <row r="1758" spans="2:8" x14ac:dyDescent="0.3">
      <c r="B1758" s="4">
        <v>45093</v>
      </c>
      <c r="C1758" s="5">
        <v>3238.75</v>
      </c>
      <c r="D1758" s="6">
        <f t="shared" si="58"/>
        <v>17.128008507780141</v>
      </c>
      <c r="E1758" s="6">
        <v>6.8298111776372017E-3</v>
      </c>
      <c r="F1758" s="6"/>
      <c r="G1758" s="6">
        <v>1751</v>
      </c>
      <c r="H1758" s="6">
        <f t="shared" ca="1" si="59"/>
        <v>-1.9430647169091826E-2</v>
      </c>
    </row>
    <row r="1759" spans="2:8" x14ac:dyDescent="0.3">
      <c r="B1759" s="4">
        <v>40281</v>
      </c>
      <c r="C1759" s="7">
        <v>178.66</v>
      </c>
      <c r="D1759" s="6">
        <f t="shared" si="58"/>
        <v>9.0767061477721374</v>
      </c>
      <c r="E1759" s="6">
        <v>6.8188222034376335E-3</v>
      </c>
      <c r="F1759" s="6"/>
      <c r="G1759" s="6">
        <v>1752</v>
      </c>
      <c r="H1759" s="6">
        <f t="shared" ca="1" si="59"/>
        <v>1.1814549290165221E-2</v>
      </c>
    </row>
    <row r="1760" spans="2:8" x14ac:dyDescent="0.3">
      <c r="B1760" s="4">
        <v>37447</v>
      </c>
      <c r="C1760" s="7">
        <v>17.73</v>
      </c>
      <c r="D1760" s="6">
        <f t="shared" si="58"/>
        <v>-0.78189199163488743</v>
      </c>
      <c r="E1760" s="6">
        <v>6.8143100511073819E-3</v>
      </c>
      <c r="F1760" s="6"/>
      <c r="G1760" s="6">
        <v>1753</v>
      </c>
      <c r="H1760" s="6">
        <f t="shared" ca="1" si="59"/>
        <v>-3.1620986343416594E-3</v>
      </c>
    </row>
    <row r="1761" spans="2:8" x14ac:dyDescent="0.3">
      <c r="B1761" s="4">
        <v>39370</v>
      </c>
      <c r="C1761" s="7">
        <v>81.290000000000006</v>
      </c>
      <c r="D1761" s="6">
        <f t="shared" si="58"/>
        <v>-0.96503791251091353</v>
      </c>
      <c r="E1761" s="6">
        <v>6.81198910081758E-3</v>
      </c>
      <c r="F1761" s="6"/>
      <c r="G1761" s="6">
        <v>1754</v>
      </c>
      <c r="H1761" s="6">
        <f t="shared" ca="1" si="59"/>
        <v>-3.4812965143098829E-3</v>
      </c>
    </row>
    <row r="1762" spans="2:8" x14ac:dyDescent="0.3">
      <c r="B1762" s="4">
        <v>45666</v>
      </c>
      <c r="C1762" s="5">
        <v>2325.09</v>
      </c>
      <c r="D1762" s="6">
        <f t="shared" si="58"/>
        <v>-3.8185654008438798E-2</v>
      </c>
      <c r="E1762" s="6">
        <v>6.7896129314414903E-3</v>
      </c>
      <c r="F1762" s="6"/>
      <c r="G1762" s="6">
        <v>1755</v>
      </c>
      <c r="H1762" s="6">
        <f t="shared" ca="1" si="59"/>
        <v>3.0950938603568328E-3</v>
      </c>
    </row>
    <row r="1763" spans="2:8" x14ac:dyDescent="0.3">
      <c r="B1763" s="4">
        <v>46062</v>
      </c>
      <c r="C1763" s="5">
        <v>2417.4</v>
      </c>
      <c r="D1763" s="6">
        <f t="shared" si="58"/>
        <v>146.40243902439025</v>
      </c>
      <c r="E1763" s="6">
        <v>6.7885552455125495E-3</v>
      </c>
      <c r="F1763" s="6"/>
      <c r="G1763" s="6">
        <v>1756</v>
      </c>
      <c r="H1763" s="6">
        <f t="shared" ca="1" si="59"/>
        <v>-3.4497304437533099E-3</v>
      </c>
    </row>
    <row r="1764" spans="2:8" x14ac:dyDescent="0.3">
      <c r="B1764" s="4">
        <v>37657</v>
      </c>
      <c r="C1764" s="7">
        <v>16.399999999999999</v>
      </c>
      <c r="D1764" s="6">
        <f t="shared" si="58"/>
        <v>-0.78863255574171931</v>
      </c>
      <c r="E1764" s="6">
        <v>6.7526089625536793E-3</v>
      </c>
      <c r="F1764" s="6"/>
      <c r="G1764" s="6">
        <v>1757</v>
      </c>
      <c r="H1764" s="6">
        <f t="shared" ca="1" si="59"/>
        <v>-7.4266136631245556E-3</v>
      </c>
    </row>
    <row r="1765" spans="2:8" x14ac:dyDescent="0.3">
      <c r="B1765" s="4">
        <v>39941</v>
      </c>
      <c r="C1765" s="7">
        <v>77.59</v>
      </c>
      <c r="D1765" s="6">
        <f t="shared" si="58"/>
        <v>-8.8784497944803309E-2</v>
      </c>
      <c r="E1765" s="6">
        <v>6.7471130141431206E-3</v>
      </c>
      <c r="F1765" s="6"/>
      <c r="G1765" s="6">
        <v>1758</v>
      </c>
      <c r="H1765" s="6">
        <f t="shared" ca="1" si="59"/>
        <v>-2.3759440901241692E-2</v>
      </c>
    </row>
    <row r="1766" spans="2:8" x14ac:dyDescent="0.3">
      <c r="B1766" s="4">
        <v>39436</v>
      </c>
      <c r="C1766" s="7">
        <v>85.15</v>
      </c>
      <c r="D1766" s="6">
        <f t="shared" si="58"/>
        <v>-0.73903582702503912</v>
      </c>
      <c r="E1766" s="6">
        <v>6.7391818396784981E-3</v>
      </c>
      <c r="F1766" s="6"/>
      <c r="G1766" s="6">
        <v>1759</v>
      </c>
      <c r="H1766" s="6">
        <f t="shared" ca="1" si="59"/>
        <v>3.0240854132929703E-4</v>
      </c>
    </row>
    <row r="1767" spans="2:8" x14ac:dyDescent="0.3">
      <c r="B1767" s="4">
        <v>41123</v>
      </c>
      <c r="C1767" s="7">
        <v>326.29000000000002</v>
      </c>
      <c r="D1767" s="6">
        <f t="shared" si="58"/>
        <v>0.5911152289462136</v>
      </c>
      <c r="E1767" s="6">
        <v>6.726111505353142E-3</v>
      </c>
      <c r="F1767" s="6"/>
      <c r="G1767" s="6">
        <v>1760</v>
      </c>
      <c r="H1767" s="6">
        <f t="shared" ca="1" si="59"/>
        <v>3.8611380586730361E-3</v>
      </c>
    </row>
    <row r="1768" spans="2:8" x14ac:dyDescent="0.3">
      <c r="B1768" s="4">
        <v>40365</v>
      </c>
      <c r="C1768" s="7">
        <v>205.07</v>
      </c>
      <c r="D1768" s="6">
        <f t="shared" si="58"/>
        <v>1.6831087269396829</v>
      </c>
      <c r="E1768" s="6">
        <v>6.7255768286696351E-3</v>
      </c>
      <c r="F1768" s="6"/>
      <c r="G1768" s="6">
        <v>1761</v>
      </c>
      <c r="H1768" s="6">
        <f t="shared" ca="1" si="59"/>
        <v>-6.3624833956219852E-4</v>
      </c>
    </row>
    <row r="1769" spans="2:8" x14ac:dyDescent="0.3">
      <c r="B1769" s="4">
        <v>39925</v>
      </c>
      <c r="C1769" s="7">
        <v>76.430000000000007</v>
      </c>
      <c r="D1769" s="6">
        <f t="shared" si="58"/>
        <v>-0.20401999583420111</v>
      </c>
      <c r="E1769" s="6">
        <v>6.7175974710221957E-3</v>
      </c>
      <c r="F1769" s="6"/>
      <c r="G1769" s="6">
        <v>1762</v>
      </c>
      <c r="H1769" s="6">
        <f t="shared" ca="1" si="59"/>
        <v>-1.1551601846111549E-2</v>
      </c>
    </row>
    <row r="1770" spans="2:8" x14ac:dyDescent="0.3">
      <c r="B1770" s="4">
        <v>39521</v>
      </c>
      <c r="C1770" s="7">
        <v>96.02</v>
      </c>
      <c r="D1770" s="6">
        <f t="shared" si="58"/>
        <v>-0.89588054781448911</v>
      </c>
      <c r="E1770" s="6">
        <v>6.7100020968756616E-3</v>
      </c>
      <c r="F1770" s="6"/>
      <c r="G1770" s="6">
        <v>1763</v>
      </c>
      <c r="H1770" s="6">
        <f t="shared" ca="1" si="59"/>
        <v>-1.5179784598758699E-3</v>
      </c>
    </row>
    <row r="1771" spans="2:8" x14ac:dyDescent="0.3">
      <c r="B1771" s="4">
        <v>42772</v>
      </c>
      <c r="C1771" s="7">
        <v>922.21</v>
      </c>
      <c r="D1771" s="6">
        <f t="shared" si="58"/>
        <v>-0.71792769949318069</v>
      </c>
      <c r="E1771" s="6">
        <v>6.6915553226792367E-3</v>
      </c>
      <c r="F1771" s="6"/>
      <c r="G1771" s="6">
        <v>1764</v>
      </c>
      <c r="H1771" s="6">
        <f t="shared" ca="1" si="59"/>
        <v>-4.2768511610786894E-3</v>
      </c>
    </row>
    <row r="1772" spans="2:8" x14ac:dyDescent="0.3">
      <c r="B1772" s="4">
        <v>45105</v>
      </c>
      <c r="C1772" s="5">
        <v>3269.41</v>
      </c>
      <c r="D1772" s="6">
        <f t="shared" si="58"/>
        <v>7.2154236606694138</v>
      </c>
      <c r="E1772" s="6">
        <v>6.6909301409005875E-3</v>
      </c>
      <c r="F1772" s="6"/>
      <c r="G1772" s="6">
        <v>1765</v>
      </c>
      <c r="H1772" s="6">
        <f t="shared" ca="1" si="59"/>
        <v>1.3902353812750189E-2</v>
      </c>
    </row>
    <row r="1773" spans="2:8" x14ac:dyDescent="0.3">
      <c r="B1773" s="4">
        <v>41297</v>
      </c>
      <c r="C1773" s="7">
        <v>397.96</v>
      </c>
      <c r="D1773" s="6">
        <f t="shared" si="58"/>
        <v>-0.47944381221467908</v>
      </c>
      <c r="E1773" s="6">
        <v>6.6781341697864675E-3</v>
      </c>
      <c r="F1773" s="6"/>
      <c r="G1773" s="6">
        <v>1766</v>
      </c>
      <c r="H1773" s="6">
        <f t="shared" ca="1" si="59"/>
        <v>1.631412003366417E-2</v>
      </c>
    </row>
    <row r="1774" spans="2:8" x14ac:dyDescent="0.3">
      <c r="B1774" s="4">
        <v>42328</v>
      </c>
      <c r="C1774" s="7">
        <v>764.49</v>
      </c>
      <c r="D1774" s="6">
        <f t="shared" si="58"/>
        <v>-0.27045519610649876</v>
      </c>
      <c r="E1774" s="6">
        <v>6.6761475863159388E-3</v>
      </c>
      <c r="F1774" s="6"/>
      <c r="G1774" s="6">
        <v>1767</v>
      </c>
      <c r="H1774" s="6">
        <f t="shared" ca="1" si="59"/>
        <v>-8.5764678175064245E-3</v>
      </c>
    </row>
    <row r="1775" spans="2:8" x14ac:dyDescent="0.3">
      <c r="B1775" s="4">
        <v>43159</v>
      </c>
      <c r="C1775" s="5">
        <v>1047.9000000000001</v>
      </c>
      <c r="D1775" s="6">
        <f t="shared" si="58"/>
        <v>-0.6646473180426079</v>
      </c>
      <c r="E1775" s="6">
        <v>6.6669228404550168E-3</v>
      </c>
      <c r="F1775" s="6"/>
      <c r="G1775" s="6">
        <v>1768</v>
      </c>
      <c r="H1775" s="6">
        <f t="shared" ca="1" si="59"/>
        <v>-1.0768298692195987E-2</v>
      </c>
    </row>
    <row r="1776" spans="2:8" x14ac:dyDescent="0.3">
      <c r="B1776" s="4">
        <v>45264</v>
      </c>
      <c r="C1776" s="5">
        <v>3124.77</v>
      </c>
      <c r="D1776" s="6">
        <f t="shared" si="58"/>
        <v>0.46390791458581243</v>
      </c>
      <c r="E1776" s="6">
        <v>6.6654209943042882E-3</v>
      </c>
      <c r="F1776" s="6"/>
      <c r="G1776" s="6">
        <v>1769</v>
      </c>
      <c r="H1776" s="6">
        <f t="shared" ca="1" si="59"/>
        <v>1.3658184957119686E-2</v>
      </c>
    </row>
    <row r="1777" spans="2:8" x14ac:dyDescent="0.3">
      <c r="B1777" s="4">
        <v>44166</v>
      </c>
      <c r="C1777" s="5">
        <v>2134.54</v>
      </c>
      <c r="D1777" s="6">
        <f t="shared" si="58"/>
        <v>-0.35710499367507981</v>
      </c>
      <c r="E1777" s="6">
        <v>6.6590581111288759E-3</v>
      </c>
      <c r="F1777" s="6"/>
      <c r="G1777" s="6">
        <v>1770</v>
      </c>
      <c r="H1777" s="6">
        <f t="shared" ca="1" si="59"/>
        <v>3.4566988884114618E-3</v>
      </c>
    </row>
    <row r="1778" spans="2:8" x14ac:dyDescent="0.3">
      <c r="B1778" s="4">
        <v>44785</v>
      </c>
      <c r="C1778" s="5">
        <v>3320.2</v>
      </c>
      <c r="D1778" s="6">
        <f t="shared" si="58"/>
        <v>0.27983532749475765</v>
      </c>
      <c r="E1778" s="6">
        <v>6.6519922625868184E-3</v>
      </c>
      <c r="F1778" s="6"/>
      <c r="G1778" s="6">
        <v>1771</v>
      </c>
      <c r="H1778" s="6">
        <f t="shared" ca="1" si="59"/>
        <v>-7.4898242848812635E-3</v>
      </c>
    </row>
    <row r="1779" spans="2:8" x14ac:dyDescent="0.3">
      <c r="B1779" s="4">
        <v>44733</v>
      </c>
      <c r="C1779" s="5">
        <v>2594.2399999999998</v>
      </c>
      <c r="D1779" s="6">
        <f t="shared" si="58"/>
        <v>-0.20731863820529589</v>
      </c>
      <c r="E1779" s="6">
        <v>6.6352623450801704E-3</v>
      </c>
      <c r="F1779" s="6"/>
      <c r="G1779" s="6">
        <v>1772</v>
      </c>
      <c r="H1779" s="6">
        <f t="shared" ca="1" si="59"/>
        <v>-6.7121801146786996E-4</v>
      </c>
    </row>
    <row r="1780" spans="2:8" x14ac:dyDescent="0.3">
      <c r="B1780" s="4">
        <v>44797</v>
      </c>
      <c r="C1780" s="5">
        <v>3272.74</v>
      </c>
      <c r="D1780" s="6">
        <f t="shared" si="58"/>
        <v>0.32132086060229237</v>
      </c>
      <c r="E1780" s="6">
        <v>6.6283422377651649E-3</v>
      </c>
      <c r="F1780" s="6"/>
      <c r="G1780" s="6">
        <v>1773</v>
      </c>
      <c r="H1780" s="6">
        <f t="shared" ca="1" si="59"/>
        <v>-2.7871034435454065E-2</v>
      </c>
    </row>
    <row r="1781" spans="2:8" x14ac:dyDescent="0.3">
      <c r="B1781" s="4">
        <v>44301</v>
      </c>
      <c r="C1781" s="5">
        <v>2476.87</v>
      </c>
      <c r="D1781" s="6">
        <f t="shared" si="58"/>
        <v>7.5615969581749036</v>
      </c>
      <c r="E1781" s="6">
        <v>6.6122084044541911E-3</v>
      </c>
      <c r="F1781" s="6"/>
      <c r="G1781" s="6">
        <v>1774</v>
      </c>
      <c r="H1781" s="6">
        <f t="shared" ca="1" si="59"/>
        <v>4.0025180861354721E-3</v>
      </c>
    </row>
    <row r="1782" spans="2:8" x14ac:dyDescent="0.3">
      <c r="B1782" s="4">
        <v>41001</v>
      </c>
      <c r="C1782" s="7">
        <v>289.3</v>
      </c>
      <c r="D1782" s="6">
        <f t="shared" si="58"/>
        <v>4.5763299922898995</v>
      </c>
      <c r="E1782" s="6">
        <v>6.6109951287405509E-3</v>
      </c>
      <c r="F1782" s="6"/>
      <c r="G1782" s="6">
        <v>1775</v>
      </c>
      <c r="H1782" s="6">
        <f t="shared" ca="1" si="59"/>
        <v>-4.2329315421985834E-3</v>
      </c>
    </row>
    <row r="1783" spans="2:8" x14ac:dyDescent="0.3">
      <c r="B1783" s="4">
        <v>38812</v>
      </c>
      <c r="C1783" s="7">
        <v>51.88</v>
      </c>
      <c r="D1783" s="6">
        <f t="shared" si="58"/>
        <v>-0.1905133406147605</v>
      </c>
      <c r="E1783" s="6">
        <v>6.5968180054327401E-3</v>
      </c>
      <c r="F1783" s="6"/>
      <c r="G1783" s="6">
        <v>1776</v>
      </c>
      <c r="H1783" s="6">
        <f t="shared" ca="1" si="59"/>
        <v>-1.3525676398061758E-2</v>
      </c>
    </row>
    <row r="1784" spans="2:8" x14ac:dyDescent="0.3">
      <c r="B1784" s="4">
        <v>39895</v>
      </c>
      <c r="C1784" s="7">
        <v>64.09</v>
      </c>
      <c r="D1784" s="6">
        <f t="shared" si="58"/>
        <v>-0.97986269303881979</v>
      </c>
      <c r="E1784" s="6">
        <v>6.59651327155649E-3</v>
      </c>
      <c r="F1784" s="6"/>
      <c r="G1784" s="6">
        <v>1777</v>
      </c>
      <c r="H1784" s="6">
        <f t="shared" ca="1" si="59"/>
        <v>4.3168506317959798E-3</v>
      </c>
    </row>
    <row r="1785" spans="2:8" x14ac:dyDescent="0.3">
      <c r="B1785" s="4">
        <v>45180</v>
      </c>
      <c r="C1785" s="5">
        <v>3182.65</v>
      </c>
      <c r="D1785" s="6">
        <f t="shared" si="58"/>
        <v>0.12714040337860569</v>
      </c>
      <c r="E1785" s="6">
        <v>6.5943449933581842E-3</v>
      </c>
      <c r="F1785" s="6"/>
      <c r="G1785" s="6">
        <v>1778</v>
      </c>
      <c r="H1785" s="6">
        <f t="shared" ca="1" si="59"/>
        <v>-9.6058335623932338E-3</v>
      </c>
    </row>
    <row r="1786" spans="2:8" x14ac:dyDescent="0.3">
      <c r="B1786" s="4">
        <v>44631</v>
      </c>
      <c r="C1786" s="5">
        <v>2823.65</v>
      </c>
      <c r="D1786" s="6">
        <f t="shared" si="58"/>
        <v>50.35776646053111</v>
      </c>
      <c r="E1786" s="6">
        <v>6.5914243750802943E-3</v>
      </c>
      <c r="F1786" s="6"/>
      <c r="G1786" s="6">
        <v>1779</v>
      </c>
      <c r="H1786" s="6">
        <f t="shared" ca="1" si="59"/>
        <v>-1.4964790019183135E-2</v>
      </c>
    </row>
    <row r="1787" spans="2:8" x14ac:dyDescent="0.3">
      <c r="B1787" s="4">
        <v>38779</v>
      </c>
      <c r="C1787" s="7">
        <v>54.98</v>
      </c>
      <c r="D1787" s="6">
        <f t="shared" si="58"/>
        <v>-0.97934185509990912</v>
      </c>
      <c r="E1787" s="6">
        <v>6.5909923105089609E-3</v>
      </c>
      <c r="F1787" s="6"/>
      <c r="G1787" s="6">
        <v>1780</v>
      </c>
      <c r="H1787" s="6">
        <f t="shared" ca="1" si="59"/>
        <v>-1.6164713188712144E-2</v>
      </c>
    </row>
    <row r="1788" spans="2:8" x14ac:dyDescent="0.3">
      <c r="B1788" s="4">
        <v>44958</v>
      </c>
      <c r="C1788" s="5">
        <v>2661.42</v>
      </c>
      <c r="D1788" s="6">
        <f t="shared" si="58"/>
        <v>0.61196579125884298</v>
      </c>
      <c r="E1788" s="6">
        <v>6.5656603859216992E-3</v>
      </c>
      <c r="F1788" s="6"/>
      <c r="G1788" s="6">
        <v>1781</v>
      </c>
      <c r="H1788" s="6">
        <f t="shared" ca="1" si="59"/>
        <v>-5.7630328182093358E-3</v>
      </c>
    </row>
    <row r="1789" spans="2:8" x14ac:dyDescent="0.3">
      <c r="B1789" s="4">
        <v>44049</v>
      </c>
      <c r="C1789" s="5">
        <v>1651.04</v>
      </c>
      <c r="D1789" s="6">
        <f t="shared" si="58"/>
        <v>-2.8497119690256412E-2</v>
      </c>
      <c r="E1789" s="6">
        <v>6.5537191594169323E-3</v>
      </c>
      <c r="F1789" s="6"/>
      <c r="G1789" s="6">
        <v>1782</v>
      </c>
      <c r="H1789" s="6">
        <f t="shared" ca="1" si="59"/>
        <v>-1.1804837034746619E-2</v>
      </c>
    </row>
    <row r="1790" spans="2:8" x14ac:dyDescent="0.3">
      <c r="B1790" s="4">
        <v>43749</v>
      </c>
      <c r="C1790" s="5">
        <v>1699.47</v>
      </c>
      <c r="D1790" s="6">
        <f t="shared" si="58"/>
        <v>-0.46387436867292758</v>
      </c>
      <c r="E1790" s="6">
        <v>6.5505416338448273E-3</v>
      </c>
      <c r="F1790" s="6"/>
      <c r="G1790" s="6">
        <v>1783</v>
      </c>
      <c r="H1790" s="6">
        <f t="shared" ca="1" si="59"/>
        <v>-7.3543631368627651E-3</v>
      </c>
    </row>
    <row r="1791" spans="2:8" x14ac:dyDescent="0.3">
      <c r="B1791" s="4">
        <v>45176</v>
      </c>
      <c r="C1791" s="5">
        <v>3169.91</v>
      </c>
      <c r="D1791" s="6">
        <f t="shared" si="58"/>
        <v>14.327643730960785</v>
      </c>
      <c r="E1791" s="6">
        <v>6.5283312429548785E-3</v>
      </c>
      <c r="F1791" s="6"/>
      <c r="G1791" s="6">
        <v>1784</v>
      </c>
      <c r="H1791" s="6">
        <f t="shared" ca="1" si="59"/>
        <v>2.0381585635035903E-2</v>
      </c>
    </row>
    <row r="1792" spans="2:8" x14ac:dyDescent="0.3">
      <c r="B1792" s="4">
        <v>40347</v>
      </c>
      <c r="C1792" s="7">
        <v>206.81</v>
      </c>
      <c r="D1792" s="6">
        <f t="shared" si="58"/>
        <v>-0.91780272016915609</v>
      </c>
      <c r="E1792" s="6">
        <v>6.5216333284664595E-3</v>
      </c>
      <c r="F1792" s="6"/>
      <c r="G1792" s="6">
        <v>1785</v>
      </c>
      <c r="H1792" s="6">
        <f t="shared" ca="1" si="59"/>
        <v>-2.996024386553285E-3</v>
      </c>
    </row>
    <row r="1793" spans="2:8" x14ac:dyDescent="0.3">
      <c r="B1793" s="4">
        <v>44293</v>
      </c>
      <c r="C1793" s="5">
        <v>2516.02</v>
      </c>
      <c r="D1793" s="6">
        <f t="shared" si="58"/>
        <v>9.3599604710532809</v>
      </c>
      <c r="E1793" s="6">
        <v>6.5086508650865011E-3</v>
      </c>
      <c r="F1793" s="6"/>
      <c r="G1793" s="6">
        <v>1786</v>
      </c>
      <c r="H1793" s="6">
        <f t="shared" ca="1" si="59"/>
        <v>-1.2077449871657796E-3</v>
      </c>
    </row>
    <row r="1794" spans="2:8" x14ac:dyDescent="0.3">
      <c r="B1794" s="4">
        <v>40676</v>
      </c>
      <c r="C1794" s="7">
        <v>242.86</v>
      </c>
      <c r="D1794" s="6">
        <f t="shared" si="58"/>
        <v>-0.83812139229200278</v>
      </c>
      <c r="E1794" s="6">
        <v>6.506693190766388E-3</v>
      </c>
      <c r="F1794" s="6"/>
      <c r="G1794" s="6">
        <v>1787</v>
      </c>
      <c r="H1794" s="6">
        <f t="shared" ca="1" si="59"/>
        <v>2.2388083825383157E-2</v>
      </c>
    </row>
    <row r="1795" spans="2:8" x14ac:dyDescent="0.3">
      <c r="B1795" s="4">
        <v>43700</v>
      </c>
      <c r="C1795" s="5">
        <v>1500.26</v>
      </c>
      <c r="D1795" s="6">
        <f t="shared" si="58"/>
        <v>-0.56043292782973542</v>
      </c>
      <c r="E1795" s="6">
        <v>6.500868795158936E-3</v>
      </c>
      <c r="F1795" s="6"/>
      <c r="G1795" s="6">
        <v>1788</v>
      </c>
      <c r="H1795" s="6">
        <f t="shared" ca="1" si="59"/>
        <v>1.0416582861483238E-2</v>
      </c>
    </row>
    <row r="1796" spans="2:8" x14ac:dyDescent="0.3">
      <c r="B1796" s="4">
        <v>44790</v>
      </c>
      <c r="C1796" s="5">
        <v>3413.04</v>
      </c>
      <c r="D1796" s="6">
        <f t="shared" si="58"/>
        <v>0.4473440932260172</v>
      </c>
      <c r="E1796" s="6">
        <v>6.4847171230149308E-3</v>
      </c>
      <c r="F1796" s="6"/>
      <c r="G1796" s="6">
        <v>1789</v>
      </c>
      <c r="H1796" s="6">
        <f t="shared" ca="1" si="59"/>
        <v>2.1508345079764374E-2</v>
      </c>
    </row>
    <row r="1797" spans="2:8" x14ac:dyDescent="0.3">
      <c r="B1797" s="4">
        <v>44229</v>
      </c>
      <c r="C1797" s="5">
        <v>2358.14</v>
      </c>
      <c r="D1797" s="6">
        <f t="shared" si="58"/>
        <v>3.0969804371242917</v>
      </c>
      <c r="E1797" s="6">
        <v>6.4789838494894647E-3</v>
      </c>
      <c r="F1797" s="6"/>
      <c r="G1797" s="6">
        <v>1790</v>
      </c>
      <c r="H1797" s="6">
        <f t="shared" ca="1" si="59"/>
        <v>-9.9125251920579634E-3</v>
      </c>
    </row>
    <row r="1798" spans="2:8" x14ac:dyDescent="0.3">
      <c r="B1798" s="4">
        <v>41912</v>
      </c>
      <c r="C1798" s="7">
        <v>575.58000000000004</v>
      </c>
      <c r="D1798" s="6">
        <f t="shared" si="58"/>
        <v>4.8714679179842912</v>
      </c>
      <c r="E1798" s="6">
        <v>6.4698887878576724E-3</v>
      </c>
      <c r="F1798" s="6"/>
      <c r="G1798" s="6">
        <v>1791</v>
      </c>
      <c r="H1798" s="6">
        <f t="shared" ca="1" si="59"/>
        <v>6.5851962298221775E-3</v>
      </c>
    </row>
    <row r="1799" spans="2:8" x14ac:dyDescent="0.3">
      <c r="B1799" s="4">
        <v>39534</v>
      </c>
      <c r="C1799" s="7">
        <v>98.03</v>
      </c>
      <c r="D1799" s="6">
        <f t="shared" si="58"/>
        <v>-0.36393719179859851</v>
      </c>
      <c r="E1799" s="6">
        <v>6.4681724845995422E-3</v>
      </c>
      <c r="F1799" s="6"/>
      <c r="G1799" s="6">
        <v>1792</v>
      </c>
      <c r="H1799" s="6">
        <f t="shared" ca="1" si="59"/>
        <v>-2.4733512527273023E-2</v>
      </c>
    </row>
    <row r="1800" spans="2:8" x14ac:dyDescent="0.3">
      <c r="B1800" s="4">
        <v>40203</v>
      </c>
      <c r="C1800" s="7">
        <v>154.12</v>
      </c>
      <c r="D1800" s="6">
        <f t="shared" ref="D1800:D1863" si="60">((C1800-C1801)/C1801)</f>
        <v>0.86608548250393513</v>
      </c>
      <c r="E1800" s="6">
        <v>6.4650950173056167E-3</v>
      </c>
      <c r="F1800" s="6"/>
      <c r="G1800" s="6">
        <v>1793</v>
      </c>
      <c r="H1800" s="6">
        <f t="shared" ca="1" si="59"/>
        <v>1.127864588063645E-2</v>
      </c>
    </row>
    <row r="1801" spans="2:8" x14ac:dyDescent="0.3">
      <c r="B1801" s="4">
        <v>39308</v>
      </c>
      <c r="C1801" s="7">
        <v>82.59</v>
      </c>
      <c r="D1801" s="6">
        <f t="shared" si="60"/>
        <v>1.0377498149518876</v>
      </c>
      <c r="E1801" s="6">
        <v>6.4586887643188051E-3</v>
      </c>
      <c r="F1801" s="6"/>
      <c r="G1801" s="6">
        <v>1794</v>
      </c>
      <c r="H1801" s="6">
        <f t="shared" ref="H1801:H1864" ca="1" si="61">_xlfn.NORM.INV(RAND(),N$10,N$11)</f>
        <v>-2.748644815916872E-4</v>
      </c>
    </row>
    <row r="1802" spans="2:8" x14ac:dyDescent="0.3">
      <c r="B1802" s="4">
        <v>38614</v>
      </c>
      <c r="C1802" s="7">
        <v>40.53</v>
      </c>
      <c r="D1802" s="6">
        <f t="shared" si="60"/>
        <v>-0.25728422210005497</v>
      </c>
      <c r="E1802" s="6">
        <v>6.4564191705984101E-3</v>
      </c>
      <c r="F1802" s="6"/>
      <c r="G1802" s="6">
        <v>1795</v>
      </c>
      <c r="H1802" s="6">
        <f t="shared" ca="1" si="61"/>
        <v>2.9589252095333883E-2</v>
      </c>
    </row>
    <row r="1803" spans="2:8" x14ac:dyDescent="0.3">
      <c r="B1803" s="4">
        <v>38763</v>
      </c>
      <c r="C1803" s="7">
        <v>54.57</v>
      </c>
      <c r="D1803" s="6">
        <f t="shared" si="60"/>
        <v>-0.9407066953517178</v>
      </c>
      <c r="E1803" s="6">
        <v>6.4551825894504132E-3</v>
      </c>
      <c r="F1803" s="6"/>
      <c r="G1803" s="6">
        <v>1796</v>
      </c>
      <c r="H1803" s="6">
        <f t="shared" ca="1" si="61"/>
        <v>2.7467838863271452E-2</v>
      </c>
    </row>
    <row r="1804" spans="2:8" x14ac:dyDescent="0.3">
      <c r="B1804" s="4">
        <v>42517</v>
      </c>
      <c r="C1804" s="7">
        <v>920.34</v>
      </c>
      <c r="D1804" s="6">
        <f t="shared" si="60"/>
        <v>2.8783817951959541</v>
      </c>
      <c r="E1804" s="6">
        <v>6.4520362188880374E-3</v>
      </c>
      <c r="F1804" s="6"/>
      <c r="G1804" s="6">
        <v>1797</v>
      </c>
      <c r="H1804" s="6">
        <f t="shared" ca="1" si="61"/>
        <v>-3.8094524206123874E-3</v>
      </c>
    </row>
    <row r="1805" spans="2:8" x14ac:dyDescent="0.3">
      <c r="B1805" s="4">
        <v>40483</v>
      </c>
      <c r="C1805" s="7">
        <v>237.3</v>
      </c>
      <c r="D1805" s="6">
        <f t="shared" si="60"/>
        <v>-0.66105326305866219</v>
      </c>
      <c r="E1805" s="6">
        <v>6.4466875901264325E-3</v>
      </c>
      <c r="F1805" s="6"/>
      <c r="G1805" s="6">
        <v>1798</v>
      </c>
      <c r="H1805" s="6">
        <f t="shared" ca="1" si="61"/>
        <v>-6.6729473472614481E-3</v>
      </c>
    </row>
    <row r="1806" spans="2:8" x14ac:dyDescent="0.3">
      <c r="B1806" s="4">
        <v>42131</v>
      </c>
      <c r="C1806" s="7">
        <v>700.11</v>
      </c>
      <c r="D1806" s="6">
        <f t="shared" si="60"/>
        <v>-0.69733087777547198</v>
      </c>
      <c r="E1806" s="6">
        <v>6.4402052815433755E-3</v>
      </c>
      <c r="F1806" s="6"/>
      <c r="G1806" s="6">
        <v>1799</v>
      </c>
      <c r="H1806" s="6">
        <f t="shared" ca="1" si="61"/>
        <v>1.2362579154841947E-2</v>
      </c>
    </row>
    <row r="1807" spans="2:8" x14ac:dyDescent="0.3">
      <c r="B1807" s="4">
        <v>45743</v>
      </c>
      <c r="C1807" s="5">
        <v>2313.12</v>
      </c>
      <c r="D1807" s="6">
        <f t="shared" si="60"/>
        <v>-6.1268054332431141E-2</v>
      </c>
      <c r="E1807" s="6">
        <v>6.4394862334225551E-3</v>
      </c>
      <c r="F1807" s="6"/>
      <c r="G1807" s="6">
        <v>1800</v>
      </c>
      <c r="H1807" s="6">
        <f t="shared" ca="1" si="61"/>
        <v>-2.5363552638054062E-2</v>
      </c>
    </row>
    <row r="1808" spans="2:8" x14ac:dyDescent="0.3">
      <c r="B1808" s="4">
        <v>44313</v>
      </c>
      <c r="C1808" s="5">
        <v>2464.09</v>
      </c>
      <c r="D1808" s="6">
        <f t="shared" si="60"/>
        <v>7.8397847533632294</v>
      </c>
      <c r="E1808" s="6">
        <v>6.4288194089898243E-3</v>
      </c>
      <c r="F1808" s="6"/>
      <c r="G1808" s="6">
        <v>1801</v>
      </c>
      <c r="H1808" s="6">
        <f t="shared" ca="1" si="61"/>
        <v>2.3596929884767862E-2</v>
      </c>
    </row>
    <row r="1809" spans="2:8" x14ac:dyDescent="0.3">
      <c r="B1809" s="4">
        <v>40815</v>
      </c>
      <c r="C1809" s="7">
        <v>278.75</v>
      </c>
      <c r="D1809" s="6">
        <f t="shared" si="60"/>
        <v>-0.91290613859406289</v>
      </c>
      <c r="E1809" s="6">
        <v>6.4266888110624705E-3</v>
      </c>
      <c r="F1809" s="6"/>
      <c r="G1809" s="6">
        <v>1802</v>
      </c>
      <c r="H1809" s="6">
        <f t="shared" ca="1" si="61"/>
        <v>1.8751949698625436E-2</v>
      </c>
    </row>
    <row r="1810" spans="2:8" x14ac:dyDescent="0.3">
      <c r="B1810" s="4">
        <v>45182</v>
      </c>
      <c r="C1810" s="5">
        <v>3200.57</v>
      </c>
      <c r="D1810" s="6">
        <f t="shared" si="60"/>
        <v>135.02082447938801</v>
      </c>
      <c r="E1810" s="6">
        <v>6.417916079694201E-3</v>
      </c>
      <c r="F1810" s="6"/>
      <c r="G1810" s="6">
        <v>1803</v>
      </c>
      <c r="H1810" s="6">
        <f t="shared" ca="1" si="61"/>
        <v>1.0180999318162472E-2</v>
      </c>
    </row>
    <row r="1811" spans="2:8" x14ac:dyDescent="0.3">
      <c r="B1811" s="4">
        <v>37949</v>
      </c>
      <c r="C1811" s="7">
        <v>23.53</v>
      </c>
      <c r="D1811" s="6">
        <f t="shared" si="60"/>
        <v>-0.66070656092285507</v>
      </c>
      <c r="E1811" s="6">
        <v>6.4157399486741715E-3</v>
      </c>
      <c r="F1811" s="6"/>
      <c r="G1811" s="6">
        <v>1804</v>
      </c>
      <c r="H1811" s="6">
        <f t="shared" ca="1" si="61"/>
        <v>-1.245579387307888E-2</v>
      </c>
    </row>
    <row r="1812" spans="2:8" x14ac:dyDescent="0.3">
      <c r="B1812" s="4">
        <v>39233</v>
      </c>
      <c r="C1812" s="7">
        <v>69.349999999999994</v>
      </c>
      <c r="D1812" s="6">
        <f t="shared" si="60"/>
        <v>-0.91222407857432153</v>
      </c>
      <c r="E1812" s="6">
        <v>6.3851400377303406E-3</v>
      </c>
      <c r="F1812" s="6"/>
      <c r="G1812" s="6">
        <v>1805</v>
      </c>
      <c r="H1812" s="6">
        <f t="shared" ca="1" si="61"/>
        <v>-3.8286869727839935E-2</v>
      </c>
    </row>
    <row r="1813" spans="2:8" x14ac:dyDescent="0.3">
      <c r="B1813" s="4">
        <v>42289</v>
      </c>
      <c r="C1813" s="7">
        <v>790.08</v>
      </c>
      <c r="D1813" s="6">
        <f t="shared" si="60"/>
        <v>30.277909738717341</v>
      </c>
      <c r="E1813" s="6">
        <v>6.3815965455309596E-3</v>
      </c>
      <c r="F1813" s="6"/>
      <c r="G1813" s="6">
        <v>1806</v>
      </c>
      <c r="H1813" s="6">
        <f t="shared" ca="1" si="61"/>
        <v>3.5613373139492194E-3</v>
      </c>
    </row>
    <row r="1814" spans="2:8" x14ac:dyDescent="0.3">
      <c r="B1814" s="4">
        <v>37970</v>
      </c>
      <c r="C1814" s="7">
        <v>25.26</v>
      </c>
      <c r="D1814" s="6">
        <f t="shared" si="60"/>
        <v>-0.93681998949501011</v>
      </c>
      <c r="E1814" s="6">
        <v>6.374501992031878E-3</v>
      </c>
      <c r="F1814" s="6"/>
      <c r="G1814" s="6">
        <v>1807</v>
      </c>
      <c r="H1814" s="6">
        <f t="shared" ca="1" si="61"/>
        <v>-3.1331675429127827E-2</v>
      </c>
    </row>
    <row r="1815" spans="2:8" x14ac:dyDescent="0.3">
      <c r="B1815" s="4">
        <v>41339</v>
      </c>
      <c r="C1815" s="7">
        <v>399.81</v>
      </c>
      <c r="D1815" s="6">
        <f t="shared" si="60"/>
        <v>0.14342504146885537</v>
      </c>
      <c r="E1815" s="6">
        <v>6.3683044703987859E-3</v>
      </c>
      <c r="F1815" s="6"/>
      <c r="G1815" s="6">
        <v>1808</v>
      </c>
      <c r="H1815" s="6">
        <f t="shared" ca="1" si="61"/>
        <v>2.9647363529201508E-2</v>
      </c>
    </row>
    <row r="1816" spans="2:8" x14ac:dyDescent="0.3">
      <c r="B1816" s="4">
        <v>41215</v>
      </c>
      <c r="C1816" s="7">
        <v>349.66</v>
      </c>
      <c r="D1816" s="6">
        <f t="shared" si="60"/>
        <v>-0.89056401814022057</v>
      </c>
      <c r="E1816" s="6">
        <v>6.36062742840707E-3</v>
      </c>
      <c r="F1816" s="6"/>
      <c r="G1816" s="6">
        <v>1809</v>
      </c>
      <c r="H1816" s="6">
        <f t="shared" ca="1" si="61"/>
        <v>1.4794191825239498E-2</v>
      </c>
    </row>
    <row r="1817" spans="2:8" x14ac:dyDescent="0.3">
      <c r="B1817" s="4">
        <v>44845</v>
      </c>
      <c r="C1817" s="5">
        <v>3195.11</v>
      </c>
      <c r="D1817" s="6">
        <f t="shared" si="60"/>
        <v>65.997483749213671</v>
      </c>
      <c r="E1817" s="6">
        <v>6.3306887222402157E-3</v>
      </c>
      <c r="F1817" s="6"/>
      <c r="G1817" s="6">
        <v>1810</v>
      </c>
      <c r="H1817" s="6">
        <f t="shared" ca="1" si="61"/>
        <v>6.8572315236855412E-3</v>
      </c>
    </row>
    <row r="1818" spans="2:8" x14ac:dyDescent="0.3">
      <c r="B1818" s="4">
        <v>38904</v>
      </c>
      <c r="C1818" s="7">
        <v>47.69</v>
      </c>
      <c r="D1818" s="6">
        <f t="shared" si="60"/>
        <v>-0.30247184437618846</v>
      </c>
      <c r="E1818" s="6">
        <v>6.3304494619117356E-3</v>
      </c>
      <c r="F1818" s="6"/>
      <c r="G1818" s="6">
        <v>1811</v>
      </c>
      <c r="H1818" s="6">
        <f t="shared" ca="1" si="61"/>
        <v>9.6134572609193249E-3</v>
      </c>
    </row>
    <row r="1819" spans="2:8" x14ac:dyDescent="0.3">
      <c r="B1819" s="4">
        <v>39863</v>
      </c>
      <c r="C1819" s="7">
        <v>68.37</v>
      </c>
      <c r="D1819" s="6">
        <f t="shared" si="60"/>
        <v>-0.97934977619108032</v>
      </c>
      <c r="E1819" s="6">
        <v>6.3291139240507334E-3</v>
      </c>
      <c r="F1819" s="6"/>
      <c r="G1819" s="6">
        <v>1812</v>
      </c>
      <c r="H1819" s="6">
        <f t="shared" ca="1" si="61"/>
        <v>1.1650364070680007E-2</v>
      </c>
    </row>
    <row r="1820" spans="2:8" x14ac:dyDescent="0.3">
      <c r="B1820" s="4">
        <v>45135</v>
      </c>
      <c r="C1820" s="5">
        <v>3310.86</v>
      </c>
      <c r="D1820" s="6">
        <f t="shared" si="60"/>
        <v>1.27821395886518</v>
      </c>
      <c r="E1820" s="6">
        <v>6.3220731536811434E-3</v>
      </c>
      <c r="F1820" s="6"/>
      <c r="G1820" s="6">
        <v>1813</v>
      </c>
      <c r="H1820" s="6">
        <f t="shared" ca="1" si="61"/>
        <v>-3.3261259768715126E-3</v>
      </c>
    </row>
    <row r="1821" spans="2:8" x14ac:dyDescent="0.3">
      <c r="B1821" s="4">
        <v>43725</v>
      </c>
      <c r="C1821" s="5">
        <v>1453.27</v>
      </c>
      <c r="D1821" s="6">
        <f t="shared" si="60"/>
        <v>-0.354684440260565</v>
      </c>
      <c r="E1821" s="6">
        <v>6.3151334695148633E-3</v>
      </c>
      <c r="F1821" s="6"/>
      <c r="G1821" s="6">
        <v>1814</v>
      </c>
      <c r="H1821" s="6">
        <f t="shared" ca="1" si="61"/>
        <v>1.4020838805781442E-2</v>
      </c>
    </row>
    <row r="1822" spans="2:8" x14ac:dyDescent="0.3">
      <c r="B1822" s="4">
        <v>45680</v>
      </c>
      <c r="C1822" s="5">
        <v>2252.0300000000002</v>
      </c>
      <c r="D1822" s="6">
        <f t="shared" si="60"/>
        <v>1.3652050622275904</v>
      </c>
      <c r="E1822" s="6">
        <v>6.3004651620025493E-3</v>
      </c>
      <c r="F1822" s="6"/>
      <c r="G1822" s="6">
        <v>1815</v>
      </c>
      <c r="H1822" s="6">
        <f t="shared" ca="1" si="61"/>
        <v>-5.6897942579483083E-3</v>
      </c>
    </row>
    <row r="1823" spans="2:8" x14ac:dyDescent="0.3">
      <c r="B1823" s="4">
        <v>42528</v>
      </c>
      <c r="C1823" s="7">
        <v>952.15</v>
      </c>
      <c r="D1823" s="6">
        <f t="shared" si="60"/>
        <v>36.149824424502533</v>
      </c>
      <c r="E1823" s="6">
        <v>6.2883111392939457E-3</v>
      </c>
      <c r="F1823" s="6"/>
      <c r="G1823" s="6">
        <v>1816</v>
      </c>
      <c r="H1823" s="6">
        <f t="shared" ca="1" si="61"/>
        <v>7.7988932092459525E-3</v>
      </c>
    </row>
    <row r="1824" spans="2:8" x14ac:dyDescent="0.3">
      <c r="B1824" s="4">
        <v>38330</v>
      </c>
      <c r="C1824" s="7">
        <v>25.63</v>
      </c>
      <c r="D1824" s="6">
        <f t="shared" si="60"/>
        <v>-0.97411084960454142</v>
      </c>
      <c r="E1824" s="6">
        <v>6.2819002748331432E-3</v>
      </c>
      <c r="F1824" s="6"/>
      <c r="G1824" s="6">
        <v>1817</v>
      </c>
      <c r="H1824" s="6">
        <f t="shared" ca="1" si="61"/>
        <v>1.9725033988005564E-3</v>
      </c>
    </row>
    <row r="1825" spans="2:8" x14ac:dyDescent="0.3">
      <c r="B1825" s="4">
        <v>42846</v>
      </c>
      <c r="C1825" s="7">
        <v>989.99</v>
      </c>
      <c r="D1825" s="6">
        <f t="shared" si="60"/>
        <v>40.095475300954753</v>
      </c>
      <c r="E1825" s="6">
        <v>6.2817007348980637E-3</v>
      </c>
      <c r="F1825" s="6"/>
      <c r="G1825" s="6">
        <v>1818</v>
      </c>
      <c r="H1825" s="6">
        <f t="shared" ca="1" si="61"/>
        <v>-1.5236623166059683E-2</v>
      </c>
    </row>
    <row r="1826" spans="2:8" x14ac:dyDescent="0.3">
      <c r="B1826" s="4">
        <v>38057</v>
      </c>
      <c r="C1826" s="7">
        <v>24.09</v>
      </c>
      <c r="D1826" s="6">
        <f t="shared" si="60"/>
        <v>-0.76586645932549324</v>
      </c>
      <c r="E1826" s="6">
        <v>6.2656641604009432E-3</v>
      </c>
      <c r="F1826" s="6"/>
      <c r="G1826" s="6">
        <v>1819</v>
      </c>
      <c r="H1826" s="6">
        <f t="shared" ca="1" si="61"/>
        <v>1.848909595816417E-2</v>
      </c>
    </row>
    <row r="1827" spans="2:8" x14ac:dyDescent="0.3">
      <c r="B1827" s="4">
        <v>39702</v>
      </c>
      <c r="C1827" s="7">
        <v>102.89</v>
      </c>
      <c r="D1827" s="6">
        <f t="shared" si="60"/>
        <v>-0.95552779674789723</v>
      </c>
      <c r="E1827" s="6">
        <v>6.2591687041564847E-3</v>
      </c>
      <c r="F1827" s="6"/>
      <c r="G1827" s="6">
        <v>1820</v>
      </c>
      <c r="H1827" s="6">
        <f t="shared" ca="1" si="61"/>
        <v>-1.4715116883875794E-2</v>
      </c>
    </row>
    <row r="1828" spans="2:8" x14ac:dyDescent="0.3">
      <c r="B1828" s="4">
        <v>44259</v>
      </c>
      <c r="C1828" s="5">
        <v>2313.58</v>
      </c>
      <c r="D1828" s="6">
        <f t="shared" si="60"/>
        <v>-0.2790721588448104</v>
      </c>
      <c r="E1828" s="6">
        <v>6.2455963326693963E-3</v>
      </c>
      <c r="F1828" s="6"/>
      <c r="G1828" s="6">
        <v>1821</v>
      </c>
      <c r="H1828" s="6">
        <f t="shared" ca="1" si="61"/>
        <v>2.8921936346989713E-3</v>
      </c>
    </row>
    <row r="1829" spans="2:8" x14ac:dyDescent="0.3">
      <c r="B1829" s="4">
        <v>44446</v>
      </c>
      <c r="C1829" s="5">
        <v>3209.17</v>
      </c>
      <c r="D1829" s="6">
        <f t="shared" si="60"/>
        <v>3.5331741838882382</v>
      </c>
      <c r="E1829" s="6">
        <v>6.2428274897624696E-3</v>
      </c>
      <c r="F1829" s="6"/>
      <c r="G1829" s="6">
        <v>1822</v>
      </c>
      <c r="H1829" s="6">
        <f t="shared" ca="1" si="61"/>
        <v>-1.4346161218826549E-3</v>
      </c>
    </row>
    <row r="1830" spans="2:8" x14ac:dyDescent="0.3">
      <c r="B1830" s="4">
        <v>41985</v>
      </c>
      <c r="C1830" s="7">
        <v>707.93</v>
      </c>
      <c r="D1830" s="6">
        <f t="shared" si="60"/>
        <v>-0.78741415397181458</v>
      </c>
      <c r="E1830" s="6">
        <v>6.239872644057177E-3</v>
      </c>
      <c r="F1830" s="6"/>
      <c r="G1830" s="6">
        <v>1823</v>
      </c>
      <c r="H1830" s="6">
        <f t="shared" ca="1" si="61"/>
        <v>-3.7005700704469012E-3</v>
      </c>
    </row>
    <row r="1831" spans="2:8" x14ac:dyDescent="0.3">
      <c r="B1831" s="4">
        <v>45287</v>
      </c>
      <c r="C1831" s="5">
        <v>3330.09</v>
      </c>
      <c r="D1831" s="6">
        <f t="shared" si="60"/>
        <v>0.172434796079315</v>
      </c>
      <c r="E1831" s="6">
        <v>6.2366858541450477E-3</v>
      </c>
      <c r="F1831" s="6"/>
      <c r="G1831" s="6">
        <v>1824</v>
      </c>
      <c r="H1831" s="6">
        <f t="shared" ca="1" si="61"/>
        <v>2.6062425653125961E-3</v>
      </c>
    </row>
    <row r="1832" spans="2:8" x14ac:dyDescent="0.3">
      <c r="B1832" s="4">
        <v>45435</v>
      </c>
      <c r="C1832" s="5">
        <v>2840.32</v>
      </c>
      <c r="D1832" s="6">
        <f t="shared" si="60"/>
        <v>102.47249544626595</v>
      </c>
      <c r="E1832" s="6">
        <v>6.235120734610718E-3</v>
      </c>
      <c r="F1832" s="6"/>
      <c r="G1832" s="6">
        <v>1825</v>
      </c>
      <c r="H1832" s="6">
        <f t="shared" ca="1" si="61"/>
        <v>-2.1064596415199151E-4</v>
      </c>
    </row>
    <row r="1833" spans="2:8" x14ac:dyDescent="0.3">
      <c r="B1833" s="4">
        <v>38390</v>
      </c>
      <c r="C1833" s="7">
        <v>27.45</v>
      </c>
      <c r="D1833" s="6">
        <f t="shared" si="60"/>
        <v>-0.37170977340352479</v>
      </c>
      <c r="E1833" s="6">
        <v>6.2316715542521314E-3</v>
      </c>
      <c r="F1833" s="6"/>
      <c r="G1833" s="6">
        <v>1826</v>
      </c>
      <c r="H1833" s="6">
        <f t="shared" ca="1" si="61"/>
        <v>9.2990672047578021E-3</v>
      </c>
    </row>
    <row r="1834" spans="2:8" x14ac:dyDescent="0.3">
      <c r="B1834" s="4">
        <v>38695</v>
      </c>
      <c r="C1834" s="7">
        <v>43.69</v>
      </c>
      <c r="D1834" s="6">
        <f t="shared" si="60"/>
        <v>-0.98486753464465204</v>
      </c>
      <c r="E1834" s="6">
        <v>6.218332565637863E-3</v>
      </c>
      <c r="F1834" s="6"/>
      <c r="G1834" s="6">
        <v>1827</v>
      </c>
      <c r="H1834" s="6">
        <f t="shared" ca="1" si="61"/>
        <v>-1.7610009030534123E-2</v>
      </c>
    </row>
    <row r="1835" spans="2:8" x14ac:dyDescent="0.3">
      <c r="B1835" s="4">
        <v>44376</v>
      </c>
      <c r="C1835" s="5">
        <v>2887.17</v>
      </c>
      <c r="D1835" s="6">
        <f t="shared" si="60"/>
        <v>4.878985949908369</v>
      </c>
      <c r="E1835" s="6">
        <v>6.2174793418673163E-3</v>
      </c>
      <c r="F1835" s="6"/>
      <c r="G1835" s="6">
        <v>1828</v>
      </c>
      <c r="H1835" s="6">
        <f t="shared" ca="1" si="61"/>
        <v>-1.020081221471834E-2</v>
      </c>
    </row>
    <row r="1836" spans="2:8" x14ac:dyDescent="0.3">
      <c r="B1836" s="4">
        <v>41579</v>
      </c>
      <c r="C1836" s="7">
        <v>491.1</v>
      </c>
      <c r="D1836" s="6">
        <f t="shared" si="60"/>
        <v>20.586813186813188</v>
      </c>
      <c r="E1836" s="6">
        <v>6.2081258835823333E-3</v>
      </c>
      <c r="F1836" s="6"/>
      <c r="G1836" s="6">
        <v>1829</v>
      </c>
      <c r="H1836" s="6">
        <f t="shared" ca="1" si="61"/>
        <v>-1.0653274215692865E-2</v>
      </c>
    </row>
    <row r="1837" spans="2:8" x14ac:dyDescent="0.3">
      <c r="B1837" s="4">
        <v>38146</v>
      </c>
      <c r="C1837" s="7">
        <v>22.75</v>
      </c>
      <c r="D1837" s="6">
        <f t="shared" si="60"/>
        <v>-0.98737646973959459</v>
      </c>
      <c r="E1837" s="6">
        <v>6.1919504643963104E-3</v>
      </c>
      <c r="F1837" s="6"/>
      <c r="G1837" s="6">
        <v>1830</v>
      </c>
      <c r="H1837" s="6">
        <f t="shared" ca="1" si="61"/>
        <v>-5.3043684431597696E-3</v>
      </c>
    </row>
    <row r="1838" spans="2:8" x14ac:dyDescent="0.3">
      <c r="B1838" s="4">
        <v>44062</v>
      </c>
      <c r="C1838" s="5">
        <v>1802.19</v>
      </c>
      <c r="D1838" s="6">
        <f t="shared" si="60"/>
        <v>-0.44356243052982586</v>
      </c>
      <c r="E1838" s="6">
        <v>6.1917257551226323E-3</v>
      </c>
      <c r="F1838" s="6"/>
      <c r="G1838" s="6">
        <v>1831</v>
      </c>
      <c r="H1838" s="6">
        <f t="shared" ca="1" si="61"/>
        <v>-3.829458299999814E-2</v>
      </c>
    </row>
    <row r="1839" spans="2:8" x14ac:dyDescent="0.3">
      <c r="B1839" s="4">
        <v>44452</v>
      </c>
      <c r="C1839" s="5">
        <v>3238.8</v>
      </c>
      <c r="D1839" s="6">
        <f t="shared" si="60"/>
        <v>3.2814086294416245</v>
      </c>
      <c r="E1839" s="6">
        <v>6.1853620347387794E-3</v>
      </c>
      <c r="F1839" s="6"/>
      <c r="G1839" s="6">
        <v>1832</v>
      </c>
      <c r="H1839" s="6">
        <f t="shared" ca="1" si="61"/>
        <v>-1.1009524847075296E-3</v>
      </c>
    </row>
    <row r="1840" spans="2:8" x14ac:dyDescent="0.3">
      <c r="B1840" s="4">
        <v>42199</v>
      </c>
      <c r="C1840" s="7">
        <v>756.48</v>
      </c>
      <c r="D1840" s="6">
        <f t="shared" si="60"/>
        <v>-0.72009901319805969</v>
      </c>
      <c r="E1840" s="6">
        <v>6.184908822473135E-3</v>
      </c>
      <c r="F1840" s="6"/>
      <c r="G1840" s="6">
        <v>1833</v>
      </c>
      <c r="H1840" s="6">
        <f t="shared" ca="1" si="61"/>
        <v>2.236506700211963E-2</v>
      </c>
    </row>
    <row r="1841" spans="2:8" x14ac:dyDescent="0.3">
      <c r="B1841" s="4">
        <v>44746</v>
      </c>
      <c r="C1841" s="5">
        <v>2702.67</v>
      </c>
      <c r="D1841" s="6">
        <f t="shared" si="60"/>
        <v>1.5660533211803578</v>
      </c>
      <c r="E1841" s="6">
        <v>6.1837784710691976E-3</v>
      </c>
      <c r="F1841" s="6"/>
      <c r="G1841" s="6">
        <v>1834</v>
      </c>
      <c r="H1841" s="6">
        <f t="shared" ca="1" si="61"/>
        <v>-1.2168086397453578E-3</v>
      </c>
    </row>
    <row r="1842" spans="2:8" x14ac:dyDescent="0.3">
      <c r="B1842" s="4">
        <v>43083</v>
      </c>
      <c r="C1842" s="5">
        <v>1053.24</v>
      </c>
      <c r="D1842" s="6">
        <f t="shared" si="60"/>
        <v>-3.1458917651386302E-2</v>
      </c>
      <c r="E1842" s="6">
        <v>6.1809184443574307E-3</v>
      </c>
      <c r="F1842" s="6"/>
      <c r="G1842" s="6">
        <v>1835</v>
      </c>
      <c r="H1842" s="6">
        <f t="shared" ca="1" si="61"/>
        <v>2.1473630386489771E-2</v>
      </c>
    </row>
    <row r="1843" spans="2:8" x14ac:dyDescent="0.3">
      <c r="B1843" s="4">
        <v>42908</v>
      </c>
      <c r="C1843" s="5">
        <v>1087.45</v>
      </c>
      <c r="D1843" s="6">
        <f t="shared" si="60"/>
        <v>19.167841246290799</v>
      </c>
      <c r="E1843" s="6">
        <v>6.1807785190189065E-3</v>
      </c>
      <c r="F1843" s="6"/>
      <c r="G1843" s="6">
        <v>1836</v>
      </c>
      <c r="H1843" s="6">
        <f t="shared" ca="1" si="61"/>
        <v>-3.8462884710238961E-2</v>
      </c>
    </row>
    <row r="1844" spans="2:8" x14ac:dyDescent="0.3">
      <c r="B1844" s="4">
        <v>38769</v>
      </c>
      <c r="C1844" s="7">
        <v>53.92</v>
      </c>
      <c r="D1844" s="6">
        <f t="shared" si="60"/>
        <v>-0.98200188926755827</v>
      </c>
      <c r="E1844" s="6">
        <v>6.1578652733718653E-3</v>
      </c>
      <c r="F1844" s="6"/>
      <c r="G1844" s="6">
        <v>1837</v>
      </c>
      <c r="H1844" s="6">
        <f t="shared" ca="1" si="61"/>
        <v>-7.4205605466856079E-3</v>
      </c>
    </row>
    <row r="1845" spans="2:8" x14ac:dyDescent="0.3">
      <c r="B1845" s="4">
        <v>44917</v>
      </c>
      <c r="C1845" s="5">
        <v>2995.87</v>
      </c>
      <c r="D1845" s="6">
        <f t="shared" si="60"/>
        <v>2.6777191259513873</v>
      </c>
      <c r="E1845" s="6">
        <v>6.1560885831928123E-3</v>
      </c>
      <c r="F1845" s="6"/>
      <c r="G1845" s="6">
        <v>1838</v>
      </c>
      <c r="H1845" s="6">
        <f t="shared" ca="1" si="61"/>
        <v>-2.3995177568868313E-2</v>
      </c>
    </row>
    <row r="1846" spans="2:8" x14ac:dyDescent="0.3">
      <c r="B1846" s="4">
        <v>42369</v>
      </c>
      <c r="C1846" s="7">
        <v>814.6</v>
      </c>
      <c r="D1846" s="6">
        <f t="shared" si="60"/>
        <v>-0.20636776368348242</v>
      </c>
      <c r="E1846" s="6">
        <v>6.1510338183345496E-3</v>
      </c>
      <c r="F1846" s="6"/>
      <c r="G1846" s="6">
        <v>1839</v>
      </c>
      <c r="H1846" s="6">
        <f t="shared" ca="1" si="61"/>
        <v>-8.8891588413968197E-3</v>
      </c>
    </row>
    <row r="1847" spans="2:8" x14ac:dyDescent="0.3">
      <c r="B1847" s="4">
        <v>42851</v>
      </c>
      <c r="C1847" s="5">
        <v>1026.42</v>
      </c>
      <c r="D1847" s="6">
        <f t="shared" si="60"/>
        <v>3.6772385509227616</v>
      </c>
      <c r="E1847" s="6">
        <v>6.1461549772093274E-3</v>
      </c>
      <c r="F1847" s="6"/>
      <c r="G1847" s="6">
        <v>1840</v>
      </c>
      <c r="H1847" s="6">
        <f t="shared" ca="1" si="61"/>
        <v>1.6830486367105737E-2</v>
      </c>
    </row>
    <row r="1848" spans="2:8" x14ac:dyDescent="0.3">
      <c r="B1848" s="4">
        <v>40581</v>
      </c>
      <c r="C1848" s="7">
        <v>219.45</v>
      </c>
      <c r="D1848" s="6">
        <f t="shared" si="60"/>
        <v>0.61395896153563279</v>
      </c>
      <c r="E1848" s="6">
        <v>6.1436889642839622E-3</v>
      </c>
      <c r="F1848" s="6"/>
      <c r="G1848" s="6">
        <v>1841</v>
      </c>
      <c r="H1848" s="6">
        <f t="shared" ca="1" si="61"/>
        <v>7.1047252907179923E-3</v>
      </c>
    </row>
    <row r="1849" spans="2:8" x14ac:dyDescent="0.3">
      <c r="B1849" s="4">
        <v>40106</v>
      </c>
      <c r="C1849" s="7">
        <v>135.97</v>
      </c>
      <c r="D1849" s="6">
        <f t="shared" si="60"/>
        <v>-0.94566828765399058</v>
      </c>
      <c r="E1849" s="6">
        <v>6.141778895959839E-3</v>
      </c>
      <c r="F1849" s="6"/>
      <c r="G1849" s="6">
        <v>1842</v>
      </c>
      <c r="H1849" s="6">
        <f t="shared" ca="1" si="61"/>
        <v>6.5575107860469722E-3</v>
      </c>
    </row>
    <row r="1850" spans="2:8" x14ac:dyDescent="0.3">
      <c r="B1850" s="4">
        <v>45876</v>
      </c>
      <c r="C1850" s="5">
        <v>2502.59</v>
      </c>
      <c r="D1850" s="6">
        <f t="shared" si="60"/>
        <v>0.67329049685412667</v>
      </c>
      <c r="E1850" s="6">
        <v>6.139137706447092E-3</v>
      </c>
      <c r="F1850" s="6"/>
      <c r="G1850" s="6">
        <v>1843</v>
      </c>
      <c r="H1850" s="6">
        <f t="shared" ca="1" si="61"/>
        <v>-3.5694539668318101E-3</v>
      </c>
    </row>
    <row r="1851" spans="2:8" x14ac:dyDescent="0.3">
      <c r="B1851" s="4">
        <v>43686</v>
      </c>
      <c r="C1851" s="5">
        <v>1495.61</v>
      </c>
      <c r="D1851" s="6">
        <f t="shared" si="60"/>
        <v>3.0519357373140799</v>
      </c>
      <c r="E1851" s="6">
        <v>6.1352582257532115E-3</v>
      </c>
      <c r="F1851" s="6"/>
      <c r="G1851" s="6">
        <v>1844</v>
      </c>
      <c r="H1851" s="6">
        <f t="shared" ca="1" si="61"/>
        <v>-2.9507071481621561E-2</v>
      </c>
    </row>
    <row r="1852" spans="2:8" x14ac:dyDescent="0.3">
      <c r="B1852" s="4">
        <v>41220</v>
      </c>
      <c r="C1852" s="7">
        <v>369.11</v>
      </c>
      <c r="D1852" s="6">
        <f t="shared" si="60"/>
        <v>-0.53547112347248271</v>
      </c>
      <c r="E1852" s="6">
        <v>6.1331298042850129E-3</v>
      </c>
      <c r="F1852" s="6"/>
      <c r="G1852" s="6">
        <v>1845</v>
      </c>
      <c r="H1852" s="6">
        <f t="shared" ca="1" si="61"/>
        <v>1.7140512016110492E-2</v>
      </c>
    </row>
    <row r="1853" spans="2:8" x14ac:dyDescent="0.3">
      <c r="B1853" s="4">
        <v>42334</v>
      </c>
      <c r="C1853" s="7">
        <v>794.59</v>
      </c>
      <c r="D1853" s="6">
        <f t="shared" si="60"/>
        <v>33.532377227292478</v>
      </c>
      <c r="E1853" s="6">
        <v>6.1285216840772797E-3</v>
      </c>
      <c r="F1853" s="6"/>
      <c r="G1853" s="6">
        <v>1846</v>
      </c>
      <c r="H1853" s="6">
        <f t="shared" ca="1" si="61"/>
        <v>-1.0912244766908538E-2</v>
      </c>
    </row>
    <row r="1854" spans="2:8" x14ac:dyDescent="0.3">
      <c r="B1854" s="4">
        <v>37894</v>
      </c>
      <c r="C1854" s="7">
        <v>23.01</v>
      </c>
      <c r="D1854" s="6">
        <f t="shared" si="60"/>
        <v>-0.97786776446145851</v>
      </c>
      <c r="E1854" s="6">
        <v>6.1215566243988002E-3</v>
      </c>
      <c r="F1854" s="6"/>
      <c r="G1854" s="6">
        <v>1847</v>
      </c>
      <c r="H1854" s="6">
        <f t="shared" ca="1" si="61"/>
        <v>-1.9740602197516652E-2</v>
      </c>
    </row>
    <row r="1855" spans="2:8" x14ac:dyDescent="0.3">
      <c r="B1855" s="4">
        <v>42858</v>
      </c>
      <c r="C1855" s="5">
        <v>1039.6600000000001</v>
      </c>
      <c r="D1855" s="6">
        <f t="shared" si="60"/>
        <v>1.5784578755487217</v>
      </c>
      <c r="E1855" s="6">
        <v>6.1160895736158127E-3</v>
      </c>
      <c r="F1855" s="6"/>
      <c r="G1855" s="6">
        <v>1848</v>
      </c>
      <c r="H1855" s="6">
        <f t="shared" ca="1" si="61"/>
        <v>-2.1262352241512112E-3</v>
      </c>
    </row>
    <row r="1856" spans="2:8" x14ac:dyDescent="0.3">
      <c r="B1856" s="4">
        <v>41305</v>
      </c>
      <c r="C1856" s="7">
        <v>403.21</v>
      </c>
      <c r="D1856" s="6">
        <f t="shared" si="60"/>
        <v>23.496354799513973</v>
      </c>
      <c r="E1856" s="6">
        <v>6.1133845693182674E-3</v>
      </c>
      <c r="F1856" s="6"/>
      <c r="G1856" s="6">
        <v>1849</v>
      </c>
      <c r="H1856" s="6">
        <f t="shared" ca="1" si="61"/>
        <v>-1.5029583361674934E-2</v>
      </c>
    </row>
    <row r="1857" spans="2:8" x14ac:dyDescent="0.3">
      <c r="B1857" s="4">
        <v>37741</v>
      </c>
      <c r="C1857" s="7">
        <v>16.46</v>
      </c>
      <c r="D1857" s="6">
        <f t="shared" si="60"/>
        <v>-0.9942147976057838</v>
      </c>
      <c r="E1857" s="6">
        <v>6.1124694376528989E-3</v>
      </c>
      <c r="F1857" s="6"/>
      <c r="G1857" s="6">
        <v>1850</v>
      </c>
      <c r="H1857" s="6">
        <f t="shared" ca="1" si="61"/>
        <v>6.4025521985154833E-3</v>
      </c>
    </row>
    <row r="1858" spans="2:8" x14ac:dyDescent="0.3">
      <c r="B1858" s="4">
        <v>45470</v>
      </c>
      <c r="C1858" s="5">
        <v>2845.19</v>
      </c>
      <c r="D1858" s="6">
        <f t="shared" si="60"/>
        <v>51.359035701140961</v>
      </c>
      <c r="E1858" s="6">
        <v>6.1105197831614871E-3</v>
      </c>
      <c r="F1858" s="6"/>
      <c r="G1858" s="6">
        <v>1851</v>
      </c>
      <c r="H1858" s="6">
        <f t="shared" ca="1" si="61"/>
        <v>-6.3298548635185468E-3</v>
      </c>
    </row>
    <row r="1859" spans="2:8" x14ac:dyDescent="0.3">
      <c r="B1859" s="4">
        <v>39013</v>
      </c>
      <c r="C1859" s="7">
        <v>54.34</v>
      </c>
      <c r="D1859" s="6">
        <f t="shared" si="60"/>
        <v>-0.84443172058402527</v>
      </c>
      <c r="E1859" s="6">
        <v>6.1099796334013225E-3</v>
      </c>
      <c r="F1859" s="6"/>
      <c r="G1859" s="6">
        <v>1852</v>
      </c>
      <c r="H1859" s="6">
        <f t="shared" ca="1" si="61"/>
        <v>8.9557344352217509E-3</v>
      </c>
    </row>
    <row r="1860" spans="2:8" x14ac:dyDescent="0.3">
      <c r="B1860" s="4">
        <v>41199</v>
      </c>
      <c r="C1860" s="7">
        <v>349.3</v>
      </c>
      <c r="D1860" s="6">
        <f t="shared" si="60"/>
        <v>13.084677419354838</v>
      </c>
      <c r="E1860" s="6">
        <v>6.1063425312518132E-3</v>
      </c>
      <c r="F1860" s="6"/>
      <c r="G1860" s="6">
        <v>1853</v>
      </c>
      <c r="H1860" s="6">
        <f t="shared" ca="1" si="61"/>
        <v>2.1439287425479979E-2</v>
      </c>
    </row>
    <row r="1861" spans="2:8" x14ac:dyDescent="0.3">
      <c r="B1861" s="4">
        <v>37979</v>
      </c>
      <c r="C1861" s="7">
        <v>24.8</v>
      </c>
      <c r="D1861" s="6">
        <f t="shared" si="60"/>
        <v>-0.54587071964841605</v>
      </c>
      <c r="E1861" s="6">
        <v>6.0851926977688493E-3</v>
      </c>
      <c r="F1861" s="6"/>
      <c r="G1861" s="6">
        <v>1854</v>
      </c>
      <c r="H1861" s="6">
        <f t="shared" ca="1" si="61"/>
        <v>1.8743528941191925E-2</v>
      </c>
    </row>
    <row r="1862" spans="2:8" x14ac:dyDescent="0.3">
      <c r="B1862" s="4">
        <v>38986</v>
      </c>
      <c r="C1862" s="7">
        <v>54.61</v>
      </c>
      <c r="D1862" s="6">
        <f t="shared" si="60"/>
        <v>-0.98141018440034988</v>
      </c>
      <c r="E1862" s="6">
        <v>6.0795873249815452E-3</v>
      </c>
      <c r="F1862" s="6"/>
      <c r="G1862" s="6">
        <v>1855</v>
      </c>
      <c r="H1862" s="6">
        <f t="shared" ca="1" si="61"/>
        <v>-4.1681889962286887E-3</v>
      </c>
    </row>
    <row r="1863" spans="2:8" x14ac:dyDescent="0.3">
      <c r="B1863" s="4">
        <v>45489</v>
      </c>
      <c r="C1863" s="5">
        <v>2937.63</v>
      </c>
      <c r="D1863" s="6">
        <f t="shared" si="60"/>
        <v>1.7416819882964525</v>
      </c>
      <c r="E1863" s="6">
        <v>6.0721257577314352E-3</v>
      </c>
      <c r="F1863" s="6"/>
      <c r="G1863" s="6">
        <v>1856</v>
      </c>
      <c r="H1863" s="6">
        <f t="shared" ca="1" si="61"/>
        <v>2.3083280493095316E-2</v>
      </c>
    </row>
    <row r="1864" spans="2:8" x14ac:dyDescent="0.3">
      <c r="B1864" s="4">
        <v>43195</v>
      </c>
      <c r="C1864" s="5">
        <v>1071.47</v>
      </c>
      <c r="D1864" s="6">
        <f t="shared" ref="D1864:D1927" si="62">((C1864-C1865)/C1865)</f>
        <v>63.585292344786026</v>
      </c>
      <c r="E1864" s="6">
        <v>6.0656707448756694E-3</v>
      </c>
      <c r="F1864" s="6"/>
      <c r="G1864" s="6">
        <v>1857</v>
      </c>
      <c r="H1864" s="6">
        <f t="shared" ca="1" si="61"/>
        <v>4.04632401174739E-3</v>
      </c>
    </row>
    <row r="1865" spans="2:8" x14ac:dyDescent="0.3">
      <c r="B1865" s="4">
        <v>37603</v>
      </c>
      <c r="C1865" s="7">
        <v>16.59</v>
      </c>
      <c r="D1865" s="6">
        <f t="shared" si="62"/>
        <v>-0.98403180164398329</v>
      </c>
      <c r="E1865" s="6">
        <v>6.0642813826562421E-3</v>
      </c>
      <c r="F1865" s="6"/>
      <c r="G1865" s="6">
        <v>1858</v>
      </c>
      <c r="H1865" s="6">
        <f t="shared" ref="H1865:H1928" ca="1" si="63">_xlfn.NORM.INV(RAND(),N$10,N$11)</f>
        <v>7.6230301235076156E-4</v>
      </c>
    </row>
    <row r="1866" spans="2:8" x14ac:dyDescent="0.3">
      <c r="B1866" s="4">
        <v>42583</v>
      </c>
      <c r="C1866" s="5">
        <v>1038.94</v>
      </c>
      <c r="D1866" s="6">
        <f t="shared" si="62"/>
        <v>-0.69003705449576647</v>
      </c>
      <c r="E1866" s="6">
        <v>6.0618971995196873E-3</v>
      </c>
      <c r="F1866" s="6"/>
      <c r="G1866" s="6">
        <v>1859</v>
      </c>
      <c r="H1866" s="6">
        <f t="shared" ca="1" si="63"/>
        <v>2.869304233479246E-2</v>
      </c>
    </row>
    <row r="1867" spans="2:8" x14ac:dyDescent="0.3">
      <c r="B1867" s="4">
        <v>44777</v>
      </c>
      <c r="C1867" s="5">
        <v>3351.82</v>
      </c>
      <c r="D1867" s="6">
        <f t="shared" si="62"/>
        <v>2.6892782847016607</v>
      </c>
      <c r="E1867" s="6">
        <v>6.0600967094185292E-3</v>
      </c>
      <c r="F1867" s="6"/>
      <c r="G1867" s="6">
        <v>1860</v>
      </c>
      <c r="H1867" s="6">
        <f t="shared" ca="1" si="63"/>
        <v>-6.5251127506894503E-3</v>
      </c>
    </row>
    <row r="1868" spans="2:8" x14ac:dyDescent="0.3">
      <c r="B1868" s="4">
        <v>42549</v>
      </c>
      <c r="C1868" s="7">
        <v>908.53</v>
      </c>
      <c r="D1868" s="6">
        <f t="shared" si="62"/>
        <v>35.414028056112222</v>
      </c>
      <c r="E1868" s="6">
        <v>6.0571833543729406E-3</v>
      </c>
      <c r="F1868" s="6"/>
      <c r="G1868" s="6">
        <v>1861</v>
      </c>
      <c r="H1868" s="6">
        <f t="shared" ca="1" si="63"/>
        <v>-3.4359164397061159E-3</v>
      </c>
    </row>
    <row r="1869" spans="2:8" x14ac:dyDescent="0.3">
      <c r="B1869" s="4">
        <v>37981</v>
      </c>
      <c r="C1869" s="7">
        <v>24.95</v>
      </c>
      <c r="D1869" s="6">
        <f t="shared" si="62"/>
        <v>-0.98120215779639564</v>
      </c>
      <c r="E1869" s="6">
        <v>6.0483870967741361E-3</v>
      </c>
      <c r="F1869" s="6"/>
      <c r="G1869" s="6">
        <v>1862</v>
      </c>
      <c r="H1869" s="6">
        <f t="shared" ca="1" si="63"/>
        <v>7.4518786339348164E-3</v>
      </c>
    </row>
    <row r="1870" spans="2:8" x14ac:dyDescent="0.3">
      <c r="B1870" s="4">
        <v>43332</v>
      </c>
      <c r="C1870" s="5">
        <v>1327.28</v>
      </c>
      <c r="D1870" s="6">
        <f t="shared" si="62"/>
        <v>-0.17908499965982816</v>
      </c>
      <c r="E1870" s="6">
        <v>6.0334111511991303E-3</v>
      </c>
      <c r="F1870" s="6"/>
      <c r="G1870" s="6">
        <v>1863</v>
      </c>
      <c r="H1870" s="6">
        <f t="shared" ca="1" si="63"/>
        <v>-1.2993887218407602E-2</v>
      </c>
    </row>
    <row r="1871" spans="2:8" x14ac:dyDescent="0.3">
      <c r="B1871" s="4">
        <v>43983</v>
      </c>
      <c r="C1871" s="5">
        <v>1616.83</v>
      </c>
      <c r="D1871" s="6">
        <f t="shared" si="62"/>
        <v>-4.8548545603267171E-2</v>
      </c>
      <c r="E1871" s="6">
        <v>6.029344052167096E-3</v>
      </c>
      <c r="F1871" s="6"/>
      <c r="G1871" s="6">
        <v>1864</v>
      </c>
      <c r="H1871" s="6">
        <f t="shared" ca="1" si="63"/>
        <v>-2.0937600911668859E-2</v>
      </c>
    </row>
    <row r="1872" spans="2:8" x14ac:dyDescent="0.3">
      <c r="B1872" s="4">
        <v>43854</v>
      </c>
      <c r="C1872" s="5">
        <v>1699.33</v>
      </c>
      <c r="D1872" s="6">
        <f t="shared" si="62"/>
        <v>-0.41537281237421264</v>
      </c>
      <c r="E1872" s="6">
        <v>6.0266998194357137E-3</v>
      </c>
      <c r="F1872" s="6"/>
      <c r="G1872" s="6">
        <v>1865</v>
      </c>
      <c r="H1872" s="6">
        <f t="shared" ca="1" si="63"/>
        <v>2.1487565189832341E-2</v>
      </c>
    </row>
    <row r="1873" spans="2:8" x14ac:dyDescent="0.3">
      <c r="B1873" s="4">
        <v>45335</v>
      </c>
      <c r="C1873" s="5">
        <v>2906.69</v>
      </c>
      <c r="D1873" s="6">
        <f t="shared" si="62"/>
        <v>0.25190691744802551</v>
      </c>
      <c r="E1873" s="6">
        <v>6.0257226713921301E-3</v>
      </c>
      <c r="F1873" s="6"/>
      <c r="G1873" s="6">
        <v>1866</v>
      </c>
      <c r="H1873" s="6">
        <f t="shared" ca="1" si="63"/>
        <v>2.8290145571444346E-2</v>
      </c>
    </row>
    <row r="1874" spans="2:8" x14ac:dyDescent="0.3">
      <c r="B1874" s="4">
        <v>44277</v>
      </c>
      <c r="C1874" s="5">
        <v>2321.81</v>
      </c>
      <c r="D1874" s="6">
        <f t="shared" si="62"/>
        <v>56.556023797719376</v>
      </c>
      <c r="E1874" s="6">
        <v>5.992252965796899E-3</v>
      </c>
      <c r="F1874" s="6"/>
      <c r="G1874" s="6">
        <v>1867</v>
      </c>
      <c r="H1874" s="6">
        <f t="shared" ca="1" si="63"/>
        <v>4.6451891211001317E-3</v>
      </c>
    </row>
    <row r="1875" spans="2:8" x14ac:dyDescent="0.3">
      <c r="B1875" s="4">
        <v>38645</v>
      </c>
      <c r="C1875" s="7">
        <v>40.340000000000003</v>
      </c>
      <c r="D1875" s="6">
        <f t="shared" si="62"/>
        <v>-0.95389977715559104</v>
      </c>
      <c r="E1875" s="6">
        <v>5.98503740648384E-3</v>
      </c>
      <c r="F1875" s="6"/>
      <c r="G1875" s="6">
        <v>1868</v>
      </c>
      <c r="H1875" s="6">
        <f t="shared" ca="1" si="63"/>
        <v>-1.0271684268913022E-2</v>
      </c>
    </row>
    <row r="1876" spans="2:8" x14ac:dyDescent="0.3">
      <c r="B1876" s="4">
        <v>42713</v>
      </c>
      <c r="C1876" s="7">
        <v>875.05</v>
      </c>
      <c r="D1876" s="6">
        <f t="shared" si="62"/>
        <v>-0.73351788068982948</v>
      </c>
      <c r="E1876" s="6">
        <v>5.978042191182309E-3</v>
      </c>
      <c r="F1876" s="6"/>
      <c r="G1876" s="6">
        <v>1869</v>
      </c>
      <c r="H1876" s="6">
        <f t="shared" ca="1" si="63"/>
        <v>-6.5121194387255943E-3</v>
      </c>
    </row>
    <row r="1877" spans="2:8" x14ac:dyDescent="0.3">
      <c r="B1877" s="4">
        <v>45140</v>
      </c>
      <c r="C1877" s="5">
        <v>3283.71</v>
      </c>
      <c r="D1877" s="6">
        <f t="shared" si="62"/>
        <v>2.0976058410685989</v>
      </c>
      <c r="E1877" s="6">
        <v>5.9677167356466969E-3</v>
      </c>
      <c r="F1877" s="6"/>
      <c r="G1877" s="6">
        <v>1870</v>
      </c>
      <c r="H1877" s="6">
        <f t="shared" ca="1" si="63"/>
        <v>7.5183874551572631E-3</v>
      </c>
    </row>
    <row r="1878" spans="2:8" x14ac:dyDescent="0.3">
      <c r="B1878" s="4">
        <v>43140</v>
      </c>
      <c r="C1878" s="5">
        <v>1060.08</v>
      </c>
      <c r="D1878" s="6">
        <f t="shared" si="62"/>
        <v>-0.56050480091540777</v>
      </c>
      <c r="E1878" s="6">
        <v>5.9593850825583345E-3</v>
      </c>
      <c r="F1878" s="6"/>
      <c r="G1878" s="6">
        <v>1871</v>
      </c>
      <c r="H1878" s="6">
        <f t="shared" ca="1" si="63"/>
        <v>-2.6696548532072198E-3</v>
      </c>
    </row>
    <row r="1879" spans="2:8" x14ac:dyDescent="0.3">
      <c r="B1879" s="4">
        <v>45868</v>
      </c>
      <c r="C1879" s="5">
        <v>2412.04</v>
      </c>
      <c r="D1879" s="6">
        <f t="shared" si="62"/>
        <v>5.1504959583853935</v>
      </c>
      <c r="E1879" s="6">
        <v>5.9555585212864278E-3</v>
      </c>
      <c r="F1879" s="6"/>
      <c r="G1879" s="6">
        <v>1872</v>
      </c>
      <c r="H1879" s="6">
        <f t="shared" ca="1" si="63"/>
        <v>1.2168028920965433E-2</v>
      </c>
    </row>
    <row r="1880" spans="2:8" x14ac:dyDescent="0.3">
      <c r="B1880" s="4">
        <v>41248</v>
      </c>
      <c r="C1880" s="7">
        <v>392.17</v>
      </c>
      <c r="D1880" s="6">
        <f t="shared" si="62"/>
        <v>0.79803768740543757</v>
      </c>
      <c r="E1880" s="6">
        <v>5.9510067974861951E-3</v>
      </c>
      <c r="F1880" s="6"/>
      <c r="G1880" s="6">
        <v>1873</v>
      </c>
      <c r="H1880" s="6">
        <f t="shared" ca="1" si="63"/>
        <v>1.8936319845336831E-3</v>
      </c>
    </row>
    <row r="1881" spans="2:8" x14ac:dyDescent="0.3">
      <c r="B1881" s="4">
        <v>40578</v>
      </c>
      <c r="C1881" s="7">
        <v>218.11</v>
      </c>
      <c r="D1881" s="6">
        <f t="shared" si="62"/>
        <v>8.1951939291736942</v>
      </c>
      <c r="E1881" s="6">
        <v>5.9496356424685011E-3</v>
      </c>
      <c r="F1881" s="6"/>
      <c r="G1881" s="6">
        <v>1874</v>
      </c>
      <c r="H1881" s="6">
        <f t="shared" ca="1" si="63"/>
        <v>2.122520819836269E-2</v>
      </c>
    </row>
    <row r="1882" spans="2:8" x14ac:dyDescent="0.3">
      <c r="B1882" s="4">
        <v>37953</v>
      </c>
      <c r="C1882" s="7">
        <v>23.72</v>
      </c>
      <c r="D1882" s="6">
        <f t="shared" si="62"/>
        <v>-0.99267507859158932</v>
      </c>
      <c r="E1882" s="6">
        <v>5.9372349448685571E-3</v>
      </c>
      <c r="F1882" s="6"/>
      <c r="G1882" s="6">
        <v>1875</v>
      </c>
      <c r="H1882" s="6">
        <f t="shared" ca="1" si="63"/>
        <v>5.2041041793039339E-3</v>
      </c>
    </row>
    <row r="1883" spans="2:8" x14ac:dyDescent="0.3">
      <c r="B1883" s="4">
        <v>44802</v>
      </c>
      <c r="C1883" s="5">
        <v>3238.26</v>
      </c>
      <c r="D1883" s="6">
        <f t="shared" si="62"/>
        <v>4.2122437945915782E-2</v>
      </c>
      <c r="E1883" s="6">
        <v>5.9300999947191806E-3</v>
      </c>
      <c r="F1883" s="6"/>
      <c r="G1883" s="6">
        <v>1876</v>
      </c>
      <c r="H1883" s="6">
        <f t="shared" ca="1" si="63"/>
        <v>6.5189980844655568E-3</v>
      </c>
    </row>
    <row r="1884" spans="2:8" x14ac:dyDescent="0.3">
      <c r="B1884" s="4">
        <v>45159</v>
      </c>
      <c r="C1884" s="5">
        <v>3107.37</v>
      </c>
      <c r="D1884" s="6">
        <f t="shared" si="62"/>
        <v>-3.3495486864941887E-2</v>
      </c>
      <c r="E1884" s="6">
        <v>5.9273694910425652E-3</v>
      </c>
      <c r="F1884" s="6"/>
      <c r="G1884" s="6">
        <v>1877</v>
      </c>
      <c r="H1884" s="6">
        <f t="shared" ca="1" si="63"/>
        <v>1.9471656229592478E-3</v>
      </c>
    </row>
    <row r="1885" spans="2:8" x14ac:dyDescent="0.3">
      <c r="B1885" s="4">
        <v>45301</v>
      </c>
      <c r="C1885" s="5">
        <v>3215.06</v>
      </c>
      <c r="D1885" s="6">
        <f t="shared" si="62"/>
        <v>13.668582899899626</v>
      </c>
      <c r="E1885" s="6">
        <v>5.9227878715821429E-3</v>
      </c>
      <c r="F1885" s="6"/>
      <c r="G1885" s="6">
        <v>1878</v>
      </c>
      <c r="H1885" s="6">
        <f t="shared" ca="1" si="63"/>
        <v>-8.405586333485259E-5</v>
      </c>
    </row>
    <row r="1886" spans="2:8" x14ac:dyDescent="0.3">
      <c r="B1886" s="4">
        <v>40585</v>
      </c>
      <c r="C1886" s="7">
        <v>219.18</v>
      </c>
      <c r="D1886" s="6">
        <f t="shared" si="62"/>
        <v>-0.92220707866604201</v>
      </c>
      <c r="E1886" s="6">
        <v>5.9204185598238585E-3</v>
      </c>
      <c r="F1886" s="6"/>
      <c r="G1886" s="6">
        <v>1879</v>
      </c>
      <c r="H1886" s="6">
        <f t="shared" ca="1" si="63"/>
        <v>1.2300147686980928E-2</v>
      </c>
    </row>
    <row r="1887" spans="2:8" x14ac:dyDescent="0.3">
      <c r="B1887" s="4">
        <v>44356</v>
      </c>
      <c r="C1887" s="5">
        <v>2817.48</v>
      </c>
      <c r="D1887" s="6">
        <f t="shared" si="62"/>
        <v>74.152840757535344</v>
      </c>
      <c r="E1887" s="6">
        <v>5.9123430872713052E-3</v>
      </c>
      <c r="F1887" s="6"/>
      <c r="G1887" s="6">
        <v>1880</v>
      </c>
      <c r="H1887" s="6">
        <f t="shared" ca="1" si="63"/>
        <v>1.0843143525323227E-2</v>
      </c>
    </row>
    <row r="1888" spans="2:8" x14ac:dyDescent="0.3">
      <c r="B1888" s="4">
        <v>38586</v>
      </c>
      <c r="C1888" s="7">
        <v>37.49</v>
      </c>
      <c r="D1888" s="6">
        <f t="shared" si="62"/>
        <v>-0.35339772335288022</v>
      </c>
      <c r="E1888" s="6">
        <v>5.9028709417761963E-3</v>
      </c>
      <c r="F1888" s="6"/>
      <c r="G1888" s="6">
        <v>1881</v>
      </c>
      <c r="H1888" s="6">
        <f t="shared" ca="1" si="63"/>
        <v>1.8563321858031247E-2</v>
      </c>
    </row>
    <row r="1889" spans="2:8" x14ac:dyDescent="0.3">
      <c r="B1889" s="4">
        <v>39031</v>
      </c>
      <c r="C1889" s="7">
        <v>57.98</v>
      </c>
      <c r="D1889" s="6">
        <f t="shared" si="62"/>
        <v>-0.65688247129837851</v>
      </c>
      <c r="E1889" s="6">
        <v>5.8986814712004912E-3</v>
      </c>
      <c r="F1889" s="6"/>
      <c r="G1889" s="6">
        <v>1882</v>
      </c>
      <c r="H1889" s="6">
        <f t="shared" ca="1" si="63"/>
        <v>5.5711894506790599E-4</v>
      </c>
    </row>
    <row r="1890" spans="2:8" x14ac:dyDescent="0.3">
      <c r="B1890" s="4">
        <v>40217</v>
      </c>
      <c r="C1890" s="7">
        <v>168.98</v>
      </c>
      <c r="D1890" s="6">
        <f t="shared" si="62"/>
        <v>-0.30337634497258525</v>
      </c>
      <c r="E1890" s="6">
        <v>5.8932079290432799E-3</v>
      </c>
      <c r="F1890" s="6"/>
      <c r="G1890" s="6">
        <v>1883</v>
      </c>
      <c r="H1890" s="6">
        <f t="shared" ca="1" si="63"/>
        <v>-1.1660251269849813E-2</v>
      </c>
    </row>
    <row r="1891" spans="2:8" x14ac:dyDescent="0.3">
      <c r="B1891" s="4">
        <v>40920</v>
      </c>
      <c r="C1891" s="7">
        <v>242.57</v>
      </c>
      <c r="D1891" s="6">
        <f t="shared" si="62"/>
        <v>-0.91567475491900152</v>
      </c>
      <c r="E1891" s="6">
        <v>5.8884511714699878E-3</v>
      </c>
      <c r="F1891" s="6"/>
      <c r="G1891" s="6">
        <v>1884</v>
      </c>
      <c r="H1891" s="6">
        <f t="shared" ca="1" si="63"/>
        <v>-5.2100091490593177E-3</v>
      </c>
    </row>
    <row r="1892" spans="2:8" x14ac:dyDescent="0.3">
      <c r="B1892" s="4">
        <v>45982</v>
      </c>
      <c r="C1892" s="5">
        <v>2876.6</v>
      </c>
      <c r="D1892" s="6">
        <f t="shared" si="62"/>
        <v>12.996010314795893</v>
      </c>
      <c r="E1892" s="6">
        <v>5.8745366808866792E-3</v>
      </c>
      <c r="F1892" s="6"/>
      <c r="G1892" s="6">
        <v>1885</v>
      </c>
      <c r="H1892" s="6">
        <f t="shared" ca="1" si="63"/>
        <v>-1.0730938516461614E-2</v>
      </c>
    </row>
    <row r="1893" spans="2:8" x14ac:dyDescent="0.3">
      <c r="B1893" s="4">
        <v>40367</v>
      </c>
      <c r="C1893" s="7">
        <v>205.53</v>
      </c>
      <c r="D1893" s="6">
        <f t="shared" si="62"/>
        <v>7.5637499999999998</v>
      </c>
      <c r="E1893" s="6">
        <v>5.8728527382175336E-3</v>
      </c>
      <c r="F1893" s="6"/>
      <c r="G1893" s="6">
        <v>1886</v>
      </c>
      <c r="H1893" s="6">
        <f t="shared" ca="1" si="63"/>
        <v>5.2635695206881012E-3</v>
      </c>
    </row>
    <row r="1894" spans="2:8" x14ac:dyDescent="0.3">
      <c r="B1894" s="4">
        <v>37959</v>
      </c>
      <c r="C1894" s="7">
        <v>24</v>
      </c>
      <c r="D1894" s="6">
        <f t="shared" si="62"/>
        <v>-0.99262237633258332</v>
      </c>
      <c r="E1894" s="6">
        <v>5.8675607711651543E-3</v>
      </c>
      <c r="F1894" s="6"/>
      <c r="G1894" s="6">
        <v>1887</v>
      </c>
      <c r="H1894" s="6">
        <f t="shared" ca="1" si="63"/>
        <v>4.3813599605904809E-3</v>
      </c>
    </row>
    <row r="1895" spans="2:8" x14ac:dyDescent="0.3">
      <c r="B1895" s="4">
        <v>45554</v>
      </c>
      <c r="C1895" s="5">
        <v>3253.08</v>
      </c>
      <c r="D1895" s="6">
        <f t="shared" si="62"/>
        <v>2.5302571860816862E-2</v>
      </c>
      <c r="E1895" s="6">
        <v>5.8656013555506148E-3</v>
      </c>
      <c r="F1895" s="6"/>
      <c r="G1895" s="6">
        <v>1888</v>
      </c>
      <c r="H1895" s="6">
        <f t="shared" ca="1" si="63"/>
        <v>-2.9290022679194149E-3</v>
      </c>
    </row>
    <row r="1896" spans="2:8" x14ac:dyDescent="0.3">
      <c r="B1896" s="4">
        <v>45273</v>
      </c>
      <c r="C1896" s="5">
        <v>3172.8</v>
      </c>
      <c r="D1896" s="6">
        <f t="shared" si="62"/>
        <v>1.3529935257080561</v>
      </c>
      <c r="E1896" s="6">
        <v>5.8618208102565175E-3</v>
      </c>
      <c r="F1896" s="6"/>
      <c r="G1896" s="6">
        <v>1889</v>
      </c>
      <c r="H1896" s="6">
        <f t="shared" ca="1" si="63"/>
        <v>4.8854898528438257E-3</v>
      </c>
    </row>
    <row r="1897" spans="2:8" x14ac:dyDescent="0.3">
      <c r="B1897" s="4">
        <v>43536</v>
      </c>
      <c r="C1897" s="5">
        <v>1348.41</v>
      </c>
      <c r="D1897" s="6">
        <f t="shared" si="62"/>
        <v>3.6720834343924333</v>
      </c>
      <c r="E1897" s="6">
        <v>5.8482585765757449E-3</v>
      </c>
      <c r="F1897" s="6"/>
      <c r="G1897" s="6">
        <v>1890</v>
      </c>
      <c r="H1897" s="6">
        <f t="shared" ca="1" si="63"/>
        <v>-8.9316075294006009E-3</v>
      </c>
    </row>
    <row r="1898" spans="2:8" x14ac:dyDescent="0.3">
      <c r="B1898" s="4">
        <v>41011</v>
      </c>
      <c r="C1898" s="7">
        <v>288.61</v>
      </c>
      <c r="D1898" s="6">
        <f t="shared" si="62"/>
        <v>-0.83767533943013972</v>
      </c>
      <c r="E1898" s="6">
        <v>5.8200320624521365E-3</v>
      </c>
      <c r="F1898" s="6"/>
      <c r="G1898" s="6">
        <v>1891</v>
      </c>
      <c r="H1898" s="6">
        <f t="shared" ca="1" si="63"/>
        <v>5.8129096660634169E-3</v>
      </c>
    </row>
    <row r="1899" spans="2:8" x14ac:dyDescent="0.3">
      <c r="B1899" s="4">
        <v>43871</v>
      </c>
      <c r="C1899" s="5">
        <v>1777.98</v>
      </c>
      <c r="D1899" s="6">
        <f t="shared" si="62"/>
        <v>14.084245355052177</v>
      </c>
      <c r="E1899" s="6">
        <v>5.8097764904876826E-3</v>
      </c>
      <c r="F1899" s="6"/>
      <c r="G1899" s="6">
        <v>1892</v>
      </c>
      <c r="H1899" s="6">
        <f t="shared" ca="1" si="63"/>
        <v>-1.7303589006604846E-2</v>
      </c>
    </row>
    <row r="1900" spans="2:8" x14ac:dyDescent="0.3">
      <c r="B1900" s="4">
        <v>40079</v>
      </c>
      <c r="C1900" s="7">
        <v>117.87</v>
      </c>
      <c r="D1900" s="6">
        <f t="shared" si="62"/>
        <v>0.50594097355308565</v>
      </c>
      <c r="E1900" s="6">
        <v>5.8025428790853045E-3</v>
      </c>
      <c r="F1900" s="6"/>
      <c r="G1900" s="6">
        <v>1893</v>
      </c>
      <c r="H1900" s="6">
        <f t="shared" ca="1" si="63"/>
        <v>1.2263186025175838E-2</v>
      </c>
    </row>
    <row r="1901" spans="2:8" x14ac:dyDescent="0.3">
      <c r="B1901" s="4">
        <v>39323</v>
      </c>
      <c r="C1901" s="7">
        <v>78.27</v>
      </c>
      <c r="D1901" s="6">
        <f t="shared" si="62"/>
        <v>-0.96560800063273899</v>
      </c>
      <c r="E1901" s="6">
        <v>5.7825751734772923E-3</v>
      </c>
      <c r="F1901" s="6"/>
      <c r="G1901" s="6">
        <v>1894</v>
      </c>
      <c r="H1901" s="6">
        <f t="shared" ca="1" si="63"/>
        <v>-3.2178150133662195E-2</v>
      </c>
    </row>
    <row r="1902" spans="2:8" x14ac:dyDescent="0.3">
      <c r="B1902" s="4">
        <v>45737</v>
      </c>
      <c r="C1902" s="5">
        <v>2275.8200000000002</v>
      </c>
      <c r="D1902" s="6">
        <f t="shared" si="62"/>
        <v>-0.11260235514310214</v>
      </c>
      <c r="E1902" s="6">
        <v>5.7717124219978898E-3</v>
      </c>
      <c r="F1902" s="6"/>
      <c r="G1902" s="6">
        <v>1895</v>
      </c>
      <c r="H1902" s="6">
        <f t="shared" ca="1" si="63"/>
        <v>1.3688173398154068E-2</v>
      </c>
    </row>
    <row r="1903" spans="2:8" x14ac:dyDescent="0.3">
      <c r="B1903" s="4">
        <v>45904</v>
      </c>
      <c r="C1903" s="5">
        <v>2564.6</v>
      </c>
      <c r="D1903" s="6">
        <f t="shared" si="62"/>
        <v>2.7891671776866498E-2</v>
      </c>
      <c r="E1903" s="6">
        <v>5.757043358222939E-3</v>
      </c>
      <c r="F1903" s="6"/>
      <c r="G1903" s="6">
        <v>1896</v>
      </c>
      <c r="H1903" s="6">
        <f t="shared" ca="1" si="63"/>
        <v>1.4054206471327282E-2</v>
      </c>
    </row>
    <row r="1904" spans="2:8" x14ac:dyDescent="0.3">
      <c r="B1904" s="4">
        <v>45847</v>
      </c>
      <c r="C1904" s="5">
        <v>2495.0100000000002</v>
      </c>
      <c r="D1904" s="6">
        <f t="shared" si="62"/>
        <v>18.284356160148402</v>
      </c>
      <c r="E1904" s="6">
        <v>5.7563701007365574E-3</v>
      </c>
      <c r="F1904" s="6"/>
      <c r="G1904" s="6">
        <v>1897</v>
      </c>
      <c r="H1904" s="6">
        <f t="shared" ca="1" si="63"/>
        <v>1.255034985814516E-2</v>
      </c>
    </row>
    <row r="1905" spans="2:8" x14ac:dyDescent="0.3">
      <c r="B1905" s="4">
        <v>40094</v>
      </c>
      <c r="C1905" s="7">
        <v>129.38</v>
      </c>
      <c r="D1905" s="6">
        <f t="shared" si="62"/>
        <v>4.2829726418946512</v>
      </c>
      <c r="E1905" s="6">
        <v>5.7524875621891257E-3</v>
      </c>
      <c r="F1905" s="6"/>
      <c r="G1905" s="6">
        <v>1898</v>
      </c>
      <c r="H1905" s="6">
        <f t="shared" ca="1" si="63"/>
        <v>1.0388495654152804E-2</v>
      </c>
    </row>
    <row r="1906" spans="2:8" x14ac:dyDescent="0.3">
      <c r="B1906" s="4">
        <v>38327</v>
      </c>
      <c r="C1906" s="7">
        <v>24.49</v>
      </c>
      <c r="D1906" s="6">
        <f t="shared" si="62"/>
        <v>-0.98216015792885913</v>
      </c>
      <c r="E1906" s="6">
        <v>5.7494866529772901E-3</v>
      </c>
      <c r="F1906" s="6"/>
      <c r="G1906" s="6">
        <v>1899</v>
      </c>
      <c r="H1906" s="6">
        <f t="shared" ca="1" si="63"/>
        <v>1.7186962648396909E-2</v>
      </c>
    </row>
    <row r="1907" spans="2:8" x14ac:dyDescent="0.3">
      <c r="B1907" s="4">
        <v>43543</v>
      </c>
      <c r="C1907" s="5">
        <v>1372.77</v>
      </c>
      <c r="D1907" s="6">
        <f t="shared" si="62"/>
        <v>-0.50700826339434812</v>
      </c>
      <c r="E1907" s="6">
        <v>5.7438843017590044E-3</v>
      </c>
      <c r="F1907" s="6"/>
      <c r="G1907" s="6">
        <v>1900</v>
      </c>
      <c r="H1907" s="6">
        <f t="shared" ca="1" si="63"/>
        <v>-1.6169879108578641E-2</v>
      </c>
    </row>
    <row r="1908" spans="2:8" x14ac:dyDescent="0.3">
      <c r="B1908" s="4">
        <v>45379</v>
      </c>
      <c r="C1908" s="5">
        <v>2784.57</v>
      </c>
      <c r="D1908" s="6">
        <f t="shared" si="62"/>
        <v>0.60758945581765911</v>
      </c>
      <c r="E1908" s="6">
        <v>5.7428295896586054E-3</v>
      </c>
      <c r="F1908" s="6"/>
      <c r="G1908" s="6">
        <v>1901</v>
      </c>
      <c r="H1908" s="6">
        <f t="shared" ca="1" si="63"/>
        <v>-2.8114560074415047E-2</v>
      </c>
    </row>
    <row r="1909" spans="2:8" x14ac:dyDescent="0.3">
      <c r="B1909" s="4">
        <v>43768</v>
      </c>
      <c r="C1909" s="5">
        <v>1732.14</v>
      </c>
      <c r="D1909" s="6">
        <f t="shared" si="62"/>
        <v>3.9878768681429442</v>
      </c>
      <c r="E1909" s="6">
        <v>5.7424880243867613E-3</v>
      </c>
      <c r="F1909" s="6"/>
      <c r="G1909" s="6">
        <v>1902</v>
      </c>
      <c r="H1909" s="6">
        <f t="shared" ca="1" si="63"/>
        <v>1.9493507297495702E-2</v>
      </c>
    </row>
    <row r="1910" spans="2:8" x14ac:dyDescent="0.3">
      <c r="B1910" s="4">
        <v>41079</v>
      </c>
      <c r="C1910" s="7">
        <v>347.27</v>
      </c>
      <c r="D1910" s="6">
        <f t="shared" si="62"/>
        <v>-5.1693063899508486E-2</v>
      </c>
      <c r="E1910" s="6">
        <v>5.7343102899011303E-3</v>
      </c>
      <c r="F1910" s="6"/>
      <c r="G1910" s="6">
        <v>1903</v>
      </c>
      <c r="H1910" s="6">
        <f t="shared" ca="1" si="63"/>
        <v>-8.7651335978797505E-3</v>
      </c>
    </row>
    <row r="1911" spans="2:8" x14ac:dyDescent="0.3">
      <c r="B1911" s="4">
        <v>41522</v>
      </c>
      <c r="C1911" s="7">
        <v>366.2</v>
      </c>
      <c r="D1911" s="6">
        <f t="shared" si="62"/>
        <v>8.878608038845428</v>
      </c>
      <c r="E1911" s="6">
        <v>5.712402504668747E-3</v>
      </c>
      <c r="F1911" s="6"/>
      <c r="G1911" s="6">
        <v>1904</v>
      </c>
      <c r="H1911" s="6">
        <f t="shared" ca="1" si="63"/>
        <v>-1.0045510128031109E-2</v>
      </c>
    </row>
    <row r="1912" spans="2:8" x14ac:dyDescent="0.3">
      <c r="B1912" s="4">
        <v>38575</v>
      </c>
      <c r="C1912" s="7">
        <v>37.07</v>
      </c>
      <c r="D1912" s="6">
        <f t="shared" si="62"/>
        <v>-0.97128026341274454</v>
      </c>
      <c r="E1912" s="6">
        <v>5.6972327726533059E-3</v>
      </c>
      <c r="F1912" s="6"/>
      <c r="G1912" s="6">
        <v>1905</v>
      </c>
      <c r="H1912" s="6">
        <f t="shared" ca="1" si="63"/>
        <v>1.2943058015577753E-2</v>
      </c>
    </row>
    <row r="1913" spans="2:8" x14ac:dyDescent="0.3">
      <c r="B1913" s="4">
        <v>43650</v>
      </c>
      <c r="C1913" s="5">
        <v>1290.75</v>
      </c>
      <c r="D1913" s="6">
        <f t="shared" si="62"/>
        <v>0.33179595121649236</v>
      </c>
      <c r="E1913" s="6">
        <v>5.6956304930498858E-3</v>
      </c>
      <c r="F1913" s="6"/>
      <c r="G1913" s="6">
        <v>1906</v>
      </c>
      <c r="H1913" s="6">
        <f t="shared" ca="1" si="63"/>
        <v>-7.7090195135387646E-3</v>
      </c>
    </row>
    <row r="1914" spans="2:8" x14ac:dyDescent="0.3">
      <c r="B1914" s="4">
        <v>42678</v>
      </c>
      <c r="C1914" s="7">
        <v>969.18</v>
      </c>
      <c r="D1914" s="6">
        <f t="shared" si="62"/>
        <v>3.0859190556492413</v>
      </c>
      <c r="E1914" s="6">
        <v>5.6864169347306259E-3</v>
      </c>
      <c r="F1914" s="6"/>
      <c r="G1914" s="6">
        <v>1907</v>
      </c>
      <c r="H1914" s="6">
        <f t="shared" ca="1" si="63"/>
        <v>-1.0041299337301928E-2</v>
      </c>
    </row>
    <row r="1915" spans="2:8" x14ac:dyDescent="0.3">
      <c r="B1915" s="4">
        <v>40917</v>
      </c>
      <c r="C1915" s="7">
        <v>237.2</v>
      </c>
      <c r="D1915" s="6">
        <f t="shared" si="62"/>
        <v>-0.46260676499241032</v>
      </c>
      <c r="E1915" s="6">
        <v>5.6813363859915837E-3</v>
      </c>
      <c r="F1915" s="6"/>
      <c r="G1915" s="6">
        <v>1908</v>
      </c>
      <c r="H1915" s="6">
        <f t="shared" ca="1" si="63"/>
        <v>-9.3781372000512411E-3</v>
      </c>
    </row>
    <row r="1916" spans="2:8" x14ac:dyDescent="0.3">
      <c r="B1916" s="4">
        <v>41638</v>
      </c>
      <c r="C1916" s="7">
        <v>441.39</v>
      </c>
      <c r="D1916" s="6">
        <f t="shared" si="62"/>
        <v>-0.26552515974440899</v>
      </c>
      <c r="E1916" s="6">
        <v>5.6732740943267468E-3</v>
      </c>
      <c r="F1916" s="6"/>
      <c r="G1916" s="6">
        <v>1909</v>
      </c>
      <c r="H1916" s="6">
        <f t="shared" ca="1" si="63"/>
        <v>1.5842584387116828E-2</v>
      </c>
    </row>
    <row r="1917" spans="2:8" x14ac:dyDescent="0.3">
      <c r="B1917" s="4">
        <v>41948</v>
      </c>
      <c r="C1917" s="7">
        <v>600.96</v>
      </c>
      <c r="D1917" s="6">
        <f t="shared" si="62"/>
        <v>11.551378446115288</v>
      </c>
      <c r="E1917" s="6">
        <v>5.6729755509814517E-3</v>
      </c>
      <c r="F1917" s="6"/>
      <c r="G1917" s="6">
        <v>1910</v>
      </c>
      <c r="H1917" s="6">
        <f t="shared" ca="1" si="63"/>
        <v>-1.6198115103855621E-2</v>
      </c>
    </row>
    <row r="1918" spans="2:8" x14ac:dyDescent="0.3">
      <c r="B1918" s="4">
        <v>38924</v>
      </c>
      <c r="C1918" s="7">
        <v>47.88</v>
      </c>
      <c r="D1918" s="6">
        <f t="shared" si="62"/>
        <v>-0.73541114058355439</v>
      </c>
      <c r="E1918" s="6">
        <v>5.6710775047259633E-3</v>
      </c>
      <c r="F1918" s="6"/>
      <c r="G1918" s="6">
        <v>1911</v>
      </c>
      <c r="H1918" s="6">
        <f t="shared" ca="1" si="63"/>
        <v>2.4430144199635278E-2</v>
      </c>
    </row>
    <row r="1919" spans="2:8" x14ac:dyDescent="0.3">
      <c r="B1919" s="4">
        <v>40324</v>
      </c>
      <c r="C1919" s="7">
        <v>180.96</v>
      </c>
      <c r="D1919" s="6">
        <f t="shared" si="62"/>
        <v>-0.54054740263037626</v>
      </c>
      <c r="E1919" s="6">
        <v>5.6685561853951887E-3</v>
      </c>
      <c r="F1919" s="6"/>
      <c r="G1919" s="6">
        <v>1912</v>
      </c>
      <c r="H1919" s="6">
        <f t="shared" ca="1" si="63"/>
        <v>2.8598962648331634E-2</v>
      </c>
    </row>
    <row r="1920" spans="2:8" x14ac:dyDescent="0.3">
      <c r="B1920" s="4">
        <v>41277</v>
      </c>
      <c r="C1920" s="7">
        <v>393.86</v>
      </c>
      <c r="D1920" s="6">
        <f t="shared" si="62"/>
        <v>16.072388383181622</v>
      </c>
      <c r="E1920" s="6">
        <v>5.6684710448371648E-3</v>
      </c>
      <c r="F1920" s="6"/>
      <c r="G1920" s="6">
        <v>1913</v>
      </c>
      <c r="H1920" s="6">
        <f t="shared" ca="1" si="63"/>
        <v>-3.0993668417150705E-2</v>
      </c>
    </row>
    <row r="1921" spans="2:8" x14ac:dyDescent="0.3">
      <c r="B1921" s="4">
        <v>38309</v>
      </c>
      <c r="C1921" s="7">
        <v>23.07</v>
      </c>
      <c r="D1921" s="6">
        <f t="shared" si="62"/>
        <v>-0.98594869171173805</v>
      </c>
      <c r="E1921" s="6">
        <v>5.6669572798604623E-3</v>
      </c>
      <c r="F1921" s="6"/>
      <c r="G1921" s="6">
        <v>1914</v>
      </c>
      <c r="H1921" s="6">
        <f t="shared" ca="1" si="63"/>
        <v>-2.2501931640650813E-2</v>
      </c>
    </row>
    <row r="1922" spans="2:8" x14ac:dyDescent="0.3">
      <c r="B1922" s="4">
        <v>43808</v>
      </c>
      <c r="C1922" s="5">
        <v>1641.84</v>
      </c>
      <c r="D1922" s="6">
        <f t="shared" si="62"/>
        <v>-0.3277924715246105</v>
      </c>
      <c r="E1922" s="6">
        <v>5.6535241116984578E-3</v>
      </c>
      <c r="F1922" s="6"/>
      <c r="G1922" s="6">
        <v>1915</v>
      </c>
      <c r="H1922" s="6">
        <f t="shared" ca="1" si="63"/>
        <v>4.1815276045619109E-3</v>
      </c>
    </row>
    <row r="1923" spans="2:8" x14ac:dyDescent="0.3">
      <c r="B1923" s="4">
        <v>44287</v>
      </c>
      <c r="C1923" s="5">
        <v>2442.46</v>
      </c>
      <c r="D1923" s="6">
        <f t="shared" si="62"/>
        <v>8.325925925925926</v>
      </c>
      <c r="E1923" s="6">
        <v>5.6531602936514217E-3</v>
      </c>
      <c r="F1923" s="6"/>
      <c r="G1923" s="6">
        <v>1916</v>
      </c>
      <c r="H1923" s="6">
        <f t="shared" ca="1" si="63"/>
        <v>-1.5085446726775141E-2</v>
      </c>
    </row>
    <row r="1924" spans="2:8" x14ac:dyDescent="0.3">
      <c r="B1924" s="4">
        <v>40869</v>
      </c>
      <c r="C1924" s="7">
        <v>261.89999999999998</v>
      </c>
      <c r="D1924" s="6">
        <f t="shared" si="62"/>
        <v>-0.546532767725738</v>
      </c>
      <c r="E1924" s="6">
        <v>5.6445110010366331E-3</v>
      </c>
      <c r="F1924" s="6"/>
      <c r="G1924" s="6">
        <v>1917</v>
      </c>
      <c r="H1924" s="6">
        <f t="shared" ca="1" si="63"/>
        <v>-5.2800270331612512E-3</v>
      </c>
    </row>
    <row r="1925" spans="2:8" x14ac:dyDescent="0.3">
      <c r="B1925" s="4">
        <v>41856</v>
      </c>
      <c r="C1925" s="7">
        <v>577.54999999999995</v>
      </c>
      <c r="D1925" s="6">
        <f t="shared" si="62"/>
        <v>-0.69517601731144774</v>
      </c>
      <c r="E1925" s="6">
        <v>5.6415524716616622E-3</v>
      </c>
      <c r="F1925" s="6"/>
      <c r="G1925" s="6">
        <v>1918</v>
      </c>
      <c r="H1925" s="6">
        <f t="shared" ca="1" si="63"/>
        <v>1.0332740284712245E-2</v>
      </c>
    </row>
    <row r="1926" spans="2:8" x14ac:dyDescent="0.3">
      <c r="B1926" s="4">
        <v>44070</v>
      </c>
      <c r="C1926" s="5">
        <v>1894.7</v>
      </c>
      <c r="D1926" s="6">
        <f t="shared" si="62"/>
        <v>-0.31566419977823285</v>
      </c>
      <c r="E1926" s="6">
        <v>5.6313658052429168E-3</v>
      </c>
      <c r="F1926" s="6"/>
      <c r="G1926" s="6">
        <v>1919</v>
      </c>
      <c r="H1926" s="6">
        <f t="shared" ca="1" si="63"/>
        <v>-5.7344669949129911E-3</v>
      </c>
    </row>
    <row r="1927" spans="2:8" x14ac:dyDescent="0.3">
      <c r="B1927" s="4">
        <v>45378</v>
      </c>
      <c r="C1927" s="5">
        <v>2768.67</v>
      </c>
      <c r="D1927" s="6">
        <f t="shared" si="62"/>
        <v>30.605821917808225</v>
      </c>
      <c r="E1927" s="6">
        <v>5.629873927145799E-3</v>
      </c>
      <c r="F1927" s="6"/>
      <c r="G1927" s="6">
        <v>1920</v>
      </c>
      <c r="H1927" s="6">
        <f t="shared" ca="1" si="63"/>
        <v>-2.3731062663076421E-2</v>
      </c>
    </row>
    <row r="1928" spans="2:8" x14ac:dyDescent="0.3">
      <c r="B1928" s="4">
        <v>39633</v>
      </c>
      <c r="C1928" s="7">
        <v>87.6</v>
      </c>
      <c r="D1928" s="6">
        <f t="shared" ref="D1928:D1991" si="64">((C1928-C1929)/C1929)</f>
        <v>-0.84198849185591362</v>
      </c>
      <c r="E1928" s="6">
        <v>5.6250717483640788E-3</v>
      </c>
      <c r="F1928" s="6"/>
      <c r="G1928" s="6">
        <v>1921</v>
      </c>
      <c r="H1928" s="6">
        <f t="shared" ca="1" si="63"/>
        <v>-2.237107707537829E-3</v>
      </c>
    </row>
    <row r="1929" spans="2:8" x14ac:dyDescent="0.3">
      <c r="B1929" s="4">
        <v>41877</v>
      </c>
      <c r="C1929" s="7">
        <v>554.39</v>
      </c>
      <c r="D1929" s="6">
        <f t="shared" si="64"/>
        <v>0.28838019986056235</v>
      </c>
      <c r="E1929" s="6">
        <v>5.6231747356201324E-3</v>
      </c>
      <c r="F1929" s="6"/>
      <c r="G1929" s="6">
        <v>1922</v>
      </c>
      <c r="H1929" s="6">
        <f t="shared" ref="H1929:H1992" ca="1" si="65">_xlfn.NORM.INV(RAND(),N$10,N$11)</f>
        <v>9.9308716157660709E-3</v>
      </c>
    </row>
    <row r="1930" spans="2:8" x14ac:dyDescent="0.3">
      <c r="B1930" s="4">
        <v>41702</v>
      </c>
      <c r="C1930" s="7">
        <v>430.3</v>
      </c>
      <c r="D1930" s="6">
        <f t="shared" si="64"/>
        <v>22.918843802112288</v>
      </c>
      <c r="E1930" s="6">
        <v>5.6087870997897507E-3</v>
      </c>
      <c r="F1930" s="6"/>
      <c r="G1930" s="6">
        <v>1923</v>
      </c>
      <c r="H1930" s="6">
        <f t="shared" ca="1" si="65"/>
        <v>2.5889108898868685E-2</v>
      </c>
    </row>
    <row r="1931" spans="2:8" x14ac:dyDescent="0.3">
      <c r="B1931" s="4">
        <v>37763</v>
      </c>
      <c r="C1931" s="7">
        <v>17.989999999999998</v>
      </c>
      <c r="D1931" s="6">
        <f t="shared" si="64"/>
        <v>-0.54605097148624782</v>
      </c>
      <c r="E1931" s="6">
        <v>5.5897149245387294E-3</v>
      </c>
      <c r="F1931" s="6"/>
      <c r="G1931" s="6">
        <v>1924</v>
      </c>
      <c r="H1931" s="6">
        <f t="shared" ca="1" si="65"/>
        <v>1.1202588217792209E-2</v>
      </c>
    </row>
    <row r="1932" spans="2:8" x14ac:dyDescent="0.3">
      <c r="B1932" s="4">
        <v>38607</v>
      </c>
      <c r="C1932" s="7">
        <v>39.630000000000003</v>
      </c>
      <c r="D1932" s="6">
        <f t="shared" si="64"/>
        <v>-0.35340186000978946</v>
      </c>
      <c r="E1932" s="6">
        <v>5.5823395077393041E-3</v>
      </c>
      <c r="F1932" s="6"/>
      <c r="G1932" s="6">
        <v>1925</v>
      </c>
      <c r="H1932" s="6">
        <f t="shared" ca="1" si="65"/>
        <v>1.8030468327405472E-2</v>
      </c>
    </row>
    <row r="1933" spans="2:8" x14ac:dyDescent="0.3">
      <c r="B1933" s="4">
        <v>39084</v>
      </c>
      <c r="C1933" s="7">
        <v>61.29</v>
      </c>
      <c r="D1933" s="6">
        <f t="shared" si="64"/>
        <v>-0.97795482339400042</v>
      </c>
      <c r="E1933" s="6">
        <v>5.5783429040196274E-3</v>
      </c>
      <c r="F1933" s="6"/>
      <c r="G1933" s="6">
        <v>1926</v>
      </c>
      <c r="H1933" s="6">
        <f t="shared" ca="1" si="65"/>
        <v>1.5389964418445718E-2</v>
      </c>
    </row>
    <row r="1934" spans="2:8" x14ac:dyDescent="0.3">
      <c r="B1934" s="4">
        <v>46006</v>
      </c>
      <c r="C1934" s="5">
        <v>2780.2</v>
      </c>
      <c r="D1934" s="6">
        <f t="shared" si="64"/>
        <v>170.08923076923077</v>
      </c>
      <c r="E1934" s="6">
        <v>5.5700231481480159E-3</v>
      </c>
      <c r="F1934" s="6"/>
      <c r="G1934" s="6">
        <v>1927</v>
      </c>
      <c r="H1934" s="6">
        <f t="shared" ca="1" si="65"/>
        <v>1.3064657018650495E-2</v>
      </c>
    </row>
    <row r="1935" spans="2:8" x14ac:dyDescent="0.3">
      <c r="B1935" s="4">
        <v>37623</v>
      </c>
      <c r="C1935" s="7">
        <v>16.25</v>
      </c>
      <c r="D1935" s="6">
        <f t="shared" si="64"/>
        <v>-0.67859968354430378</v>
      </c>
      <c r="E1935" s="6">
        <v>5.5693069306930604E-3</v>
      </c>
      <c r="F1935" s="6"/>
      <c r="G1935" s="6">
        <v>1928</v>
      </c>
      <c r="H1935" s="6">
        <f t="shared" ca="1" si="65"/>
        <v>2.1486299799922868E-2</v>
      </c>
    </row>
    <row r="1936" spans="2:8" x14ac:dyDescent="0.3">
      <c r="B1936" s="4">
        <v>38828</v>
      </c>
      <c r="C1936" s="7">
        <v>50.56</v>
      </c>
      <c r="D1936" s="6">
        <f t="shared" si="64"/>
        <v>-0.98123006901365051</v>
      </c>
      <c r="E1936" s="6">
        <v>5.5688146380270713E-3</v>
      </c>
      <c r="F1936" s="6"/>
      <c r="G1936" s="6">
        <v>1929</v>
      </c>
      <c r="H1936" s="6">
        <f t="shared" ca="1" si="65"/>
        <v>-1.5891304028643396E-3</v>
      </c>
    </row>
    <row r="1937" spans="2:8" x14ac:dyDescent="0.3">
      <c r="B1937" s="4">
        <v>45019</v>
      </c>
      <c r="C1937" s="5">
        <v>2693.67</v>
      </c>
      <c r="D1937" s="6">
        <f t="shared" si="64"/>
        <v>164.35727440147332</v>
      </c>
      <c r="E1937" s="6">
        <v>5.558500511426796E-3</v>
      </c>
      <c r="F1937" s="6"/>
      <c r="G1937" s="6">
        <v>1930</v>
      </c>
      <c r="H1937" s="6">
        <f t="shared" ca="1" si="65"/>
        <v>-2.2807005035517015E-2</v>
      </c>
    </row>
    <row r="1938" spans="2:8" x14ac:dyDescent="0.3">
      <c r="B1938" s="4">
        <v>37592</v>
      </c>
      <c r="C1938" s="7">
        <v>16.29</v>
      </c>
      <c r="D1938" s="6">
        <f t="shared" si="64"/>
        <v>-0.98421633981861878</v>
      </c>
      <c r="E1938" s="6">
        <v>5.5555555555555471E-3</v>
      </c>
      <c r="F1938" s="6"/>
      <c r="G1938" s="6">
        <v>1931</v>
      </c>
      <c r="H1938" s="6">
        <f t="shared" ca="1" si="65"/>
        <v>-5.7145676663914531E-4</v>
      </c>
    </row>
    <row r="1939" spans="2:8" x14ac:dyDescent="0.3">
      <c r="B1939" s="4">
        <v>42601</v>
      </c>
      <c r="C1939" s="5">
        <v>1032.08</v>
      </c>
      <c r="D1939" s="6">
        <f t="shared" si="64"/>
        <v>21.783222958057397</v>
      </c>
      <c r="E1939" s="6">
        <v>5.5534987041834577E-3</v>
      </c>
      <c r="F1939" s="6"/>
      <c r="G1939" s="6">
        <v>1932</v>
      </c>
      <c r="H1939" s="6">
        <f t="shared" ca="1" si="65"/>
        <v>2.062617453330301E-2</v>
      </c>
    </row>
    <row r="1940" spans="2:8" x14ac:dyDescent="0.3">
      <c r="B1940" s="4">
        <v>38708</v>
      </c>
      <c r="C1940" s="7">
        <v>45.3</v>
      </c>
      <c r="D1940" s="6">
        <f t="shared" si="64"/>
        <v>1.7740355174525415</v>
      </c>
      <c r="E1940" s="6">
        <v>5.5493895671476145E-3</v>
      </c>
      <c r="F1940" s="6"/>
      <c r="G1940" s="6">
        <v>1933</v>
      </c>
      <c r="H1940" s="6">
        <f t="shared" ca="1" si="65"/>
        <v>4.000842987466992E-3</v>
      </c>
    </row>
    <row r="1941" spans="2:8" x14ac:dyDescent="0.3">
      <c r="B1941" s="4">
        <v>37594</v>
      </c>
      <c r="C1941" s="7">
        <v>16.329999999999998</v>
      </c>
      <c r="D1941" s="6">
        <f t="shared" si="64"/>
        <v>-0.99503328882657271</v>
      </c>
      <c r="E1941" s="6">
        <v>5.5418719211822575E-3</v>
      </c>
      <c r="F1941" s="6"/>
      <c r="G1941" s="6">
        <v>1934</v>
      </c>
      <c r="H1941" s="6">
        <f t="shared" ca="1" si="65"/>
        <v>-5.3189051201349849E-3</v>
      </c>
    </row>
    <row r="1942" spans="2:8" x14ac:dyDescent="0.3">
      <c r="B1942" s="4">
        <v>45565</v>
      </c>
      <c r="C1942" s="5">
        <v>3287.89</v>
      </c>
      <c r="D1942" s="6">
        <f t="shared" si="64"/>
        <v>2.5847425288108239</v>
      </c>
      <c r="E1942" s="6">
        <v>5.5416741850343879E-3</v>
      </c>
      <c r="F1942" s="6"/>
      <c r="G1942" s="6">
        <v>1935</v>
      </c>
      <c r="H1942" s="6">
        <f t="shared" ca="1" si="65"/>
        <v>5.0359574631814244E-3</v>
      </c>
    </row>
    <row r="1943" spans="2:8" x14ac:dyDescent="0.3">
      <c r="B1943" s="4">
        <v>42545</v>
      </c>
      <c r="C1943" s="7">
        <v>917.19</v>
      </c>
      <c r="D1943" s="6">
        <f t="shared" si="64"/>
        <v>35.067243413291393</v>
      </c>
      <c r="E1943" s="6">
        <v>5.5364308110597803E-3</v>
      </c>
      <c r="F1943" s="6"/>
      <c r="G1943" s="6">
        <v>1936</v>
      </c>
      <c r="H1943" s="6">
        <f t="shared" ca="1" si="65"/>
        <v>1.612337386597092E-2</v>
      </c>
    </row>
    <row r="1944" spans="2:8" x14ac:dyDescent="0.3">
      <c r="B1944" s="4">
        <v>38362</v>
      </c>
      <c r="C1944" s="7">
        <v>25.43</v>
      </c>
      <c r="D1944" s="6">
        <f t="shared" si="64"/>
        <v>-0.91047350818517869</v>
      </c>
      <c r="E1944" s="6">
        <v>5.5357848952155226E-3</v>
      </c>
      <c r="F1944" s="6"/>
      <c r="G1944" s="6">
        <v>1937</v>
      </c>
      <c r="H1944" s="6">
        <f t="shared" ca="1" si="65"/>
        <v>4.8091089637491511E-3</v>
      </c>
    </row>
    <row r="1945" spans="2:8" x14ac:dyDescent="0.3">
      <c r="B1945" s="4">
        <v>40982</v>
      </c>
      <c r="C1945" s="7">
        <v>284.05</v>
      </c>
      <c r="D1945" s="6">
        <f t="shared" si="64"/>
        <v>0.1303673047077083</v>
      </c>
      <c r="E1945" s="6">
        <v>5.5223193741371452E-3</v>
      </c>
      <c r="F1945" s="6"/>
      <c r="G1945" s="6">
        <v>1938</v>
      </c>
      <c r="H1945" s="6">
        <f t="shared" ca="1" si="65"/>
        <v>3.0485353641722061E-3</v>
      </c>
    </row>
    <row r="1946" spans="2:8" x14ac:dyDescent="0.3">
      <c r="B1946" s="4">
        <v>40681</v>
      </c>
      <c r="C1946" s="7">
        <v>251.29</v>
      </c>
      <c r="D1946" s="6">
        <f t="shared" si="64"/>
        <v>1.0595852798950902</v>
      </c>
      <c r="E1946" s="6">
        <v>5.5219879156496159E-3</v>
      </c>
      <c r="F1946" s="6"/>
      <c r="G1946" s="6">
        <v>1939</v>
      </c>
      <c r="H1946" s="6">
        <f t="shared" ca="1" si="65"/>
        <v>3.0717081060896868E-3</v>
      </c>
    </row>
    <row r="1947" spans="2:8" x14ac:dyDescent="0.3">
      <c r="B1947" s="4">
        <v>40087</v>
      </c>
      <c r="C1947" s="7">
        <v>122.01</v>
      </c>
      <c r="D1947" s="6">
        <f t="shared" si="64"/>
        <v>2.9408914728682172</v>
      </c>
      <c r="E1947" s="6">
        <v>5.5216746332619228E-3</v>
      </c>
      <c r="F1947" s="6"/>
      <c r="G1947" s="6">
        <v>1940</v>
      </c>
      <c r="H1947" s="6">
        <f t="shared" ca="1" si="65"/>
        <v>9.7570669468254184E-3</v>
      </c>
    </row>
    <row r="1948" spans="2:8" x14ac:dyDescent="0.3">
      <c r="B1948" s="4">
        <v>38429</v>
      </c>
      <c r="C1948" s="7">
        <v>30.96</v>
      </c>
      <c r="D1948" s="6">
        <f t="shared" si="64"/>
        <v>-0.98819564123289971</v>
      </c>
      <c r="E1948" s="6">
        <v>5.5212731406301301E-3</v>
      </c>
      <c r="F1948" s="6"/>
      <c r="G1948" s="6">
        <v>1941</v>
      </c>
      <c r="H1948" s="6">
        <f t="shared" ca="1" si="65"/>
        <v>-5.4330400953344682E-2</v>
      </c>
    </row>
    <row r="1949" spans="2:8" x14ac:dyDescent="0.3">
      <c r="B1949" s="4">
        <v>44628</v>
      </c>
      <c r="C1949" s="5">
        <v>2622.76</v>
      </c>
      <c r="D1949" s="6">
        <f t="shared" si="64"/>
        <v>1.0871378209974296</v>
      </c>
      <c r="E1949" s="6">
        <v>5.5207103313960077E-3</v>
      </c>
      <c r="F1949" s="6"/>
      <c r="G1949" s="6">
        <v>1942</v>
      </c>
      <c r="H1949" s="6">
        <f t="shared" ca="1" si="65"/>
        <v>1.7798829105780626E-2</v>
      </c>
    </row>
    <row r="1950" spans="2:8" x14ac:dyDescent="0.3">
      <c r="B1950" s="4">
        <v>43446</v>
      </c>
      <c r="C1950" s="5">
        <v>1256.6300000000001</v>
      </c>
      <c r="D1950" s="6">
        <f t="shared" si="64"/>
        <v>75.530450669914728</v>
      </c>
      <c r="E1950" s="6">
        <v>5.51314673452086E-3</v>
      </c>
      <c r="F1950" s="6"/>
      <c r="G1950" s="6">
        <v>1943</v>
      </c>
      <c r="H1950" s="6">
        <f t="shared" ca="1" si="65"/>
        <v>-2.120518621485681E-2</v>
      </c>
    </row>
    <row r="1951" spans="2:8" x14ac:dyDescent="0.3">
      <c r="B1951" s="4">
        <v>37595</v>
      </c>
      <c r="C1951" s="7">
        <v>16.420000000000002</v>
      </c>
      <c r="D1951" s="6">
        <f t="shared" si="64"/>
        <v>-0.65409732462607961</v>
      </c>
      <c r="E1951" s="6">
        <v>5.5113288426211528E-3</v>
      </c>
      <c r="F1951" s="6"/>
      <c r="G1951" s="6">
        <v>1944</v>
      </c>
      <c r="H1951" s="6">
        <f t="shared" ca="1" si="65"/>
        <v>2.3979476997245345E-2</v>
      </c>
    </row>
    <row r="1952" spans="2:8" x14ac:dyDescent="0.3">
      <c r="B1952" s="4">
        <v>38917</v>
      </c>
      <c r="C1952" s="7">
        <v>47.47</v>
      </c>
      <c r="D1952" s="6">
        <f t="shared" si="64"/>
        <v>-0.98276306568335903</v>
      </c>
      <c r="E1952" s="6">
        <v>5.5073077737767002E-3</v>
      </c>
      <c r="F1952" s="6"/>
      <c r="G1952" s="6">
        <v>1945</v>
      </c>
      <c r="H1952" s="6">
        <f t="shared" ca="1" si="65"/>
        <v>-6.174616245627886E-3</v>
      </c>
    </row>
    <row r="1953" spans="2:8" x14ac:dyDescent="0.3">
      <c r="B1953" s="4">
        <v>44712</v>
      </c>
      <c r="C1953" s="5">
        <v>2753.97</v>
      </c>
      <c r="D1953" s="6">
        <f t="shared" si="64"/>
        <v>166.41458966565349</v>
      </c>
      <c r="E1953" s="6">
        <v>5.5022089159880638E-3</v>
      </c>
      <c r="F1953" s="6"/>
      <c r="G1953" s="6">
        <v>1946</v>
      </c>
      <c r="H1953" s="6">
        <f t="shared" ca="1" si="65"/>
        <v>-1.8862643014855508E-2</v>
      </c>
    </row>
    <row r="1954" spans="2:8" x14ac:dyDescent="0.3">
      <c r="B1954" s="4">
        <v>37628</v>
      </c>
      <c r="C1954" s="7">
        <v>16.45</v>
      </c>
      <c r="D1954" s="6">
        <f t="shared" si="64"/>
        <v>0</v>
      </c>
      <c r="E1954" s="6">
        <v>5.5012224938875221E-3</v>
      </c>
      <c r="F1954" s="6"/>
      <c r="G1954" s="6">
        <v>1947</v>
      </c>
      <c r="H1954" s="6">
        <f t="shared" ca="1" si="65"/>
        <v>-2.8459190942055165E-2</v>
      </c>
    </row>
    <row r="1955" spans="2:8" x14ac:dyDescent="0.3">
      <c r="B1955" s="4">
        <v>37481</v>
      </c>
      <c r="C1955" s="7">
        <v>16.45</v>
      </c>
      <c r="D1955" s="6">
        <f t="shared" si="64"/>
        <v>-0.98759211627959598</v>
      </c>
      <c r="E1955" s="6">
        <v>5.5012224938875221E-3</v>
      </c>
      <c r="F1955" s="6"/>
      <c r="G1955" s="6">
        <v>1948</v>
      </c>
      <c r="H1955" s="6">
        <f t="shared" ca="1" si="65"/>
        <v>1.7690154675710716E-2</v>
      </c>
    </row>
    <row r="1956" spans="2:8" x14ac:dyDescent="0.3">
      <c r="B1956" s="4">
        <v>43340</v>
      </c>
      <c r="C1956" s="5">
        <v>1325.77</v>
      </c>
      <c r="D1956" s="6">
        <f t="shared" si="64"/>
        <v>6.4741797271394743</v>
      </c>
      <c r="E1956" s="6">
        <v>5.498589327427722E-3</v>
      </c>
      <c r="F1956" s="6"/>
      <c r="G1956" s="6">
        <v>1949</v>
      </c>
      <c r="H1956" s="6">
        <f t="shared" ca="1" si="65"/>
        <v>1.4782176938910522E-2</v>
      </c>
    </row>
    <row r="1957" spans="2:8" x14ac:dyDescent="0.3">
      <c r="B1957" s="4">
        <v>40277</v>
      </c>
      <c r="C1957" s="7">
        <v>177.38</v>
      </c>
      <c r="D1957" s="6">
        <f t="shared" si="64"/>
        <v>9.756822316555489</v>
      </c>
      <c r="E1957" s="6">
        <v>5.4985545037129352E-3</v>
      </c>
      <c r="F1957" s="6"/>
      <c r="G1957" s="6">
        <v>1950</v>
      </c>
      <c r="H1957" s="6">
        <f t="shared" ca="1" si="65"/>
        <v>-2.9765955751970441E-2</v>
      </c>
    </row>
    <row r="1958" spans="2:8" x14ac:dyDescent="0.3">
      <c r="B1958" s="4">
        <v>37602</v>
      </c>
      <c r="C1958" s="7">
        <v>16.489999999999998</v>
      </c>
      <c r="D1958" s="6">
        <f t="shared" si="64"/>
        <v>-0.98911019243723008</v>
      </c>
      <c r="E1958" s="6">
        <v>5.4878048780487724E-3</v>
      </c>
      <c r="F1958" s="6"/>
      <c r="G1958" s="6">
        <v>1951</v>
      </c>
      <c r="H1958" s="6">
        <f t="shared" ca="1" si="65"/>
        <v>-1.2554228338249328E-2</v>
      </c>
    </row>
    <row r="1959" spans="2:8" x14ac:dyDescent="0.3">
      <c r="B1959" s="4">
        <v>43697</v>
      </c>
      <c r="C1959" s="5">
        <v>1514.26</v>
      </c>
      <c r="D1959" s="6">
        <f t="shared" si="64"/>
        <v>0.87255459649296374</v>
      </c>
      <c r="E1959" s="6">
        <v>5.4847277556440846E-3</v>
      </c>
      <c r="F1959" s="6"/>
      <c r="G1959" s="6">
        <v>1952</v>
      </c>
      <c r="H1959" s="6">
        <f t="shared" ca="1" si="65"/>
        <v>1.2982669145378151E-2</v>
      </c>
    </row>
    <row r="1960" spans="2:8" x14ac:dyDescent="0.3">
      <c r="B1960" s="4">
        <v>42726</v>
      </c>
      <c r="C1960" s="7">
        <v>808.66</v>
      </c>
      <c r="D1960" s="6">
        <f t="shared" si="64"/>
        <v>0.15996786872077343</v>
      </c>
      <c r="E1960" s="6">
        <v>5.4833695990052448E-3</v>
      </c>
      <c r="F1960" s="6"/>
      <c r="G1960" s="6">
        <v>1953</v>
      </c>
      <c r="H1960" s="6">
        <f t="shared" ca="1" si="65"/>
        <v>-3.822439245400093E-3</v>
      </c>
    </row>
    <row r="1961" spans="2:8" x14ac:dyDescent="0.3">
      <c r="B1961" s="4">
        <v>42137</v>
      </c>
      <c r="C1961" s="7">
        <v>697.14</v>
      </c>
      <c r="D1961" s="6">
        <f t="shared" si="64"/>
        <v>-0.78610547760694882</v>
      </c>
      <c r="E1961" s="6">
        <v>5.4807165315717459E-3</v>
      </c>
      <c r="F1961" s="6"/>
      <c r="G1961" s="6">
        <v>1954</v>
      </c>
      <c r="H1961" s="6">
        <f t="shared" ca="1" si="65"/>
        <v>3.6282563010942744E-2</v>
      </c>
    </row>
    <row r="1962" spans="2:8" x14ac:dyDescent="0.3">
      <c r="B1962" s="4">
        <v>45278</v>
      </c>
      <c r="C1962" s="5">
        <v>3259.27</v>
      </c>
      <c r="D1962" s="6">
        <f t="shared" si="64"/>
        <v>0.27818519796699498</v>
      </c>
      <c r="E1962" s="6">
        <v>5.4789280304548688E-3</v>
      </c>
      <c r="F1962" s="6"/>
      <c r="G1962" s="6">
        <v>1955</v>
      </c>
      <c r="H1962" s="6">
        <f t="shared" ca="1" si="65"/>
        <v>4.1965135822951936E-3</v>
      </c>
    </row>
    <row r="1963" spans="2:8" x14ac:dyDescent="0.3">
      <c r="B1963" s="4">
        <v>45903</v>
      </c>
      <c r="C1963" s="5">
        <v>2549.92</v>
      </c>
      <c r="D1963" s="6">
        <f t="shared" si="64"/>
        <v>125.10880316518301</v>
      </c>
      <c r="E1963" s="6">
        <v>5.4730997933786964E-3</v>
      </c>
      <c r="F1963" s="6"/>
      <c r="G1963" s="6">
        <v>1956</v>
      </c>
      <c r="H1963" s="6">
        <f t="shared" ca="1" si="65"/>
        <v>-5.5057332492961129E-3</v>
      </c>
    </row>
    <row r="1964" spans="2:8" x14ac:dyDescent="0.3">
      <c r="B1964" s="4">
        <v>37831</v>
      </c>
      <c r="C1964" s="7">
        <v>20.22</v>
      </c>
      <c r="D1964" s="6">
        <f t="shared" si="64"/>
        <v>-0.98751173476950438</v>
      </c>
      <c r="E1964" s="6">
        <v>5.4699154649427862E-3</v>
      </c>
      <c r="F1964" s="6"/>
      <c r="G1964" s="6">
        <v>1957</v>
      </c>
      <c r="H1964" s="6">
        <f t="shared" ca="1" si="65"/>
        <v>-5.4208553170955222E-3</v>
      </c>
    </row>
    <row r="1965" spans="2:8" x14ac:dyDescent="0.3">
      <c r="B1965" s="4">
        <v>44015</v>
      </c>
      <c r="C1965" s="5">
        <v>1619.12</v>
      </c>
      <c r="D1965" s="6">
        <f t="shared" si="64"/>
        <v>-0.34850033397445696</v>
      </c>
      <c r="E1965" s="6">
        <v>5.4585085044680064E-3</v>
      </c>
      <c r="F1965" s="6"/>
      <c r="G1965" s="6">
        <v>1958</v>
      </c>
      <c r="H1965" s="6">
        <f t="shared" ca="1" si="65"/>
        <v>1.5606524335945449E-2</v>
      </c>
    </row>
    <row r="1966" spans="2:8" x14ac:dyDescent="0.3">
      <c r="B1966" s="4">
        <v>45880</v>
      </c>
      <c r="C1966" s="5">
        <v>2485.2199999999998</v>
      </c>
      <c r="D1966" s="6">
        <f t="shared" si="64"/>
        <v>22.239386571909481</v>
      </c>
      <c r="E1966" s="6">
        <v>5.4536480374149463E-3</v>
      </c>
      <c r="F1966" s="6"/>
      <c r="G1966" s="6">
        <v>1959</v>
      </c>
      <c r="H1966" s="6">
        <f t="shared" ca="1" si="65"/>
        <v>-5.9375832480366127E-3</v>
      </c>
    </row>
    <row r="1967" spans="2:8" x14ac:dyDescent="0.3">
      <c r="B1967" s="4">
        <v>39618</v>
      </c>
      <c r="C1967" s="7">
        <v>106.94</v>
      </c>
      <c r="D1967" s="6">
        <f t="shared" si="64"/>
        <v>-0.2750322012066978</v>
      </c>
      <c r="E1967" s="6">
        <v>5.4531778864234512E-3</v>
      </c>
      <c r="F1967" s="6"/>
      <c r="G1967" s="6">
        <v>1960</v>
      </c>
      <c r="H1967" s="6">
        <f t="shared" ca="1" si="65"/>
        <v>1.3886083913072047E-2</v>
      </c>
    </row>
    <row r="1968" spans="2:8" x14ac:dyDescent="0.3">
      <c r="B1968" s="4">
        <v>40140</v>
      </c>
      <c r="C1968" s="7">
        <v>147.51</v>
      </c>
      <c r="D1968" s="6">
        <f t="shared" si="64"/>
        <v>2.0763295099061518</v>
      </c>
      <c r="E1968" s="6">
        <v>5.4529343603025218E-3</v>
      </c>
      <c r="F1968" s="6"/>
      <c r="G1968" s="6">
        <v>1961</v>
      </c>
      <c r="H1968" s="6">
        <f t="shared" ca="1" si="65"/>
        <v>1.3337429151945201E-2</v>
      </c>
    </row>
    <row r="1969" spans="2:8" x14ac:dyDescent="0.3">
      <c r="B1969" s="4">
        <v>38905</v>
      </c>
      <c r="C1969" s="7">
        <v>47.95</v>
      </c>
      <c r="D1969" s="6">
        <f t="shared" si="64"/>
        <v>8.2392776523702166E-2</v>
      </c>
      <c r="E1969" s="6">
        <v>5.4518767037115773E-3</v>
      </c>
      <c r="F1969" s="6"/>
      <c r="G1969" s="6">
        <v>1962</v>
      </c>
      <c r="H1969" s="6">
        <f t="shared" ca="1" si="65"/>
        <v>-9.7635766030583146E-3</v>
      </c>
    </row>
    <row r="1970" spans="2:8" x14ac:dyDescent="0.3">
      <c r="B1970" s="4">
        <v>38861</v>
      </c>
      <c r="C1970" s="7">
        <v>44.3</v>
      </c>
      <c r="D1970" s="6">
        <f t="shared" si="64"/>
        <v>-0.98583392758354937</v>
      </c>
      <c r="E1970" s="6">
        <v>5.4471175669540371E-3</v>
      </c>
      <c r="F1970" s="6"/>
      <c r="G1970" s="6">
        <v>1963</v>
      </c>
      <c r="H1970" s="6">
        <f t="shared" ca="1" si="65"/>
        <v>1.8514448848694652E-2</v>
      </c>
    </row>
    <row r="1971" spans="2:8" x14ac:dyDescent="0.3">
      <c r="B1971" s="4">
        <v>45152</v>
      </c>
      <c r="C1971" s="5">
        <v>3127.19</v>
      </c>
      <c r="D1971" s="6">
        <f t="shared" si="64"/>
        <v>8.7060353038508967E-2</v>
      </c>
      <c r="E1971" s="6">
        <v>5.4174141733700845E-3</v>
      </c>
      <c r="F1971" s="6"/>
      <c r="G1971" s="6">
        <v>1964</v>
      </c>
      <c r="H1971" s="6">
        <f t="shared" ca="1" si="65"/>
        <v>3.4439808524704477E-3</v>
      </c>
    </row>
    <row r="1972" spans="2:8" x14ac:dyDescent="0.3">
      <c r="B1972" s="4">
        <v>45497</v>
      </c>
      <c r="C1972" s="5">
        <v>2876.74</v>
      </c>
      <c r="D1972" s="6">
        <f t="shared" si="64"/>
        <v>1.7241598090927168</v>
      </c>
      <c r="E1972" s="6">
        <v>5.4172316897568894E-3</v>
      </c>
      <c r="F1972" s="6"/>
      <c r="G1972" s="6">
        <v>1965</v>
      </c>
      <c r="H1972" s="6">
        <f t="shared" ca="1" si="65"/>
        <v>8.1896428067827123E-3</v>
      </c>
    </row>
    <row r="1973" spans="2:8" x14ac:dyDescent="0.3">
      <c r="B1973" s="4">
        <v>43151</v>
      </c>
      <c r="C1973" s="5">
        <v>1056.01</v>
      </c>
      <c r="D1973" s="6">
        <f t="shared" si="64"/>
        <v>-0.67484173317568241</v>
      </c>
      <c r="E1973" s="6">
        <v>5.4078242076300437E-3</v>
      </c>
      <c r="F1973" s="6"/>
      <c r="G1973" s="6">
        <v>1966</v>
      </c>
      <c r="H1973" s="6">
        <f t="shared" ca="1" si="65"/>
        <v>-1.2320578808114499E-2</v>
      </c>
    </row>
    <row r="1974" spans="2:8" x14ac:dyDescent="0.3">
      <c r="B1974" s="4">
        <v>45104</v>
      </c>
      <c r="C1974" s="5">
        <v>3247.68</v>
      </c>
      <c r="D1974" s="6">
        <f t="shared" si="64"/>
        <v>1.5158846359432012</v>
      </c>
      <c r="E1974" s="6">
        <v>5.3958671929416717E-3</v>
      </c>
      <c r="F1974" s="6"/>
      <c r="G1974" s="6">
        <v>1967</v>
      </c>
      <c r="H1974" s="6">
        <f t="shared" ca="1" si="65"/>
        <v>-4.4943848509575876E-2</v>
      </c>
    </row>
    <row r="1975" spans="2:8" x14ac:dyDescent="0.3">
      <c r="B1975" s="4">
        <v>43291</v>
      </c>
      <c r="C1975" s="5">
        <v>1290.8699999999999</v>
      </c>
      <c r="D1975" s="6">
        <f t="shared" si="64"/>
        <v>75.79179060083284</v>
      </c>
      <c r="E1975" s="6">
        <v>5.3896179757777522E-3</v>
      </c>
      <c r="F1975" s="6"/>
      <c r="G1975" s="6">
        <v>1968</v>
      </c>
      <c r="H1975" s="6">
        <f t="shared" ca="1" si="65"/>
        <v>4.610916489832949E-4</v>
      </c>
    </row>
    <row r="1976" spans="2:8" x14ac:dyDescent="0.3">
      <c r="B1976" s="4">
        <v>37511</v>
      </c>
      <c r="C1976" s="7">
        <v>16.809999999999999</v>
      </c>
      <c r="D1976" s="6">
        <f t="shared" si="64"/>
        <v>-0.99470657883135372</v>
      </c>
      <c r="E1976" s="6">
        <v>5.3827751196172165E-3</v>
      </c>
      <c r="F1976" s="6"/>
      <c r="G1976" s="6">
        <v>1969</v>
      </c>
      <c r="H1976" s="6">
        <f t="shared" ca="1" si="65"/>
        <v>1.615930059026265E-3</v>
      </c>
    </row>
    <row r="1977" spans="2:8" x14ac:dyDescent="0.3">
      <c r="B1977" s="4">
        <v>44544</v>
      </c>
      <c r="C1977" s="5">
        <v>3175.64</v>
      </c>
      <c r="D1977" s="6">
        <f t="shared" si="64"/>
        <v>5.3014828766214703E-2</v>
      </c>
      <c r="E1977" s="6">
        <v>5.3788802178145034E-3</v>
      </c>
      <c r="F1977" s="6"/>
      <c r="G1977" s="6">
        <v>1970</v>
      </c>
      <c r="H1977" s="6">
        <f t="shared" ca="1" si="65"/>
        <v>1.3813460756435853E-2</v>
      </c>
    </row>
    <row r="1978" spans="2:8" x14ac:dyDescent="0.3">
      <c r="B1978" s="4">
        <v>45064</v>
      </c>
      <c r="C1978" s="5">
        <v>3015.76</v>
      </c>
      <c r="D1978" s="6">
        <f t="shared" si="64"/>
        <v>33.266106124304052</v>
      </c>
      <c r="E1978" s="6">
        <v>5.3706265731002373E-3</v>
      </c>
      <c r="F1978" s="6"/>
      <c r="G1978" s="6">
        <v>1971</v>
      </c>
      <c r="H1978" s="6">
        <f t="shared" ca="1" si="65"/>
        <v>-1.9851042620552444E-3</v>
      </c>
    </row>
    <row r="1979" spans="2:8" x14ac:dyDescent="0.3">
      <c r="B1979" s="4">
        <v>39468</v>
      </c>
      <c r="C1979" s="7">
        <v>88.01</v>
      </c>
      <c r="D1979" s="6">
        <f t="shared" si="64"/>
        <v>-0.89365635572740454</v>
      </c>
      <c r="E1979" s="6">
        <v>5.3689741832305101E-3</v>
      </c>
      <c r="F1979" s="6"/>
      <c r="G1979" s="6">
        <v>1972</v>
      </c>
      <c r="H1979" s="6">
        <f t="shared" ca="1" si="65"/>
        <v>7.9493111458962089E-3</v>
      </c>
    </row>
    <row r="1980" spans="2:8" x14ac:dyDescent="0.3">
      <c r="B1980" s="4">
        <v>42233</v>
      </c>
      <c r="C1980" s="7">
        <v>827.6</v>
      </c>
      <c r="D1980" s="6">
        <f t="shared" si="64"/>
        <v>-0.36461628228357335</v>
      </c>
      <c r="E1980" s="6">
        <v>5.3572079349845942E-3</v>
      </c>
      <c r="F1980" s="6"/>
      <c r="G1980" s="6">
        <v>1973</v>
      </c>
      <c r="H1980" s="6">
        <f t="shared" ca="1" si="65"/>
        <v>-1.7202658736702708E-3</v>
      </c>
    </row>
    <row r="1981" spans="2:8" x14ac:dyDescent="0.3">
      <c r="B1981" s="4">
        <v>43493</v>
      </c>
      <c r="C1981" s="5">
        <v>1302.52</v>
      </c>
      <c r="D1981" s="6">
        <f t="shared" si="64"/>
        <v>-0.1093758547125431</v>
      </c>
      <c r="E1981" s="6">
        <v>5.3566742308464588E-3</v>
      </c>
      <c r="F1981" s="6"/>
      <c r="G1981" s="6">
        <v>1974</v>
      </c>
      <c r="H1981" s="6">
        <f t="shared" ca="1" si="65"/>
        <v>2.268599851590153E-3</v>
      </c>
    </row>
    <row r="1982" spans="2:8" x14ac:dyDescent="0.3">
      <c r="B1982" s="4">
        <v>43717</v>
      </c>
      <c r="C1982" s="5">
        <v>1462.48</v>
      </c>
      <c r="D1982" s="6">
        <f t="shared" si="64"/>
        <v>0.79891264237742621</v>
      </c>
      <c r="E1982" s="6">
        <v>5.3550928376492335E-3</v>
      </c>
      <c r="F1982" s="6"/>
      <c r="G1982" s="6">
        <v>1975</v>
      </c>
      <c r="H1982" s="6">
        <f t="shared" ca="1" si="65"/>
        <v>-1.7120739489589767E-2</v>
      </c>
    </row>
    <row r="1983" spans="2:8" x14ac:dyDescent="0.3">
      <c r="B1983" s="4">
        <v>42424</v>
      </c>
      <c r="C1983" s="7">
        <v>812.98</v>
      </c>
      <c r="D1983" s="6">
        <f t="shared" si="64"/>
        <v>47.105325443786988</v>
      </c>
      <c r="E1983" s="6">
        <v>5.3546033512645039E-3</v>
      </c>
      <c r="F1983" s="6"/>
      <c r="G1983" s="6">
        <v>1976</v>
      </c>
      <c r="H1983" s="6">
        <f t="shared" ca="1" si="65"/>
        <v>-1.3317298509077617E-2</v>
      </c>
    </row>
    <row r="1984" spans="2:8" x14ac:dyDescent="0.3">
      <c r="B1984" s="4">
        <v>37512</v>
      </c>
      <c r="C1984" s="7">
        <v>16.899999999999999</v>
      </c>
      <c r="D1984" s="6">
        <f t="shared" si="64"/>
        <v>-0.88318241515172458</v>
      </c>
      <c r="E1984" s="6">
        <v>5.3539559785841682E-3</v>
      </c>
      <c r="F1984" s="6"/>
      <c r="G1984" s="6">
        <v>1977</v>
      </c>
      <c r="H1984" s="6">
        <f t="shared" ca="1" si="65"/>
        <v>-3.2434934945749856E-4</v>
      </c>
    </row>
    <row r="1985" spans="2:8" x14ac:dyDescent="0.3">
      <c r="B1985" s="4">
        <v>40130</v>
      </c>
      <c r="C1985" s="7">
        <v>144.66999999999999</v>
      </c>
      <c r="D1985" s="6">
        <f t="shared" si="64"/>
        <v>-0.50975940359200278</v>
      </c>
      <c r="E1985" s="6">
        <v>5.3509381514939662E-3</v>
      </c>
      <c r="F1985" s="6"/>
      <c r="G1985" s="6">
        <v>1978</v>
      </c>
      <c r="H1985" s="6">
        <f t="shared" ca="1" si="65"/>
        <v>1.3101542407473669E-3</v>
      </c>
    </row>
    <row r="1986" spans="2:8" x14ac:dyDescent="0.3">
      <c r="B1986" s="4">
        <v>41018</v>
      </c>
      <c r="C1986" s="7">
        <v>295.10000000000002</v>
      </c>
      <c r="D1986" s="6">
        <f t="shared" si="64"/>
        <v>2.483650100342345</v>
      </c>
      <c r="E1986" s="6">
        <v>5.3486866759787765E-3</v>
      </c>
      <c r="F1986" s="6"/>
      <c r="G1986" s="6">
        <v>1979</v>
      </c>
      <c r="H1986" s="6">
        <f t="shared" ca="1" si="65"/>
        <v>1.2146605727059973E-2</v>
      </c>
    </row>
    <row r="1987" spans="2:8" x14ac:dyDescent="0.3">
      <c r="B1987" s="4">
        <v>39414</v>
      </c>
      <c r="C1987" s="7">
        <v>84.71</v>
      </c>
      <c r="D1987" s="6">
        <f t="shared" si="64"/>
        <v>0.66228414442700145</v>
      </c>
      <c r="E1987" s="6">
        <v>5.34061239022061E-3</v>
      </c>
      <c r="F1987" s="6"/>
      <c r="G1987" s="6">
        <v>1980</v>
      </c>
      <c r="H1987" s="6">
        <f t="shared" ca="1" si="65"/>
        <v>1.7864326597862249E-2</v>
      </c>
    </row>
    <row r="1988" spans="2:8" x14ac:dyDescent="0.3">
      <c r="B1988" s="4">
        <v>38936</v>
      </c>
      <c r="C1988" s="7">
        <v>50.96</v>
      </c>
      <c r="D1988" s="6">
        <f t="shared" si="64"/>
        <v>-0.78917756081416512</v>
      </c>
      <c r="E1988" s="6">
        <v>5.3264943775893298E-3</v>
      </c>
      <c r="F1988" s="6"/>
      <c r="G1988" s="6">
        <v>1981</v>
      </c>
      <c r="H1988" s="6">
        <f t="shared" ca="1" si="65"/>
        <v>-2.3310187822572274E-2</v>
      </c>
    </row>
    <row r="1989" spans="2:8" x14ac:dyDescent="0.3">
      <c r="B1989" s="4">
        <v>40491</v>
      </c>
      <c r="C1989" s="7">
        <v>241.72</v>
      </c>
      <c r="D1989" s="6">
        <f t="shared" si="64"/>
        <v>1.285336106646497</v>
      </c>
      <c r="E1989" s="6">
        <v>5.3235734486774293E-3</v>
      </c>
      <c r="F1989" s="6"/>
      <c r="G1989" s="6">
        <v>1982</v>
      </c>
      <c r="H1989" s="6">
        <f t="shared" ca="1" si="65"/>
        <v>-1.0905806923334656E-2</v>
      </c>
    </row>
    <row r="1990" spans="2:8" x14ac:dyDescent="0.3">
      <c r="B1990" s="4">
        <v>39604</v>
      </c>
      <c r="C1990" s="7">
        <v>105.77</v>
      </c>
      <c r="D1990" s="6">
        <f t="shared" si="64"/>
        <v>3.3065960912052117</v>
      </c>
      <c r="E1990" s="6">
        <v>5.3226879574185182E-3</v>
      </c>
      <c r="F1990" s="6"/>
      <c r="G1990" s="6">
        <v>1983</v>
      </c>
      <c r="H1990" s="6">
        <f t="shared" ca="1" si="65"/>
        <v>6.8789078093514661E-3</v>
      </c>
    </row>
    <row r="1991" spans="2:8" x14ac:dyDescent="0.3">
      <c r="B1991" s="4">
        <v>38247</v>
      </c>
      <c r="C1991" s="7">
        <v>24.56</v>
      </c>
      <c r="D1991" s="6">
        <f t="shared" si="64"/>
        <v>-0.8341996894619591</v>
      </c>
      <c r="E1991" s="6">
        <v>5.3213262382316414E-3</v>
      </c>
      <c r="F1991" s="6"/>
      <c r="G1991" s="6">
        <v>1984</v>
      </c>
      <c r="H1991" s="6">
        <f t="shared" ca="1" si="65"/>
        <v>-8.1114599430005697E-3</v>
      </c>
    </row>
    <row r="1992" spans="2:8" x14ac:dyDescent="0.3">
      <c r="B1992" s="4">
        <v>40158</v>
      </c>
      <c r="C1992" s="7">
        <v>148.13</v>
      </c>
      <c r="D1992" s="6">
        <f t="shared" ref="D1992:D2055" si="66">((C1992-C1993)/C1993)</f>
        <v>4.999594977723774</v>
      </c>
      <c r="E1992" s="6">
        <v>5.2935188327112399E-3</v>
      </c>
      <c r="F1992" s="6"/>
      <c r="G1992" s="6">
        <v>1985</v>
      </c>
      <c r="H1992" s="6">
        <f t="shared" ca="1" si="65"/>
        <v>-8.9261334033357703E-3</v>
      </c>
    </row>
    <row r="1993" spans="2:8" x14ac:dyDescent="0.3">
      <c r="B1993" s="4">
        <v>38230</v>
      </c>
      <c r="C1993" s="7">
        <v>24.69</v>
      </c>
      <c r="D1993" s="6">
        <f t="shared" si="66"/>
        <v>-0.99211708475810079</v>
      </c>
      <c r="E1993" s="6">
        <v>5.2931596091206259E-3</v>
      </c>
      <c r="F1993" s="6"/>
      <c r="G1993" s="6">
        <v>1986</v>
      </c>
      <c r="H1993" s="6">
        <f t="shared" ref="H1993:H2056" ca="1" si="67">_xlfn.NORM.INV(RAND(),N$10,N$11)</f>
        <v>2.6848229160577528E-2</v>
      </c>
    </row>
    <row r="1994" spans="2:8" x14ac:dyDescent="0.3">
      <c r="B1994" s="4">
        <v>45530</v>
      </c>
      <c r="C1994" s="5">
        <v>3132.09</v>
      </c>
      <c r="D1994" s="6">
        <f t="shared" si="66"/>
        <v>9.4841598590589299E-2</v>
      </c>
      <c r="E1994" s="6">
        <v>5.2927205032739242E-3</v>
      </c>
      <c r="F1994" s="6"/>
      <c r="G1994" s="6">
        <v>1987</v>
      </c>
      <c r="H1994" s="6">
        <f t="shared" ca="1" si="67"/>
        <v>4.6127883085417135E-3</v>
      </c>
    </row>
    <row r="1995" spans="2:8" x14ac:dyDescent="0.3">
      <c r="B1995" s="4">
        <v>44410</v>
      </c>
      <c r="C1995" s="5">
        <v>2860.77</v>
      </c>
      <c r="D1995" s="6">
        <f t="shared" si="66"/>
        <v>0.2590973909369389</v>
      </c>
      <c r="E1995" s="6">
        <v>5.2745136624310421E-3</v>
      </c>
      <c r="F1995" s="6"/>
      <c r="G1995" s="6">
        <v>1988</v>
      </c>
      <c r="H1995" s="6">
        <f t="shared" ca="1" si="67"/>
        <v>-6.6235337152164143E-4</v>
      </c>
    </row>
    <row r="1996" spans="2:8" x14ac:dyDescent="0.3">
      <c r="B1996" s="4">
        <v>44252</v>
      </c>
      <c r="C1996" s="5">
        <v>2272.08</v>
      </c>
      <c r="D1996" s="6">
        <f t="shared" si="66"/>
        <v>4.5900602780169759</v>
      </c>
      <c r="E1996" s="6">
        <v>5.247276813761549E-3</v>
      </c>
      <c r="F1996" s="6"/>
      <c r="G1996" s="6">
        <v>1989</v>
      </c>
      <c r="H1996" s="6">
        <f t="shared" ca="1" si="67"/>
        <v>2.5878965358617768E-2</v>
      </c>
    </row>
    <row r="1997" spans="2:8" x14ac:dyDescent="0.3">
      <c r="B1997" s="4">
        <v>41327</v>
      </c>
      <c r="C1997" s="7">
        <v>406.45</v>
      </c>
      <c r="D1997" s="6">
        <f t="shared" si="66"/>
        <v>15.264505802320928</v>
      </c>
      <c r="E1997" s="6">
        <v>5.2432419063636257E-3</v>
      </c>
      <c r="F1997" s="6"/>
      <c r="G1997" s="6">
        <v>1990</v>
      </c>
      <c r="H1997" s="6">
        <f t="shared" ca="1" si="67"/>
        <v>4.2698613406004868E-3</v>
      </c>
    </row>
    <row r="1998" spans="2:8" x14ac:dyDescent="0.3">
      <c r="B1998" s="4">
        <v>37972</v>
      </c>
      <c r="C1998" s="7">
        <v>24.99</v>
      </c>
      <c r="D1998" s="6">
        <f t="shared" si="66"/>
        <v>-0.82902298850574718</v>
      </c>
      <c r="E1998" s="6">
        <v>5.2292839903458977E-3</v>
      </c>
      <c r="F1998" s="6"/>
      <c r="G1998" s="6">
        <v>1991</v>
      </c>
      <c r="H1998" s="6">
        <f t="shared" ca="1" si="67"/>
        <v>1.5773949285066338E-2</v>
      </c>
    </row>
    <row r="1999" spans="2:8" x14ac:dyDescent="0.3">
      <c r="B1999" s="4">
        <v>40128</v>
      </c>
      <c r="C1999" s="7">
        <v>146.16</v>
      </c>
      <c r="D1999" s="6">
        <f t="shared" si="66"/>
        <v>-0.88971720037424917</v>
      </c>
      <c r="E1999" s="6">
        <v>5.2269601100412028E-3</v>
      </c>
      <c r="F1999" s="6"/>
      <c r="G1999" s="6">
        <v>1992</v>
      </c>
      <c r="H1999" s="6">
        <f t="shared" ca="1" si="67"/>
        <v>-2.8808696760478154E-2</v>
      </c>
    </row>
    <row r="2000" spans="2:8" x14ac:dyDescent="0.3">
      <c r="B2000" s="4">
        <v>43476</v>
      </c>
      <c r="C2000" s="5">
        <v>1325.32</v>
      </c>
      <c r="D2000" s="6">
        <f t="shared" si="66"/>
        <v>-0.58540606318450139</v>
      </c>
      <c r="E2000" s="6">
        <v>5.2259126385169269E-3</v>
      </c>
      <c r="F2000" s="6"/>
      <c r="G2000" s="6">
        <v>1993</v>
      </c>
      <c r="H2000" s="6">
        <f t="shared" ca="1" si="67"/>
        <v>-2.3300054629573361E-4</v>
      </c>
    </row>
    <row r="2001" spans="2:8" x14ac:dyDescent="0.3">
      <c r="B2001" s="4">
        <v>44481</v>
      </c>
      <c r="C2001" s="5">
        <v>3196.67</v>
      </c>
      <c r="D2001" s="6">
        <f t="shared" si="66"/>
        <v>8.3069907063889864E-2</v>
      </c>
      <c r="E2001" s="6">
        <v>5.2042061305863242E-3</v>
      </c>
      <c r="F2001" s="6"/>
      <c r="G2001" s="6">
        <v>1994</v>
      </c>
      <c r="H2001" s="6">
        <f t="shared" ca="1" si="67"/>
        <v>1.1041523432680521E-2</v>
      </c>
    </row>
    <row r="2002" spans="2:8" x14ac:dyDescent="0.3">
      <c r="B2002" s="4">
        <v>45344</v>
      </c>
      <c r="C2002" s="5">
        <v>2951.49</v>
      </c>
      <c r="D2002" s="6">
        <f t="shared" si="66"/>
        <v>6.030537624163312</v>
      </c>
      <c r="E2002" s="6">
        <v>5.1971405509785556E-3</v>
      </c>
      <c r="F2002" s="6"/>
      <c r="G2002" s="6">
        <v>1995</v>
      </c>
      <c r="H2002" s="6">
        <f t="shared" ca="1" si="67"/>
        <v>-4.0935804040293901E-3</v>
      </c>
    </row>
    <row r="2003" spans="2:8" x14ac:dyDescent="0.3">
      <c r="B2003" s="4">
        <v>41691</v>
      </c>
      <c r="C2003" s="7">
        <v>419.81</v>
      </c>
      <c r="D2003" s="6">
        <f t="shared" si="66"/>
        <v>0.23241545326444346</v>
      </c>
      <c r="E2003" s="6">
        <v>5.1958624652811416E-3</v>
      </c>
      <c r="F2003" s="6"/>
      <c r="G2003" s="6">
        <v>1996</v>
      </c>
      <c r="H2003" s="6">
        <f t="shared" ca="1" si="67"/>
        <v>1.5074691839868409E-2</v>
      </c>
    </row>
    <row r="2004" spans="2:8" x14ac:dyDescent="0.3">
      <c r="B2004" s="4">
        <v>41058</v>
      </c>
      <c r="C2004" s="7">
        <v>340.64</v>
      </c>
      <c r="D2004" s="6">
        <f t="shared" si="66"/>
        <v>1.2234986945169715</v>
      </c>
      <c r="E2004" s="6">
        <v>5.193578847969756E-3</v>
      </c>
      <c r="F2004" s="6"/>
      <c r="G2004" s="6">
        <v>1997</v>
      </c>
      <c r="H2004" s="6">
        <f t="shared" ca="1" si="67"/>
        <v>4.1252095466203275E-3</v>
      </c>
    </row>
    <row r="2005" spans="2:8" x14ac:dyDescent="0.3">
      <c r="B2005" s="4">
        <v>40176</v>
      </c>
      <c r="C2005" s="7">
        <v>153.19999999999999</v>
      </c>
      <c r="D2005" s="6">
        <f t="shared" si="66"/>
        <v>-0.85824921121052578</v>
      </c>
      <c r="E2005" s="6">
        <v>5.1833869168689201E-3</v>
      </c>
      <c r="F2005" s="6"/>
      <c r="G2005" s="6">
        <v>1998</v>
      </c>
      <c r="H2005" s="6">
        <f t="shared" ca="1" si="67"/>
        <v>1.2866384867003106E-2</v>
      </c>
    </row>
    <row r="2006" spans="2:8" x14ac:dyDescent="0.3">
      <c r="B2006" s="4">
        <v>42907</v>
      </c>
      <c r="C2006" s="5">
        <v>1080.77</v>
      </c>
      <c r="D2006" s="6">
        <f t="shared" si="66"/>
        <v>10.130484037075181</v>
      </c>
      <c r="E2006" s="6">
        <v>5.1804315476189884E-3</v>
      </c>
      <c r="F2006" s="6"/>
      <c r="G2006" s="6">
        <v>1999</v>
      </c>
      <c r="H2006" s="6">
        <f t="shared" ca="1" si="67"/>
        <v>-7.0759468299305631E-3</v>
      </c>
    </row>
    <row r="2007" spans="2:8" x14ac:dyDescent="0.3">
      <c r="B2007" s="4">
        <v>39492</v>
      </c>
      <c r="C2007" s="7">
        <v>97.1</v>
      </c>
      <c r="D2007" s="6">
        <f t="shared" si="66"/>
        <v>-0.96930527500387242</v>
      </c>
      <c r="E2007" s="6">
        <v>5.175983436853002E-3</v>
      </c>
      <c r="F2007" s="6"/>
      <c r="G2007" s="6">
        <v>2000</v>
      </c>
      <c r="H2007" s="6">
        <f t="shared" ca="1" si="67"/>
        <v>6.9867233644120745E-3</v>
      </c>
    </row>
    <row r="2008" spans="2:8" x14ac:dyDescent="0.3">
      <c r="B2008" s="4">
        <v>44554</v>
      </c>
      <c r="C2008" s="5">
        <v>3163.41</v>
      </c>
      <c r="D2008" s="6">
        <f t="shared" si="66"/>
        <v>2.3948359679340649</v>
      </c>
      <c r="E2008" s="6">
        <v>5.1697731908971261E-3</v>
      </c>
      <c r="F2008" s="6"/>
      <c r="G2008" s="6">
        <v>2001</v>
      </c>
      <c r="H2008" s="6">
        <f t="shared" ca="1" si="67"/>
        <v>1.6116979058206381E-2</v>
      </c>
    </row>
    <row r="2009" spans="2:8" x14ac:dyDescent="0.3">
      <c r="B2009" s="4">
        <v>42775</v>
      </c>
      <c r="C2009" s="7">
        <v>931.83</v>
      </c>
      <c r="D2009" s="6">
        <f t="shared" si="66"/>
        <v>-0.28123384988005523</v>
      </c>
      <c r="E2009" s="6">
        <v>5.1669830859510674E-3</v>
      </c>
      <c r="F2009" s="6"/>
      <c r="G2009" s="6">
        <v>2002</v>
      </c>
      <c r="H2009" s="6">
        <f t="shared" ca="1" si="67"/>
        <v>6.4596612723805862E-3</v>
      </c>
    </row>
    <row r="2010" spans="2:8" x14ac:dyDescent="0.3">
      <c r="B2010" s="4">
        <v>43465</v>
      </c>
      <c r="C2010" s="5">
        <v>1296.43</v>
      </c>
      <c r="D2010" s="6">
        <f t="shared" si="66"/>
        <v>22.735444891980965</v>
      </c>
      <c r="E2010" s="6">
        <v>5.1637113593897225E-3</v>
      </c>
      <c r="F2010" s="6"/>
      <c r="G2010" s="6">
        <v>2003</v>
      </c>
      <c r="H2010" s="6">
        <f t="shared" ca="1" si="67"/>
        <v>-1.2187739405705566E-2</v>
      </c>
    </row>
    <row r="2011" spans="2:8" x14ac:dyDescent="0.3">
      <c r="B2011" s="4">
        <v>39016</v>
      </c>
      <c r="C2011" s="7">
        <v>54.62</v>
      </c>
      <c r="D2011" s="6">
        <f t="shared" si="66"/>
        <v>0.46986006458557594</v>
      </c>
      <c r="E2011" s="6">
        <v>5.152741994847148E-3</v>
      </c>
      <c r="F2011" s="6"/>
      <c r="G2011" s="6">
        <v>2004</v>
      </c>
      <c r="H2011" s="6">
        <f t="shared" ca="1" si="67"/>
        <v>2.2417493094175297E-3</v>
      </c>
    </row>
    <row r="2012" spans="2:8" x14ac:dyDescent="0.3">
      <c r="B2012" s="4">
        <v>38567</v>
      </c>
      <c r="C2012" s="7">
        <v>37.159999999999997</v>
      </c>
      <c r="D2012" s="6">
        <f t="shared" si="66"/>
        <v>-0.96420210972496512</v>
      </c>
      <c r="E2012" s="6">
        <v>5.1393021368676692E-3</v>
      </c>
      <c r="F2012" s="6"/>
      <c r="G2012" s="6">
        <v>2005</v>
      </c>
      <c r="H2012" s="6">
        <f t="shared" ca="1" si="67"/>
        <v>3.758152533000049E-2</v>
      </c>
    </row>
    <row r="2013" spans="2:8" x14ac:dyDescent="0.3">
      <c r="B2013" s="4">
        <v>43166</v>
      </c>
      <c r="C2013" s="5">
        <v>1038.05</v>
      </c>
      <c r="D2013" s="6">
        <f t="shared" si="66"/>
        <v>-0.2936945886547504</v>
      </c>
      <c r="E2013" s="6">
        <v>5.131929314935807E-3</v>
      </c>
      <c r="F2013" s="6"/>
      <c r="G2013" s="6">
        <v>2006</v>
      </c>
      <c r="H2013" s="6">
        <f t="shared" ca="1" si="67"/>
        <v>-1.5972490623642994E-2</v>
      </c>
    </row>
    <row r="2014" spans="2:8" x14ac:dyDescent="0.3">
      <c r="B2014" s="4">
        <v>43721</v>
      </c>
      <c r="C2014" s="5">
        <v>1469.69</v>
      </c>
      <c r="D2014" s="6">
        <f t="shared" si="66"/>
        <v>-0.54888840460046717</v>
      </c>
      <c r="E2014" s="6">
        <v>5.1292923628256243E-3</v>
      </c>
      <c r="F2014" s="6"/>
      <c r="G2014" s="6">
        <v>2007</v>
      </c>
      <c r="H2014" s="6">
        <f t="shared" ca="1" si="67"/>
        <v>-1.037725230244442E-2</v>
      </c>
    </row>
    <row r="2015" spans="2:8" x14ac:dyDescent="0.3">
      <c r="B2015" s="4">
        <v>44561</v>
      </c>
      <c r="C2015" s="5">
        <v>3257.93</v>
      </c>
      <c r="D2015" s="6">
        <f t="shared" si="66"/>
        <v>0.30855802483020101</v>
      </c>
      <c r="E2015" s="6">
        <v>5.1244554687595398E-3</v>
      </c>
      <c r="F2015" s="6"/>
      <c r="G2015" s="6">
        <v>2008</v>
      </c>
      <c r="H2015" s="6">
        <f t="shared" ca="1" si="67"/>
        <v>-2.909431974350847E-3</v>
      </c>
    </row>
    <row r="2016" spans="2:8" x14ac:dyDescent="0.3">
      <c r="B2016" s="4">
        <v>45917</v>
      </c>
      <c r="C2016" s="5">
        <v>2489.71</v>
      </c>
      <c r="D2016" s="6">
        <f t="shared" si="66"/>
        <v>1.5209528586166336E-2</v>
      </c>
      <c r="E2016" s="6">
        <v>5.1190336814652369E-3</v>
      </c>
      <c r="F2016" s="6"/>
      <c r="G2016" s="6">
        <v>2009</v>
      </c>
      <c r="H2016" s="6">
        <f t="shared" ca="1" si="67"/>
        <v>1.9505665064857323E-2</v>
      </c>
    </row>
    <row r="2017" spans="2:8" x14ac:dyDescent="0.3">
      <c r="B2017" s="4">
        <v>45610</v>
      </c>
      <c r="C2017" s="5">
        <v>2452.41</v>
      </c>
      <c r="D2017" s="6">
        <f t="shared" si="66"/>
        <v>4.0144355613715828</v>
      </c>
      <c r="E2017" s="6">
        <v>5.1190202957473122E-3</v>
      </c>
      <c r="F2017" s="6"/>
      <c r="G2017" s="6">
        <v>2010</v>
      </c>
      <c r="H2017" s="6">
        <f t="shared" ca="1" si="67"/>
        <v>-2.2193124864228848E-3</v>
      </c>
    </row>
    <row r="2018" spans="2:8" x14ac:dyDescent="0.3">
      <c r="B2018" s="4">
        <v>41782</v>
      </c>
      <c r="C2018" s="7">
        <v>489.07</v>
      </c>
      <c r="D2018" s="6">
        <f t="shared" si="66"/>
        <v>1.0893284347231715</v>
      </c>
      <c r="E2018" s="6">
        <v>5.1173496650088563E-3</v>
      </c>
      <c r="F2018" s="6"/>
      <c r="G2018" s="6">
        <v>2011</v>
      </c>
      <c r="H2018" s="6">
        <f t="shared" ca="1" si="67"/>
        <v>2.6209281031698031E-2</v>
      </c>
    </row>
    <row r="2019" spans="2:8" x14ac:dyDescent="0.3">
      <c r="B2019" s="4">
        <v>40562</v>
      </c>
      <c r="C2019" s="7">
        <v>234.08</v>
      </c>
      <c r="D2019" s="6">
        <f t="shared" si="66"/>
        <v>1.2868307932786247</v>
      </c>
      <c r="E2019" s="6">
        <v>5.1097084460476026E-3</v>
      </c>
      <c r="F2019" s="6"/>
      <c r="G2019" s="6">
        <v>2012</v>
      </c>
      <c r="H2019" s="6">
        <f t="shared" ca="1" si="67"/>
        <v>6.450332275149055E-3</v>
      </c>
    </row>
    <row r="2020" spans="2:8" x14ac:dyDescent="0.3">
      <c r="B2020" s="4">
        <v>39682</v>
      </c>
      <c r="C2020" s="7">
        <v>102.36</v>
      </c>
      <c r="D2020" s="6">
        <f t="shared" si="66"/>
        <v>-0.5633105802047782</v>
      </c>
      <c r="E2020" s="6">
        <v>5.1060487038491363E-3</v>
      </c>
      <c r="F2020" s="6"/>
      <c r="G2020" s="6">
        <v>2013</v>
      </c>
      <c r="H2020" s="6">
        <f t="shared" ca="1" si="67"/>
        <v>1.1534635726777212E-3</v>
      </c>
    </row>
    <row r="2021" spans="2:8" x14ac:dyDescent="0.3">
      <c r="B2021" s="4">
        <v>40401</v>
      </c>
      <c r="C2021" s="7">
        <v>234.4</v>
      </c>
      <c r="D2021" s="6">
        <f t="shared" si="66"/>
        <v>-0.90347156446897003</v>
      </c>
      <c r="E2021" s="6">
        <v>5.1026971399168036E-3</v>
      </c>
      <c r="F2021" s="6"/>
      <c r="G2021" s="6">
        <v>2014</v>
      </c>
      <c r="H2021" s="6">
        <f t="shared" ca="1" si="67"/>
        <v>-1.240420776931477E-2</v>
      </c>
    </row>
    <row r="2022" spans="2:8" x14ac:dyDescent="0.3">
      <c r="B2022" s="4">
        <v>46052</v>
      </c>
      <c r="C2022" s="5">
        <v>2428.3000000000002</v>
      </c>
      <c r="D2022" s="6">
        <f t="shared" si="66"/>
        <v>-0.17509418323011955</v>
      </c>
      <c r="E2022" s="6">
        <v>5.0910596026490819E-3</v>
      </c>
      <c r="F2022" s="6"/>
      <c r="G2022" s="6">
        <v>2015</v>
      </c>
      <c r="H2022" s="6">
        <f t="shared" ca="1" si="67"/>
        <v>-3.9316766331478565E-3</v>
      </c>
    </row>
    <row r="2023" spans="2:8" x14ac:dyDescent="0.3">
      <c r="B2023" s="4">
        <v>45055</v>
      </c>
      <c r="C2023" s="5">
        <v>2943.73</v>
      </c>
      <c r="D2023" s="6">
        <f t="shared" si="66"/>
        <v>9.5449562974638198</v>
      </c>
      <c r="E2023" s="6">
        <v>5.0804923434112741E-3</v>
      </c>
      <c r="F2023" s="6"/>
      <c r="G2023" s="6">
        <v>2016</v>
      </c>
      <c r="H2023" s="6">
        <f t="shared" ca="1" si="67"/>
        <v>2.553196060699723E-2</v>
      </c>
    </row>
    <row r="2024" spans="2:8" x14ac:dyDescent="0.3">
      <c r="B2024" s="4">
        <v>40849</v>
      </c>
      <c r="C2024" s="7">
        <v>279.16000000000003</v>
      </c>
      <c r="D2024" s="6">
        <f t="shared" si="66"/>
        <v>9.8453768453768458</v>
      </c>
      <c r="E2024" s="6">
        <v>5.0765076507651666E-3</v>
      </c>
      <c r="F2024" s="6"/>
      <c r="G2024" s="6">
        <v>2017</v>
      </c>
      <c r="H2024" s="6">
        <f t="shared" ca="1" si="67"/>
        <v>-8.5519624718860196E-3</v>
      </c>
    </row>
    <row r="2025" spans="2:8" x14ac:dyDescent="0.3">
      <c r="B2025" s="4">
        <v>38342</v>
      </c>
      <c r="C2025" s="7">
        <v>25.74</v>
      </c>
      <c r="D2025" s="6">
        <f t="shared" si="66"/>
        <v>-0.90584534347794277</v>
      </c>
      <c r="E2025" s="6">
        <v>5.0761421319796569E-3</v>
      </c>
      <c r="F2025" s="6"/>
      <c r="G2025" s="6">
        <v>2018</v>
      </c>
      <c r="H2025" s="6">
        <f t="shared" ca="1" si="67"/>
        <v>3.5994023064043375E-2</v>
      </c>
    </row>
    <row r="2026" spans="2:8" x14ac:dyDescent="0.3">
      <c r="B2026" s="4">
        <v>40807</v>
      </c>
      <c r="C2026" s="7">
        <v>273.38</v>
      </c>
      <c r="D2026" s="6">
        <f t="shared" si="66"/>
        <v>-1.0961707103186618E-3</v>
      </c>
      <c r="E2026" s="6">
        <v>5.0735294117646894E-3</v>
      </c>
      <c r="F2026" s="6"/>
      <c r="G2026" s="6">
        <v>2019</v>
      </c>
      <c r="H2026" s="6">
        <f t="shared" ca="1" si="67"/>
        <v>1.6257326422376345E-2</v>
      </c>
    </row>
    <row r="2027" spans="2:8" x14ac:dyDescent="0.3">
      <c r="B2027" s="4">
        <v>40813</v>
      </c>
      <c r="C2027" s="7">
        <v>273.68</v>
      </c>
      <c r="D2027" s="6">
        <f t="shared" si="66"/>
        <v>-0.88112911702492691</v>
      </c>
      <c r="E2027" s="6">
        <v>5.0679397723099352E-3</v>
      </c>
      <c r="F2027" s="6"/>
      <c r="G2027" s="6">
        <v>2020</v>
      </c>
      <c r="H2027" s="6">
        <f t="shared" ca="1" si="67"/>
        <v>-1.0326420906076078E-2</v>
      </c>
    </row>
    <row r="2028" spans="2:8" x14ac:dyDescent="0.3">
      <c r="B2028" s="4">
        <v>45803</v>
      </c>
      <c r="C2028" s="5">
        <v>2302.33</v>
      </c>
      <c r="D2028" s="6">
        <f t="shared" si="66"/>
        <v>43.498067259373791</v>
      </c>
      <c r="E2028" s="6">
        <v>5.0507255234069513E-3</v>
      </c>
      <c r="F2028" s="6"/>
      <c r="G2028" s="6">
        <v>2021</v>
      </c>
      <c r="H2028" s="6">
        <f t="shared" ca="1" si="67"/>
        <v>1.8653374518390827E-2</v>
      </c>
    </row>
    <row r="2029" spans="2:8" x14ac:dyDescent="0.3">
      <c r="B2029" s="4">
        <v>38849</v>
      </c>
      <c r="C2029" s="7">
        <v>51.74</v>
      </c>
      <c r="D2029" s="6">
        <f t="shared" si="66"/>
        <v>-0.64415405777166435</v>
      </c>
      <c r="E2029" s="6">
        <v>5.0505050505051498E-3</v>
      </c>
      <c r="F2029" s="6"/>
      <c r="G2029" s="6">
        <v>2022</v>
      </c>
      <c r="H2029" s="6">
        <f t="shared" ca="1" si="67"/>
        <v>-2.0043501697800089E-3</v>
      </c>
    </row>
    <row r="2030" spans="2:8" x14ac:dyDescent="0.3">
      <c r="B2030" s="4">
        <v>40133</v>
      </c>
      <c r="C2030" s="7">
        <v>145.4</v>
      </c>
      <c r="D2030" s="6">
        <f t="shared" si="66"/>
        <v>-0.67193140794223816</v>
      </c>
      <c r="E2030" s="6">
        <v>5.0459666827954537E-3</v>
      </c>
      <c r="F2030" s="6"/>
      <c r="G2030" s="6">
        <v>2023</v>
      </c>
      <c r="H2030" s="6">
        <f t="shared" ca="1" si="67"/>
        <v>-1.6505812914798898E-3</v>
      </c>
    </row>
    <row r="2031" spans="2:8" x14ac:dyDescent="0.3">
      <c r="B2031" s="4">
        <v>41634</v>
      </c>
      <c r="C2031" s="7">
        <v>443.2</v>
      </c>
      <c r="D2031" s="6">
        <f t="shared" si="66"/>
        <v>-0.57423916384875495</v>
      </c>
      <c r="E2031" s="6">
        <v>5.0342419157330728E-3</v>
      </c>
      <c r="F2031" s="6"/>
      <c r="G2031" s="6">
        <v>2024</v>
      </c>
      <c r="H2031" s="6">
        <f t="shared" ca="1" si="67"/>
        <v>-8.2829251734903263E-3</v>
      </c>
    </row>
    <row r="2032" spans="2:8" x14ac:dyDescent="0.3">
      <c r="B2032" s="4">
        <v>43158</v>
      </c>
      <c r="C2032" s="5">
        <v>1040.96</v>
      </c>
      <c r="D2032" s="6">
        <f t="shared" si="66"/>
        <v>8.8046529151361028</v>
      </c>
      <c r="E2032" s="6">
        <v>5.0301713734009525E-3</v>
      </c>
      <c r="F2032" s="6"/>
      <c r="G2032" s="6">
        <v>2025</v>
      </c>
      <c r="H2032" s="6">
        <f t="shared" ca="1" si="67"/>
        <v>7.2739765449686524E-3</v>
      </c>
    </row>
    <row r="2033" spans="2:8" x14ac:dyDescent="0.3">
      <c r="B2033" s="4">
        <v>39678</v>
      </c>
      <c r="C2033" s="7">
        <v>106.17</v>
      </c>
      <c r="D2033" s="6">
        <f t="shared" si="66"/>
        <v>5.6232064878353087</v>
      </c>
      <c r="E2033" s="6">
        <v>5.0170390003786555E-3</v>
      </c>
      <c r="F2033" s="6"/>
      <c r="G2033" s="6">
        <v>2026</v>
      </c>
      <c r="H2033" s="6">
        <f t="shared" ca="1" si="67"/>
        <v>-1.9810293903947743E-2</v>
      </c>
    </row>
    <row r="2034" spans="2:8" x14ac:dyDescent="0.3">
      <c r="B2034" s="4">
        <v>37671</v>
      </c>
      <c r="C2034" s="7">
        <v>16.03</v>
      </c>
      <c r="D2034" s="6">
        <f t="shared" si="66"/>
        <v>-0.98463249321739799</v>
      </c>
      <c r="E2034" s="6">
        <v>5.0156739811913383E-3</v>
      </c>
      <c r="F2034" s="6"/>
      <c r="G2034" s="6">
        <v>2027</v>
      </c>
      <c r="H2034" s="6">
        <f t="shared" ca="1" si="67"/>
        <v>4.4299925552138755E-3</v>
      </c>
    </row>
    <row r="2035" spans="2:8" x14ac:dyDescent="0.3">
      <c r="B2035" s="4">
        <v>43182</v>
      </c>
      <c r="C2035" s="5">
        <v>1043.1099999999999</v>
      </c>
      <c r="D2035" s="6">
        <f t="shared" si="66"/>
        <v>2.1127391005938345</v>
      </c>
      <c r="E2035" s="6">
        <v>5.0100683103542869E-3</v>
      </c>
      <c r="F2035" s="6"/>
      <c r="G2035" s="6">
        <v>2028</v>
      </c>
      <c r="H2035" s="6">
        <f t="shared" ca="1" si="67"/>
        <v>-1.0861073810081371E-2</v>
      </c>
    </row>
    <row r="2036" spans="2:8" x14ac:dyDescent="0.3">
      <c r="B2036" s="4">
        <v>41130</v>
      </c>
      <c r="C2036" s="7">
        <v>335.11</v>
      </c>
      <c r="D2036" s="6">
        <f t="shared" si="66"/>
        <v>-0.88563423157779775</v>
      </c>
      <c r="E2036" s="6">
        <v>5.0083973128599328E-3</v>
      </c>
      <c r="F2036" s="6"/>
      <c r="G2036" s="6">
        <v>2029</v>
      </c>
      <c r="H2036" s="6">
        <f t="shared" ca="1" si="67"/>
        <v>-1.4274765921640318E-2</v>
      </c>
    </row>
    <row r="2037" spans="2:8" x14ac:dyDescent="0.3">
      <c r="B2037" s="4">
        <v>44649</v>
      </c>
      <c r="C2037" s="5">
        <v>2930.16</v>
      </c>
      <c r="D2037" s="6">
        <f t="shared" si="66"/>
        <v>181.11062771908016</v>
      </c>
      <c r="E2037" s="6">
        <v>5.004167281183333E-3</v>
      </c>
      <c r="F2037" s="6"/>
      <c r="G2037" s="6">
        <v>2030</v>
      </c>
      <c r="H2037" s="6">
        <f t="shared" ca="1" si="67"/>
        <v>-2.855105326886884E-4</v>
      </c>
    </row>
    <row r="2038" spans="2:8" x14ac:dyDescent="0.3">
      <c r="B2038" s="4">
        <v>37677</v>
      </c>
      <c r="C2038" s="7">
        <v>16.09</v>
      </c>
      <c r="D2038" s="6">
        <f t="shared" si="66"/>
        <v>-0.96477439411520027</v>
      </c>
      <c r="E2038" s="6">
        <v>4.9968769519049524E-3</v>
      </c>
      <c r="F2038" s="6"/>
      <c r="G2038" s="6">
        <v>2031</v>
      </c>
      <c r="H2038" s="6">
        <f t="shared" ca="1" si="67"/>
        <v>4.644324095661386E-3</v>
      </c>
    </row>
    <row r="2039" spans="2:8" x14ac:dyDescent="0.3">
      <c r="B2039" s="4">
        <v>41613</v>
      </c>
      <c r="C2039" s="7">
        <v>456.77</v>
      </c>
      <c r="D2039" s="6">
        <f t="shared" si="66"/>
        <v>3.3415074612679407</v>
      </c>
      <c r="E2039" s="6">
        <v>4.9944994499449549E-3</v>
      </c>
      <c r="F2039" s="6"/>
      <c r="G2039" s="6">
        <v>2032</v>
      </c>
      <c r="H2039" s="6">
        <f t="shared" ca="1" si="67"/>
        <v>7.7010835144076684E-3</v>
      </c>
    </row>
    <row r="2040" spans="2:8" x14ac:dyDescent="0.3">
      <c r="B2040" s="4">
        <v>39603</v>
      </c>
      <c r="C2040" s="7">
        <v>105.21</v>
      </c>
      <c r="D2040" s="6">
        <f t="shared" si="66"/>
        <v>-0.87133737709729486</v>
      </c>
      <c r="E2040" s="6">
        <v>4.9670455630909929E-3</v>
      </c>
      <c r="F2040" s="6"/>
      <c r="G2040" s="6">
        <v>2033</v>
      </c>
      <c r="H2040" s="6">
        <f t="shared" ca="1" si="67"/>
        <v>-2.2453686328833848E-3</v>
      </c>
    </row>
    <row r="2041" spans="2:8" x14ac:dyDescent="0.3">
      <c r="B2041" s="4">
        <v>42733</v>
      </c>
      <c r="C2041" s="7">
        <v>817.72</v>
      </c>
      <c r="D2041" s="6">
        <f t="shared" si="66"/>
        <v>49.476543209876546</v>
      </c>
      <c r="E2041" s="6">
        <v>4.9650968439682404E-3</v>
      </c>
      <c r="F2041" s="6"/>
      <c r="G2041" s="6">
        <v>2034</v>
      </c>
      <c r="H2041" s="6">
        <f t="shared" ca="1" si="67"/>
        <v>-1.4891291797884492E-3</v>
      </c>
    </row>
    <row r="2042" spans="2:8" x14ac:dyDescent="0.3">
      <c r="B2042" s="4">
        <v>37739</v>
      </c>
      <c r="C2042" s="7">
        <v>16.2</v>
      </c>
      <c r="D2042" s="6">
        <f t="shared" si="66"/>
        <v>-0.98798959097884831</v>
      </c>
      <c r="E2042" s="6">
        <v>4.9627791563274376E-3</v>
      </c>
      <c r="F2042" s="6"/>
      <c r="G2042" s="6">
        <v>2035</v>
      </c>
      <c r="H2042" s="6">
        <f t="shared" ca="1" si="67"/>
        <v>2.0937878681464937E-2</v>
      </c>
    </row>
    <row r="2043" spans="2:8" x14ac:dyDescent="0.3">
      <c r="B2043" s="4">
        <v>43622</v>
      </c>
      <c r="C2043" s="5">
        <v>1348.83</v>
      </c>
      <c r="D2043" s="6">
        <f t="shared" si="66"/>
        <v>1.8914446183197924</v>
      </c>
      <c r="E2043" s="6">
        <v>4.9621135921677989E-3</v>
      </c>
      <c r="F2043" s="6"/>
      <c r="G2043" s="6">
        <v>2036</v>
      </c>
      <c r="H2043" s="6">
        <f t="shared" ca="1" si="67"/>
        <v>1.3632455406833652E-2</v>
      </c>
    </row>
    <row r="2044" spans="2:8" x14ac:dyDescent="0.3">
      <c r="B2044" s="4">
        <v>41718</v>
      </c>
      <c r="C2044" s="7">
        <v>466.49</v>
      </c>
      <c r="D2044" s="6">
        <f t="shared" si="66"/>
        <v>-0.81720038245713045</v>
      </c>
      <c r="E2044" s="6">
        <v>4.9548676188629903E-3</v>
      </c>
      <c r="F2044" s="6"/>
      <c r="G2044" s="6">
        <v>2037</v>
      </c>
      <c r="H2044" s="6">
        <f t="shared" ca="1" si="67"/>
        <v>2.1259059806506102E-2</v>
      </c>
    </row>
    <row r="2045" spans="2:8" x14ac:dyDescent="0.3">
      <c r="B2045" s="4">
        <v>45911</v>
      </c>
      <c r="C2045" s="5">
        <v>2551.92</v>
      </c>
      <c r="D2045" s="6">
        <f t="shared" si="66"/>
        <v>0.5579106737320213</v>
      </c>
      <c r="E2045" s="6">
        <v>4.9540431765734113E-3</v>
      </c>
      <c r="F2045" s="6"/>
      <c r="G2045" s="6">
        <v>2038</v>
      </c>
      <c r="H2045" s="6">
        <f t="shared" ca="1" si="67"/>
        <v>-1.025220751908624E-3</v>
      </c>
    </row>
    <row r="2046" spans="2:8" x14ac:dyDescent="0.3">
      <c r="B2046" s="4">
        <v>44047</v>
      </c>
      <c r="C2046" s="5">
        <v>1638.04</v>
      </c>
      <c r="D2046" s="6">
        <f t="shared" si="66"/>
        <v>-0.43701840128128461</v>
      </c>
      <c r="E2046" s="6">
        <v>4.9510113683073533E-3</v>
      </c>
      <c r="F2046" s="6"/>
      <c r="G2046" s="6">
        <v>2039</v>
      </c>
      <c r="H2046" s="6">
        <f t="shared" ca="1" si="67"/>
        <v>-3.8679625399380968E-3</v>
      </c>
    </row>
    <row r="2047" spans="2:8" x14ac:dyDescent="0.3">
      <c r="B2047" s="4">
        <v>45492</v>
      </c>
      <c r="C2047" s="5">
        <v>2909.58</v>
      </c>
      <c r="D2047" s="6">
        <f t="shared" si="66"/>
        <v>0.2807659293496203</v>
      </c>
      <c r="E2047" s="6">
        <v>4.9460152110690258E-3</v>
      </c>
      <c r="F2047" s="6"/>
      <c r="G2047" s="6">
        <v>2040</v>
      </c>
      <c r="H2047" s="6">
        <f t="shared" ca="1" si="67"/>
        <v>2.4186622743290346E-3</v>
      </c>
    </row>
    <row r="2048" spans="2:8" x14ac:dyDescent="0.3">
      <c r="B2048" s="4">
        <v>45832</v>
      </c>
      <c r="C2048" s="5">
        <v>2271.75</v>
      </c>
      <c r="D2048" s="6">
        <f t="shared" si="66"/>
        <v>138.71402214022137</v>
      </c>
      <c r="E2048" s="6">
        <v>4.9456552993270885E-3</v>
      </c>
      <c r="F2048" s="6"/>
      <c r="G2048" s="6">
        <v>2041</v>
      </c>
      <c r="H2048" s="6">
        <f t="shared" ca="1" si="67"/>
        <v>1.0603360636397384E-2</v>
      </c>
    </row>
    <row r="2049" spans="2:8" x14ac:dyDescent="0.3">
      <c r="B2049" s="4">
        <v>37735</v>
      </c>
      <c r="C2049" s="7">
        <v>16.260000000000002</v>
      </c>
      <c r="D2049" s="6">
        <f t="shared" si="66"/>
        <v>-0.96298067071921323</v>
      </c>
      <c r="E2049" s="6">
        <v>4.9443757725588285E-3</v>
      </c>
      <c r="F2049" s="6"/>
      <c r="G2049" s="6">
        <v>2042</v>
      </c>
      <c r="H2049" s="6">
        <f t="shared" ca="1" si="67"/>
        <v>1.3594344823702344E-2</v>
      </c>
    </row>
    <row r="2050" spans="2:8" x14ac:dyDescent="0.3">
      <c r="B2050" s="4">
        <v>41359</v>
      </c>
      <c r="C2050" s="7">
        <v>439.23</v>
      </c>
      <c r="D2050" s="6">
        <f t="shared" si="66"/>
        <v>13.396263520157326</v>
      </c>
      <c r="E2050" s="6">
        <v>4.9420001372778386E-3</v>
      </c>
      <c r="F2050" s="6"/>
      <c r="G2050" s="6">
        <v>2043</v>
      </c>
      <c r="H2050" s="6">
        <f t="shared" ca="1" si="67"/>
        <v>3.9260699587691517E-3</v>
      </c>
    </row>
    <row r="2051" spans="2:8" x14ac:dyDescent="0.3">
      <c r="B2051" s="4">
        <v>38496</v>
      </c>
      <c r="C2051" s="7">
        <v>30.51</v>
      </c>
      <c r="D2051" s="6">
        <f t="shared" si="66"/>
        <v>0.36327077747989289</v>
      </c>
      <c r="E2051" s="6">
        <v>4.9407114624506632E-3</v>
      </c>
      <c r="F2051" s="6"/>
      <c r="G2051" s="6">
        <v>2044</v>
      </c>
      <c r="H2051" s="6">
        <f t="shared" ca="1" si="67"/>
        <v>1.9659972460356112E-2</v>
      </c>
    </row>
    <row r="2052" spans="2:8" x14ac:dyDescent="0.3">
      <c r="B2052" s="4">
        <v>37858</v>
      </c>
      <c r="C2052" s="7">
        <v>22.38</v>
      </c>
      <c r="D2052" s="6">
        <f t="shared" si="66"/>
        <v>-0.66691471945229952</v>
      </c>
      <c r="E2052" s="6">
        <v>4.9393803322855603E-3</v>
      </c>
      <c r="F2052" s="6"/>
      <c r="G2052" s="6">
        <v>2045</v>
      </c>
      <c r="H2052" s="6">
        <f t="shared" ca="1" si="67"/>
        <v>-4.3367289046916651E-3</v>
      </c>
    </row>
    <row r="2053" spans="2:8" x14ac:dyDescent="0.3">
      <c r="B2053" s="4">
        <v>39197</v>
      </c>
      <c r="C2053" s="7">
        <v>67.19</v>
      </c>
      <c r="D2053" s="6">
        <f t="shared" si="66"/>
        <v>0.82829931972789106</v>
      </c>
      <c r="E2053" s="6">
        <v>4.9356865091235167E-3</v>
      </c>
      <c r="F2053" s="6"/>
      <c r="G2053" s="6">
        <v>2046</v>
      </c>
      <c r="H2053" s="6">
        <f t="shared" ca="1" si="67"/>
        <v>4.1591950837190127E-3</v>
      </c>
    </row>
    <row r="2054" spans="2:8" x14ac:dyDescent="0.3">
      <c r="B2054" s="4">
        <v>38560</v>
      </c>
      <c r="C2054" s="7">
        <v>36.75</v>
      </c>
      <c r="D2054" s="6">
        <f t="shared" si="66"/>
        <v>-0.62553495007132665</v>
      </c>
      <c r="E2054" s="6">
        <v>4.9220672682526584E-3</v>
      </c>
      <c r="F2054" s="6"/>
      <c r="G2054" s="6">
        <v>2047</v>
      </c>
      <c r="H2054" s="6">
        <f t="shared" ca="1" si="67"/>
        <v>-1.8230298267101666E-2</v>
      </c>
    </row>
    <row r="2055" spans="2:8" x14ac:dyDescent="0.3">
      <c r="B2055" s="4">
        <v>39511</v>
      </c>
      <c r="C2055" s="7">
        <v>98.14</v>
      </c>
      <c r="D2055" s="6">
        <f t="shared" si="66"/>
        <v>4.9987775061124697</v>
      </c>
      <c r="E2055" s="6">
        <v>4.9150112635675198E-3</v>
      </c>
      <c r="F2055" s="6"/>
      <c r="G2055" s="6">
        <v>2048</v>
      </c>
      <c r="H2055" s="6">
        <f t="shared" ca="1" si="67"/>
        <v>-3.9117120856370481E-3</v>
      </c>
    </row>
    <row r="2056" spans="2:8" x14ac:dyDescent="0.3">
      <c r="B2056" s="4">
        <v>37627</v>
      </c>
      <c r="C2056" s="7">
        <v>16.36</v>
      </c>
      <c r="D2056" s="6">
        <f t="shared" ref="D2056:D2119" si="68">((C2056-C2057)/C2057)</f>
        <v>-0.79022951660469287</v>
      </c>
      <c r="E2056" s="6">
        <v>4.9140049140048089E-3</v>
      </c>
      <c r="F2056" s="6"/>
      <c r="G2056" s="6">
        <v>2049</v>
      </c>
      <c r="H2056" s="6">
        <f t="shared" ca="1" si="67"/>
        <v>-1.6927321484887084E-2</v>
      </c>
    </row>
    <row r="2057" spans="2:8" x14ac:dyDescent="0.3">
      <c r="B2057" s="4">
        <v>39318</v>
      </c>
      <c r="C2057" s="7">
        <v>77.989999999999995</v>
      </c>
      <c r="D2057" s="6">
        <f t="shared" si="68"/>
        <v>-0.96607980097598323</v>
      </c>
      <c r="E2057" s="6">
        <v>4.8962762530601143E-3</v>
      </c>
      <c r="F2057" s="6"/>
      <c r="G2057" s="6">
        <v>2050</v>
      </c>
      <c r="H2057" s="6">
        <f t="shared" ref="H2057:H2120" ca="1" si="69">_xlfn.NORM.INV(RAND(),N$10,N$11)</f>
        <v>-5.0741539969533692E-2</v>
      </c>
    </row>
    <row r="2058" spans="2:8" x14ac:dyDescent="0.3">
      <c r="B2058" s="4">
        <v>44258</v>
      </c>
      <c r="C2058" s="5">
        <v>2299.2199999999998</v>
      </c>
      <c r="D2058" s="6">
        <f t="shared" si="68"/>
        <v>-0.30974046443206893</v>
      </c>
      <c r="E2058" s="6">
        <v>4.8950621061003919E-3</v>
      </c>
      <c r="F2058" s="6"/>
      <c r="G2058" s="6">
        <v>2051</v>
      </c>
      <c r="H2058" s="6">
        <f t="shared" ca="1" si="69"/>
        <v>2.9882127391995632E-3</v>
      </c>
    </row>
    <row r="2059" spans="2:8" x14ac:dyDescent="0.3">
      <c r="B2059" s="4">
        <v>44818</v>
      </c>
      <c r="C2059" s="5">
        <v>3330.95</v>
      </c>
      <c r="D2059" s="6">
        <f t="shared" si="68"/>
        <v>3.2460610850499689</v>
      </c>
      <c r="E2059" s="6">
        <v>4.8933095606579725E-3</v>
      </c>
      <c r="F2059" s="6"/>
      <c r="G2059" s="6">
        <v>2052</v>
      </c>
      <c r="H2059" s="6">
        <f t="shared" ca="1" si="69"/>
        <v>-8.5171163350228896E-3</v>
      </c>
    </row>
    <row r="2060" spans="2:8" x14ac:dyDescent="0.3">
      <c r="B2060" s="4">
        <v>42212</v>
      </c>
      <c r="C2060" s="7">
        <v>784.48</v>
      </c>
      <c r="D2060" s="6">
        <f t="shared" si="68"/>
        <v>-0.74228223196833065</v>
      </c>
      <c r="E2060" s="6">
        <v>4.8932954166987551E-3</v>
      </c>
      <c r="F2060" s="6"/>
      <c r="G2060" s="6">
        <v>2053</v>
      </c>
      <c r="H2060" s="6">
        <f t="shared" ca="1" si="69"/>
        <v>-2.6773009918744329E-3</v>
      </c>
    </row>
    <row r="2061" spans="2:8" x14ac:dyDescent="0.3">
      <c r="B2061" s="4">
        <v>45581</v>
      </c>
      <c r="C2061" s="5">
        <v>3043.95</v>
      </c>
      <c r="D2061" s="6">
        <f t="shared" si="68"/>
        <v>28.636354785317884</v>
      </c>
      <c r="E2061" s="6">
        <v>4.8924938843825485E-3</v>
      </c>
      <c r="F2061" s="6"/>
      <c r="G2061" s="6">
        <v>2054</v>
      </c>
      <c r="H2061" s="6">
        <f t="shared" ca="1" si="69"/>
        <v>-1.3339481490040374E-3</v>
      </c>
    </row>
    <row r="2062" spans="2:8" x14ac:dyDescent="0.3">
      <c r="B2062" s="4">
        <v>39661</v>
      </c>
      <c r="C2062" s="7">
        <v>102.71</v>
      </c>
      <c r="D2062" s="6">
        <f t="shared" si="68"/>
        <v>-0.90301410738229682</v>
      </c>
      <c r="E2062" s="6">
        <v>4.8918892476274341E-3</v>
      </c>
      <c r="F2062" s="6"/>
      <c r="G2062" s="6">
        <v>2055</v>
      </c>
      <c r="H2062" s="6">
        <f t="shared" ca="1" si="69"/>
        <v>6.7714984724556206E-6</v>
      </c>
    </row>
    <row r="2063" spans="2:8" x14ac:dyDescent="0.3">
      <c r="B2063" s="4">
        <v>42922</v>
      </c>
      <c r="C2063" s="5">
        <v>1059.02</v>
      </c>
      <c r="D2063" s="6">
        <f t="shared" si="68"/>
        <v>0.37329961745445117</v>
      </c>
      <c r="E2063" s="6">
        <v>4.8867507377571154E-3</v>
      </c>
      <c r="F2063" s="6"/>
      <c r="G2063" s="6">
        <v>2056</v>
      </c>
      <c r="H2063" s="6">
        <f t="shared" ca="1" si="69"/>
        <v>3.5232030375217656E-4</v>
      </c>
    </row>
    <row r="2064" spans="2:8" x14ac:dyDescent="0.3">
      <c r="B2064" s="4">
        <v>42020</v>
      </c>
      <c r="C2064" s="7">
        <v>771.15</v>
      </c>
      <c r="D2064" s="6">
        <f t="shared" si="68"/>
        <v>45.849939246658558</v>
      </c>
      <c r="E2064" s="6">
        <v>4.8866301798279905E-3</v>
      </c>
      <c r="F2064" s="6"/>
      <c r="G2064" s="6">
        <v>2057</v>
      </c>
      <c r="H2064" s="6">
        <f t="shared" ca="1" si="69"/>
        <v>-1.9513048149399196E-2</v>
      </c>
    </row>
    <row r="2065" spans="2:8" x14ac:dyDescent="0.3">
      <c r="B2065" s="4">
        <v>37461</v>
      </c>
      <c r="C2065" s="7">
        <v>16.46</v>
      </c>
      <c r="D2065" s="6">
        <f t="shared" si="68"/>
        <v>-0.8546578366445915</v>
      </c>
      <c r="E2065" s="6">
        <v>4.8840048840049968E-3</v>
      </c>
      <c r="F2065" s="6"/>
      <c r="G2065" s="6">
        <v>2058</v>
      </c>
      <c r="H2065" s="6">
        <f t="shared" ca="1" si="69"/>
        <v>-1.0263699424538046E-2</v>
      </c>
    </row>
    <row r="2066" spans="2:8" x14ac:dyDescent="0.3">
      <c r="B2066" s="4">
        <v>40045</v>
      </c>
      <c r="C2066" s="7">
        <v>113.25</v>
      </c>
      <c r="D2066" s="6">
        <f t="shared" si="68"/>
        <v>-0.67836755559342254</v>
      </c>
      <c r="E2066" s="6">
        <v>4.8802129547470905E-3</v>
      </c>
      <c r="F2066" s="6"/>
      <c r="G2066" s="6">
        <v>2059</v>
      </c>
      <c r="H2066" s="6">
        <f t="shared" ca="1" si="69"/>
        <v>-2.6511830075285198E-2</v>
      </c>
    </row>
    <row r="2067" spans="2:8" x14ac:dyDescent="0.3">
      <c r="B2067" s="4">
        <v>41093</v>
      </c>
      <c r="C2067" s="7">
        <v>352.11</v>
      </c>
      <c r="D2067" s="6">
        <f t="shared" si="68"/>
        <v>-0.54773617622503368</v>
      </c>
      <c r="E2067" s="6">
        <v>4.8801369863014738E-3</v>
      </c>
      <c r="F2067" s="6"/>
      <c r="G2067" s="6">
        <v>2060</v>
      </c>
      <c r="H2067" s="6">
        <f t="shared" ca="1" si="69"/>
        <v>-3.4111319526241848E-3</v>
      </c>
    </row>
    <row r="2068" spans="2:8" x14ac:dyDescent="0.3">
      <c r="B2068" s="4">
        <v>42390</v>
      </c>
      <c r="C2068" s="7">
        <v>778.55</v>
      </c>
      <c r="D2068" s="6">
        <f t="shared" si="68"/>
        <v>-0.75524530484699504</v>
      </c>
      <c r="E2068" s="6">
        <v>4.8788672767401588E-3</v>
      </c>
      <c r="F2068" s="6"/>
      <c r="G2068" s="6">
        <v>2061</v>
      </c>
      <c r="H2068" s="6">
        <f t="shared" ca="1" si="69"/>
        <v>2.0757344217352085E-2</v>
      </c>
    </row>
    <row r="2069" spans="2:8" x14ac:dyDescent="0.3">
      <c r="B2069" s="4">
        <v>44477</v>
      </c>
      <c r="C2069" s="5">
        <v>3180.94</v>
      </c>
      <c r="D2069" s="6">
        <f t="shared" si="68"/>
        <v>36.604208535287853</v>
      </c>
      <c r="E2069" s="6">
        <v>4.8775864792292073E-3</v>
      </c>
      <c r="F2069" s="6"/>
      <c r="G2069" s="6">
        <v>2062</v>
      </c>
      <c r="H2069" s="6">
        <f t="shared" ca="1" si="69"/>
        <v>1.5391947697370354E-2</v>
      </c>
    </row>
    <row r="2070" spans="2:8" x14ac:dyDescent="0.3">
      <c r="B2070" s="4">
        <v>39405</v>
      </c>
      <c r="C2070" s="7">
        <v>84.59</v>
      </c>
      <c r="D2070" s="6">
        <f t="shared" si="68"/>
        <v>0.28030876343272304</v>
      </c>
      <c r="E2070" s="6">
        <v>4.8705155618911445E-3</v>
      </c>
      <c r="F2070" s="6"/>
      <c r="G2070" s="6">
        <v>2063</v>
      </c>
      <c r="H2070" s="6">
        <f t="shared" ca="1" si="69"/>
        <v>6.3176336965414912E-4</v>
      </c>
    </row>
    <row r="2071" spans="2:8" x14ac:dyDescent="0.3">
      <c r="B2071" s="4">
        <v>39202</v>
      </c>
      <c r="C2071" s="7">
        <v>66.069999999999993</v>
      </c>
      <c r="D2071" s="6">
        <f t="shared" si="68"/>
        <v>0.77369127516778502</v>
      </c>
      <c r="E2071" s="6">
        <v>4.8669201520911507E-3</v>
      </c>
      <c r="F2071" s="6"/>
      <c r="G2071" s="6">
        <v>2064</v>
      </c>
      <c r="H2071" s="6">
        <f t="shared" ca="1" si="69"/>
        <v>8.2631785384575957E-3</v>
      </c>
    </row>
    <row r="2072" spans="2:8" x14ac:dyDescent="0.3">
      <c r="B2072" s="4">
        <v>38576</v>
      </c>
      <c r="C2072" s="7">
        <v>37.25</v>
      </c>
      <c r="D2072" s="6">
        <f t="shared" si="68"/>
        <v>0.49658497388509437</v>
      </c>
      <c r="E2072" s="6">
        <v>4.8556784461828897E-3</v>
      </c>
      <c r="F2072" s="6"/>
      <c r="G2072" s="6">
        <v>2065</v>
      </c>
      <c r="H2072" s="6">
        <f t="shared" ca="1" si="69"/>
        <v>-1.3967677016070419E-2</v>
      </c>
    </row>
    <row r="2073" spans="2:8" x14ac:dyDescent="0.3">
      <c r="B2073" s="4">
        <v>38237</v>
      </c>
      <c r="C2073" s="7">
        <v>24.89</v>
      </c>
      <c r="D2073" s="6">
        <f t="shared" si="68"/>
        <v>-0.94299260209340152</v>
      </c>
      <c r="E2073" s="6">
        <v>4.8445700444085986E-3</v>
      </c>
      <c r="F2073" s="6"/>
      <c r="G2073" s="6">
        <v>2066</v>
      </c>
      <c r="H2073" s="6">
        <f t="shared" ca="1" si="69"/>
        <v>1.0581486141653567E-2</v>
      </c>
    </row>
    <row r="2074" spans="2:8" x14ac:dyDescent="0.3">
      <c r="B2074" s="4">
        <v>41471</v>
      </c>
      <c r="C2074" s="7">
        <v>436.61</v>
      </c>
      <c r="D2074" s="6">
        <f t="shared" si="68"/>
        <v>-0.85736267469895255</v>
      </c>
      <c r="E2074" s="6">
        <v>4.8330303100044252E-3</v>
      </c>
      <c r="F2074" s="6"/>
      <c r="G2074" s="6">
        <v>2067</v>
      </c>
      <c r="H2074" s="6">
        <f t="shared" ca="1" si="69"/>
        <v>-2.5425033806004546E-3</v>
      </c>
    </row>
    <row r="2075" spans="2:8" x14ac:dyDescent="0.3">
      <c r="B2075" s="4">
        <v>45505</v>
      </c>
      <c r="C2075" s="5">
        <v>3060.98</v>
      </c>
      <c r="D2075" s="6">
        <f t="shared" si="68"/>
        <v>182.51199040767386</v>
      </c>
      <c r="E2075" s="6">
        <v>4.8288562734097882E-3</v>
      </c>
      <c r="F2075" s="6"/>
      <c r="G2075" s="6">
        <v>2068</v>
      </c>
      <c r="H2075" s="6">
        <f t="shared" ca="1" si="69"/>
        <v>8.6881468796365137E-3</v>
      </c>
    </row>
    <row r="2076" spans="2:8" x14ac:dyDescent="0.3">
      <c r="B2076" s="4">
        <v>37497</v>
      </c>
      <c r="C2076" s="7">
        <v>16.68</v>
      </c>
      <c r="D2076" s="6">
        <f t="shared" si="68"/>
        <v>-0.99353813969705196</v>
      </c>
      <c r="E2076" s="6">
        <v>4.8192771084336321E-3</v>
      </c>
      <c r="F2076" s="6"/>
      <c r="G2076" s="6">
        <v>2069</v>
      </c>
      <c r="H2076" s="6">
        <f t="shared" ca="1" si="69"/>
        <v>4.3170232343721507E-3</v>
      </c>
    </row>
    <row r="2077" spans="2:8" x14ac:dyDescent="0.3">
      <c r="B2077" s="4">
        <v>44194</v>
      </c>
      <c r="C2077" s="5">
        <v>2581.3000000000002</v>
      </c>
      <c r="D2077" s="6">
        <f t="shared" si="68"/>
        <v>3.4263250853096014</v>
      </c>
      <c r="E2077" s="6">
        <v>4.8074115883922864E-3</v>
      </c>
      <c r="F2077" s="6"/>
      <c r="G2077" s="6">
        <v>2070</v>
      </c>
      <c r="H2077" s="6">
        <f t="shared" ca="1" si="69"/>
        <v>1.5044135104106234E-2</v>
      </c>
    </row>
    <row r="2078" spans="2:8" x14ac:dyDescent="0.3">
      <c r="B2078" s="4">
        <v>41906</v>
      </c>
      <c r="C2078" s="7">
        <v>583.16999999999996</v>
      </c>
      <c r="D2078" s="6">
        <f t="shared" si="68"/>
        <v>-0.73682951704468524</v>
      </c>
      <c r="E2078" s="6">
        <v>4.8071952858471413E-3</v>
      </c>
      <c r="F2078" s="6"/>
      <c r="G2078" s="6">
        <v>2071</v>
      </c>
      <c r="H2078" s="6">
        <f t="shared" ca="1" si="69"/>
        <v>-5.0829773350043249E-4</v>
      </c>
    </row>
    <row r="2079" spans="2:8" x14ac:dyDescent="0.3">
      <c r="B2079" s="4">
        <v>45820</v>
      </c>
      <c r="C2079" s="5">
        <v>2215.94</v>
      </c>
      <c r="D2079" s="6">
        <f t="shared" si="68"/>
        <v>95.052882531426093</v>
      </c>
      <c r="E2079" s="6">
        <v>4.7974026916240099E-3</v>
      </c>
      <c r="F2079" s="6"/>
      <c r="G2079" s="6">
        <v>2072</v>
      </c>
      <c r="H2079" s="6">
        <f t="shared" ca="1" si="69"/>
        <v>-5.8152883744619147E-3</v>
      </c>
    </row>
    <row r="2080" spans="2:8" x14ac:dyDescent="0.3">
      <c r="B2080" s="4">
        <v>38313</v>
      </c>
      <c r="C2080" s="7">
        <v>23.07</v>
      </c>
      <c r="D2080" s="6">
        <f t="shared" si="68"/>
        <v>-4.3327556325814607E-4</v>
      </c>
      <c r="E2080" s="6">
        <v>4.790940766550498E-3</v>
      </c>
      <c r="F2080" s="6"/>
      <c r="G2080" s="6">
        <v>2073</v>
      </c>
      <c r="H2080" s="6">
        <f t="shared" ca="1" si="69"/>
        <v>-4.3543975283240222E-2</v>
      </c>
    </row>
    <row r="2081" spans="2:8" x14ac:dyDescent="0.3">
      <c r="B2081" s="4">
        <v>38134</v>
      </c>
      <c r="C2081" s="7">
        <v>23.08</v>
      </c>
      <c r="D2081" s="6">
        <f t="shared" si="68"/>
        <v>-0.98528004898146615</v>
      </c>
      <c r="E2081" s="6">
        <v>4.7888550282977555E-3</v>
      </c>
      <c r="F2081" s="6"/>
      <c r="G2081" s="6">
        <v>2074</v>
      </c>
      <c r="H2081" s="6">
        <f t="shared" ca="1" si="69"/>
        <v>-8.1633356402943387E-4</v>
      </c>
    </row>
    <row r="2082" spans="2:8" x14ac:dyDescent="0.3">
      <c r="B2082" s="4">
        <v>43991</v>
      </c>
      <c r="C2082" s="5">
        <v>1567.94</v>
      </c>
      <c r="D2082" s="6">
        <f t="shared" si="68"/>
        <v>-9.8589767912477075E-2</v>
      </c>
      <c r="E2082" s="6">
        <v>4.7741414555684727E-3</v>
      </c>
      <c r="F2082" s="6"/>
      <c r="G2082" s="6">
        <v>2075</v>
      </c>
      <c r="H2082" s="6">
        <f t="shared" ca="1" si="69"/>
        <v>1.0457671344406921E-2</v>
      </c>
    </row>
    <row r="2083" spans="2:8" x14ac:dyDescent="0.3">
      <c r="B2083" s="4">
        <v>43944</v>
      </c>
      <c r="C2083" s="5">
        <v>1739.43</v>
      </c>
      <c r="D2083" s="6">
        <f t="shared" si="68"/>
        <v>0.43375370919881306</v>
      </c>
      <c r="E2083" s="6">
        <v>4.7713396142493175E-3</v>
      </c>
      <c r="F2083" s="6"/>
      <c r="G2083" s="6">
        <v>2076</v>
      </c>
      <c r="H2083" s="6">
        <f t="shared" ca="1" si="69"/>
        <v>-1.6218982649847728E-2</v>
      </c>
    </row>
    <row r="2084" spans="2:8" x14ac:dyDescent="0.3">
      <c r="B2084" s="4">
        <v>43417</v>
      </c>
      <c r="C2084" s="5">
        <v>1213.2</v>
      </c>
      <c r="D2084" s="6">
        <f t="shared" si="68"/>
        <v>0.63559150657229535</v>
      </c>
      <c r="E2084" s="6">
        <v>4.7704233750745298E-3</v>
      </c>
      <c r="F2084" s="6"/>
      <c r="G2084" s="6">
        <v>2077</v>
      </c>
      <c r="H2084" s="6">
        <f t="shared" ca="1" si="69"/>
        <v>2.923856275074076E-2</v>
      </c>
    </row>
    <row r="2085" spans="2:8" x14ac:dyDescent="0.3">
      <c r="B2085" s="4">
        <v>42094</v>
      </c>
      <c r="C2085" s="7">
        <v>741.75</v>
      </c>
      <c r="D2085" s="6">
        <f t="shared" si="68"/>
        <v>-0.31635944700460827</v>
      </c>
      <c r="E2085" s="6">
        <v>4.7681616840279878E-3</v>
      </c>
      <c r="F2085" s="6"/>
      <c r="G2085" s="6">
        <v>2078</v>
      </c>
      <c r="H2085" s="6">
        <f t="shared" ca="1" si="69"/>
        <v>-8.5581018851916667E-3</v>
      </c>
    </row>
    <row r="2086" spans="2:8" x14ac:dyDescent="0.3">
      <c r="B2086" s="4">
        <v>42634</v>
      </c>
      <c r="C2086" s="5">
        <v>1085</v>
      </c>
      <c r="D2086" s="6">
        <f t="shared" si="68"/>
        <v>63.201183431952664</v>
      </c>
      <c r="E2086" s="6">
        <v>4.759876280258645E-3</v>
      </c>
      <c r="F2086" s="6"/>
      <c r="G2086" s="6">
        <v>2079</v>
      </c>
      <c r="H2086" s="6">
        <f t="shared" ca="1" si="69"/>
        <v>1.9737460918000018E-3</v>
      </c>
    </row>
    <row r="2087" spans="2:8" x14ac:dyDescent="0.3">
      <c r="B2087" s="4">
        <v>37517</v>
      </c>
      <c r="C2087" s="7">
        <v>16.899999999999999</v>
      </c>
      <c r="D2087" s="6">
        <f t="shared" si="68"/>
        <v>-0.99303698637474191</v>
      </c>
      <c r="E2087" s="6">
        <v>4.7562425683708859E-3</v>
      </c>
      <c r="F2087" s="6"/>
      <c r="G2087" s="6">
        <v>2080</v>
      </c>
      <c r="H2087" s="6">
        <f t="shared" ca="1" si="69"/>
        <v>-6.5215958798391475E-3</v>
      </c>
    </row>
    <row r="2088" spans="2:8" x14ac:dyDescent="0.3">
      <c r="B2088" s="4">
        <v>45841</v>
      </c>
      <c r="C2088" s="5">
        <v>2427.11</v>
      </c>
      <c r="D2088" s="6">
        <f t="shared" si="68"/>
        <v>5.2711159341653113</v>
      </c>
      <c r="E2088" s="6">
        <v>4.7523834362050554E-3</v>
      </c>
      <c r="F2088" s="6"/>
      <c r="G2088" s="6">
        <v>2081</v>
      </c>
      <c r="H2088" s="6">
        <f t="shared" ca="1" si="69"/>
        <v>-1.0814571677793542E-2</v>
      </c>
    </row>
    <row r="2089" spans="2:8" x14ac:dyDescent="0.3">
      <c r="B2089" s="4">
        <v>41255</v>
      </c>
      <c r="C2089" s="7">
        <v>387.03</v>
      </c>
      <c r="D2089" s="6">
        <f t="shared" si="68"/>
        <v>15.532678342588635</v>
      </c>
      <c r="E2089" s="6">
        <v>4.7246956205705803E-3</v>
      </c>
      <c r="F2089" s="6"/>
      <c r="G2089" s="6">
        <v>2082</v>
      </c>
      <c r="H2089" s="6">
        <f t="shared" ca="1" si="69"/>
        <v>1.9224161189480019E-2</v>
      </c>
    </row>
    <row r="2090" spans="2:8" x14ac:dyDescent="0.3">
      <c r="B2090" s="4">
        <v>37880</v>
      </c>
      <c r="C2090" s="7">
        <v>23.41</v>
      </c>
      <c r="D2090" s="6">
        <f t="shared" si="68"/>
        <v>-0.98628981721708464</v>
      </c>
      <c r="E2090" s="6">
        <v>4.7210300429184303E-3</v>
      </c>
      <c r="F2090" s="6"/>
      <c r="G2090" s="6">
        <v>2083</v>
      </c>
      <c r="H2090" s="6">
        <f t="shared" ca="1" si="69"/>
        <v>1.8769070866164446E-4</v>
      </c>
    </row>
    <row r="2091" spans="2:8" x14ac:dyDescent="0.3">
      <c r="B2091" s="4">
        <v>43752</v>
      </c>
      <c r="C2091" s="5">
        <v>1707.49</v>
      </c>
      <c r="D2091" s="6">
        <f t="shared" si="68"/>
        <v>21.235837999739548</v>
      </c>
      <c r="E2091" s="6">
        <v>4.7191183133565061E-3</v>
      </c>
      <c r="F2091" s="6"/>
      <c r="G2091" s="6">
        <v>2084</v>
      </c>
      <c r="H2091" s="6">
        <f t="shared" ca="1" si="69"/>
        <v>-5.5788083802401234E-3</v>
      </c>
    </row>
    <row r="2092" spans="2:8" x14ac:dyDescent="0.3">
      <c r="B2092" s="4">
        <v>39926</v>
      </c>
      <c r="C2092" s="7">
        <v>76.790000000000006</v>
      </c>
      <c r="D2092" s="6">
        <f t="shared" si="68"/>
        <v>-0.88637002619156846</v>
      </c>
      <c r="E2092" s="6">
        <v>4.7101923328535834E-3</v>
      </c>
      <c r="F2092" s="6"/>
      <c r="G2092" s="6">
        <v>2085</v>
      </c>
      <c r="H2092" s="6">
        <f t="shared" ca="1" si="69"/>
        <v>1.3793951786642857E-2</v>
      </c>
    </row>
    <row r="2093" spans="2:8" x14ac:dyDescent="0.3">
      <c r="B2093" s="4">
        <v>42165</v>
      </c>
      <c r="C2093" s="7">
        <v>675.79</v>
      </c>
      <c r="D2093" s="6">
        <f t="shared" si="68"/>
        <v>-0.79775062324735069</v>
      </c>
      <c r="E2093" s="6">
        <v>4.6979765993190436E-3</v>
      </c>
      <c r="F2093" s="6"/>
      <c r="G2093" s="6">
        <v>2086</v>
      </c>
      <c r="H2093" s="6">
        <f t="shared" ca="1" si="69"/>
        <v>-6.4276505146019696E-3</v>
      </c>
    </row>
    <row r="2094" spans="2:8" x14ac:dyDescent="0.3">
      <c r="B2094" s="4">
        <v>45547</v>
      </c>
      <c r="C2094" s="5">
        <v>3341.37</v>
      </c>
      <c r="D2094" s="6">
        <f t="shared" si="68"/>
        <v>61.362262038073908</v>
      </c>
      <c r="E2094" s="6">
        <v>4.6906430691238147E-3</v>
      </c>
      <c r="F2094" s="6"/>
      <c r="G2094" s="6">
        <v>2087</v>
      </c>
      <c r="H2094" s="6">
        <f t="shared" ca="1" si="69"/>
        <v>3.1633883866483817E-2</v>
      </c>
    </row>
    <row r="2095" spans="2:8" x14ac:dyDescent="0.3">
      <c r="B2095" s="4">
        <v>38771</v>
      </c>
      <c r="C2095" s="7">
        <v>53.58</v>
      </c>
      <c r="D2095" s="6">
        <f t="shared" si="68"/>
        <v>-0.98226896373708561</v>
      </c>
      <c r="E2095" s="6">
        <v>4.6877929870616916E-3</v>
      </c>
      <c r="F2095" s="6"/>
      <c r="G2095" s="6">
        <v>2088</v>
      </c>
      <c r="H2095" s="6">
        <f t="shared" ca="1" si="69"/>
        <v>-7.2283744406398016E-3</v>
      </c>
    </row>
    <row r="2096" spans="2:8" x14ac:dyDescent="0.3">
      <c r="B2096" s="4">
        <v>44889</v>
      </c>
      <c r="C2096" s="5">
        <v>3021.82</v>
      </c>
      <c r="D2096" s="6">
        <f t="shared" si="68"/>
        <v>2.862589955645316</v>
      </c>
      <c r="E2096" s="6">
        <v>4.6779153852548128E-3</v>
      </c>
      <c r="F2096" s="6"/>
      <c r="G2096" s="6">
        <v>2089</v>
      </c>
      <c r="H2096" s="6">
        <f t="shared" ca="1" si="69"/>
        <v>-4.3575805248089444E-3</v>
      </c>
    </row>
    <row r="2097" spans="2:8" x14ac:dyDescent="0.3">
      <c r="B2097" s="4">
        <v>42340</v>
      </c>
      <c r="C2097" s="7">
        <v>782.33</v>
      </c>
      <c r="D2097" s="6">
        <f t="shared" si="68"/>
        <v>-0.12948703683097809</v>
      </c>
      <c r="E2097" s="6">
        <v>4.6745174588090077E-3</v>
      </c>
      <c r="F2097" s="6"/>
      <c r="G2097" s="6">
        <v>2090</v>
      </c>
      <c r="H2097" s="6">
        <f t="shared" ca="1" si="69"/>
        <v>1.5760343157241955E-2</v>
      </c>
    </row>
    <row r="2098" spans="2:8" x14ac:dyDescent="0.3">
      <c r="B2098" s="4">
        <v>42755</v>
      </c>
      <c r="C2098" s="7">
        <v>898.7</v>
      </c>
      <c r="D2098" s="6">
        <f t="shared" si="68"/>
        <v>-0.51691626261866108</v>
      </c>
      <c r="E2098" s="6">
        <v>4.6728971962617539E-3</v>
      </c>
      <c r="F2098" s="6"/>
      <c r="G2098" s="6">
        <v>2091</v>
      </c>
      <c r="H2098" s="6">
        <f t="shared" ca="1" si="69"/>
        <v>-3.7556321758063882E-4</v>
      </c>
    </row>
    <row r="2099" spans="2:8" x14ac:dyDescent="0.3">
      <c r="B2099" s="4">
        <v>44097</v>
      </c>
      <c r="C2099" s="5">
        <v>1860.34</v>
      </c>
      <c r="D2099" s="6">
        <f t="shared" si="68"/>
        <v>21.725873442462742</v>
      </c>
      <c r="E2099" s="6">
        <v>4.6714082810836929E-3</v>
      </c>
      <c r="F2099" s="6"/>
      <c r="G2099" s="6">
        <v>2092</v>
      </c>
      <c r="H2099" s="6">
        <f t="shared" ca="1" si="69"/>
        <v>-2.1017971690473782E-2</v>
      </c>
    </row>
    <row r="2100" spans="2:8" x14ac:dyDescent="0.3">
      <c r="B2100" s="4">
        <v>39762</v>
      </c>
      <c r="C2100" s="7">
        <v>81.86</v>
      </c>
      <c r="D2100" s="6">
        <f t="shared" si="68"/>
        <v>-0.97144680895592139</v>
      </c>
      <c r="E2100" s="6">
        <v>4.6637211585664629E-3</v>
      </c>
      <c r="F2100" s="6"/>
      <c r="G2100" s="6">
        <v>2093</v>
      </c>
      <c r="H2100" s="6">
        <f t="shared" ca="1" si="69"/>
        <v>9.9706047735539337E-3</v>
      </c>
    </row>
    <row r="2101" spans="2:8" x14ac:dyDescent="0.3">
      <c r="B2101" s="4">
        <v>45328</v>
      </c>
      <c r="C2101" s="5">
        <v>2866.93</v>
      </c>
      <c r="D2101" s="6">
        <f t="shared" si="68"/>
        <v>52.179929512149883</v>
      </c>
      <c r="E2101" s="6">
        <v>4.6607303679873447E-3</v>
      </c>
      <c r="F2101" s="6"/>
      <c r="G2101" s="6">
        <v>2094</v>
      </c>
      <c r="H2101" s="6">
        <f t="shared" ca="1" si="69"/>
        <v>-2.35977841693229E-2</v>
      </c>
    </row>
    <row r="2102" spans="2:8" x14ac:dyDescent="0.3">
      <c r="B2102" s="4">
        <v>38972</v>
      </c>
      <c r="C2102" s="7">
        <v>53.91</v>
      </c>
      <c r="D2102" s="6">
        <f t="shared" si="68"/>
        <v>-0.95799569905877946</v>
      </c>
      <c r="E2102" s="6">
        <v>4.6589638464405517E-3</v>
      </c>
      <c r="F2102" s="6"/>
      <c r="G2102" s="6">
        <v>2095</v>
      </c>
      <c r="H2102" s="6">
        <f t="shared" ca="1" si="69"/>
        <v>-6.7208428440763907E-3</v>
      </c>
    </row>
    <row r="2103" spans="2:8" x14ac:dyDescent="0.3">
      <c r="B2103" s="4">
        <v>43649</v>
      </c>
      <c r="C2103" s="5">
        <v>1283.44</v>
      </c>
      <c r="D2103" s="6">
        <f t="shared" si="68"/>
        <v>52.790444258172684</v>
      </c>
      <c r="E2103" s="6">
        <v>4.6418423339152446E-3</v>
      </c>
      <c r="F2103" s="6"/>
      <c r="G2103" s="6">
        <v>2096</v>
      </c>
      <c r="H2103" s="6">
        <f t="shared" ca="1" si="69"/>
        <v>-7.8431547860908588E-3</v>
      </c>
    </row>
    <row r="2104" spans="2:8" x14ac:dyDescent="0.3">
      <c r="B2104" s="4">
        <v>37958</v>
      </c>
      <c r="C2104" s="7">
        <v>23.86</v>
      </c>
      <c r="D2104" s="6">
        <f t="shared" si="68"/>
        <v>-0.98600931148925197</v>
      </c>
      <c r="E2104" s="6">
        <v>4.6315789473683972E-3</v>
      </c>
      <c r="F2104" s="6"/>
      <c r="G2104" s="6">
        <v>2097</v>
      </c>
      <c r="H2104" s="6">
        <f t="shared" ca="1" si="69"/>
        <v>6.3476935293441334E-4</v>
      </c>
    </row>
    <row r="2105" spans="2:8" x14ac:dyDescent="0.3">
      <c r="B2105" s="4">
        <v>43831</v>
      </c>
      <c r="C2105" s="5">
        <v>1705.42</v>
      </c>
      <c r="D2105" s="6">
        <f t="shared" si="68"/>
        <v>-7.9345688923015325E-3</v>
      </c>
      <c r="E2105" s="6">
        <v>4.6242570262199122E-3</v>
      </c>
      <c r="F2105" s="6"/>
      <c r="G2105" s="6">
        <v>2098</v>
      </c>
      <c r="H2105" s="6">
        <f t="shared" ca="1" si="69"/>
        <v>2.5691272790624095E-2</v>
      </c>
    </row>
    <row r="2106" spans="2:8" x14ac:dyDescent="0.3">
      <c r="B2106" s="4">
        <v>43822</v>
      </c>
      <c r="C2106" s="5">
        <v>1719.06</v>
      </c>
      <c r="D2106" s="6">
        <f t="shared" si="68"/>
        <v>1.4652383410772669</v>
      </c>
      <c r="E2106" s="6">
        <v>4.6108802748995557E-3</v>
      </c>
      <c r="F2106" s="6"/>
      <c r="G2106" s="6">
        <v>2099</v>
      </c>
      <c r="H2106" s="6">
        <f t="shared" ca="1" si="69"/>
        <v>-5.0799504977837627E-3</v>
      </c>
    </row>
    <row r="2107" spans="2:8" x14ac:dyDescent="0.3">
      <c r="B2107" s="4">
        <v>42158</v>
      </c>
      <c r="C2107" s="7">
        <v>697.32</v>
      </c>
      <c r="D2107" s="6">
        <f t="shared" si="68"/>
        <v>-0.71398688306734426</v>
      </c>
      <c r="E2107" s="6">
        <v>4.6101538638852729E-3</v>
      </c>
      <c r="F2107" s="6"/>
      <c r="G2107" s="6">
        <v>2100</v>
      </c>
      <c r="H2107" s="6">
        <f t="shared" ca="1" si="69"/>
        <v>1.2876781324739435E-2</v>
      </c>
    </row>
    <row r="2108" spans="2:8" x14ac:dyDescent="0.3">
      <c r="B2108" s="4">
        <v>45771</v>
      </c>
      <c r="C2108" s="5">
        <v>2438.0700000000002</v>
      </c>
      <c r="D2108" s="6">
        <f t="shared" si="68"/>
        <v>0.36497850136605908</v>
      </c>
      <c r="E2108" s="6">
        <v>4.6067188871355075E-3</v>
      </c>
      <c r="F2108" s="6"/>
      <c r="G2108" s="6">
        <v>2101</v>
      </c>
      <c r="H2108" s="6">
        <f t="shared" ca="1" si="69"/>
        <v>-1.4663222891474493E-2</v>
      </c>
    </row>
    <row r="2109" spans="2:8" x14ac:dyDescent="0.3">
      <c r="B2109" s="4">
        <v>43872</v>
      </c>
      <c r="C2109" s="5">
        <v>1786.16</v>
      </c>
      <c r="D2109" s="6">
        <f t="shared" si="68"/>
        <v>0.6295147473383631</v>
      </c>
      <c r="E2109" s="6">
        <v>4.6007266673416258E-3</v>
      </c>
      <c r="F2109" s="6"/>
      <c r="G2109" s="6">
        <v>2102</v>
      </c>
      <c r="H2109" s="6">
        <f t="shared" ca="1" si="69"/>
        <v>1.0446817855615888E-2</v>
      </c>
    </row>
    <row r="2110" spans="2:8" x14ac:dyDescent="0.3">
      <c r="B2110" s="4">
        <v>42621</v>
      </c>
      <c r="C2110" s="5">
        <v>1096.1300000000001</v>
      </c>
      <c r="D2110" s="6">
        <f t="shared" si="68"/>
        <v>1.5405280222325252E-2</v>
      </c>
      <c r="E2110" s="6">
        <v>4.5916122882911307E-3</v>
      </c>
      <c r="F2110" s="6"/>
      <c r="G2110" s="6">
        <v>2103</v>
      </c>
      <c r="H2110" s="6">
        <f t="shared" ca="1" si="69"/>
        <v>-2.1672498659899966E-2</v>
      </c>
    </row>
    <row r="2111" spans="2:8" x14ac:dyDescent="0.3">
      <c r="B2111" s="4">
        <v>43012</v>
      </c>
      <c r="C2111" s="5">
        <v>1079.5</v>
      </c>
      <c r="D2111" s="6">
        <f t="shared" si="68"/>
        <v>0.45297189619898776</v>
      </c>
      <c r="E2111" s="6">
        <v>4.5691845261914615E-3</v>
      </c>
      <c r="F2111" s="6"/>
      <c r="G2111" s="6">
        <v>2104</v>
      </c>
      <c r="H2111" s="6">
        <f t="shared" ca="1" si="69"/>
        <v>-3.3974307904841745E-3</v>
      </c>
    </row>
    <row r="2112" spans="2:8" x14ac:dyDescent="0.3">
      <c r="B2112" s="4">
        <v>42313</v>
      </c>
      <c r="C2112" s="7">
        <v>742.96</v>
      </c>
      <c r="D2112" s="6">
        <f t="shared" si="68"/>
        <v>1.2017543859649125</v>
      </c>
      <c r="E2112" s="6">
        <v>4.5565786449248968E-3</v>
      </c>
      <c r="F2112" s="6"/>
      <c r="G2112" s="6">
        <v>2105</v>
      </c>
      <c r="H2112" s="6">
        <f t="shared" ca="1" si="69"/>
        <v>-4.8873178253778446E-3</v>
      </c>
    </row>
    <row r="2113" spans="2:8" x14ac:dyDescent="0.3">
      <c r="B2113" s="4">
        <v>41087</v>
      </c>
      <c r="C2113" s="7">
        <v>337.44</v>
      </c>
      <c r="D2113" s="6">
        <f t="shared" si="68"/>
        <v>12.903584672435105</v>
      </c>
      <c r="E2113" s="6">
        <v>4.5547914619986684E-3</v>
      </c>
      <c r="F2113" s="6"/>
      <c r="G2113" s="6">
        <v>2106</v>
      </c>
      <c r="H2113" s="6">
        <f t="shared" ca="1" si="69"/>
        <v>7.3822869737091394E-3</v>
      </c>
    </row>
    <row r="2114" spans="2:8" x14ac:dyDescent="0.3">
      <c r="B2114" s="4">
        <v>38226</v>
      </c>
      <c r="C2114" s="7">
        <v>24.27</v>
      </c>
      <c r="D2114" s="6">
        <f t="shared" si="68"/>
        <v>-0.71151788898133839</v>
      </c>
      <c r="E2114" s="6">
        <v>4.5529801324503075E-3</v>
      </c>
      <c r="F2114" s="6"/>
      <c r="G2114" s="6">
        <v>2107</v>
      </c>
      <c r="H2114" s="6">
        <f t="shared" ca="1" si="69"/>
        <v>2.1057024112064646E-2</v>
      </c>
    </row>
    <row r="2115" spans="2:8" x14ac:dyDescent="0.3">
      <c r="B2115" s="4">
        <v>39427</v>
      </c>
      <c r="C2115" s="7">
        <v>84.13</v>
      </c>
      <c r="D2115" s="6">
        <f t="shared" si="68"/>
        <v>-0.97252386566642601</v>
      </c>
      <c r="E2115" s="6">
        <v>4.5373134328357666E-3</v>
      </c>
      <c r="F2115" s="6"/>
      <c r="G2115" s="6">
        <v>2108</v>
      </c>
      <c r="H2115" s="6">
        <f t="shared" ca="1" si="69"/>
        <v>-7.6516039515990781E-4</v>
      </c>
    </row>
    <row r="2116" spans="2:8" x14ac:dyDescent="0.3">
      <c r="B2116" s="4">
        <v>45246</v>
      </c>
      <c r="C2116" s="5">
        <v>3061.93</v>
      </c>
      <c r="D2116" s="6">
        <f t="shared" si="68"/>
        <v>152.32648973460192</v>
      </c>
      <c r="E2116" s="6">
        <v>4.52736595880088E-3</v>
      </c>
      <c r="F2116" s="6"/>
      <c r="G2116" s="6">
        <v>2109</v>
      </c>
      <c r="H2116" s="6">
        <f t="shared" ca="1" si="69"/>
        <v>-2.2540899520005462E-2</v>
      </c>
    </row>
    <row r="2117" spans="2:8" x14ac:dyDescent="0.3">
      <c r="B2117" s="4">
        <v>37810</v>
      </c>
      <c r="C2117" s="7">
        <v>19.97</v>
      </c>
      <c r="D2117" s="6">
        <f t="shared" si="68"/>
        <v>-0.91512601470525734</v>
      </c>
      <c r="E2117" s="6">
        <v>4.5271629778671964E-3</v>
      </c>
      <c r="F2117" s="6"/>
      <c r="G2117" s="6">
        <v>2110</v>
      </c>
      <c r="H2117" s="6">
        <f t="shared" ca="1" si="69"/>
        <v>1.4407750449845023E-2</v>
      </c>
    </row>
    <row r="2118" spans="2:8" x14ac:dyDescent="0.3">
      <c r="B2118" s="4">
        <v>40518</v>
      </c>
      <c r="C2118" s="7">
        <v>235.29</v>
      </c>
      <c r="D2118" s="6">
        <f t="shared" si="68"/>
        <v>-0.92012885836781666</v>
      </c>
      <c r="E2118" s="6">
        <v>4.5254664218930211E-3</v>
      </c>
      <c r="F2118" s="6"/>
      <c r="G2118" s="6">
        <v>2111</v>
      </c>
      <c r="H2118" s="6">
        <f t="shared" ca="1" si="69"/>
        <v>-9.3738320100274133E-4</v>
      </c>
    </row>
    <row r="2119" spans="2:8" x14ac:dyDescent="0.3">
      <c r="B2119" s="4">
        <v>45342</v>
      </c>
      <c r="C2119" s="5">
        <v>2945.87</v>
      </c>
      <c r="D2119" s="6">
        <f t="shared" si="68"/>
        <v>1.2342247368261383</v>
      </c>
      <c r="E2119" s="6">
        <v>4.5215695233937559E-3</v>
      </c>
      <c r="F2119" s="6"/>
      <c r="G2119" s="6">
        <v>2112</v>
      </c>
      <c r="H2119" s="6">
        <f t="shared" ca="1" si="69"/>
        <v>-9.7380279032856561E-3</v>
      </c>
    </row>
    <row r="2120" spans="2:8" x14ac:dyDescent="0.3">
      <c r="B2120" s="4">
        <v>43339</v>
      </c>
      <c r="C2120" s="5">
        <v>1318.52</v>
      </c>
      <c r="D2120" s="6">
        <f t="shared" ref="D2120:D2183" si="70">((C2120-C2121)/C2121)</f>
        <v>-2.6692650662887236E-2</v>
      </c>
      <c r="E2120" s="6">
        <v>4.5177854470932009E-3</v>
      </c>
      <c r="F2120" s="6"/>
      <c r="G2120" s="6">
        <v>2113</v>
      </c>
      <c r="H2120" s="6">
        <f t="shared" ca="1" si="69"/>
        <v>-2.5426353330576329E-2</v>
      </c>
    </row>
    <row r="2121" spans="2:8" x14ac:dyDescent="0.3">
      <c r="B2121" s="4">
        <v>43538</v>
      </c>
      <c r="C2121" s="5">
        <v>1354.68</v>
      </c>
      <c r="D2121" s="6">
        <f t="shared" si="70"/>
        <v>4.7882413262690147</v>
      </c>
      <c r="E2121" s="6">
        <v>4.5158276422041883E-3</v>
      </c>
      <c r="F2121" s="6"/>
      <c r="G2121" s="6">
        <v>2114</v>
      </c>
      <c r="H2121" s="6">
        <f t="shared" ref="H2121:H2184" ca="1" si="71">_xlfn.NORM.INV(RAND(),N$10,N$11)</f>
        <v>-1.5751175711674958E-2</v>
      </c>
    </row>
    <row r="2122" spans="2:8" x14ac:dyDescent="0.3">
      <c r="B2122" s="4">
        <v>40660</v>
      </c>
      <c r="C2122" s="7">
        <v>234.04</v>
      </c>
      <c r="D2122" s="6">
        <f t="shared" si="70"/>
        <v>-0.80788047939582996</v>
      </c>
      <c r="E2122" s="6">
        <v>4.5066311858877328E-3</v>
      </c>
      <c r="F2122" s="6"/>
      <c r="G2122" s="6">
        <v>2115</v>
      </c>
      <c r="H2122" s="6">
        <f t="shared" ca="1" si="71"/>
        <v>9.2049392531775732E-3</v>
      </c>
    </row>
    <row r="2123" spans="2:8" x14ac:dyDescent="0.3">
      <c r="B2123" s="4">
        <v>43371</v>
      </c>
      <c r="C2123" s="5">
        <v>1218.2</v>
      </c>
      <c r="D2123" s="6">
        <f t="shared" si="70"/>
        <v>29.311022642448371</v>
      </c>
      <c r="E2123" s="6">
        <v>4.5022016260699215E-3</v>
      </c>
      <c r="F2123" s="6"/>
      <c r="G2123" s="6">
        <v>2116</v>
      </c>
      <c r="H2123" s="6">
        <f t="shared" ca="1" si="71"/>
        <v>4.2017364457554987E-3</v>
      </c>
    </row>
    <row r="2124" spans="2:8" x14ac:dyDescent="0.3">
      <c r="B2124" s="4">
        <v>38610</v>
      </c>
      <c r="C2124" s="7">
        <v>40.19</v>
      </c>
      <c r="D2124" s="6">
        <f t="shared" si="70"/>
        <v>-0.83193242169531223</v>
      </c>
      <c r="E2124" s="6">
        <v>4.4988752811796979E-3</v>
      </c>
      <c r="F2124" s="6"/>
      <c r="G2124" s="6">
        <v>2117</v>
      </c>
      <c r="H2124" s="6">
        <f t="shared" ca="1" si="71"/>
        <v>-9.9469897031759045E-3</v>
      </c>
    </row>
    <row r="2125" spans="2:8" x14ac:dyDescent="0.3">
      <c r="B2125" s="4">
        <v>40557</v>
      </c>
      <c r="C2125" s="7">
        <v>239.13</v>
      </c>
      <c r="D2125" s="6">
        <f t="shared" si="70"/>
        <v>9.6945438282647576</v>
      </c>
      <c r="E2125" s="6">
        <v>4.4946652104511185E-3</v>
      </c>
      <c r="F2125" s="6"/>
      <c r="G2125" s="6">
        <v>2118</v>
      </c>
      <c r="H2125" s="6">
        <f t="shared" ca="1" si="71"/>
        <v>6.8273330013140588E-3</v>
      </c>
    </row>
    <row r="2126" spans="2:8" x14ac:dyDescent="0.3">
      <c r="B2126" s="4">
        <v>38127</v>
      </c>
      <c r="C2126" s="7">
        <v>22.36</v>
      </c>
      <c r="D2126" s="6">
        <f t="shared" si="70"/>
        <v>-0.98154232223341209</v>
      </c>
      <c r="E2126" s="6">
        <v>4.4923629829289246E-3</v>
      </c>
      <c r="F2126" s="6"/>
      <c r="G2126" s="6">
        <v>2119</v>
      </c>
      <c r="H2126" s="6">
        <f t="shared" ca="1" si="71"/>
        <v>2.0178729017149608E-2</v>
      </c>
    </row>
    <row r="2127" spans="2:8" x14ac:dyDescent="0.3">
      <c r="B2127" s="4">
        <v>43265</v>
      </c>
      <c r="C2127" s="5">
        <v>1211.42</v>
      </c>
      <c r="D2127" s="6">
        <f t="shared" si="70"/>
        <v>-0.294307484388107</v>
      </c>
      <c r="E2127" s="6">
        <v>4.4858666180214776E-3</v>
      </c>
      <c r="F2127" s="6"/>
      <c r="G2127" s="6">
        <v>2120</v>
      </c>
      <c r="H2127" s="6">
        <f t="shared" ca="1" si="71"/>
        <v>1.0441559839180622E-2</v>
      </c>
    </row>
    <row r="2128" spans="2:8" x14ac:dyDescent="0.3">
      <c r="B2128" s="4">
        <v>43860</v>
      </c>
      <c r="C2128" s="5">
        <v>1716.64</v>
      </c>
      <c r="D2128" s="6">
        <f t="shared" si="70"/>
        <v>0.60222510523515738</v>
      </c>
      <c r="E2128" s="6">
        <v>4.4822057601610794E-3</v>
      </c>
      <c r="F2128" s="6"/>
      <c r="G2128" s="6">
        <v>2121</v>
      </c>
      <c r="H2128" s="6">
        <f t="shared" ca="1" si="71"/>
        <v>-2.3491362623461423E-2</v>
      </c>
    </row>
    <row r="2129" spans="2:8" x14ac:dyDescent="0.3">
      <c r="B2129" s="4">
        <v>42902</v>
      </c>
      <c r="C2129" s="5">
        <v>1071.4100000000001</v>
      </c>
      <c r="D2129" s="6">
        <f t="shared" si="70"/>
        <v>-0.6565465199774323</v>
      </c>
      <c r="E2129" s="6">
        <v>4.4719867996699742E-3</v>
      </c>
      <c r="F2129" s="6"/>
      <c r="G2129" s="6">
        <v>2122</v>
      </c>
      <c r="H2129" s="6">
        <f t="shared" ca="1" si="71"/>
        <v>6.9287985250127805E-3</v>
      </c>
    </row>
    <row r="2130" spans="2:8" x14ac:dyDescent="0.3">
      <c r="B2130" s="4">
        <v>45089</v>
      </c>
      <c r="C2130" s="5">
        <v>3119.52</v>
      </c>
      <c r="D2130" s="6">
        <f t="shared" si="70"/>
        <v>137.39929015084294</v>
      </c>
      <c r="E2130" s="6">
        <v>4.4628194973049618E-3</v>
      </c>
      <c r="F2130" s="6"/>
      <c r="G2130" s="6">
        <v>2123</v>
      </c>
      <c r="H2130" s="6">
        <f t="shared" ca="1" si="71"/>
        <v>1.8578080650978081E-3</v>
      </c>
    </row>
    <row r="2131" spans="2:8" x14ac:dyDescent="0.3">
      <c r="B2131" s="4">
        <v>38141</v>
      </c>
      <c r="C2131" s="7">
        <v>22.54</v>
      </c>
      <c r="D2131" s="6">
        <f t="shared" si="70"/>
        <v>-0.98678804006963539</v>
      </c>
      <c r="E2131" s="6">
        <v>4.4563279857396552E-3</v>
      </c>
      <c r="F2131" s="6"/>
      <c r="G2131" s="6">
        <v>2124</v>
      </c>
      <c r="H2131" s="6">
        <f t="shared" ca="1" si="71"/>
        <v>-1.023693201569513E-3</v>
      </c>
    </row>
    <row r="2132" spans="2:8" x14ac:dyDescent="0.3">
      <c r="B2132" s="4">
        <v>43774</v>
      </c>
      <c r="C2132" s="5">
        <v>1706.03</v>
      </c>
      <c r="D2132" s="6">
        <f t="shared" si="70"/>
        <v>-0.23325183593855336</v>
      </c>
      <c r="E2132" s="6">
        <v>4.4510647818330291E-3</v>
      </c>
      <c r="F2132" s="6"/>
      <c r="G2132" s="6">
        <v>2125</v>
      </c>
      <c r="H2132" s="6">
        <f t="shared" ca="1" si="71"/>
        <v>-2.5686480620879353E-3</v>
      </c>
    </row>
    <row r="2133" spans="2:8" x14ac:dyDescent="0.3">
      <c r="B2133" s="4">
        <v>45708</v>
      </c>
      <c r="C2133" s="5">
        <v>2225.02</v>
      </c>
      <c r="D2133" s="6">
        <f t="shared" si="70"/>
        <v>1.0865561348887807</v>
      </c>
      <c r="E2133" s="6">
        <v>4.4466113210272391E-3</v>
      </c>
      <c r="F2133" s="6"/>
      <c r="G2133" s="6">
        <v>2126</v>
      </c>
      <c r="H2133" s="6">
        <f t="shared" ca="1" si="71"/>
        <v>4.6736496450332891E-3</v>
      </c>
    </row>
    <row r="2134" spans="2:8" x14ac:dyDescent="0.3">
      <c r="B2134" s="4">
        <v>42965</v>
      </c>
      <c r="C2134" s="5">
        <v>1066.3599999999999</v>
      </c>
      <c r="D2134" s="6">
        <f t="shared" si="70"/>
        <v>0.46520287445554342</v>
      </c>
      <c r="E2134" s="6">
        <v>4.4459515466634637E-3</v>
      </c>
      <c r="F2134" s="6"/>
      <c r="G2134" s="6">
        <v>2127</v>
      </c>
      <c r="H2134" s="6">
        <f t="shared" ca="1" si="71"/>
        <v>2.3169589253288794E-2</v>
      </c>
    </row>
    <row r="2135" spans="2:8" x14ac:dyDescent="0.3">
      <c r="B2135" s="4">
        <v>42255</v>
      </c>
      <c r="C2135" s="7">
        <v>727.79</v>
      </c>
      <c r="D2135" s="6">
        <f t="shared" si="70"/>
        <v>0.57772767673264092</v>
      </c>
      <c r="E2135" s="6">
        <v>4.4440150710075123E-3</v>
      </c>
      <c r="F2135" s="6"/>
      <c r="G2135" s="6">
        <v>2128</v>
      </c>
      <c r="H2135" s="6">
        <f t="shared" ca="1" si="71"/>
        <v>3.2624247170807703E-4</v>
      </c>
    </row>
    <row r="2136" spans="2:8" x14ac:dyDescent="0.3">
      <c r="B2136" s="4">
        <v>41792</v>
      </c>
      <c r="C2136" s="7">
        <v>461.29</v>
      </c>
      <c r="D2136" s="6">
        <f t="shared" si="70"/>
        <v>-0.41732770816491505</v>
      </c>
      <c r="E2136" s="6">
        <v>4.4420250408274808E-3</v>
      </c>
      <c r="F2136" s="6"/>
      <c r="G2136" s="6">
        <v>2129</v>
      </c>
      <c r="H2136" s="6">
        <f t="shared" ca="1" si="71"/>
        <v>-1.5788295725537606E-3</v>
      </c>
    </row>
    <row r="2137" spans="2:8" x14ac:dyDescent="0.3">
      <c r="B2137" s="4">
        <v>42415</v>
      </c>
      <c r="C2137" s="7">
        <v>791.68</v>
      </c>
      <c r="D2137" s="6">
        <f t="shared" si="70"/>
        <v>-0.72461963365172577</v>
      </c>
      <c r="E2137" s="6">
        <v>4.4406100129412065E-3</v>
      </c>
      <c r="F2137" s="6"/>
      <c r="G2137" s="6">
        <v>2130</v>
      </c>
      <c r="H2137" s="6">
        <f t="shared" ca="1" si="71"/>
        <v>-1.7290503491497286E-2</v>
      </c>
    </row>
    <row r="2138" spans="2:8" x14ac:dyDescent="0.3">
      <c r="B2138" s="4">
        <v>44421</v>
      </c>
      <c r="C2138" s="5">
        <v>2874.86</v>
      </c>
      <c r="D2138" s="6">
        <f t="shared" si="70"/>
        <v>-0.1123386307426768</v>
      </c>
      <c r="E2138" s="6">
        <v>4.4372082622915121E-3</v>
      </c>
      <c r="F2138" s="6"/>
      <c r="G2138" s="6">
        <v>2131</v>
      </c>
      <c r="H2138" s="6">
        <f t="shared" ca="1" si="71"/>
        <v>-8.0710054999378038E-3</v>
      </c>
    </row>
    <row r="2139" spans="2:8" x14ac:dyDescent="0.3">
      <c r="B2139" s="4">
        <v>44841</v>
      </c>
      <c r="C2139" s="5">
        <v>3238.69</v>
      </c>
      <c r="D2139" s="6">
        <f t="shared" si="70"/>
        <v>1.8758191408123037</v>
      </c>
      <c r="E2139" s="6">
        <v>4.4287171916723373E-3</v>
      </c>
      <c r="F2139" s="6"/>
      <c r="G2139" s="6">
        <v>2132</v>
      </c>
      <c r="H2139" s="6">
        <f t="shared" ca="1" si="71"/>
        <v>1.0470658452701717E-2</v>
      </c>
    </row>
    <row r="2140" spans="2:8" x14ac:dyDescent="0.3">
      <c r="B2140" s="4">
        <v>42986</v>
      </c>
      <c r="C2140" s="5">
        <v>1126.18</v>
      </c>
      <c r="D2140" s="6">
        <f t="shared" si="70"/>
        <v>7.4896679424649976E-2</v>
      </c>
      <c r="E2140" s="6">
        <v>4.4237526979540465E-3</v>
      </c>
      <c r="F2140" s="6"/>
      <c r="G2140" s="6">
        <v>2133</v>
      </c>
      <c r="H2140" s="6">
        <f t="shared" ca="1" si="71"/>
        <v>1.3743065301013786E-2</v>
      </c>
    </row>
    <row r="2141" spans="2:8" x14ac:dyDescent="0.3">
      <c r="B2141" s="4">
        <v>43185</v>
      </c>
      <c r="C2141" s="5">
        <v>1047.71</v>
      </c>
      <c r="D2141" s="6">
        <f t="shared" si="70"/>
        <v>9.6865565075479392</v>
      </c>
      <c r="E2141" s="6">
        <v>4.4098896568915422E-3</v>
      </c>
      <c r="F2141" s="6"/>
      <c r="G2141" s="6">
        <v>2134</v>
      </c>
      <c r="H2141" s="6">
        <f t="shared" ca="1" si="71"/>
        <v>6.9688734389773245E-3</v>
      </c>
    </row>
    <row r="2142" spans="2:8" x14ac:dyDescent="0.3">
      <c r="B2142" s="4">
        <v>39518</v>
      </c>
      <c r="C2142" s="7">
        <v>98.04</v>
      </c>
      <c r="D2142" s="6">
        <f t="shared" si="70"/>
        <v>0.43165887850467288</v>
      </c>
      <c r="E2142" s="6">
        <v>4.4052863436124046E-3</v>
      </c>
      <c r="F2142" s="6"/>
      <c r="G2142" s="6">
        <v>2135</v>
      </c>
      <c r="H2142" s="6">
        <f t="shared" ca="1" si="71"/>
        <v>-2.6646309589071167E-2</v>
      </c>
    </row>
    <row r="2143" spans="2:8" x14ac:dyDescent="0.3">
      <c r="B2143" s="4">
        <v>39223</v>
      </c>
      <c r="C2143" s="7">
        <v>68.48</v>
      </c>
      <c r="D2143" s="6">
        <f t="shared" si="70"/>
        <v>-0.97341491063248287</v>
      </c>
      <c r="E2143" s="6">
        <v>4.4001173364622637E-3</v>
      </c>
      <c r="F2143" s="6"/>
      <c r="G2143" s="6">
        <v>2136</v>
      </c>
      <c r="H2143" s="6">
        <f t="shared" ca="1" si="71"/>
        <v>1.697086715035891E-2</v>
      </c>
    </row>
    <row r="2144" spans="2:8" x14ac:dyDescent="0.3">
      <c r="B2144" s="4">
        <v>45905</v>
      </c>
      <c r="C2144" s="5">
        <v>2575.88</v>
      </c>
      <c r="D2144" s="6">
        <f t="shared" si="70"/>
        <v>4.8102993255588391</v>
      </c>
      <c r="E2144" s="6">
        <v>4.3983467207362554E-3</v>
      </c>
      <c r="F2144" s="6"/>
      <c r="G2144" s="6">
        <v>2137</v>
      </c>
      <c r="H2144" s="6">
        <f t="shared" ca="1" si="71"/>
        <v>-2.8343454785781201E-2</v>
      </c>
    </row>
    <row r="2145" spans="2:8" x14ac:dyDescent="0.3">
      <c r="B2145" s="4">
        <v>41639</v>
      </c>
      <c r="C2145" s="7">
        <v>443.33</v>
      </c>
      <c r="D2145" s="6">
        <f t="shared" si="70"/>
        <v>7.4347412480974118</v>
      </c>
      <c r="E2145" s="6">
        <v>4.3952060536033843E-3</v>
      </c>
      <c r="F2145" s="6"/>
      <c r="G2145" s="6">
        <v>2138</v>
      </c>
      <c r="H2145" s="6">
        <f t="shared" ca="1" si="71"/>
        <v>-1.2038229325141848E-2</v>
      </c>
    </row>
    <row r="2146" spans="2:8" x14ac:dyDescent="0.3">
      <c r="B2146" s="4">
        <v>38842</v>
      </c>
      <c r="C2146" s="7">
        <v>52.56</v>
      </c>
      <c r="D2146" s="6">
        <f t="shared" si="70"/>
        <v>-0.87842339008142112</v>
      </c>
      <c r="E2146" s="6">
        <v>4.3951844066501813E-3</v>
      </c>
      <c r="F2146" s="6"/>
      <c r="G2146" s="6">
        <v>2139</v>
      </c>
      <c r="H2146" s="6">
        <f t="shared" ca="1" si="71"/>
        <v>2.6192658552915079E-2</v>
      </c>
    </row>
    <row r="2147" spans="2:8" x14ac:dyDescent="0.3">
      <c r="B2147" s="4">
        <v>41421</v>
      </c>
      <c r="C2147" s="7">
        <v>432.32</v>
      </c>
      <c r="D2147" s="6">
        <f t="shared" si="70"/>
        <v>-0.66407136307830983</v>
      </c>
      <c r="E2147" s="6">
        <v>4.3909578793299405E-3</v>
      </c>
      <c r="F2147" s="6"/>
      <c r="G2147" s="6">
        <v>2140</v>
      </c>
      <c r="H2147" s="6">
        <f t="shared" ca="1" si="71"/>
        <v>2.7378656908320888E-2</v>
      </c>
    </row>
    <row r="2148" spans="2:8" x14ac:dyDescent="0.3">
      <c r="B2148" s="4">
        <v>43460</v>
      </c>
      <c r="C2148" s="5">
        <v>1286.94</v>
      </c>
      <c r="D2148" s="6">
        <f t="shared" si="70"/>
        <v>3.8797633943806162</v>
      </c>
      <c r="E2148" s="6">
        <v>4.3861018324853418E-3</v>
      </c>
      <c r="F2148" s="6"/>
      <c r="G2148" s="6">
        <v>2141</v>
      </c>
      <c r="H2148" s="6">
        <f t="shared" ca="1" si="71"/>
        <v>-1.1675577633230728E-2</v>
      </c>
    </row>
    <row r="2149" spans="2:8" x14ac:dyDescent="0.3">
      <c r="B2149" s="4">
        <v>40690</v>
      </c>
      <c r="C2149" s="7">
        <v>263.73</v>
      </c>
      <c r="D2149" s="6">
        <f t="shared" si="70"/>
        <v>1.6111881188118813</v>
      </c>
      <c r="E2149" s="6">
        <v>4.3796176403383125E-3</v>
      </c>
      <c r="F2149" s="6"/>
      <c r="G2149" s="6">
        <v>2142</v>
      </c>
      <c r="H2149" s="6">
        <f t="shared" ca="1" si="71"/>
        <v>5.9172623659494447E-3</v>
      </c>
    </row>
    <row r="2150" spans="2:8" x14ac:dyDescent="0.3">
      <c r="B2150" s="4">
        <v>40009</v>
      </c>
      <c r="C2150" s="7">
        <v>101</v>
      </c>
      <c r="D2150" s="6">
        <f t="shared" si="70"/>
        <v>-0.58891285766616464</v>
      </c>
      <c r="E2150" s="6">
        <v>4.3754972155926582E-3</v>
      </c>
      <c r="F2150" s="6"/>
      <c r="G2150" s="6">
        <v>2143</v>
      </c>
      <c r="H2150" s="6">
        <f t="shared" ca="1" si="71"/>
        <v>-1.6641282802011138E-2</v>
      </c>
    </row>
    <row r="2151" spans="2:8" x14ac:dyDescent="0.3">
      <c r="B2151" s="4">
        <v>40424</v>
      </c>
      <c r="C2151" s="7">
        <v>245.69</v>
      </c>
      <c r="D2151" s="6">
        <f t="shared" si="70"/>
        <v>-0.76917078487006518</v>
      </c>
      <c r="E2151" s="6">
        <v>4.3741313056986069E-3</v>
      </c>
      <c r="F2151" s="6"/>
      <c r="G2151" s="6">
        <v>2144</v>
      </c>
      <c r="H2151" s="6">
        <f t="shared" ca="1" si="71"/>
        <v>6.5018848583821625E-3</v>
      </c>
    </row>
    <row r="2152" spans="2:8" x14ac:dyDescent="0.3">
      <c r="B2152" s="4">
        <v>42590</v>
      </c>
      <c r="C2152" s="5">
        <v>1064.3800000000001</v>
      </c>
      <c r="D2152" s="6">
        <f t="shared" si="70"/>
        <v>0.17163111199172232</v>
      </c>
      <c r="E2152" s="6">
        <v>4.3689549422034528E-3</v>
      </c>
      <c r="F2152" s="6"/>
      <c r="G2152" s="6">
        <v>2145</v>
      </c>
      <c r="H2152" s="6">
        <f t="shared" ca="1" si="71"/>
        <v>-3.6765879393875829E-2</v>
      </c>
    </row>
    <row r="2153" spans="2:8" x14ac:dyDescent="0.3">
      <c r="B2153" s="4">
        <v>42760</v>
      </c>
      <c r="C2153" s="7">
        <v>908.46</v>
      </c>
      <c r="D2153" s="6">
        <f t="shared" si="70"/>
        <v>55.426086956521736</v>
      </c>
      <c r="E2153" s="6">
        <v>4.367005339907846E-3</v>
      </c>
      <c r="F2153" s="6"/>
      <c r="G2153" s="6">
        <v>2146</v>
      </c>
      <c r="H2153" s="6">
        <f t="shared" ca="1" si="71"/>
        <v>-6.9923562400362998E-3</v>
      </c>
    </row>
    <row r="2154" spans="2:8" x14ac:dyDescent="0.3">
      <c r="B2154" s="4">
        <v>37672</v>
      </c>
      <c r="C2154" s="7">
        <v>16.100000000000001</v>
      </c>
      <c r="D2154" s="6">
        <f t="shared" si="70"/>
        <v>-0.99505263869512584</v>
      </c>
      <c r="E2154" s="6">
        <v>4.3668122270742529E-3</v>
      </c>
      <c r="F2154" s="6"/>
      <c r="G2154" s="6">
        <v>2147</v>
      </c>
      <c r="H2154" s="6">
        <f t="shared" ca="1" si="71"/>
        <v>2.1928046711257684E-2</v>
      </c>
    </row>
    <row r="2155" spans="2:8" x14ac:dyDescent="0.3">
      <c r="B2155" s="4">
        <v>45545</v>
      </c>
      <c r="C2155" s="5">
        <v>3254.26</v>
      </c>
      <c r="D2155" s="6">
        <f t="shared" si="70"/>
        <v>200.50216718266256</v>
      </c>
      <c r="E2155" s="6">
        <v>4.3578363897857336E-3</v>
      </c>
      <c r="F2155" s="6"/>
      <c r="G2155" s="6">
        <v>2148</v>
      </c>
      <c r="H2155" s="6">
        <f t="shared" ca="1" si="71"/>
        <v>2.6246138479908164E-2</v>
      </c>
    </row>
    <row r="2156" spans="2:8" x14ac:dyDescent="0.3">
      <c r="B2156" s="4">
        <v>37568</v>
      </c>
      <c r="C2156" s="7">
        <v>16.149999999999999</v>
      </c>
      <c r="D2156" s="6">
        <f t="shared" si="70"/>
        <v>-0.30025996533795496</v>
      </c>
      <c r="E2156" s="6">
        <v>4.3532338308457895E-3</v>
      </c>
      <c r="F2156" s="6"/>
      <c r="G2156" s="6">
        <v>2149</v>
      </c>
      <c r="H2156" s="6">
        <f t="shared" ca="1" si="71"/>
        <v>-8.0088703341772653E-3</v>
      </c>
    </row>
    <row r="2157" spans="2:8" x14ac:dyDescent="0.3">
      <c r="B2157" s="4">
        <v>37902</v>
      </c>
      <c r="C2157" s="7">
        <v>23.08</v>
      </c>
      <c r="D2157" s="6">
        <f t="shared" si="70"/>
        <v>-0.58421905962889575</v>
      </c>
      <c r="E2157" s="6">
        <v>4.3516100957353291E-3</v>
      </c>
      <c r="F2157" s="6"/>
      <c r="G2157" s="6">
        <v>2150</v>
      </c>
      <c r="H2157" s="6">
        <f t="shared" ca="1" si="71"/>
        <v>7.6509003976511173E-3</v>
      </c>
    </row>
    <row r="2158" spans="2:8" x14ac:dyDescent="0.3">
      <c r="B2158" s="4">
        <v>39000</v>
      </c>
      <c r="C2158" s="7">
        <v>55.51</v>
      </c>
      <c r="D2158" s="6">
        <f t="shared" si="70"/>
        <v>-0.97571985320811983</v>
      </c>
      <c r="E2158" s="6">
        <v>4.3423195223447593E-3</v>
      </c>
      <c r="F2158" s="6"/>
      <c r="G2158" s="6">
        <v>2151</v>
      </c>
      <c r="H2158" s="6">
        <f t="shared" ca="1" si="71"/>
        <v>-1.5193542427861955E-3</v>
      </c>
    </row>
    <row r="2159" spans="2:8" x14ac:dyDescent="0.3">
      <c r="B2159" s="4">
        <v>45834</v>
      </c>
      <c r="C2159" s="5">
        <v>2286.23</v>
      </c>
      <c r="D2159" s="6">
        <f t="shared" si="70"/>
        <v>2.8535430151024812</v>
      </c>
      <c r="E2159" s="6">
        <v>4.3402815911437647E-3</v>
      </c>
      <c r="F2159" s="6"/>
      <c r="G2159" s="6">
        <v>2152</v>
      </c>
      <c r="H2159" s="6">
        <f t="shared" ca="1" si="71"/>
        <v>-1.7147504465563183E-2</v>
      </c>
    </row>
    <row r="2160" spans="2:8" x14ac:dyDescent="0.3">
      <c r="B2160" s="4">
        <v>41953</v>
      </c>
      <c r="C2160" s="7">
        <v>593.28</v>
      </c>
      <c r="D2160" s="6">
        <f t="shared" si="70"/>
        <v>-0.70012434164636428</v>
      </c>
      <c r="E2160" s="6">
        <v>4.3336944745394528E-3</v>
      </c>
      <c r="F2160" s="6"/>
      <c r="G2160" s="6">
        <v>2153</v>
      </c>
      <c r="H2160" s="6">
        <f t="shared" ca="1" si="71"/>
        <v>3.5007172693388315E-2</v>
      </c>
    </row>
    <row r="2161" spans="2:8" x14ac:dyDescent="0.3">
      <c r="B2161" s="4">
        <v>44123</v>
      </c>
      <c r="C2161" s="5">
        <v>1978.42</v>
      </c>
      <c r="D2161" s="6">
        <f t="shared" si="70"/>
        <v>-0.16582198423072048</v>
      </c>
      <c r="E2161" s="6">
        <v>4.319994314461062E-3</v>
      </c>
      <c r="F2161" s="6"/>
      <c r="G2161" s="6">
        <v>2154</v>
      </c>
      <c r="H2161" s="6">
        <f t="shared" ca="1" si="71"/>
        <v>-1.5472014427083713E-2</v>
      </c>
    </row>
    <row r="2162" spans="2:8" x14ac:dyDescent="0.3">
      <c r="B2162" s="4">
        <v>45861</v>
      </c>
      <c r="C2162" s="5">
        <v>2371.6999999999998</v>
      </c>
      <c r="D2162" s="6">
        <f t="shared" si="70"/>
        <v>10.445876164277784</v>
      </c>
      <c r="E2162" s="6">
        <v>4.3150357186713577E-3</v>
      </c>
      <c r="F2162" s="6"/>
      <c r="G2162" s="6">
        <v>2155</v>
      </c>
      <c r="H2162" s="6">
        <f t="shared" ca="1" si="71"/>
        <v>-3.1387478670299861E-2</v>
      </c>
    </row>
    <row r="2163" spans="2:8" x14ac:dyDescent="0.3">
      <c r="B2163" s="4">
        <v>40372</v>
      </c>
      <c r="C2163" s="7">
        <v>207.21</v>
      </c>
      <c r="D2163" s="6">
        <f t="shared" si="70"/>
        <v>-0.87936424766395949</v>
      </c>
      <c r="E2163" s="6">
        <v>4.3136874757658721E-3</v>
      </c>
      <c r="F2163" s="6"/>
      <c r="G2163" s="6">
        <v>2156</v>
      </c>
      <c r="H2163" s="6">
        <f t="shared" ca="1" si="71"/>
        <v>-1.2406069723698893E-2</v>
      </c>
    </row>
    <row r="2164" spans="2:8" x14ac:dyDescent="0.3">
      <c r="B2164" s="4">
        <v>44055</v>
      </c>
      <c r="C2164" s="5">
        <v>1717.65</v>
      </c>
      <c r="D2164" s="6">
        <f t="shared" si="70"/>
        <v>4.1451294033069743</v>
      </c>
      <c r="E2164" s="6">
        <v>4.3033637570237373E-3</v>
      </c>
      <c r="F2164" s="6"/>
      <c r="G2164" s="6">
        <v>2157</v>
      </c>
      <c r="H2164" s="6">
        <f t="shared" ca="1" si="71"/>
        <v>7.9019228767308654E-3</v>
      </c>
    </row>
    <row r="2165" spans="2:8" x14ac:dyDescent="0.3">
      <c r="B2165" s="4">
        <v>41054</v>
      </c>
      <c r="C2165" s="7">
        <v>333.84</v>
      </c>
      <c r="D2165" s="6">
        <f t="shared" si="70"/>
        <v>-0.84793659469800498</v>
      </c>
      <c r="E2165" s="6">
        <v>4.3019163081734904E-3</v>
      </c>
      <c r="F2165" s="6"/>
      <c r="G2165" s="6">
        <v>2158</v>
      </c>
      <c r="H2165" s="6">
        <f t="shared" ca="1" si="71"/>
        <v>2.7906991424428273E-2</v>
      </c>
    </row>
    <row r="2166" spans="2:8" x14ac:dyDescent="0.3">
      <c r="B2166" s="4">
        <v>46101</v>
      </c>
      <c r="C2166" s="5">
        <v>2195.4</v>
      </c>
      <c r="D2166" s="6">
        <f t="shared" si="70"/>
        <v>0.47690196368626769</v>
      </c>
      <c r="E2166" s="6">
        <v>4.3000914913083671E-3</v>
      </c>
      <c r="F2166" s="6"/>
      <c r="G2166" s="6">
        <v>2159</v>
      </c>
      <c r="H2166" s="6">
        <f t="shared" ca="1" si="71"/>
        <v>-8.0252727455101015E-3</v>
      </c>
    </row>
    <row r="2167" spans="2:8" x14ac:dyDescent="0.3">
      <c r="B2167" s="4">
        <v>43685</v>
      </c>
      <c r="C2167" s="5">
        <v>1486.49</v>
      </c>
      <c r="D2167" s="6">
        <f t="shared" si="70"/>
        <v>0.22572851559278989</v>
      </c>
      <c r="E2167" s="6">
        <v>4.2969198651469122E-3</v>
      </c>
      <c r="F2167" s="6"/>
      <c r="G2167" s="6">
        <v>2160</v>
      </c>
      <c r="H2167" s="6">
        <f t="shared" ca="1" si="71"/>
        <v>3.766824637018322E-3</v>
      </c>
    </row>
    <row r="2168" spans="2:8" x14ac:dyDescent="0.3">
      <c r="B2168" s="4">
        <v>43370</v>
      </c>
      <c r="C2168" s="5">
        <v>1212.74</v>
      </c>
      <c r="D2168" s="6">
        <f t="shared" si="70"/>
        <v>10.752495396840779</v>
      </c>
      <c r="E2168" s="6">
        <v>4.2896419225546259E-3</v>
      </c>
      <c r="F2168" s="6"/>
      <c r="G2168" s="6">
        <v>2161</v>
      </c>
      <c r="H2168" s="6">
        <f t="shared" ca="1" si="71"/>
        <v>1.9125422262118847E-2</v>
      </c>
    </row>
    <row r="2169" spans="2:8" x14ac:dyDescent="0.3">
      <c r="B2169" s="4">
        <v>39590</v>
      </c>
      <c r="C2169" s="7">
        <v>103.19</v>
      </c>
      <c r="D2169" s="6">
        <f t="shared" si="70"/>
        <v>-0.96630167495599528</v>
      </c>
      <c r="E2169" s="6">
        <v>4.282238442822362E-3</v>
      </c>
      <c r="F2169" s="6"/>
      <c r="G2169" s="6">
        <v>2162</v>
      </c>
      <c r="H2169" s="6">
        <f t="shared" ca="1" si="71"/>
        <v>1.6133024360447414E-2</v>
      </c>
    </row>
    <row r="2170" spans="2:8" x14ac:dyDescent="0.3">
      <c r="B2170" s="4">
        <v>44900</v>
      </c>
      <c r="C2170" s="5">
        <v>3062.17</v>
      </c>
      <c r="D2170" s="6">
        <f t="shared" si="70"/>
        <v>0.11123328434307694</v>
      </c>
      <c r="E2170" s="6">
        <v>4.2799233877316017E-3</v>
      </c>
      <c r="F2170" s="6"/>
      <c r="G2170" s="6">
        <v>2163</v>
      </c>
      <c r="H2170" s="6">
        <f t="shared" ca="1" si="71"/>
        <v>1.0448948566356363E-3</v>
      </c>
    </row>
    <row r="2171" spans="2:8" x14ac:dyDescent="0.3">
      <c r="B2171" s="4">
        <v>44986</v>
      </c>
      <c r="C2171" s="5">
        <v>2755.65</v>
      </c>
      <c r="D2171" s="6">
        <f t="shared" si="70"/>
        <v>49.898596231991135</v>
      </c>
      <c r="E2171" s="6">
        <v>4.2749059739351069E-3</v>
      </c>
      <c r="F2171" s="6"/>
      <c r="G2171" s="6">
        <v>2164</v>
      </c>
      <c r="H2171" s="6">
        <f t="shared" ca="1" si="71"/>
        <v>-8.1405150879531527E-3</v>
      </c>
    </row>
    <row r="2172" spans="2:8" x14ac:dyDescent="0.3">
      <c r="B2172" s="4">
        <v>38973</v>
      </c>
      <c r="C2172" s="7">
        <v>54.14</v>
      </c>
      <c r="D2172" s="6">
        <f t="shared" si="70"/>
        <v>2.2792247122955778</v>
      </c>
      <c r="E2172" s="6">
        <v>4.2663698757188645E-3</v>
      </c>
      <c r="F2172" s="6"/>
      <c r="G2172" s="6">
        <v>2165</v>
      </c>
      <c r="H2172" s="6">
        <f t="shared" ca="1" si="71"/>
        <v>-5.387091138370978E-3</v>
      </c>
    </row>
    <row r="2173" spans="2:8" x14ac:dyDescent="0.3">
      <c r="B2173" s="4">
        <v>37693</v>
      </c>
      <c r="C2173" s="7">
        <v>16.510000000000002</v>
      </c>
      <c r="D2173" s="6">
        <f t="shared" si="70"/>
        <v>-0.1250662427133015</v>
      </c>
      <c r="E2173" s="6">
        <v>4.2579075425790928E-3</v>
      </c>
      <c r="F2173" s="6"/>
      <c r="G2173" s="6">
        <v>2166</v>
      </c>
      <c r="H2173" s="6">
        <f t="shared" ca="1" si="71"/>
        <v>-1.5785015593964627E-2</v>
      </c>
    </row>
    <row r="2174" spans="2:8" x14ac:dyDescent="0.3">
      <c r="B2174" s="4">
        <v>37802</v>
      </c>
      <c r="C2174" s="7">
        <v>18.87</v>
      </c>
      <c r="D2174" s="6">
        <f t="shared" si="70"/>
        <v>-0.95630123662637212</v>
      </c>
      <c r="E2174" s="6">
        <v>4.2575838211815781E-3</v>
      </c>
      <c r="F2174" s="6"/>
      <c r="G2174" s="6">
        <v>2167</v>
      </c>
      <c r="H2174" s="6">
        <f t="shared" ca="1" si="71"/>
        <v>-1.8972414606284141E-2</v>
      </c>
    </row>
    <row r="2175" spans="2:8" x14ac:dyDescent="0.3">
      <c r="B2175" s="4">
        <v>41465</v>
      </c>
      <c r="C2175" s="7">
        <v>431.82</v>
      </c>
      <c r="D2175" s="6">
        <f t="shared" si="70"/>
        <v>-3.6975914362176593E-2</v>
      </c>
      <c r="E2175" s="6">
        <v>4.2559129282075956E-3</v>
      </c>
      <c r="F2175" s="6"/>
      <c r="G2175" s="6">
        <v>2168</v>
      </c>
      <c r="H2175" s="6">
        <f t="shared" ca="1" si="71"/>
        <v>-8.257837887850606E-3</v>
      </c>
    </row>
    <row r="2176" spans="2:8" x14ac:dyDescent="0.3">
      <c r="B2176" s="4">
        <v>41655</v>
      </c>
      <c r="C2176" s="7">
        <v>448.4</v>
      </c>
      <c r="D2176" s="6">
        <f t="shared" si="70"/>
        <v>-0.4478512498460781</v>
      </c>
      <c r="E2176" s="6">
        <v>4.2553191489361191E-3</v>
      </c>
      <c r="F2176" s="6"/>
      <c r="G2176" s="6">
        <v>2169</v>
      </c>
      <c r="H2176" s="6">
        <f t="shared" ca="1" si="71"/>
        <v>3.8662190748869354E-2</v>
      </c>
    </row>
    <row r="2177" spans="2:8" x14ac:dyDescent="0.3">
      <c r="B2177" s="4">
        <v>42727</v>
      </c>
      <c r="C2177" s="7">
        <v>812.1</v>
      </c>
      <c r="D2177" s="6">
        <f t="shared" si="70"/>
        <v>48.099153567110044</v>
      </c>
      <c r="E2177" s="6">
        <v>4.2539509806346978E-3</v>
      </c>
      <c r="F2177" s="6"/>
      <c r="G2177" s="6">
        <v>2170</v>
      </c>
      <c r="H2177" s="6">
        <f t="shared" ca="1" si="71"/>
        <v>5.1947651317127462E-3</v>
      </c>
    </row>
    <row r="2178" spans="2:8" x14ac:dyDescent="0.3">
      <c r="B2178" s="4">
        <v>37649</v>
      </c>
      <c r="C2178" s="7">
        <v>16.54</v>
      </c>
      <c r="D2178" s="6">
        <f t="shared" si="70"/>
        <v>-0.9899089733265003</v>
      </c>
      <c r="E2178" s="6">
        <v>4.2501517911354156E-3</v>
      </c>
      <c r="F2178" s="6"/>
      <c r="G2178" s="6">
        <v>2171</v>
      </c>
      <c r="H2178" s="6">
        <f t="shared" ca="1" si="71"/>
        <v>7.1271882614283646E-3</v>
      </c>
    </row>
    <row r="2179" spans="2:8" x14ac:dyDescent="0.3">
      <c r="B2179" s="4">
        <v>43985</v>
      </c>
      <c r="C2179" s="5">
        <v>1639.08</v>
      </c>
      <c r="D2179" s="6">
        <f t="shared" si="70"/>
        <v>85.540654699049611</v>
      </c>
      <c r="E2179" s="6">
        <v>4.2459332781912421E-3</v>
      </c>
      <c r="F2179" s="6"/>
      <c r="G2179" s="6">
        <v>2172</v>
      </c>
      <c r="H2179" s="6">
        <f t="shared" ca="1" si="71"/>
        <v>4.2461771819936964E-3</v>
      </c>
    </row>
    <row r="2180" spans="2:8" x14ac:dyDescent="0.3">
      <c r="B2180" s="4">
        <v>37796</v>
      </c>
      <c r="C2180" s="7">
        <v>18.940000000000001</v>
      </c>
      <c r="D2180" s="6">
        <f t="shared" si="70"/>
        <v>-0.97822613094211641</v>
      </c>
      <c r="E2180" s="6">
        <v>4.2417815482503635E-3</v>
      </c>
      <c r="F2180" s="6"/>
      <c r="G2180" s="6">
        <v>2173</v>
      </c>
      <c r="H2180" s="6">
        <f t="shared" ca="1" si="71"/>
        <v>-8.7851752319661434E-3</v>
      </c>
    </row>
    <row r="2181" spans="2:8" x14ac:dyDescent="0.3">
      <c r="B2181" s="4">
        <v>42712</v>
      </c>
      <c r="C2181" s="7">
        <v>869.85</v>
      </c>
      <c r="D2181" s="6">
        <f t="shared" si="70"/>
        <v>-0.73266559919355589</v>
      </c>
      <c r="E2181" s="6">
        <v>4.2369946200559614E-3</v>
      </c>
      <c r="F2181" s="6"/>
      <c r="G2181" s="6">
        <v>2174</v>
      </c>
      <c r="H2181" s="6">
        <f t="shared" ca="1" si="71"/>
        <v>-9.8741909809067496E-3</v>
      </c>
    </row>
    <row r="2182" spans="2:8" x14ac:dyDescent="0.3">
      <c r="B2182" s="4">
        <v>44578</v>
      </c>
      <c r="C2182" s="5">
        <v>3253.79</v>
      </c>
      <c r="D2182" s="6">
        <f t="shared" si="70"/>
        <v>2.2728379166750492</v>
      </c>
      <c r="E2182" s="6">
        <v>4.2344764156329335E-3</v>
      </c>
      <c r="F2182" s="6"/>
      <c r="G2182" s="6">
        <v>2175</v>
      </c>
      <c r="H2182" s="6">
        <f t="shared" ca="1" si="71"/>
        <v>9.856951286140142E-3</v>
      </c>
    </row>
    <row r="2183" spans="2:8" x14ac:dyDescent="0.3">
      <c r="B2183" s="4">
        <v>42849</v>
      </c>
      <c r="C2183" s="7">
        <v>994.18</v>
      </c>
      <c r="D2183" s="6">
        <f t="shared" si="70"/>
        <v>18.041945987358741</v>
      </c>
      <c r="E2183" s="6">
        <v>4.2323659834947232E-3</v>
      </c>
      <c r="F2183" s="6"/>
      <c r="G2183" s="6">
        <v>2176</v>
      </c>
      <c r="H2183" s="6">
        <f t="shared" ca="1" si="71"/>
        <v>-1.9586001820408032E-2</v>
      </c>
    </row>
    <row r="2184" spans="2:8" x14ac:dyDescent="0.3">
      <c r="B2184" s="4">
        <v>38960</v>
      </c>
      <c r="C2184" s="7">
        <v>52.21</v>
      </c>
      <c r="D2184" s="6">
        <f t="shared" ref="D2184:D2247" si="72">((C2184-C2185)/C2185)</f>
        <v>-0.84184059858834936</v>
      </c>
      <c r="E2184" s="6">
        <v>4.2315829967301188E-3</v>
      </c>
      <c r="F2184" s="6"/>
      <c r="G2184" s="6">
        <v>2177</v>
      </c>
      <c r="H2184" s="6">
        <f t="shared" ca="1" si="71"/>
        <v>-1.5386173528601549E-2</v>
      </c>
    </row>
    <row r="2185" spans="2:8" x14ac:dyDescent="0.3">
      <c r="B2185" s="4">
        <v>41142</v>
      </c>
      <c r="C2185" s="7">
        <v>330.11</v>
      </c>
      <c r="D2185" s="6">
        <f t="shared" si="72"/>
        <v>3.6318226462747307</v>
      </c>
      <c r="E2185" s="6">
        <v>4.2285227549281644E-3</v>
      </c>
      <c r="F2185" s="6"/>
      <c r="G2185" s="6">
        <v>2178</v>
      </c>
      <c r="H2185" s="6">
        <f t="shared" ref="H2185:H2248" ca="1" si="73">_xlfn.NORM.INV(RAND(),N$10,N$11)</f>
        <v>2.0789448996737476E-2</v>
      </c>
    </row>
    <row r="2186" spans="2:8" x14ac:dyDescent="0.3">
      <c r="B2186" s="4">
        <v>39241</v>
      </c>
      <c r="C2186" s="7">
        <v>71.27</v>
      </c>
      <c r="D2186" s="6">
        <f t="shared" si="72"/>
        <v>-0.97676723224618189</v>
      </c>
      <c r="E2186" s="6">
        <v>4.227138227419997E-3</v>
      </c>
      <c r="F2186" s="6"/>
      <c r="G2186" s="6">
        <v>2179</v>
      </c>
      <c r="H2186" s="6">
        <f t="shared" ca="1" si="73"/>
        <v>1.6884255865434364E-2</v>
      </c>
    </row>
    <row r="2187" spans="2:8" x14ac:dyDescent="0.3">
      <c r="B2187" s="4">
        <v>45254</v>
      </c>
      <c r="C2187" s="5">
        <v>3067.65</v>
      </c>
      <c r="D2187" s="6">
        <f t="shared" si="72"/>
        <v>116.22009935040121</v>
      </c>
      <c r="E2187" s="6">
        <v>4.2262189253423569E-3</v>
      </c>
      <c r="F2187" s="6"/>
      <c r="G2187" s="6">
        <v>2180</v>
      </c>
      <c r="H2187" s="6">
        <f t="shared" ca="1" si="73"/>
        <v>1.194444689089769E-2</v>
      </c>
    </row>
    <row r="2188" spans="2:8" x14ac:dyDescent="0.3">
      <c r="B2188" s="4">
        <v>37999</v>
      </c>
      <c r="C2188" s="7">
        <v>26.17</v>
      </c>
      <c r="D2188" s="6">
        <f t="shared" si="72"/>
        <v>-0.97661618192378141</v>
      </c>
      <c r="E2188" s="6">
        <v>4.2210283960093242E-3</v>
      </c>
      <c r="F2188" s="6"/>
      <c r="G2188" s="6">
        <v>2181</v>
      </c>
      <c r="H2188" s="6">
        <f t="shared" ca="1" si="73"/>
        <v>-9.0554968575378807E-3</v>
      </c>
    </row>
    <row r="2189" spans="2:8" x14ac:dyDescent="0.3">
      <c r="B2189" s="4">
        <v>43117</v>
      </c>
      <c r="C2189" s="5">
        <v>1119.1500000000001</v>
      </c>
      <c r="D2189" s="6">
        <f t="shared" si="72"/>
        <v>-0.54383154599591577</v>
      </c>
      <c r="E2189" s="6">
        <v>4.2083161351686507E-3</v>
      </c>
      <c r="F2189" s="6"/>
      <c r="G2189" s="6">
        <v>2182</v>
      </c>
      <c r="H2189" s="6">
        <f t="shared" ca="1" si="73"/>
        <v>-7.5360339748055064E-3</v>
      </c>
    </row>
    <row r="2190" spans="2:8" x14ac:dyDescent="0.3">
      <c r="B2190" s="4">
        <v>45924</v>
      </c>
      <c r="C2190" s="5">
        <v>2453.37</v>
      </c>
      <c r="D2190" s="6">
        <f t="shared" si="72"/>
        <v>7.8582105719237436</v>
      </c>
      <c r="E2190" s="6">
        <v>4.207786041447407E-3</v>
      </c>
      <c r="F2190" s="6"/>
      <c r="G2190" s="6">
        <v>2183</v>
      </c>
      <c r="H2190" s="6">
        <f t="shared" ca="1" si="73"/>
        <v>5.2050050294871015E-3</v>
      </c>
    </row>
    <row r="2191" spans="2:8" x14ac:dyDescent="0.3">
      <c r="B2191" s="4">
        <v>40753</v>
      </c>
      <c r="C2191" s="7">
        <v>276.95999999999998</v>
      </c>
      <c r="D2191" s="6">
        <f t="shared" si="72"/>
        <v>-0.90881825215229883</v>
      </c>
      <c r="E2191" s="6">
        <v>4.2059463379259176E-3</v>
      </c>
      <c r="F2191" s="6"/>
      <c r="G2191" s="6">
        <v>2184</v>
      </c>
      <c r="H2191" s="6">
        <f t="shared" ca="1" si="73"/>
        <v>2.3513693090080993E-2</v>
      </c>
    </row>
    <row r="2192" spans="2:8" x14ac:dyDescent="0.3">
      <c r="B2192" s="4">
        <v>44657</v>
      </c>
      <c r="C2192" s="5">
        <v>3037.45</v>
      </c>
      <c r="D2192" s="6">
        <f t="shared" si="72"/>
        <v>44.416417464114829</v>
      </c>
      <c r="E2192" s="6">
        <v>4.2053340298141648E-3</v>
      </c>
      <c r="F2192" s="6"/>
      <c r="G2192" s="6">
        <v>2185</v>
      </c>
      <c r="H2192" s="6">
        <f t="shared" ca="1" si="73"/>
        <v>2.1055309697838261E-3</v>
      </c>
    </row>
    <row r="2193" spans="2:8" x14ac:dyDescent="0.3">
      <c r="B2193" s="4">
        <v>39100</v>
      </c>
      <c r="C2193" s="7">
        <v>66.88</v>
      </c>
      <c r="D2193" s="6">
        <f t="shared" si="72"/>
        <v>-0.94930721887032721</v>
      </c>
      <c r="E2193" s="6">
        <v>4.2042042042042217E-3</v>
      </c>
      <c r="F2193" s="6"/>
      <c r="G2193" s="6">
        <v>2186</v>
      </c>
      <c r="H2193" s="6">
        <f t="shared" ca="1" si="73"/>
        <v>-1.7678222323296602E-2</v>
      </c>
    </row>
    <row r="2194" spans="2:8" x14ac:dyDescent="0.3">
      <c r="B2194" s="4">
        <v>43329</v>
      </c>
      <c r="C2194" s="5">
        <v>1319.32</v>
      </c>
      <c r="D2194" s="6">
        <f t="shared" si="72"/>
        <v>-0.49446111283542743</v>
      </c>
      <c r="E2194" s="6">
        <v>4.1939093171767536E-3</v>
      </c>
      <c r="F2194" s="6"/>
      <c r="G2194" s="6">
        <v>2187</v>
      </c>
      <c r="H2194" s="6">
        <f t="shared" ca="1" si="73"/>
        <v>8.342382707640459E-3</v>
      </c>
    </row>
    <row r="2195" spans="2:8" x14ac:dyDescent="0.3">
      <c r="B2195" s="4">
        <v>45968</v>
      </c>
      <c r="C2195" s="5">
        <v>2609.73</v>
      </c>
      <c r="D2195" s="6">
        <f t="shared" si="72"/>
        <v>-0.21547979426008487</v>
      </c>
      <c r="E2195" s="6">
        <v>4.1903310707853778E-3</v>
      </c>
      <c r="F2195" s="6"/>
      <c r="G2195" s="6">
        <v>2188</v>
      </c>
      <c r="H2195" s="6">
        <f t="shared" ca="1" si="73"/>
        <v>2.7974748491685134E-2</v>
      </c>
    </row>
    <row r="2196" spans="2:8" x14ac:dyDescent="0.3">
      <c r="B2196" s="4">
        <v>45119</v>
      </c>
      <c r="C2196" s="5">
        <v>3326.53</v>
      </c>
      <c r="D2196" s="6">
        <f t="shared" si="72"/>
        <v>3.3558072541573916</v>
      </c>
      <c r="E2196" s="6">
        <v>4.1869675728871498E-3</v>
      </c>
      <c r="F2196" s="6"/>
      <c r="G2196" s="6">
        <v>2189</v>
      </c>
      <c r="H2196" s="6">
        <f t="shared" ca="1" si="73"/>
        <v>-5.3401860505934004E-3</v>
      </c>
    </row>
    <row r="2197" spans="2:8" x14ac:dyDescent="0.3">
      <c r="B2197" s="4">
        <v>42305</v>
      </c>
      <c r="C2197" s="7">
        <v>763.7</v>
      </c>
      <c r="D2197" s="6">
        <f t="shared" si="72"/>
        <v>0.70850111856823272</v>
      </c>
      <c r="E2197" s="6">
        <v>4.1813496029033609E-3</v>
      </c>
      <c r="F2197" s="6"/>
      <c r="G2197" s="6">
        <v>2190</v>
      </c>
      <c r="H2197" s="6">
        <f t="shared" ca="1" si="73"/>
        <v>-1.0763503791762009E-2</v>
      </c>
    </row>
    <row r="2198" spans="2:8" x14ac:dyDescent="0.3">
      <c r="B2198" s="4">
        <v>41652</v>
      </c>
      <c r="C2198" s="7">
        <v>447</v>
      </c>
      <c r="D2198" s="6">
        <f t="shared" si="72"/>
        <v>-0.53940792795392023</v>
      </c>
      <c r="E2198" s="6">
        <v>4.1784607089904611E-3</v>
      </c>
      <c r="F2198" s="6"/>
      <c r="G2198" s="6">
        <v>2191</v>
      </c>
      <c r="H2198" s="6">
        <f t="shared" ca="1" si="73"/>
        <v>-1.3871411379180666E-2</v>
      </c>
    </row>
    <row r="2199" spans="2:8" x14ac:dyDescent="0.3">
      <c r="B2199" s="4">
        <v>42573</v>
      </c>
      <c r="C2199" s="7">
        <v>970.49</v>
      </c>
      <c r="D2199" s="6">
        <f t="shared" si="72"/>
        <v>56.527563722584468</v>
      </c>
      <c r="E2199" s="6">
        <v>4.1698570039111526E-3</v>
      </c>
      <c r="F2199" s="6"/>
      <c r="G2199" s="6">
        <v>2192</v>
      </c>
      <c r="H2199" s="6">
        <f t="shared" ca="1" si="73"/>
        <v>-7.4361213199547679E-3</v>
      </c>
    </row>
    <row r="2200" spans="2:8" x14ac:dyDescent="0.3">
      <c r="B2200" s="4">
        <v>37526</v>
      </c>
      <c r="C2200" s="7">
        <v>16.87</v>
      </c>
      <c r="D2200" s="6">
        <f t="shared" si="72"/>
        <v>-0.99367544181931333</v>
      </c>
      <c r="E2200" s="6">
        <v>4.1666666666666831E-3</v>
      </c>
      <c r="F2200" s="6"/>
      <c r="G2200" s="6">
        <v>2193</v>
      </c>
      <c r="H2200" s="6">
        <f t="shared" ca="1" si="73"/>
        <v>4.4774968218708475E-3</v>
      </c>
    </row>
    <row r="2201" spans="2:8" x14ac:dyDescent="0.3">
      <c r="B2201" s="4">
        <v>44984</v>
      </c>
      <c r="C2201" s="5">
        <v>2667.38</v>
      </c>
      <c r="D2201" s="6">
        <f t="shared" si="72"/>
        <v>44.918058185574104</v>
      </c>
      <c r="E2201" s="6">
        <v>4.1598747143616124E-3</v>
      </c>
      <c r="F2201" s="6"/>
      <c r="G2201" s="6">
        <v>2194</v>
      </c>
      <c r="H2201" s="6">
        <f t="shared" ca="1" si="73"/>
        <v>-2.7347547027872397E-4</v>
      </c>
    </row>
    <row r="2202" spans="2:8" x14ac:dyDescent="0.3">
      <c r="B2202" s="4">
        <v>39059</v>
      </c>
      <c r="C2202" s="7">
        <v>58.09</v>
      </c>
      <c r="D2202" s="6">
        <f t="shared" si="72"/>
        <v>-0.98073562135828951</v>
      </c>
      <c r="E2202" s="6">
        <v>4.1486603284356435E-3</v>
      </c>
      <c r="F2202" s="6"/>
      <c r="G2202" s="6">
        <v>2195</v>
      </c>
      <c r="H2202" s="6">
        <f t="shared" ca="1" si="73"/>
        <v>2.5281202112291633E-2</v>
      </c>
    </row>
    <row r="2203" spans="2:8" x14ac:dyDescent="0.3">
      <c r="B2203" s="4">
        <v>45516</v>
      </c>
      <c r="C2203" s="5">
        <v>3015.41</v>
      </c>
      <c r="D2203" s="6">
        <f t="shared" si="72"/>
        <v>6.8279082290589099E-2</v>
      </c>
      <c r="E2203" s="6">
        <v>4.1459093694221098E-3</v>
      </c>
      <c r="F2203" s="6"/>
      <c r="G2203" s="6">
        <v>2196</v>
      </c>
      <c r="H2203" s="6">
        <f t="shared" ca="1" si="73"/>
        <v>-1.1395131993751221E-2</v>
      </c>
    </row>
    <row r="2204" spans="2:8" x14ac:dyDescent="0.3">
      <c r="B2204" s="4">
        <v>45042</v>
      </c>
      <c r="C2204" s="5">
        <v>2822.68</v>
      </c>
      <c r="D2204" s="6">
        <f t="shared" si="72"/>
        <v>165.23557126030622</v>
      </c>
      <c r="E2204" s="6">
        <v>4.1408162103704939E-3</v>
      </c>
      <c r="F2204" s="6"/>
      <c r="G2204" s="6">
        <v>2197</v>
      </c>
      <c r="H2204" s="6">
        <f t="shared" ca="1" si="73"/>
        <v>1.5829603680415177E-2</v>
      </c>
    </row>
    <row r="2205" spans="2:8" x14ac:dyDescent="0.3">
      <c r="B2205" s="4">
        <v>37533</v>
      </c>
      <c r="C2205" s="7">
        <v>16.98</v>
      </c>
      <c r="D2205" s="6">
        <f t="shared" si="72"/>
        <v>-0.97163855019208278</v>
      </c>
      <c r="E2205" s="6">
        <v>4.1395623891188815E-3</v>
      </c>
      <c r="F2205" s="6"/>
      <c r="G2205" s="6">
        <v>2198</v>
      </c>
      <c r="H2205" s="6">
        <f t="shared" ca="1" si="73"/>
        <v>8.0104200783803585E-3</v>
      </c>
    </row>
    <row r="2206" spans="2:8" x14ac:dyDescent="0.3">
      <c r="B2206" s="4">
        <v>41893</v>
      </c>
      <c r="C2206" s="7">
        <v>598.70000000000005</v>
      </c>
      <c r="D2206" s="6">
        <f t="shared" si="72"/>
        <v>-0.81762964226532808</v>
      </c>
      <c r="E2206" s="6">
        <v>4.1258553602576756E-3</v>
      </c>
      <c r="F2206" s="6"/>
      <c r="G2206" s="6">
        <v>2199</v>
      </c>
      <c r="H2206" s="6">
        <f t="shared" ca="1" si="73"/>
        <v>1.3992181131659964E-2</v>
      </c>
    </row>
    <row r="2207" spans="2:8" x14ac:dyDescent="0.3">
      <c r="B2207" s="4">
        <v>45107</v>
      </c>
      <c r="C2207" s="5">
        <v>3282.88</v>
      </c>
      <c r="D2207" s="6">
        <f t="shared" si="72"/>
        <v>8.4184071608905207</v>
      </c>
      <c r="E2207" s="6">
        <v>4.1200094206600745E-3</v>
      </c>
      <c r="F2207" s="6"/>
      <c r="G2207" s="6">
        <v>2200</v>
      </c>
      <c r="H2207" s="6">
        <f t="shared" ca="1" si="73"/>
        <v>3.4397229018115288E-4</v>
      </c>
    </row>
    <row r="2208" spans="2:8" x14ac:dyDescent="0.3">
      <c r="B2208" s="4">
        <v>41170</v>
      </c>
      <c r="C2208" s="7">
        <v>348.56</v>
      </c>
      <c r="D2208" s="6">
        <f t="shared" si="72"/>
        <v>-0.87019216445702374</v>
      </c>
      <c r="E2208" s="6">
        <v>4.1194941376429773E-3</v>
      </c>
      <c r="F2208" s="6"/>
      <c r="G2208" s="6">
        <v>2201</v>
      </c>
      <c r="H2208" s="6">
        <f t="shared" ca="1" si="73"/>
        <v>1.592721670643122E-2</v>
      </c>
    </row>
    <row r="2209" spans="2:8" x14ac:dyDescent="0.3">
      <c r="B2209" s="4">
        <v>44202</v>
      </c>
      <c r="C2209" s="5">
        <v>2685.2</v>
      </c>
      <c r="D2209" s="6">
        <f t="shared" si="72"/>
        <v>155.38905066977284</v>
      </c>
      <c r="E2209" s="6">
        <v>4.1171345341953127E-3</v>
      </c>
      <c r="F2209" s="6"/>
      <c r="G2209" s="6">
        <v>2202</v>
      </c>
      <c r="H2209" s="6">
        <f t="shared" ca="1" si="73"/>
        <v>8.7273768268992073E-3</v>
      </c>
    </row>
    <row r="2210" spans="2:8" x14ac:dyDescent="0.3">
      <c r="B2210" s="4">
        <v>37701</v>
      </c>
      <c r="C2210" s="7">
        <v>17.170000000000002</v>
      </c>
      <c r="D2210" s="6">
        <f t="shared" si="72"/>
        <v>-0.95791769809563487</v>
      </c>
      <c r="E2210" s="6">
        <v>4.0935672514620042E-3</v>
      </c>
      <c r="F2210" s="6"/>
      <c r="G2210" s="6">
        <v>2203</v>
      </c>
      <c r="H2210" s="6">
        <f t="shared" ca="1" si="73"/>
        <v>3.4564300897029922E-2</v>
      </c>
    </row>
    <row r="2211" spans="2:8" x14ac:dyDescent="0.3">
      <c r="B2211" s="4">
        <v>41375</v>
      </c>
      <c r="C2211" s="7">
        <v>408.01</v>
      </c>
      <c r="D2211" s="6">
        <f t="shared" si="72"/>
        <v>4.3530569404355806</v>
      </c>
      <c r="E2211" s="6">
        <v>4.0851482711947041E-3</v>
      </c>
      <c r="F2211" s="6"/>
      <c r="G2211" s="6">
        <v>2204</v>
      </c>
      <c r="H2211" s="6">
        <f t="shared" ca="1" si="73"/>
        <v>3.6070618639641727E-3</v>
      </c>
    </row>
    <row r="2212" spans="2:8" x14ac:dyDescent="0.3">
      <c r="B2212" s="4">
        <v>39933</v>
      </c>
      <c r="C2212" s="7">
        <v>76.22</v>
      </c>
      <c r="D2212" s="6">
        <f t="shared" si="72"/>
        <v>0.47541618273325598</v>
      </c>
      <c r="E2212" s="6">
        <v>4.0837834277434107E-3</v>
      </c>
      <c r="F2212" s="6"/>
      <c r="G2212" s="6">
        <v>2205</v>
      </c>
      <c r="H2212" s="6">
        <f t="shared" ca="1" si="73"/>
        <v>-5.7264512625514645E-3</v>
      </c>
    </row>
    <row r="2213" spans="2:8" x14ac:dyDescent="0.3">
      <c r="B2213" s="4">
        <v>38839</v>
      </c>
      <c r="C2213" s="7">
        <v>51.66</v>
      </c>
      <c r="D2213" s="6">
        <f t="shared" si="72"/>
        <v>-0.88074516955608384</v>
      </c>
      <c r="E2213" s="6">
        <v>4.0816326530611026E-3</v>
      </c>
      <c r="F2213" s="6"/>
      <c r="G2213" s="6">
        <v>2206</v>
      </c>
      <c r="H2213" s="6">
        <f t="shared" ca="1" si="73"/>
        <v>8.1402022913908759E-3</v>
      </c>
    </row>
    <row r="2214" spans="2:8" x14ac:dyDescent="0.3">
      <c r="B2214" s="4">
        <v>41543</v>
      </c>
      <c r="C2214" s="7">
        <v>433.19</v>
      </c>
      <c r="D2214" s="6">
        <f t="shared" si="72"/>
        <v>1.6209462729912874</v>
      </c>
      <c r="E2214" s="6">
        <v>4.0794566905407387E-3</v>
      </c>
      <c r="F2214" s="6"/>
      <c r="G2214" s="6">
        <v>2207</v>
      </c>
      <c r="H2214" s="6">
        <f t="shared" ca="1" si="73"/>
        <v>9.6443873067369908E-3</v>
      </c>
    </row>
    <row r="2215" spans="2:8" x14ac:dyDescent="0.3">
      <c r="B2215" s="4">
        <v>40253</v>
      </c>
      <c r="C2215" s="7">
        <v>165.28</v>
      </c>
      <c r="D2215" s="6">
        <f t="shared" si="72"/>
        <v>-0.94696359523160101</v>
      </c>
      <c r="E2215" s="6">
        <v>4.070226596196996E-3</v>
      </c>
      <c r="F2215" s="6"/>
      <c r="G2215" s="6">
        <v>2208</v>
      </c>
      <c r="H2215" s="6">
        <f t="shared" ca="1" si="73"/>
        <v>-2.3389806894161629E-2</v>
      </c>
    </row>
    <row r="2216" spans="2:8" x14ac:dyDescent="0.3">
      <c r="B2216" s="4">
        <v>45083</v>
      </c>
      <c r="C2216" s="5">
        <v>3116.35</v>
      </c>
      <c r="D2216" s="6">
        <f t="shared" si="72"/>
        <v>5.3350748089120179</v>
      </c>
      <c r="E2216" s="6">
        <v>4.0628403152326315E-3</v>
      </c>
      <c r="F2216" s="6"/>
      <c r="G2216" s="6">
        <v>2209</v>
      </c>
      <c r="H2216" s="6">
        <f t="shared" ca="1" si="73"/>
        <v>-7.4784552225041286E-4</v>
      </c>
    </row>
    <row r="2217" spans="2:8" x14ac:dyDescent="0.3">
      <c r="B2217" s="4">
        <v>41740</v>
      </c>
      <c r="C2217" s="7">
        <v>491.92</v>
      </c>
      <c r="D2217" s="6">
        <f t="shared" si="72"/>
        <v>-0.8223794908828308</v>
      </c>
      <c r="E2217" s="6">
        <v>4.0618047476170252E-3</v>
      </c>
      <c r="F2217" s="6"/>
      <c r="G2217" s="6">
        <v>2210</v>
      </c>
      <c r="H2217" s="6">
        <f t="shared" ca="1" si="73"/>
        <v>7.3809917003227546E-4</v>
      </c>
    </row>
    <row r="2218" spans="2:8" x14ac:dyDescent="0.3">
      <c r="B2218" s="4">
        <v>46022</v>
      </c>
      <c r="C2218" s="5">
        <v>2769.5</v>
      </c>
      <c r="D2218" s="6">
        <f t="shared" si="72"/>
        <v>-4.4086938213396938E-2</v>
      </c>
      <c r="E2218" s="6">
        <v>4.0604720298734066E-3</v>
      </c>
      <c r="F2218" s="6"/>
      <c r="G2218" s="6">
        <v>2211</v>
      </c>
      <c r="H2218" s="6">
        <f t="shared" ca="1" si="73"/>
        <v>1.6848028347210817E-2</v>
      </c>
    </row>
    <row r="2219" spans="2:8" x14ac:dyDescent="0.3">
      <c r="B2219" s="4">
        <v>45229</v>
      </c>
      <c r="C2219" s="5">
        <v>2897.23</v>
      </c>
      <c r="D2219" s="6">
        <f t="shared" si="72"/>
        <v>27.462815600746634</v>
      </c>
      <c r="E2219" s="6">
        <v>4.0442756345389014E-3</v>
      </c>
      <c r="F2219" s="6"/>
      <c r="G2219" s="6">
        <v>2212</v>
      </c>
      <c r="H2219" s="6">
        <f t="shared" ca="1" si="73"/>
        <v>9.5423245124322716E-3</v>
      </c>
    </row>
    <row r="2220" spans="2:8" x14ac:dyDescent="0.3">
      <c r="B2220" s="4">
        <v>39688</v>
      </c>
      <c r="C2220" s="7">
        <v>101.79</v>
      </c>
      <c r="D2220" s="6">
        <f t="shared" si="72"/>
        <v>-0.96323864005720605</v>
      </c>
      <c r="E2220" s="6">
        <v>4.0441901755771436E-3</v>
      </c>
      <c r="F2220" s="6"/>
      <c r="G2220" s="6">
        <v>2213</v>
      </c>
      <c r="H2220" s="6">
        <f t="shared" ca="1" si="73"/>
        <v>1.5461275662064492E-2</v>
      </c>
    </row>
    <row r="2221" spans="2:8" x14ac:dyDescent="0.3">
      <c r="B2221" s="4">
        <v>45034</v>
      </c>
      <c r="C2221" s="5">
        <v>2768.94</v>
      </c>
      <c r="D2221" s="6">
        <f t="shared" si="72"/>
        <v>0.61898859257786698</v>
      </c>
      <c r="E2221" s="6">
        <v>4.043092476221935E-3</v>
      </c>
      <c r="F2221" s="6"/>
      <c r="G2221" s="6">
        <v>2214</v>
      </c>
      <c r="H2221" s="6">
        <f t="shared" ca="1" si="73"/>
        <v>2.0222010453034941E-2</v>
      </c>
    </row>
    <row r="2222" spans="2:8" x14ac:dyDescent="0.3">
      <c r="B2222" s="4">
        <v>44054</v>
      </c>
      <c r="C2222" s="5">
        <v>1710.29</v>
      </c>
      <c r="D2222" s="6">
        <f t="shared" si="72"/>
        <v>1.0649690910847096</v>
      </c>
      <c r="E2222" s="6">
        <v>4.0389571506565542E-3</v>
      </c>
      <c r="F2222" s="6"/>
      <c r="G2222" s="6">
        <v>2215</v>
      </c>
      <c r="H2222" s="6">
        <f t="shared" ca="1" si="73"/>
        <v>1.0187044955721265E-2</v>
      </c>
    </row>
    <row r="2223" spans="2:8" x14ac:dyDescent="0.3">
      <c r="B2223" s="4">
        <v>42440</v>
      </c>
      <c r="C2223" s="7">
        <v>828.24</v>
      </c>
      <c r="D2223" s="6">
        <f t="shared" si="72"/>
        <v>1.385003023583955</v>
      </c>
      <c r="E2223" s="6">
        <v>4.0246326916550095E-3</v>
      </c>
      <c r="F2223" s="6"/>
      <c r="G2223" s="6">
        <v>2216</v>
      </c>
      <c r="H2223" s="6">
        <f t="shared" ca="1" si="73"/>
        <v>-2.4230120271199725E-3</v>
      </c>
    </row>
    <row r="2224" spans="2:8" x14ac:dyDescent="0.3">
      <c r="B2224" s="4">
        <v>41075</v>
      </c>
      <c r="C2224" s="7">
        <v>347.27</v>
      </c>
      <c r="D2224" s="6">
        <f t="shared" si="72"/>
        <v>-0.65614108048162234</v>
      </c>
      <c r="E2224" s="6">
        <v>4.0187348213252755E-3</v>
      </c>
      <c r="F2224" s="6"/>
      <c r="G2224" s="6">
        <v>2217</v>
      </c>
      <c r="H2224" s="6">
        <f t="shared" ca="1" si="73"/>
        <v>-2.5547253107864307E-2</v>
      </c>
    </row>
    <row r="2225" spans="2:8" x14ac:dyDescent="0.3">
      <c r="B2225" s="4">
        <v>42831</v>
      </c>
      <c r="C2225" s="5">
        <v>1009.92</v>
      </c>
      <c r="D2225" s="6">
        <f t="shared" si="72"/>
        <v>0.23860333345597698</v>
      </c>
      <c r="E2225" s="6">
        <v>4.0163836640553187E-3</v>
      </c>
      <c r="F2225" s="6"/>
      <c r="G2225" s="6">
        <v>2218</v>
      </c>
      <c r="H2225" s="6">
        <f t="shared" ca="1" si="73"/>
        <v>2.7809674199890923E-2</v>
      </c>
    </row>
    <row r="2226" spans="2:8" x14ac:dyDescent="0.3">
      <c r="B2226" s="4">
        <v>42237</v>
      </c>
      <c r="C2226" s="7">
        <v>815.37</v>
      </c>
      <c r="D2226" s="6">
        <f t="shared" si="72"/>
        <v>0.66779848227617666</v>
      </c>
      <c r="E2226" s="6">
        <v>4.0142345248796235E-3</v>
      </c>
      <c r="F2226" s="6"/>
      <c r="G2226" s="6">
        <v>2219</v>
      </c>
      <c r="H2226" s="6">
        <f t="shared" ca="1" si="73"/>
        <v>-4.5969203792878255E-4</v>
      </c>
    </row>
    <row r="2227" spans="2:8" x14ac:dyDescent="0.3">
      <c r="B2227" s="4">
        <v>41772</v>
      </c>
      <c r="C2227" s="7">
        <v>488.89</v>
      </c>
      <c r="D2227" s="6">
        <f t="shared" si="72"/>
        <v>11.170525267612645</v>
      </c>
      <c r="E2227" s="6">
        <v>4.0046001560767007E-3</v>
      </c>
      <c r="F2227" s="6"/>
      <c r="G2227" s="6">
        <v>2220</v>
      </c>
      <c r="H2227" s="6">
        <f t="shared" ca="1" si="73"/>
        <v>-5.8231759340003422E-3</v>
      </c>
    </row>
    <row r="2228" spans="2:8" x14ac:dyDescent="0.3">
      <c r="B2228" s="4">
        <v>38650</v>
      </c>
      <c r="C2228" s="7">
        <v>40.17</v>
      </c>
      <c r="D2228" s="6">
        <f t="shared" si="72"/>
        <v>-0.98487962419260122</v>
      </c>
      <c r="E2228" s="6">
        <v>3.9990002499376079E-3</v>
      </c>
      <c r="F2228" s="6"/>
      <c r="G2228" s="6">
        <v>2221</v>
      </c>
      <c r="H2228" s="6">
        <f t="shared" ca="1" si="73"/>
        <v>-9.6825662065480296E-4</v>
      </c>
    </row>
    <row r="2229" spans="2:8" x14ac:dyDescent="0.3">
      <c r="B2229" s="4">
        <v>44197</v>
      </c>
      <c r="C2229" s="5">
        <v>2656.68</v>
      </c>
      <c r="D2229" s="6">
        <f t="shared" si="72"/>
        <v>-0.15531165346119119</v>
      </c>
      <c r="E2229" s="6">
        <v>3.9983371754657524E-3</v>
      </c>
      <c r="F2229" s="6"/>
      <c r="G2229" s="6">
        <v>2222</v>
      </c>
      <c r="H2229" s="6">
        <f t="shared" ca="1" si="73"/>
        <v>2.1075401504955838E-2</v>
      </c>
    </row>
    <row r="2230" spans="2:8" x14ac:dyDescent="0.3">
      <c r="B2230" s="4">
        <v>44609</v>
      </c>
      <c r="C2230" s="5">
        <v>3145.16</v>
      </c>
      <c r="D2230" s="6">
        <f t="shared" si="72"/>
        <v>9.001431329125989E-2</v>
      </c>
      <c r="E2230" s="6">
        <v>3.9966290413197755E-3</v>
      </c>
      <c r="F2230" s="6"/>
      <c r="G2230" s="6">
        <v>2223</v>
      </c>
      <c r="H2230" s="6">
        <f t="shared" ca="1" si="73"/>
        <v>-1.6605259681774928E-3</v>
      </c>
    </row>
    <row r="2231" spans="2:8" x14ac:dyDescent="0.3">
      <c r="B2231" s="4">
        <v>45457</v>
      </c>
      <c r="C2231" s="5">
        <v>2885.43</v>
      </c>
      <c r="D2231" s="6">
        <f t="shared" si="72"/>
        <v>0.28405121199040539</v>
      </c>
      <c r="E2231" s="6">
        <v>3.9840221574262234E-3</v>
      </c>
      <c r="F2231" s="6"/>
      <c r="G2231" s="6">
        <v>2224</v>
      </c>
      <c r="H2231" s="6">
        <f t="shared" ca="1" si="73"/>
        <v>-1.1169210033056879E-3</v>
      </c>
    </row>
    <row r="2232" spans="2:8" x14ac:dyDescent="0.3">
      <c r="B2232" s="4">
        <v>45653</v>
      </c>
      <c r="C2232" s="5">
        <v>2247.13</v>
      </c>
      <c r="D2232" s="6">
        <f t="shared" si="72"/>
        <v>0.52337468646193497</v>
      </c>
      <c r="E2232" s="6">
        <v>3.980841919025078E-3</v>
      </c>
      <c r="F2232" s="6"/>
      <c r="G2232" s="6">
        <v>2225</v>
      </c>
      <c r="H2232" s="6">
        <f t="shared" ca="1" si="73"/>
        <v>-8.5931822175950492E-3</v>
      </c>
    </row>
    <row r="2233" spans="2:8" x14ac:dyDescent="0.3">
      <c r="B2233" s="4">
        <v>43727</v>
      </c>
      <c r="C2233" s="5">
        <v>1475.1</v>
      </c>
      <c r="D2233" s="6">
        <f t="shared" si="72"/>
        <v>-0.54834798423764786</v>
      </c>
      <c r="E2233" s="6">
        <v>3.9747900303553612E-3</v>
      </c>
      <c r="F2233" s="6"/>
      <c r="G2233" s="6">
        <v>2226</v>
      </c>
      <c r="H2233" s="6">
        <f t="shared" ca="1" si="73"/>
        <v>1.8500769181648311E-2</v>
      </c>
    </row>
    <row r="2234" spans="2:8" x14ac:dyDescent="0.3">
      <c r="B2234" s="4">
        <v>45555</v>
      </c>
      <c r="C2234" s="5">
        <v>3266.01</v>
      </c>
      <c r="D2234" s="6">
        <f t="shared" si="72"/>
        <v>11.401784697171065</v>
      </c>
      <c r="E2234" s="6">
        <v>3.9746947508208499E-3</v>
      </c>
      <c r="F2234" s="6"/>
      <c r="G2234" s="6">
        <v>2227</v>
      </c>
      <c r="H2234" s="6">
        <f t="shared" ca="1" si="73"/>
        <v>1.6737154509582367E-2</v>
      </c>
    </row>
    <row r="2235" spans="2:8" x14ac:dyDescent="0.3">
      <c r="B2235" s="4">
        <v>40947</v>
      </c>
      <c r="C2235" s="7">
        <v>263.35000000000002</v>
      </c>
      <c r="D2235" s="6">
        <f t="shared" si="72"/>
        <v>5.9302631578947373</v>
      </c>
      <c r="E2235" s="6">
        <v>3.9647745034501946E-3</v>
      </c>
      <c r="F2235" s="6"/>
      <c r="G2235" s="6">
        <v>2228</v>
      </c>
      <c r="H2235" s="6">
        <f t="shared" ca="1" si="73"/>
        <v>-6.7113330378623026E-3</v>
      </c>
    </row>
    <row r="2236" spans="2:8" x14ac:dyDescent="0.3">
      <c r="B2236" s="4">
        <v>38588</v>
      </c>
      <c r="C2236" s="7">
        <v>38</v>
      </c>
      <c r="D2236" s="6">
        <f t="shared" si="72"/>
        <v>-0.85905567300916141</v>
      </c>
      <c r="E2236" s="6">
        <v>3.9630118890356296E-3</v>
      </c>
      <c r="F2236" s="6"/>
      <c r="G2236" s="6">
        <v>2229</v>
      </c>
      <c r="H2236" s="6">
        <f t="shared" ca="1" si="73"/>
        <v>6.8612257480459068E-3</v>
      </c>
    </row>
    <row r="2237" spans="2:8" x14ac:dyDescent="0.3">
      <c r="B2237" s="4">
        <v>40805</v>
      </c>
      <c r="C2237" s="7">
        <v>269.61</v>
      </c>
      <c r="D2237" s="6">
        <f t="shared" si="72"/>
        <v>0.11340078463762134</v>
      </c>
      <c r="E2237" s="6">
        <v>3.9471234407000644E-3</v>
      </c>
      <c r="F2237" s="6"/>
      <c r="G2237" s="6">
        <v>2230</v>
      </c>
      <c r="H2237" s="6">
        <f t="shared" ca="1" si="73"/>
        <v>2.3924273751419298E-2</v>
      </c>
    </row>
    <row r="2238" spans="2:8" x14ac:dyDescent="0.3">
      <c r="B2238" s="4">
        <v>40414</v>
      </c>
      <c r="C2238" s="7">
        <v>242.15</v>
      </c>
      <c r="D2238" s="6">
        <f t="shared" si="72"/>
        <v>-0.92161908461189868</v>
      </c>
      <c r="E2238" s="6">
        <v>3.938640132670054E-3</v>
      </c>
      <c r="F2238" s="6"/>
      <c r="G2238" s="6">
        <v>2231</v>
      </c>
      <c r="H2238" s="6">
        <f t="shared" ca="1" si="73"/>
        <v>1.6266460549332767E-2</v>
      </c>
    </row>
    <row r="2239" spans="2:8" x14ac:dyDescent="0.3">
      <c r="B2239" s="4">
        <v>45210</v>
      </c>
      <c r="C2239" s="5">
        <v>3089.4</v>
      </c>
      <c r="D2239" s="6">
        <f t="shared" si="72"/>
        <v>133.49717022202876</v>
      </c>
      <c r="E2239" s="6">
        <v>3.9352807177744469E-3</v>
      </c>
      <c r="F2239" s="6"/>
      <c r="G2239" s="6">
        <v>2232</v>
      </c>
      <c r="H2239" s="6">
        <f t="shared" ca="1" si="73"/>
        <v>3.138819210861672E-3</v>
      </c>
    </row>
    <row r="2240" spans="2:8" x14ac:dyDescent="0.3">
      <c r="B2240" s="4">
        <v>38154</v>
      </c>
      <c r="C2240" s="7">
        <v>22.97</v>
      </c>
      <c r="D2240" s="6">
        <f t="shared" si="72"/>
        <v>-0.98677376633845792</v>
      </c>
      <c r="E2240" s="6">
        <v>3.9335664335664279E-3</v>
      </c>
      <c r="F2240" s="6"/>
      <c r="G2240" s="6">
        <v>2233</v>
      </c>
      <c r="H2240" s="6">
        <f t="shared" ca="1" si="73"/>
        <v>-2.0539900256270942E-2</v>
      </c>
    </row>
    <row r="2241" spans="2:8" x14ac:dyDescent="0.3">
      <c r="B2241" s="4">
        <v>43886</v>
      </c>
      <c r="C2241" s="5">
        <v>1736.7</v>
      </c>
      <c r="D2241" s="6">
        <f t="shared" si="72"/>
        <v>83.965753424657535</v>
      </c>
      <c r="E2241" s="6">
        <v>3.9308630556679309E-3</v>
      </c>
      <c r="F2241" s="6"/>
      <c r="G2241" s="6">
        <v>2234</v>
      </c>
      <c r="H2241" s="6">
        <f t="shared" ca="1" si="73"/>
        <v>4.2819959184035332E-3</v>
      </c>
    </row>
    <row r="2242" spans="2:8" x14ac:dyDescent="0.3">
      <c r="B2242" s="4">
        <v>37838</v>
      </c>
      <c r="C2242" s="7">
        <v>20.440000000000001</v>
      </c>
      <c r="D2242" s="6">
        <f t="shared" si="72"/>
        <v>-0.11515151515151516</v>
      </c>
      <c r="E2242" s="6">
        <v>3.9292730844794621E-3</v>
      </c>
      <c r="F2242" s="6"/>
      <c r="G2242" s="6">
        <v>2235</v>
      </c>
      <c r="H2242" s="6">
        <f t="shared" ca="1" si="73"/>
        <v>6.4706850127243228E-3</v>
      </c>
    </row>
    <row r="2243" spans="2:8" x14ac:dyDescent="0.3">
      <c r="B2243" s="4">
        <v>37897</v>
      </c>
      <c r="C2243" s="7">
        <v>23.1</v>
      </c>
      <c r="D2243" s="6">
        <f t="shared" si="72"/>
        <v>-0.43877551020408156</v>
      </c>
      <c r="E2243" s="6">
        <v>3.9113428943937352E-3</v>
      </c>
      <c r="F2243" s="6"/>
      <c r="G2243" s="6">
        <v>2236</v>
      </c>
      <c r="H2243" s="6">
        <f t="shared" ca="1" si="73"/>
        <v>2.2282066068548814E-3</v>
      </c>
    </row>
    <row r="2244" spans="2:8" x14ac:dyDescent="0.3">
      <c r="B2244" s="4">
        <v>38678</v>
      </c>
      <c r="C2244" s="7">
        <v>41.16</v>
      </c>
      <c r="D2244" s="6">
        <f t="shared" si="72"/>
        <v>0.59782608695652151</v>
      </c>
      <c r="E2244" s="6">
        <v>3.9024390243901606E-3</v>
      </c>
      <c r="F2244" s="6"/>
      <c r="G2244" s="6">
        <v>2237</v>
      </c>
      <c r="H2244" s="6">
        <f t="shared" ca="1" si="73"/>
        <v>2.1237750842265746E-2</v>
      </c>
    </row>
    <row r="2245" spans="2:8" x14ac:dyDescent="0.3">
      <c r="B2245" s="4">
        <v>37987</v>
      </c>
      <c r="C2245" s="7">
        <v>25.76</v>
      </c>
      <c r="D2245" s="6">
        <f t="shared" si="72"/>
        <v>-0.96894627077983919</v>
      </c>
      <c r="E2245" s="6">
        <v>3.8971161340608505E-3</v>
      </c>
      <c r="F2245" s="6"/>
      <c r="G2245" s="6">
        <v>2238</v>
      </c>
      <c r="H2245" s="6">
        <f t="shared" ca="1" si="73"/>
        <v>1.813804560216381E-2</v>
      </c>
    </row>
    <row r="2246" spans="2:8" x14ac:dyDescent="0.3">
      <c r="B2246" s="4">
        <v>42226</v>
      </c>
      <c r="C2246" s="7">
        <v>829.53</v>
      </c>
      <c r="D2246" s="6">
        <f t="shared" si="72"/>
        <v>-0.73063534637840233</v>
      </c>
      <c r="E2246" s="6">
        <v>3.896842589343016E-3</v>
      </c>
      <c r="F2246" s="6"/>
      <c r="G2246" s="6">
        <v>2239</v>
      </c>
      <c r="H2246" s="6">
        <f t="shared" ca="1" si="73"/>
        <v>-9.485965225734104E-3</v>
      </c>
    </row>
    <row r="2247" spans="2:8" x14ac:dyDescent="0.3">
      <c r="B2247" s="4">
        <v>45258</v>
      </c>
      <c r="C2247" s="5">
        <v>3079.58</v>
      </c>
      <c r="D2247" s="6">
        <f t="shared" si="72"/>
        <v>98.24524653561069</v>
      </c>
      <c r="E2247" s="6">
        <v>3.888970384496222E-3</v>
      </c>
      <c r="F2247" s="6"/>
      <c r="G2247" s="6">
        <v>2240</v>
      </c>
      <c r="H2247" s="6">
        <f t="shared" ca="1" si="73"/>
        <v>2.6069414792235439E-4</v>
      </c>
    </row>
    <row r="2248" spans="2:8" x14ac:dyDescent="0.3">
      <c r="B2248" s="4">
        <v>38513</v>
      </c>
      <c r="C2248" s="7">
        <v>31.03</v>
      </c>
      <c r="D2248" s="6">
        <f t="shared" ref="D2248:D2311" si="74">((C2248-C2249)/C2249)</f>
        <v>-0.93029159365592851</v>
      </c>
      <c r="E2248" s="6">
        <v>3.8822387576836299E-3</v>
      </c>
      <c r="F2248" s="6"/>
      <c r="G2248" s="6">
        <v>2241</v>
      </c>
      <c r="H2248" s="6">
        <f t="shared" ca="1" si="73"/>
        <v>1.4702635938918017E-2</v>
      </c>
    </row>
    <row r="2249" spans="2:8" x14ac:dyDescent="0.3">
      <c r="B2249" s="4">
        <v>41649</v>
      </c>
      <c r="C2249" s="7">
        <v>445.14</v>
      </c>
      <c r="D2249" s="6">
        <f t="shared" si="74"/>
        <v>13.317787069797363</v>
      </c>
      <c r="E2249" s="6">
        <v>3.8789409589102216E-3</v>
      </c>
      <c r="F2249" s="6"/>
      <c r="G2249" s="6">
        <v>2242</v>
      </c>
      <c r="H2249" s="6">
        <f t="shared" ref="H2249:H2312" ca="1" si="75">_xlfn.NORM.INV(RAND(),N$10,N$11)</f>
        <v>-3.8860369741022969E-3</v>
      </c>
    </row>
    <row r="2250" spans="2:8" x14ac:dyDescent="0.3">
      <c r="B2250" s="4">
        <v>38443</v>
      </c>
      <c r="C2250" s="7">
        <v>31.09</v>
      </c>
      <c r="D2250" s="6">
        <f t="shared" si="74"/>
        <v>-0.99076022349025195</v>
      </c>
      <c r="E2250" s="6">
        <v>3.8747174685179529E-3</v>
      </c>
      <c r="F2250" s="6"/>
      <c r="G2250" s="6">
        <v>2243</v>
      </c>
      <c r="H2250" s="6">
        <f t="shared" ca="1" si="75"/>
        <v>-2.7250203490104472E-5</v>
      </c>
    </row>
    <row r="2251" spans="2:8" x14ac:dyDescent="0.3">
      <c r="B2251" s="4">
        <v>44778</v>
      </c>
      <c r="C2251" s="5">
        <v>3364.8</v>
      </c>
      <c r="D2251" s="6">
        <f t="shared" si="74"/>
        <v>2.1191657010428737</v>
      </c>
      <c r="E2251" s="6">
        <v>3.8725229875112678E-3</v>
      </c>
      <c r="F2251" s="6"/>
      <c r="G2251" s="6">
        <v>2244</v>
      </c>
      <c r="H2251" s="6">
        <f t="shared" ca="1" si="75"/>
        <v>1.2821704089368422E-2</v>
      </c>
    </row>
    <row r="2252" spans="2:8" x14ac:dyDescent="0.3">
      <c r="B2252" s="4">
        <v>42944</v>
      </c>
      <c r="C2252" s="5">
        <v>1078.75</v>
      </c>
      <c r="D2252" s="6">
        <f t="shared" si="74"/>
        <v>-0.52330133983808813</v>
      </c>
      <c r="E2252" s="6">
        <v>3.8712439162844267E-3</v>
      </c>
      <c r="F2252" s="6"/>
      <c r="G2252" s="6">
        <v>2245</v>
      </c>
      <c r="H2252" s="6">
        <f t="shared" ca="1" si="75"/>
        <v>-2.2901222236458756E-3</v>
      </c>
    </row>
    <row r="2253" spans="2:8" x14ac:dyDescent="0.3">
      <c r="B2253" s="4">
        <v>45727</v>
      </c>
      <c r="C2253" s="5">
        <v>2262.96</v>
      </c>
      <c r="D2253" s="6">
        <f t="shared" si="74"/>
        <v>-0.18916478555304742</v>
      </c>
      <c r="E2253" s="6">
        <v>3.8638127980481474E-3</v>
      </c>
      <c r="F2253" s="6"/>
      <c r="G2253" s="6">
        <v>2246</v>
      </c>
      <c r="H2253" s="6">
        <f t="shared" ca="1" si="75"/>
        <v>3.6877466075984647E-2</v>
      </c>
    </row>
    <row r="2254" spans="2:8" x14ac:dyDescent="0.3">
      <c r="B2254" s="4">
        <v>46007</v>
      </c>
      <c r="C2254" s="5">
        <v>2790.9</v>
      </c>
      <c r="D2254" s="6">
        <f t="shared" si="74"/>
        <v>117.81226053639848</v>
      </c>
      <c r="E2254" s="6">
        <v>3.8486439824474044E-3</v>
      </c>
      <c r="F2254" s="6"/>
      <c r="G2254" s="6">
        <v>2247</v>
      </c>
      <c r="H2254" s="6">
        <f t="shared" ca="1" si="75"/>
        <v>-1.3852195029160021E-2</v>
      </c>
    </row>
    <row r="2255" spans="2:8" x14ac:dyDescent="0.3">
      <c r="B2255" s="4">
        <v>37938</v>
      </c>
      <c r="C2255" s="7">
        <v>23.49</v>
      </c>
      <c r="D2255" s="6">
        <f t="shared" si="74"/>
        <v>-0.99238109447572598</v>
      </c>
      <c r="E2255" s="6">
        <v>3.8461538461538403E-3</v>
      </c>
      <c r="F2255" s="6"/>
      <c r="G2255" s="6">
        <v>2248</v>
      </c>
      <c r="H2255" s="6">
        <f t="shared" ca="1" si="75"/>
        <v>1.70368195973006E-2</v>
      </c>
    </row>
    <row r="2256" spans="2:8" x14ac:dyDescent="0.3">
      <c r="B2256" s="4">
        <v>44908</v>
      </c>
      <c r="C2256" s="5">
        <v>3083.12</v>
      </c>
      <c r="D2256" s="6">
        <f t="shared" si="74"/>
        <v>2.8024715719888502</v>
      </c>
      <c r="E2256" s="6">
        <v>3.8354594411558946E-3</v>
      </c>
      <c r="F2256" s="6"/>
      <c r="G2256" s="6">
        <v>2249</v>
      </c>
      <c r="H2256" s="6">
        <f t="shared" ca="1" si="75"/>
        <v>-8.0439815830708125E-3</v>
      </c>
    </row>
    <row r="2257" spans="2:8" x14ac:dyDescent="0.3">
      <c r="B2257" s="4">
        <v>42356</v>
      </c>
      <c r="C2257" s="7">
        <v>810.82</v>
      </c>
      <c r="D2257" s="6">
        <f t="shared" si="74"/>
        <v>-0.72685868283644928</v>
      </c>
      <c r="E2257" s="6">
        <v>3.8255357607121583E-3</v>
      </c>
      <c r="F2257" s="6"/>
      <c r="G2257" s="6">
        <v>2250</v>
      </c>
      <c r="H2257" s="6">
        <f t="shared" ca="1" si="75"/>
        <v>-5.1305461247758179E-3</v>
      </c>
    </row>
    <row r="2258" spans="2:8" x14ac:dyDescent="0.3">
      <c r="B2258" s="4">
        <v>45996</v>
      </c>
      <c r="C2258" s="5">
        <v>2968.5</v>
      </c>
      <c r="D2258" s="6">
        <f t="shared" si="74"/>
        <v>111.99961933764752</v>
      </c>
      <c r="E2258" s="6">
        <v>3.8211821993778517E-3</v>
      </c>
      <c r="F2258" s="6"/>
      <c r="G2258" s="6">
        <v>2251</v>
      </c>
      <c r="H2258" s="6">
        <f t="shared" ca="1" si="75"/>
        <v>-1.1392595033716094E-2</v>
      </c>
    </row>
    <row r="2259" spans="2:8" x14ac:dyDescent="0.3">
      <c r="B2259" s="4">
        <v>38000</v>
      </c>
      <c r="C2259" s="7">
        <v>26.27</v>
      </c>
      <c r="D2259" s="6">
        <f t="shared" si="74"/>
        <v>-0.98871461772754421</v>
      </c>
      <c r="E2259" s="6">
        <v>3.8211692777989246E-3</v>
      </c>
      <c r="F2259" s="6"/>
      <c r="G2259" s="6">
        <v>2252</v>
      </c>
      <c r="H2259" s="6">
        <f t="shared" ca="1" si="75"/>
        <v>-1.0352194652334324E-2</v>
      </c>
    </row>
    <row r="2260" spans="2:8" x14ac:dyDescent="0.3">
      <c r="B2260" s="4">
        <v>44265</v>
      </c>
      <c r="C2260" s="5">
        <v>2327.79</v>
      </c>
      <c r="D2260" s="6">
        <f t="shared" si="74"/>
        <v>5.6388785899666312</v>
      </c>
      <c r="E2260" s="6">
        <v>3.8163988718983282E-3</v>
      </c>
      <c r="F2260" s="6"/>
      <c r="G2260" s="6">
        <v>2253</v>
      </c>
      <c r="H2260" s="6">
        <f t="shared" ca="1" si="75"/>
        <v>5.3760518912372214E-4</v>
      </c>
    </row>
    <row r="2261" spans="2:8" x14ac:dyDescent="0.3">
      <c r="B2261" s="4">
        <v>41200</v>
      </c>
      <c r="C2261" s="7">
        <v>350.63</v>
      </c>
      <c r="D2261" s="6">
        <f t="shared" si="74"/>
        <v>-0.5556977584043995</v>
      </c>
      <c r="E2261" s="6">
        <v>3.8076152304608759E-3</v>
      </c>
      <c r="F2261" s="6"/>
      <c r="G2261" s="6">
        <v>2254</v>
      </c>
      <c r="H2261" s="6">
        <f t="shared" ca="1" si="75"/>
        <v>1.5327955320428681E-2</v>
      </c>
    </row>
    <row r="2262" spans="2:8" x14ac:dyDescent="0.3">
      <c r="B2262" s="4">
        <v>42244</v>
      </c>
      <c r="C2262" s="7">
        <v>789.17</v>
      </c>
      <c r="D2262" s="6">
        <f t="shared" si="74"/>
        <v>-0.64666350269534534</v>
      </c>
      <c r="E2262" s="6">
        <v>3.80320028492204E-3</v>
      </c>
      <c r="F2262" s="6"/>
      <c r="G2262" s="6">
        <v>2255</v>
      </c>
      <c r="H2262" s="6">
        <f t="shared" ca="1" si="75"/>
        <v>1.0331893026133311E-2</v>
      </c>
    </row>
    <row r="2263" spans="2:8" x14ac:dyDescent="0.3">
      <c r="B2263" s="4">
        <v>45709</v>
      </c>
      <c r="C2263" s="5">
        <v>2233.48</v>
      </c>
      <c r="D2263" s="6">
        <f t="shared" si="74"/>
        <v>-0.27886658185833563</v>
      </c>
      <c r="E2263" s="6">
        <v>3.8022130138156227E-3</v>
      </c>
      <c r="F2263" s="6"/>
      <c r="G2263" s="6">
        <v>2256</v>
      </c>
      <c r="H2263" s="6">
        <f t="shared" ca="1" si="75"/>
        <v>1.6035632567245352E-2</v>
      </c>
    </row>
    <row r="2264" spans="2:8" x14ac:dyDescent="0.3">
      <c r="B2264" s="4">
        <v>44851</v>
      </c>
      <c r="C2264" s="5">
        <v>3097.18</v>
      </c>
      <c r="D2264" s="6">
        <f t="shared" si="74"/>
        <v>1.8470129702997602</v>
      </c>
      <c r="E2264" s="6">
        <v>3.7984611694851984E-3</v>
      </c>
      <c r="F2264" s="6"/>
      <c r="G2264" s="6">
        <v>2257</v>
      </c>
      <c r="H2264" s="6">
        <f t="shared" ca="1" si="75"/>
        <v>2.3050532467163713E-2</v>
      </c>
    </row>
    <row r="2265" spans="2:8" x14ac:dyDescent="0.3">
      <c r="B2265" s="4">
        <v>43018</v>
      </c>
      <c r="C2265" s="5">
        <v>1087.8699999999999</v>
      </c>
      <c r="D2265" s="6">
        <f t="shared" si="74"/>
        <v>8.1325554063129601</v>
      </c>
      <c r="E2265" s="6">
        <v>3.7923525503800659E-3</v>
      </c>
      <c r="F2265" s="6"/>
      <c r="G2265" s="6">
        <v>2258</v>
      </c>
      <c r="H2265" s="6">
        <f t="shared" ca="1" si="75"/>
        <v>1.5923255195673013E-2</v>
      </c>
    </row>
    <row r="2266" spans="2:8" x14ac:dyDescent="0.3">
      <c r="B2266" s="4">
        <v>40063</v>
      </c>
      <c r="C2266" s="7">
        <v>119.12</v>
      </c>
      <c r="D2266" s="6">
        <f t="shared" si="74"/>
        <v>-0.91000438192230404</v>
      </c>
      <c r="E2266" s="6">
        <v>3.7920283138114337E-3</v>
      </c>
      <c r="F2266" s="6"/>
      <c r="G2266" s="6">
        <v>2259</v>
      </c>
      <c r="H2266" s="6">
        <f t="shared" ca="1" si="75"/>
        <v>-3.6840418239043526E-3</v>
      </c>
    </row>
    <row r="2267" spans="2:8" x14ac:dyDescent="0.3">
      <c r="B2267" s="4">
        <v>43489</v>
      </c>
      <c r="C2267" s="5">
        <v>1323.62</v>
      </c>
      <c r="D2267" s="6">
        <f t="shared" si="74"/>
        <v>0.70052417904311615</v>
      </c>
      <c r="E2267" s="6">
        <v>3.7918429873655796E-3</v>
      </c>
      <c r="F2267" s="6"/>
      <c r="G2267" s="6">
        <v>2260</v>
      </c>
      <c r="H2267" s="6">
        <f t="shared" ca="1" si="75"/>
        <v>-6.2351799973788683E-3</v>
      </c>
    </row>
    <row r="2268" spans="2:8" x14ac:dyDescent="0.3">
      <c r="B2268" s="4">
        <v>42208</v>
      </c>
      <c r="C2268" s="7">
        <v>778.36</v>
      </c>
      <c r="D2268" s="6">
        <f t="shared" si="74"/>
        <v>-0.65471442830209603</v>
      </c>
      <c r="E2268" s="6">
        <v>3.7914936421552898E-3</v>
      </c>
      <c r="F2268" s="6"/>
      <c r="G2268" s="6">
        <v>2261</v>
      </c>
      <c r="H2268" s="6">
        <f t="shared" ca="1" si="75"/>
        <v>2.5420546353131828E-2</v>
      </c>
    </row>
    <row r="2269" spans="2:8" x14ac:dyDescent="0.3">
      <c r="B2269" s="4">
        <v>45726</v>
      </c>
      <c r="C2269" s="5">
        <v>2254.25</v>
      </c>
      <c r="D2269" s="6">
        <f t="shared" si="74"/>
        <v>7.0202440673141924</v>
      </c>
      <c r="E2269" s="6">
        <v>3.7893968135225891E-3</v>
      </c>
      <c r="F2269" s="6"/>
      <c r="G2269" s="6">
        <v>2262</v>
      </c>
      <c r="H2269" s="6">
        <f t="shared" ca="1" si="75"/>
        <v>3.3950411614919192E-2</v>
      </c>
    </row>
    <row r="2270" spans="2:8" x14ac:dyDescent="0.3">
      <c r="B2270" s="4">
        <v>40968</v>
      </c>
      <c r="C2270" s="7">
        <v>281.07</v>
      </c>
      <c r="D2270" s="6">
        <f t="shared" si="74"/>
        <v>-0.65713135551868851</v>
      </c>
      <c r="E2270" s="6">
        <v>3.7855790864612061E-3</v>
      </c>
      <c r="F2270" s="6"/>
      <c r="G2270" s="6">
        <v>2263</v>
      </c>
      <c r="H2270" s="6">
        <f t="shared" ca="1" si="75"/>
        <v>5.816936880774462E-3</v>
      </c>
    </row>
    <row r="2271" spans="2:8" x14ac:dyDescent="0.3">
      <c r="B2271" s="4">
        <v>42481</v>
      </c>
      <c r="C2271" s="7">
        <v>819.76</v>
      </c>
      <c r="D2271" s="6">
        <f t="shared" si="74"/>
        <v>-0.55455572943835851</v>
      </c>
      <c r="E2271" s="6">
        <v>3.7836580258856479E-3</v>
      </c>
      <c r="F2271" s="6"/>
      <c r="G2271" s="6">
        <v>2264</v>
      </c>
      <c r="H2271" s="6">
        <f t="shared" ca="1" si="75"/>
        <v>8.019796552414641E-3</v>
      </c>
    </row>
    <row r="2272" spans="2:8" x14ac:dyDescent="0.3">
      <c r="B2272" s="4">
        <v>44099</v>
      </c>
      <c r="C2272" s="5">
        <v>1840.32</v>
      </c>
      <c r="D2272" s="6">
        <f t="shared" si="74"/>
        <v>114.23606762680024</v>
      </c>
      <c r="E2272" s="6">
        <v>3.7798831672474684E-3</v>
      </c>
      <c r="F2272" s="6"/>
      <c r="G2272" s="6">
        <v>2265</v>
      </c>
      <c r="H2272" s="6">
        <f t="shared" ca="1" si="75"/>
        <v>-5.0636868451636461E-3</v>
      </c>
    </row>
    <row r="2273" spans="2:8" x14ac:dyDescent="0.3">
      <c r="B2273" s="4">
        <v>37679</v>
      </c>
      <c r="C2273" s="7">
        <v>15.97</v>
      </c>
      <c r="D2273" s="6">
        <f t="shared" si="74"/>
        <v>-0.78603965702036438</v>
      </c>
      <c r="E2273" s="6">
        <v>3.7712130735386862E-3</v>
      </c>
      <c r="F2273" s="6"/>
      <c r="G2273" s="6">
        <v>2266</v>
      </c>
      <c r="H2273" s="6">
        <f t="shared" ca="1" si="75"/>
        <v>1.9544771477518269E-3</v>
      </c>
    </row>
    <row r="2274" spans="2:8" x14ac:dyDescent="0.3">
      <c r="B2274" s="4">
        <v>39812</v>
      </c>
      <c r="C2274" s="7">
        <v>74.64</v>
      </c>
      <c r="D2274" s="6">
        <f t="shared" si="74"/>
        <v>-0.80830572463209804</v>
      </c>
      <c r="E2274" s="6">
        <v>3.7654653039268576E-3</v>
      </c>
      <c r="F2274" s="6"/>
      <c r="G2274" s="6">
        <v>2267</v>
      </c>
      <c r="H2274" s="6">
        <f t="shared" ca="1" si="75"/>
        <v>-9.7924454091977715E-3</v>
      </c>
    </row>
    <row r="2275" spans="2:8" x14ac:dyDescent="0.3">
      <c r="B2275" s="4">
        <v>41246</v>
      </c>
      <c r="C2275" s="7">
        <v>389.37</v>
      </c>
      <c r="D2275" s="6">
        <f t="shared" si="74"/>
        <v>-0.70570273232304148</v>
      </c>
      <c r="E2275" s="6">
        <v>3.7637596349668206E-3</v>
      </c>
      <c r="F2275" s="6"/>
      <c r="G2275" s="6">
        <v>2268</v>
      </c>
      <c r="H2275" s="6">
        <f t="shared" ca="1" si="75"/>
        <v>1.3436531121477082E-2</v>
      </c>
    </row>
    <row r="2276" spans="2:8" x14ac:dyDescent="0.3">
      <c r="B2276" s="4">
        <v>43473</v>
      </c>
      <c r="C2276" s="5">
        <v>1323.05</v>
      </c>
      <c r="D2276" s="6">
        <f t="shared" si="74"/>
        <v>-0.36592414381427985</v>
      </c>
      <c r="E2276" s="6">
        <v>3.7554055079281131E-3</v>
      </c>
      <c r="F2276" s="6"/>
      <c r="G2276" s="6">
        <v>2269</v>
      </c>
      <c r="H2276" s="6">
        <f t="shared" ca="1" si="75"/>
        <v>2.0899487359032423E-3</v>
      </c>
    </row>
    <row r="2277" spans="2:8" x14ac:dyDescent="0.3">
      <c r="B2277" s="4">
        <v>44148</v>
      </c>
      <c r="C2277" s="5">
        <v>2086.58</v>
      </c>
      <c r="D2277" s="6">
        <f t="shared" si="74"/>
        <v>-0.33294118023164748</v>
      </c>
      <c r="E2277" s="6">
        <v>3.7522008100904021E-3</v>
      </c>
      <c r="F2277" s="6"/>
      <c r="G2277" s="6">
        <v>2270</v>
      </c>
      <c r="H2277" s="6">
        <f t="shared" ca="1" si="75"/>
        <v>-2.0967980773712928E-2</v>
      </c>
    </row>
    <row r="2278" spans="2:8" x14ac:dyDescent="0.3">
      <c r="B2278" s="4">
        <v>45084</v>
      </c>
      <c r="C2278" s="5">
        <v>3128.03</v>
      </c>
      <c r="D2278" s="6">
        <f t="shared" si="74"/>
        <v>14.356062837506139</v>
      </c>
      <c r="E2278" s="6">
        <v>3.7479743931202502E-3</v>
      </c>
      <c r="F2278" s="6"/>
      <c r="G2278" s="6">
        <v>2271</v>
      </c>
      <c r="H2278" s="6">
        <f t="shared" ca="1" si="75"/>
        <v>-7.9673820990963842E-3</v>
      </c>
    </row>
    <row r="2279" spans="2:8" x14ac:dyDescent="0.3">
      <c r="B2279" s="4">
        <v>40364</v>
      </c>
      <c r="C2279" s="7">
        <v>203.7</v>
      </c>
      <c r="D2279" s="6">
        <f t="shared" si="74"/>
        <v>7.4417737256527143</v>
      </c>
      <c r="E2279" s="6">
        <v>3.7449492460825411E-3</v>
      </c>
      <c r="F2279" s="6"/>
      <c r="G2279" s="6">
        <v>2272</v>
      </c>
      <c r="H2279" s="6">
        <f t="shared" ca="1" si="75"/>
        <v>-7.6186240540805673E-3</v>
      </c>
    </row>
    <row r="2280" spans="2:8" x14ac:dyDescent="0.3">
      <c r="B2280" s="4">
        <v>38055</v>
      </c>
      <c r="C2280" s="7">
        <v>24.13</v>
      </c>
      <c r="D2280" s="6">
        <f t="shared" si="74"/>
        <v>-2.0678246484698392E-3</v>
      </c>
      <c r="E2280" s="6">
        <v>3.7437603993344367E-3</v>
      </c>
      <c r="F2280" s="6"/>
      <c r="G2280" s="6">
        <v>2273</v>
      </c>
      <c r="H2280" s="6">
        <f t="shared" ca="1" si="75"/>
        <v>9.7376562724701948E-3</v>
      </c>
    </row>
    <row r="2281" spans="2:8" x14ac:dyDescent="0.3">
      <c r="B2281" s="4">
        <v>38058</v>
      </c>
      <c r="C2281" s="7">
        <v>24.18</v>
      </c>
      <c r="D2281" s="6">
        <f t="shared" si="74"/>
        <v>-0.99222270468471085</v>
      </c>
      <c r="E2281" s="6">
        <v>3.7359900373598945E-3</v>
      </c>
      <c r="F2281" s="6"/>
      <c r="G2281" s="6">
        <v>2274</v>
      </c>
      <c r="H2281" s="6">
        <f t="shared" ca="1" si="75"/>
        <v>7.8175681969115396E-3</v>
      </c>
    </row>
    <row r="2282" spans="2:8" x14ac:dyDescent="0.3">
      <c r="B2282" s="4">
        <v>44601</v>
      </c>
      <c r="C2282" s="5">
        <v>3109.05</v>
      </c>
      <c r="D2282" s="6">
        <f t="shared" si="74"/>
        <v>191.3917079207921</v>
      </c>
      <c r="E2282" s="6">
        <v>3.7320540179307765E-3</v>
      </c>
      <c r="F2282" s="6"/>
      <c r="G2282" s="6">
        <v>2275</v>
      </c>
      <c r="H2282" s="6">
        <f t="shared" ca="1" si="75"/>
        <v>1.4471189950650186E-2</v>
      </c>
    </row>
    <row r="2283" spans="2:8" x14ac:dyDescent="0.3">
      <c r="B2283" s="4">
        <v>37726</v>
      </c>
      <c r="C2283" s="7">
        <v>16.16</v>
      </c>
      <c r="D2283" s="6">
        <f t="shared" si="74"/>
        <v>0</v>
      </c>
      <c r="E2283" s="6">
        <v>3.7267080745340816E-3</v>
      </c>
      <c r="F2283" s="6"/>
      <c r="G2283" s="6">
        <v>2276</v>
      </c>
      <c r="H2283" s="6">
        <f t="shared" ca="1" si="75"/>
        <v>1.3482300037222212E-2</v>
      </c>
    </row>
    <row r="2284" spans="2:8" x14ac:dyDescent="0.3">
      <c r="B2284" s="4">
        <v>37673</v>
      </c>
      <c r="C2284" s="7">
        <v>16.16</v>
      </c>
      <c r="D2284" s="6">
        <f t="shared" si="74"/>
        <v>-0.98212942893793964</v>
      </c>
      <c r="E2284" s="6">
        <v>3.7267080745340816E-3</v>
      </c>
      <c r="F2284" s="6"/>
      <c r="G2284" s="6">
        <v>2277</v>
      </c>
      <c r="H2284" s="6">
        <f t="shared" ca="1" si="75"/>
        <v>3.2870653025740158E-3</v>
      </c>
    </row>
    <row r="2285" spans="2:8" x14ac:dyDescent="0.3">
      <c r="B2285" s="4">
        <v>42765</v>
      </c>
      <c r="C2285" s="7">
        <v>904.28</v>
      </c>
      <c r="D2285" s="6">
        <f t="shared" si="74"/>
        <v>-0.56974083008597765</v>
      </c>
      <c r="E2285" s="6">
        <v>3.718379896329374E-3</v>
      </c>
      <c r="F2285" s="6"/>
      <c r="G2285" s="6">
        <v>2278</v>
      </c>
      <c r="H2285" s="6">
        <f t="shared" ca="1" si="75"/>
        <v>5.3378041855447408E-3</v>
      </c>
    </row>
    <row r="2286" spans="2:8" x14ac:dyDescent="0.3">
      <c r="B2286" s="4">
        <v>44153</v>
      </c>
      <c r="C2286" s="5">
        <v>2101.71</v>
      </c>
      <c r="D2286" s="6">
        <f t="shared" si="74"/>
        <v>-0.2731570501736087</v>
      </c>
      <c r="E2286" s="6">
        <v>3.7011213203690615E-3</v>
      </c>
      <c r="F2286" s="6"/>
      <c r="G2286" s="6">
        <v>2279</v>
      </c>
      <c r="H2286" s="6">
        <f t="shared" ca="1" si="75"/>
        <v>7.3566697517483595E-3</v>
      </c>
    </row>
    <row r="2287" spans="2:8" x14ac:dyDescent="0.3">
      <c r="B2287" s="4">
        <v>45474</v>
      </c>
      <c r="C2287" s="5">
        <v>2891.56</v>
      </c>
      <c r="D2287" s="6">
        <f t="shared" si="74"/>
        <v>116.92659053833606</v>
      </c>
      <c r="E2287" s="6">
        <v>3.6862968336723052E-3</v>
      </c>
      <c r="F2287" s="6"/>
      <c r="G2287" s="6">
        <v>2280</v>
      </c>
      <c r="H2287" s="6">
        <f t="shared" ca="1" si="75"/>
        <v>4.3551696812860188E-3</v>
      </c>
    </row>
    <row r="2288" spans="2:8" x14ac:dyDescent="0.3">
      <c r="B2288" s="4">
        <v>38162</v>
      </c>
      <c r="C2288" s="7">
        <v>24.52</v>
      </c>
      <c r="D2288" s="6">
        <f t="shared" si="74"/>
        <v>-0.18375499334221038</v>
      </c>
      <c r="E2288" s="6">
        <v>3.6839950880065437E-3</v>
      </c>
      <c r="F2288" s="6"/>
      <c r="G2288" s="6">
        <v>2281</v>
      </c>
      <c r="H2288" s="6">
        <f t="shared" ca="1" si="75"/>
        <v>-2.1155570247462695E-2</v>
      </c>
    </row>
    <row r="2289" spans="2:8" x14ac:dyDescent="0.3">
      <c r="B2289" s="4">
        <v>38482</v>
      </c>
      <c r="C2289" s="7">
        <v>30.04</v>
      </c>
      <c r="D2289" s="6">
        <f t="shared" si="74"/>
        <v>-0.97542720185850196</v>
      </c>
      <c r="E2289" s="6">
        <v>3.6752422318743548E-3</v>
      </c>
      <c r="F2289" s="6"/>
      <c r="G2289" s="6">
        <v>2282</v>
      </c>
      <c r="H2289" s="6">
        <f t="shared" ca="1" si="75"/>
        <v>1.7429949585752266E-2</v>
      </c>
    </row>
    <row r="2290" spans="2:8" x14ac:dyDescent="0.3">
      <c r="B2290" s="4">
        <v>43354</v>
      </c>
      <c r="C2290" s="5">
        <v>1222.49</v>
      </c>
      <c r="D2290" s="6">
        <f t="shared" si="74"/>
        <v>-0.44746214689265534</v>
      </c>
      <c r="E2290" s="6">
        <v>3.6698904779888897E-3</v>
      </c>
      <c r="F2290" s="6"/>
      <c r="G2290" s="6">
        <v>2283</v>
      </c>
      <c r="H2290" s="6">
        <f t="shared" ca="1" si="75"/>
        <v>3.4673171476222051E-2</v>
      </c>
    </row>
    <row r="2291" spans="2:8" x14ac:dyDescent="0.3">
      <c r="B2291" s="4">
        <v>45701</v>
      </c>
      <c r="C2291" s="5">
        <v>2212.5</v>
      </c>
      <c r="D2291" s="6">
        <f t="shared" si="74"/>
        <v>88.502427184466029</v>
      </c>
      <c r="E2291" s="6">
        <v>3.656257371486611E-3</v>
      </c>
      <c r="F2291" s="6"/>
      <c r="G2291" s="6">
        <v>2284</v>
      </c>
      <c r="H2291" s="6">
        <f t="shared" ca="1" si="75"/>
        <v>-6.690413724933183E-3</v>
      </c>
    </row>
    <row r="2292" spans="2:8" x14ac:dyDescent="0.3">
      <c r="B2292" s="4">
        <v>38232</v>
      </c>
      <c r="C2292" s="7">
        <v>24.72</v>
      </c>
      <c r="D2292" s="6">
        <f t="shared" si="74"/>
        <v>0.49999999999999989</v>
      </c>
      <c r="E2292" s="6">
        <v>3.6540803897685691E-3</v>
      </c>
      <c r="F2292" s="6"/>
      <c r="G2292" s="6">
        <v>2285</v>
      </c>
      <c r="H2292" s="6">
        <f t="shared" ca="1" si="75"/>
        <v>1.85528091716079E-3</v>
      </c>
    </row>
    <row r="2293" spans="2:8" x14ac:dyDescent="0.3">
      <c r="B2293" s="4">
        <v>37586</v>
      </c>
      <c r="C2293" s="7">
        <v>16.48</v>
      </c>
      <c r="D2293" s="6">
        <f t="shared" si="74"/>
        <v>-0.57150286011440454</v>
      </c>
      <c r="E2293" s="6">
        <v>3.6540803897684966E-3</v>
      </c>
      <c r="F2293" s="6"/>
      <c r="G2293" s="6">
        <v>2286</v>
      </c>
      <c r="H2293" s="6">
        <f t="shared" ca="1" si="75"/>
        <v>1.3884326236697215E-4</v>
      </c>
    </row>
    <row r="2294" spans="2:8" x14ac:dyDescent="0.3">
      <c r="B2294" s="4">
        <v>38600</v>
      </c>
      <c r="C2294" s="7">
        <v>38.46</v>
      </c>
      <c r="D2294" s="6">
        <f t="shared" si="74"/>
        <v>0.16369137670196685</v>
      </c>
      <c r="E2294" s="6">
        <v>3.6534446764092004E-3</v>
      </c>
      <c r="F2294" s="6"/>
      <c r="G2294" s="6">
        <v>2287</v>
      </c>
      <c r="H2294" s="6">
        <f t="shared" ca="1" si="75"/>
        <v>1.5753224282510161E-2</v>
      </c>
    </row>
    <row r="2295" spans="2:8" x14ac:dyDescent="0.3">
      <c r="B2295" s="4">
        <v>38534</v>
      </c>
      <c r="C2295" s="7">
        <v>33.049999999999997</v>
      </c>
      <c r="D2295" s="6">
        <f t="shared" si="74"/>
        <v>-0.95796128113154755</v>
      </c>
      <c r="E2295" s="6">
        <v>3.6440935317339036E-3</v>
      </c>
      <c r="F2295" s="6"/>
      <c r="G2295" s="6">
        <v>2288</v>
      </c>
      <c r="H2295" s="6">
        <f t="shared" ca="1" si="75"/>
        <v>-1.0594615918915343E-2</v>
      </c>
    </row>
    <row r="2296" spans="2:8" x14ac:dyDescent="0.3">
      <c r="B2296" s="4">
        <v>42243</v>
      </c>
      <c r="C2296" s="7">
        <v>786.18</v>
      </c>
      <c r="D2296" s="6">
        <f t="shared" si="74"/>
        <v>4.0085727893316339E-2</v>
      </c>
      <c r="E2296" s="6">
        <v>3.6383133545247965E-3</v>
      </c>
      <c r="F2296" s="6"/>
      <c r="G2296" s="6">
        <v>2289</v>
      </c>
      <c r="H2296" s="6">
        <f t="shared" ca="1" si="75"/>
        <v>4.4253212873165641E-3</v>
      </c>
    </row>
    <row r="2297" spans="2:8" x14ac:dyDescent="0.3">
      <c r="B2297" s="4">
        <v>42048</v>
      </c>
      <c r="C2297" s="7">
        <v>755.88</v>
      </c>
      <c r="D2297" s="6">
        <f t="shared" si="74"/>
        <v>10.387164808677314</v>
      </c>
      <c r="E2297" s="6">
        <v>3.6381018137398215E-3</v>
      </c>
      <c r="F2297" s="6"/>
      <c r="G2297" s="6">
        <v>2290</v>
      </c>
      <c r="H2297" s="6">
        <f t="shared" ca="1" si="75"/>
        <v>-2.4720595417344286E-2</v>
      </c>
    </row>
    <row r="2298" spans="2:8" x14ac:dyDescent="0.3">
      <c r="B2298" s="4">
        <v>39217</v>
      </c>
      <c r="C2298" s="7">
        <v>66.38</v>
      </c>
      <c r="D2298" s="6">
        <f t="shared" si="74"/>
        <v>0.33132771760930596</v>
      </c>
      <c r="E2298" s="6">
        <v>3.628666465074008E-3</v>
      </c>
      <c r="F2298" s="6"/>
      <c r="G2298" s="6">
        <v>2291</v>
      </c>
      <c r="H2298" s="6">
        <f t="shared" ca="1" si="75"/>
        <v>8.5219176879483254E-3</v>
      </c>
    </row>
    <row r="2299" spans="2:8" x14ac:dyDescent="0.3">
      <c r="B2299" s="4">
        <v>38825</v>
      </c>
      <c r="C2299" s="7">
        <v>49.86</v>
      </c>
      <c r="D2299" s="6">
        <f t="shared" si="74"/>
        <v>-0.77531431661484396</v>
      </c>
      <c r="E2299" s="6">
        <v>3.6231884057970959E-3</v>
      </c>
      <c r="F2299" s="6"/>
      <c r="G2299" s="6">
        <v>2292</v>
      </c>
      <c r="H2299" s="6">
        <f t="shared" ca="1" si="75"/>
        <v>-2.6369128028241064E-2</v>
      </c>
    </row>
    <row r="2300" spans="2:8" x14ac:dyDescent="0.3">
      <c r="B2300" s="4">
        <v>40637</v>
      </c>
      <c r="C2300" s="7">
        <v>221.91</v>
      </c>
      <c r="D2300" s="6">
        <f t="shared" si="74"/>
        <v>4.7119691119691121</v>
      </c>
      <c r="E2300" s="6">
        <v>3.6181086337116496E-3</v>
      </c>
      <c r="F2300" s="6"/>
      <c r="G2300" s="6">
        <v>2293</v>
      </c>
      <c r="H2300" s="6">
        <f t="shared" ca="1" si="75"/>
        <v>1.0258038221329171E-2</v>
      </c>
    </row>
    <row r="2301" spans="2:8" x14ac:dyDescent="0.3">
      <c r="B2301" s="4">
        <v>38594</v>
      </c>
      <c r="C2301" s="7">
        <v>38.85</v>
      </c>
      <c r="D2301" s="6">
        <f t="shared" si="74"/>
        <v>-0.97036228954174075</v>
      </c>
      <c r="E2301" s="6">
        <v>3.6166365280289477E-3</v>
      </c>
      <c r="F2301" s="6"/>
      <c r="G2301" s="6">
        <v>2294</v>
      </c>
      <c r="H2301" s="6">
        <f t="shared" ca="1" si="75"/>
        <v>6.6520925852158958E-3</v>
      </c>
    </row>
    <row r="2302" spans="2:8" x14ac:dyDescent="0.3">
      <c r="B2302" s="4">
        <v>43468</v>
      </c>
      <c r="C2302" s="5">
        <v>1310.83</v>
      </c>
      <c r="D2302" s="6">
        <f t="shared" si="74"/>
        <v>51.349440894568687</v>
      </c>
      <c r="E2302" s="6">
        <v>3.6137844438830021E-3</v>
      </c>
      <c r="F2302" s="6"/>
      <c r="G2302" s="6">
        <v>2295</v>
      </c>
      <c r="H2302" s="6">
        <f t="shared" ca="1" si="75"/>
        <v>1.7644743917142668E-2</v>
      </c>
    </row>
    <row r="2303" spans="2:8" x14ac:dyDescent="0.3">
      <c r="B2303" s="4">
        <v>37984</v>
      </c>
      <c r="C2303" s="7">
        <v>25.04</v>
      </c>
      <c r="D2303" s="6">
        <f t="shared" si="74"/>
        <v>-0.93846305079747361</v>
      </c>
      <c r="E2303" s="6">
        <v>3.6072144288577098E-3</v>
      </c>
      <c r="F2303" s="6"/>
      <c r="G2303" s="6">
        <v>2296</v>
      </c>
      <c r="H2303" s="6">
        <f t="shared" ca="1" si="75"/>
        <v>1.2871359766988272E-2</v>
      </c>
    </row>
    <row r="2304" spans="2:8" x14ac:dyDescent="0.3">
      <c r="B2304" s="4">
        <v>41320</v>
      </c>
      <c r="C2304" s="7">
        <v>406.91</v>
      </c>
      <c r="D2304" s="6">
        <f t="shared" si="74"/>
        <v>12.202790395846854</v>
      </c>
      <c r="E2304" s="6">
        <v>3.6009372302380971E-3</v>
      </c>
      <c r="F2304" s="6"/>
      <c r="G2304" s="6">
        <v>2297</v>
      </c>
      <c r="H2304" s="6">
        <f t="shared" ca="1" si="75"/>
        <v>-2.7741099279104071E-2</v>
      </c>
    </row>
    <row r="2305" spans="2:8" x14ac:dyDescent="0.3">
      <c r="B2305" s="4">
        <v>38491</v>
      </c>
      <c r="C2305" s="7">
        <v>30.82</v>
      </c>
      <c r="D2305" s="6">
        <f t="shared" si="74"/>
        <v>-0.97028968043572561</v>
      </c>
      <c r="E2305" s="6">
        <v>3.5818951481601897E-3</v>
      </c>
      <c r="F2305" s="6"/>
      <c r="G2305" s="6">
        <v>2298</v>
      </c>
      <c r="H2305" s="6">
        <f t="shared" ca="1" si="75"/>
        <v>5.2632795761637947E-3</v>
      </c>
    </row>
    <row r="2306" spans="2:8" x14ac:dyDescent="0.3">
      <c r="B2306" s="4">
        <v>43179</v>
      </c>
      <c r="C2306" s="5">
        <v>1037.3499999999999</v>
      </c>
      <c r="D2306" s="6">
        <f t="shared" si="74"/>
        <v>-0.65763687429248474</v>
      </c>
      <c r="E2306" s="6">
        <v>3.5795482029698815E-3</v>
      </c>
      <c r="F2306" s="6"/>
      <c r="G2306" s="6">
        <v>2299</v>
      </c>
      <c r="H2306" s="6">
        <f t="shared" ca="1" si="75"/>
        <v>4.5727999916499867E-2</v>
      </c>
    </row>
    <row r="2307" spans="2:8" x14ac:dyDescent="0.3">
      <c r="B2307" s="4">
        <v>44923</v>
      </c>
      <c r="C2307" s="5">
        <v>3029.97</v>
      </c>
      <c r="D2307" s="6">
        <f t="shared" si="74"/>
        <v>96.709448564979027</v>
      </c>
      <c r="E2307" s="6">
        <v>3.5671701112877526E-3</v>
      </c>
      <c r="F2307" s="6"/>
      <c r="G2307" s="6">
        <v>2300</v>
      </c>
      <c r="H2307" s="6">
        <f t="shared" ca="1" si="75"/>
        <v>6.7120502753996863E-3</v>
      </c>
    </row>
    <row r="2308" spans="2:8" x14ac:dyDescent="0.3">
      <c r="B2308" s="4">
        <v>38461</v>
      </c>
      <c r="C2308" s="7">
        <v>31.01</v>
      </c>
      <c r="D2308" s="6">
        <f t="shared" si="74"/>
        <v>-0.93082911378287347</v>
      </c>
      <c r="E2308" s="6">
        <v>3.5598705501619092E-3</v>
      </c>
      <c r="F2308" s="6"/>
      <c r="G2308" s="6">
        <v>2301</v>
      </c>
      <c r="H2308" s="6">
        <f t="shared" ca="1" si="75"/>
        <v>1.0468124335386925E-2</v>
      </c>
    </row>
    <row r="2309" spans="2:8" x14ac:dyDescent="0.3">
      <c r="B2309" s="4">
        <v>41712</v>
      </c>
      <c r="C2309" s="7">
        <v>448.31</v>
      </c>
      <c r="D2309" s="6">
        <f t="shared" si="74"/>
        <v>-0.80557627589078173</v>
      </c>
      <c r="E2309" s="6">
        <v>3.5592765042979382E-3</v>
      </c>
      <c r="F2309" s="6"/>
      <c r="G2309" s="6">
        <v>2302</v>
      </c>
      <c r="H2309" s="6">
        <f t="shared" ca="1" si="75"/>
        <v>-3.2220943141495505E-2</v>
      </c>
    </row>
    <row r="2310" spans="2:8" x14ac:dyDescent="0.3">
      <c r="B2310" s="4">
        <v>45741</v>
      </c>
      <c r="C2310" s="5">
        <v>2305.84</v>
      </c>
      <c r="D2310" s="6">
        <f t="shared" si="74"/>
        <v>1.3375843960990248</v>
      </c>
      <c r="E2310" s="6">
        <v>3.5514083771457775E-3</v>
      </c>
      <c r="F2310" s="6"/>
      <c r="G2310" s="6">
        <v>2303</v>
      </c>
      <c r="H2310" s="6">
        <f t="shared" ca="1" si="75"/>
        <v>-2.1724028442526511E-2</v>
      </c>
    </row>
    <row r="2311" spans="2:8" x14ac:dyDescent="0.3">
      <c r="B2311" s="4">
        <v>42817</v>
      </c>
      <c r="C2311" s="7">
        <v>986.42</v>
      </c>
      <c r="D2311" s="6">
        <f t="shared" si="74"/>
        <v>-6.8219602508879443E-2</v>
      </c>
      <c r="E2311" s="6">
        <v>3.5506088938174734E-3</v>
      </c>
      <c r="F2311" s="6"/>
      <c r="G2311" s="6">
        <v>2304</v>
      </c>
      <c r="H2311" s="6">
        <f t="shared" ca="1" si="75"/>
        <v>1.1799288189976378E-2</v>
      </c>
    </row>
    <row r="2312" spans="2:8" x14ac:dyDescent="0.3">
      <c r="B2312" s="4">
        <v>42927</v>
      </c>
      <c r="C2312" s="5">
        <v>1058.6400000000001</v>
      </c>
      <c r="D2312" s="6">
        <f t="shared" ref="D2312:D2375" si="76">((C2312-C2313)/C2313)</f>
        <v>0.30697909850738908</v>
      </c>
      <c r="E2312" s="6">
        <v>3.5453597497393202E-3</v>
      </c>
      <c r="F2312" s="6"/>
      <c r="G2312" s="6">
        <v>2305</v>
      </c>
      <c r="H2312" s="6">
        <f t="shared" ca="1" si="75"/>
        <v>-1.6126525592762041E-3</v>
      </c>
    </row>
    <row r="2313" spans="2:8" x14ac:dyDescent="0.3">
      <c r="B2313" s="4">
        <v>42353</v>
      </c>
      <c r="C2313" s="7">
        <v>809.99</v>
      </c>
      <c r="D2313" s="6">
        <f t="shared" si="76"/>
        <v>27.470650263620385</v>
      </c>
      <c r="E2313" s="6">
        <v>3.5434192757052936E-3</v>
      </c>
      <c r="F2313" s="6"/>
      <c r="G2313" s="6">
        <v>2306</v>
      </c>
      <c r="H2313" s="6">
        <f t="shared" ref="H2313:H2376" ca="1" si="77">_xlfn.NORM.INV(RAND(),N$10,N$11)</f>
        <v>-1.7614228332928306E-2</v>
      </c>
    </row>
    <row r="2314" spans="2:8" x14ac:dyDescent="0.3">
      <c r="B2314" s="4">
        <v>38397</v>
      </c>
      <c r="C2314" s="7">
        <v>28.45</v>
      </c>
      <c r="D2314" s="6">
        <f t="shared" si="76"/>
        <v>-0.61564442042691159</v>
      </c>
      <c r="E2314" s="6">
        <v>3.5273368606701188E-3</v>
      </c>
      <c r="F2314" s="6"/>
      <c r="G2314" s="6">
        <v>2307</v>
      </c>
      <c r="H2314" s="6">
        <f t="shared" ca="1" si="77"/>
        <v>9.1120451712349924E-3</v>
      </c>
    </row>
    <row r="2315" spans="2:8" x14ac:dyDescent="0.3">
      <c r="B2315" s="4">
        <v>39799</v>
      </c>
      <c r="C2315" s="7">
        <v>74.02</v>
      </c>
      <c r="D2315" s="6">
        <f t="shared" si="76"/>
        <v>-0.75005065171878171</v>
      </c>
      <c r="E2315" s="6">
        <v>3.5249457700649522E-3</v>
      </c>
      <c r="F2315" s="6"/>
      <c r="G2315" s="6">
        <v>2308</v>
      </c>
      <c r="H2315" s="6">
        <f t="shared" ca="1" si="77"/>
        <v>2.4096698983636037E-2</v>
      </c>
    </row>
    <row r="2316" spans="2:8" x14ac:dyDescent="0.3">
      <c r="B2316" s="4">
        <v>41019</v>
      </c>
      <c r="C2316" s="7">
        <v>296.14</v>
      </c>
      <c r="D2316" s="6">
        <f t="shared" si="76"/>
        <v>-0.72643966966578599</v>
      </c>
      <c r="E2316" s="6">
        <v>3.5242290748897444E-3</v>
      </c>
      <c r="F2316" s="6"/>
      <c r="G2316" s="6">
        <v>2309</v>
      </c>
      <c r="H2316" s="6">
        <f t="shared" ca="1" si="77"/>
        <v>2.7438020987217292E-3</v>
      </c>
    </row>
    <row r="2317" spans="2:8" x14ac:dyDescent="0.3">
      <c r="B2317" s="4">
        <v>43014</v>
      </c>
      <c r="C2317" s="5">
        <v>1082.54</v>
      </c>
      <c r="D2317" s="6">
        <f t="shared" si="76"/>
        <v>-0.64944674539925973</v>
      </c>
      <c r="E2317" s="6">
        <v>3.5133256083429557E-3</v>
      </c>
      <c r="F2317" s="6"/>
      <c r="G2317" s="6">
        <v>2310</v>
      </c>
      <c r="H2317" s="6">
        <f t="shared" ca="1" si="77"/>
        <v>7.0013699338549321E-3</v>
      </c>
    </row>
    <row r="2318" spans="2:8" x14ac:dyDescent="0.3">
      <c r="B2318" s="4">
        <v>45534</v>
      </c>
      <c r="C2318" s="5">
        <v>3088.09</v>
      </c>
      <c r="D2318" s="6">
        <f t="shared" si="76"/>
        <v>9.6809975096845609</v>
      </c>
      <c r="E2318" s="6">
        <v>3.5128425102687907E-3</v>
      </c>
      <c r="F2318" s="6"/>
      <c r="G2318" s="6">
        <v>2311</v>
      </c>
      <c r="H2318" s="6">
        <f t="shared" ca="1" si="77"/>
        <v>1.1356616661289448E-2</v>
      </c>
    </row>
    <row r="2319" spans="2:8" x14ac:dyDescent="0.3">
      <c r="B2319" s="4">
        <v>40791</v>
      </c>
      <c r="C2319" s="7">
        <v>289.12</v>
      </c>
      <c r="D2319" s="6">
        <f t="shared" si="76"/>
        <v>-0.30010409353893819</v>
      </c>
      <c r="E2319" s="6">
        <v>3.5056054979000759E-3</v>
      </c>
      <c r="F2319" s="6"/>
      <c r="G2319" s="6">
        <v>2312</v>
      </c>
      <c r="H2319" s="6">
        <f t="shared" ca="1" si="77"/>
        <v>-6.428178125048767E-3</v>
      </c>
    </row>
    <row r="2320" spans="2:8" x14ac:dyDescent="0.3">
      <c r="B2320" s="4">
        <v>41442</v>
      </c>
      <c r="C2320" s="7">
        <v>413.09</v>
      </c>
      <c r="D2320" s="6">
        <f t="shared" si="76"/>
        <v>22.961136890951277</v>
      </c>
      <c r="E2320" s="6">
        <v>3.4981173326855287E-3</v>
      </c>
      <c r="F2320" s="6"/>
      <c r="G2320" s="6">
        <v>2313</v>
      </c>
      <c r="H2320" s="6">
        <f t="shared" ca="1" si="77"/>
        <v>2.3763907779387368E-3</v>
      </c>
    </row>
    <row r="2321" spans="2:8" x14ac:dyDescent="0.3">
      <c r="B2321" s="4">
        <v>37505</v>
      </c>
      <c r="C2321" s="7">
        <v>17.239999999999998</v>
      </c>
      <c r="D2321" s="6">
        <f t="shared" si="76"/>
        <v>-0.99377594859020191</v>
      </c>
      <c r="E2321" s="6">
        <v>3.4924330616995765E-3</v>
      </c>
      <c r="F2321" s="6"/>
      <c r="G2321" s="6">
        <v>2314</v>
      </c>
      <c r="H2321" s="6">
        <f t="shared" ca="1" si="77"/>
        <v>-3.5265930129004301E-2</v>
      </c>
    </row>
    <row r="2322" spans="2:8" x14ac:dyDescent="0.3">
      <c r="B2322" s="4">
        <v>45352</v>
      </c>
      <c r="C2322" s="5">
        <v>2769.9</v>
      </c>
      <c r="D2322" s="6">
        <f t="shared" si="76"/>
        <v>2.4247249565721891E-3</v>
      </c>
      <c r="E2322" s="6">
        <v>3.4924246266655576E-3</v>
      </c>
      <c r="F2322" s="6"/>
      <c r="G2322" s="6">
        <v>2315</v>
      </c>
      <c r="H2322" s="6">
        <f t="shared" ca="1" si="77"/>
        <v>2.3927094361127856E-2</v>
      </c>
    </row>
    <row r="2323" spans="2:8" x14ac:dyDescent="0.3">
      <c r="B2323" s="4">
        <v>45371</v>
      </c>
      <c r="C2323" s="5">
        <v>2763.2</v>
      </c>
      <c r="D2323" s="6">
        <f t="shared" si="76"/>
        <v>118.77459904638056</v>
      </c>
      <c r="E2323" s="6">
        <v>3.4827008908304698E-3</v>
      </c>
      <c r="F2323" s="6"/>
      <c r="G2323" s="6">
        <v>2316</v>
      </c>
      <c r="H2323" s="6">
        <f t="shared" ca="1" si="77"/>
        <v>-2.7377017927780311E-3</v>
      </c>
    </row>
    <row r="2324" spans="2:8" x14ac:dyDescent="0.3">
      <c r="B2324" s="4">
        <v>37904</v>
      </c>
      <c r="C2324" s="7">
        <v>23.07</v>
      </c>
      <c r="D2324" s="6">
        <f t="shared" si="76"/>
        <v>-0.98082453661374791</v>
      </c>
      <c r="E2324" s="6">
        <v>3.479773814702125E-3</v>
      </c>
      <c r="F2324" s="6"/>
      <c r="G2324" s="6">
        <v>2317</v>
      </c>
      <c r="H2324" s="6">
        <f t="shared" ca="1" si="77"/>
        <v>1.3457063768673914E-2</v>
      </c>
    </row>
    <row r="2325" spans="2:8" x14ac:dyDescent="0.3">
      <c r="B2325" s="4">
        <v>43262</v>
      </c>
      <c r="C2325" s="5">
        <v>1203.0999999999999</v>
      </c>
      <c r="D2325" s="6">
        <f t="shared" si="76"/>
        <v>-0.57954736076940283</v>
      </c>
      <c r="E2325" s="6">
        <v>3.4781013069986114E-3</v>
      </c>
      <c r="F2325" s="6"/>
      <c r="G2325" s="6">
        <v>2318</v>
      </c>
      <c r="H2325" s="6">
        <f t="shared" ca="1" si="77"/>
        <v>4.0797277622890218E-2</v>
      </c>
    </row>
    <row r="2326" spans="2:8" x14ac:dyDescent="0.3">
      <c r="B2326" s="4">
        <v>45602</v>
      </c>
      <c r="C2326" s="5">
        <v>2861.44</v>
      </c>
      <c r="D2326" s="6">
        <f t="shared" si="76"/>
        <v>122.44434857635895</v>
      </c>
      <c r="E2326" s="6">
        <v>3.4647701608944261E-3</v>
      </c>
      <c r="F2326" s="6"/>
      <c r="G2326" s="6">
        <v>2319</v>
      </c>
      <c r="H2326" s="6">
        <f t="shared" ca="1" si="77"/>
        <v>-1.7044551639272387E-2</v>
      </c>
    </row>
    <row r="2327" spans="2:8" x14ac:dyDescent="0.3">
      <c r="B2327" s="4">
        <v>37873</v>
      </c>
      <c r="C2327" s="7">
        <v>23.18</v>
      </c>
      <c r="D2327" s="6">
        <f t="shared" si="76"/>
        <v>-0.70373210633946826</v>
      </c>
      <c r="E2327" s="6">
        <v>3.463203463203389E-3</v>
      </c>
      <c r="F2327" s="6"/>
      <c r="G2327" s="6">
        <v>2320</v>
      </c>
      <c r="H2327" s="6">
        <f t="shared" ca="1" si="77"/>
        <v>5.0220263591195351E-3</v>
      </c>
    </row>
    <row r="2328" spans="2:8" x14ac:dyDescent="0.3">
      <c r="B2328" s="4">
        <v>39827</v>
      </c>
      <c r="C2328" s="7">
        <v>78.239999999999995</v>
      </c>
      <c r="D2328" s="6">
        <f t="shared" si="76"/>
        <v>-0.91434108102781941</v>
      </c>
      <c r="E2328" s="6">
        <v>3.4628703347440812E-3</v>
      </c>
      <c r="F2328" s="6"/>
      <c r="G2328" s="6">
        <v>2321</v>
      </c>
      <c r="H2328" s="6">
        <f t="shared" ca="1" si="77"/>
        <v>5.778818588472941E-4</v>
      </c>
    </row>
    <row r="2329" spans="2:8" x14ac:dyDescent="0.3">
      <c r="B2329" s="4">
        <v>42543</v>
      </c>
      <c r="C2329" s="7">
        <v>913.39</v>
      </c>
      <c r="D2329" s="6">
        <f t="shared" si="76"/>
        <v>3.1919776033778513</v>
      </c>
      <c r="E2329" s="6">
        <v>3.4606257690279235E-3</v>
      </c>
      <c r="F2329" s="6"/>
      <c r="G2329" s="6">
        <v>2322</v>
      </c>
      <c r="H2329" s="6">
        <f t="shared" ca="1" si="77"/>
        <v>1.6824815908152629E-2</v>
      </c>
    </row>
    <row r="2330" spans="2:8" x14ac:dyDescent="0.3">
      <c r="B2330" s="4">
        <v>40584</v>
      </c>
      <c r="C2330" s="7">
        <v>217.89</v>
      </c>
      <c r="D2330" s="6">
        <f t="shared" si="76"/>
        <v>3.9940407976163188</v>
      </c>
      <c r="E2330" s="6">
        <v>3.4539928156949434E-3</v>
      </c>
      <c r="F2330" s="6"/>
      <c r="G2330" s="6">
        <v>2323</v>
      </c>
      <c r="H2330" s="6">
        <f t="shared" ca="1" si="77"/>
        <v>1.3996398817280049E-2</v>
      </c>
    </row>
    <row r="2331" spans="2:8" x14ac:dyDescent="0.3">
      <c r="B2331" s="4">
        <v>38693</v>
      </c>
      <c r="C2331" s="7">
        <v>43.63</v>
      </c>
      <c r="D2331" s="6">
        <f t="shared" si="76"/>
        <v>-0.91136617572371759</v>
      </c>
      <c r="E2331" s="6">
        <v>3.4498620055199102E-3</v>
      </c>
      <c r="F2331" s="6"/>
      <c r="G2331" s="6">
        <v>2324</v>
      </c>
      <c r="H2331" s="6">
        <f t="shared" ca="1" si="77"/>
        <v>-5.3060695767993696E-3</v>
      </c>
    </row>
    <row r="2332" spans="2:8" x14ac:dyDescent="0.3">
      <c r="B2332" s="4">
        <v>41806</v>
      </c>
      <c r="C2332" s="7">
        <v>492.25</v>
      </c>
      <c r="D2332" s="6">
        <f t="shared" si="76"/>
        <v>-0.38772591017077751</v>
      </c>
      <c r="E2332" s="6">
        <v>3.445042400521848E-3</v>
      </c>
      <c r="F2332" s="6"/>
      <c r="G2332" s="6">
        <v>2325</v>
      </c>
      <c r="H2332" s="6">
        <f t="shared" ca="1" si="77"/>
        <v>2.0588487781802431E-2</v>
      </c>
    </row>
    <row r="2333" spans="2:8" x14ac:dyDescent="0.3">
      <c r="B2333" s="4">
        <v>42229</v>
      </c>
      <c r="C2333" s="7">
        <v>803.97</v>
      </c>
      <c r="D2333" s="6">
        <f t="shared" si="76"/>
        <v>0.11345474690118423</v>
      </c>
      <c r="E2333" s="6">
        <v>3.4447897554948028E-3</v>
      </c>
      <c r="F2333" s="6"/>
      <c r="G2333" s="6">
        <v>2326</v>
      </c>
      <c r="H2333" s="6">
        <f t="shared" ca="1" si="77"/>
        <v>6.6623857755510876E-3</v>
      </c>
    </row>
    <row r="2334" spans="2:8" x14ac:dyDescent="0.3">
      <c r="B2334" s="4">
        <v>42156</v>
      </c>
      <c r="C2334" s="7">
        <v>722.05</v>
      </c>
      <c r="D2334" s="6">
        <f t="shared" si="76"/>
        <v>-0.4018902934013685</v>
      </c>
      <c r="E2334" s="6">
        <v>3.4325578809860104E-3</v>
      </c>
      <c r="F2334" s="6"/>
      <c r="G2334" s="6">
        <v>2327</v>
      </c>
      <c r="H2334" s="6">
        <f t="shared" ca="1" si="77"/>
        <v>-5.4498883544482754E-3</v>
      </c>
    </row>
    <row r="2335" spans="2:8" x14ac:dyDescent="0.3">
      <c r="B2335" s="4">
        <v>43263</v>
      </c>
      <c r="C2335" s="5">
        <v>1207.22</v>
      </c>
      <c r="D2335" s="6">
        <f t="shared" si="76"/>
        <v>1.0902432689810408</v>
      </c>
      <c r="E2335" s="6">
        <v>3.4244867425817626E-3</v>
      </c>
      <c r="F2335" s="6"/>
      <c r="G2335" s="6">
        <v>2328</v>
      </c>
      <c r="H2335" s="6">
        <f t="shared" ca="1" si="77"/>
        <v>5.8880425577409919E-3</v>
      </c>
    </row>
    <row r="2336" spans="2:8" x14ac:dyDescent="0.3">
      <c r="B2336" s="4">
        <v>41913</v>
      </c>
      <c r="C2336" s="7">
        <v>577.54999999999995</v>
      </c>
      <c r="D2336" s="6">
        <f t="shared" si="76"/>
        <v>0.51444829032934747</v>
      </c>
      <c r="E2336" s="6">
        <v>3.4226345599220149E-3</v>
      </c>
      <c r="F2336" s="6"/>
      <c r="G2336" s="6">
        <v>2329</v>
      </c>
      <c r="H2336" s="6">
        <f t="shared" ca="1" si="77"/>
        <v>-3.0226917575153943E-3</v>
      </c>
    </row>
    <row r="2337" spans="2:8" x14ac:dyDescent="0.3">
      <c r="B2337" s="4">
        <v>41519</v>
      </c>
      <c r="C2337" s="7">
        <v>381.36</v>
      </c>
      <c r="D2337" s="6">
        <f t="shared" si="76"/>
        <v>15.221182475542323</v>
      </c>
      <c r="E2337" s="6">
        <v>3.4205125506499272E-3</v>
      </c>
      <c r="F2337" s="6"/>
      <c r="G2337" s="6">
        <v>2330</v>
      </c>
      <c r="H2337" s="6">
        <f t="shared" ca="1" si="77"/>
        <v>8.5188521709001173E-3</v>
      </c>
    </row>
    <row r="2338" spans="2:8" x14ac:dyDescent="0.3">
      <c r="B2338" s="4">
        <v>37932</v>
      </c>
      <c r="C2338" s="7">
        <v>23.51</v>
      </c>
      <c r="D2338" s="6">
        <f t="shared" si="76"/>
        <v>-0.9863394169702675</v>
      </c>
      <c r="E2338" s="6">
        <v>3.4144259496372963E-3</v>
      </c>
      <c r="F2338" s="6"/>
      <c r="G2338" s="6">
        <v>2331</v>
      </c>
      <c r="H2338" s="6">
        <f t="shared" ca="1" si="77"/>
        <v>1.4659478520578114E-2</v>
      </c>
    </row>
    <row r="2339" spans="2:8" x14ac:dyDescent="0.3">
      <c r="B2339" s="4">
        <v>43825</v>
      </c>
      <c r="C2339" s="5">
        <v>1721.01</v>
      </c>
      <c r="D2339" s="6">
        <f t="shared" si="76"/>
        <v>1.2830516568942185</v>
      </c>
      <c r="E2339" s="6">
        <v>3.410760512138756E-3</v>
      </c>
      <c r="F2339" s="6"/>
      <c r="G2339" s="6">
        <v>2332</v>
      </c>
      <c r="H2339" s="6">
        <f t="shared" ca="1" si="77"/>
        <v>-6.7366107212017664E-3</v>
      </c>
    </row>
    <row r="2340" spans="2:8" x14ac:dyDescent="0.3">
      <c r="B2340" s="4">
        <v>42100</v>
      </c>
      <c r="C2340" s="7">
        <v>753.82</v>
      </c>
      <c r="D2340" s="6">
        <f t="shared" si="76"/>
        <v>2.3146601002550353</v>
      </c>
      <c r="E2340" s="6">
        <v>3.4076085509677865E-3</v>
      </c>
      <c r="F2340" s="6"/>
      <c r="G2340" s="6">
        <v>2333</v>
      </c>
      <c r="H2340" s="6">
        <f t="shared" ca="1" si="77"/>
        <v>5.6929680407930621E-3</v>
      </c>
    </row>
    <row r="2341" spans="2:8" x14ac:dyDescent="0.3">
      <c r="B2341" s="4">
        <v>40395</v>
      </c>
      <c r="C2341" s="7">
        <v>227.42</v>
      </c>
      <c r="D2341" s="6">
        <f t="shared" si="76"/>
        <v>1.2510573883620381E-2</v>
      </c>
      <c r="E2341" s="6">
        <v>3.3973086256341577E-3</v>
      </c>
      <c r="F2341" s="6"/>
      <c r="G2341" s="6">
        <v>2334</v>
      </c>
      <c r="H2341" s="6">
        <f t="shared" ca="1" si="77"/>
        <v>-2.0799557461985928E-2</v>
      </c>
    </row>
    <row r="2342" spans="2:8" x14ac:dyDescent="0.3">
      <c r="B2342" s="4">
        <v>40641</v>
      </c>
      <c r="C2342" s="7">
        <v>224.61</v>
      </c>
      <c r="D2342" s="6">
        <f t="shared" si="76"/>
        <v>-0.90371491280714689</v>
      </c>
      <c r="E2342" s="6">
        <v>3.3951306678580268E-3</v>
      </c>
      <c r="F2342" s="6"/>
      <c r="G2342" s="6">
        <v>2335</v>
      </c>
      <c r="H2342" s="6">
        <f t="shared" ca="1" si="77"/>
        <v>2.9670219397937875E-2</v>
      </c>
    </row>
    <row r="2343" spans="2:8" x14ac:dyDescent="0.3">
      <c r="B2343" s="4">
        <v>45939</v>
      </c>
      <c r="C2343" s="5">
        <v>2332.7600000000002</v>
      </c>
      <c r="D2343" s="6">
        <f t="shared" si="76"/>
        <v>22.153945409429284</v>
      </c>
      <c r="E2343" s="6">
        <v>3.3937381444985432E-3</v>
      </c>
      <c r="F2343" s="6"/>
      <c r="G2343" s="6">
        <v>2336</v>
      </c>
      <c r="H2343" s="6">
        <f t="shared" ca="1" si="77"/>
        <v>-2.4743320271494399E-3</v>
      </c>
    </row>
    <row r="2344" spans="2:8" x14ac:dyDescent="0.3">
      <c r="B2344" s="4">
        <v>39721</v>
      </c>
      <c r="C2344" s="7">
        <v>100.75</v>
      </c>
      <c r="D2344" s="6">
        <f t="shared" si="76"/>
        <v>-0.82359223980949714</v>
      </c>
      <c r="E2344" s="6">
        <v>3.3861169206254697E-3</v>
      </c>
      <c r="F2344" s="6"/>
      <c r="G2344" s="6">
        <v>2337</v>
      </c>
      <c r="H2344" s="6">
        <f t="shared" ca="1" si="77"/>
        <v>-6.6563604835453583E-3</v>
      </c>
    </row>
    <row r="2345" spans="2:8" x14ac:dyDescent="0.3">
      <c r="B2345" s="4">
        <v>41885</v>
      </c>
      <c r="C2345" s="7">
        <v>571.12</v>
      </c>
      <c r="D2345" s="6">
        <f t="shared" si="76"/>
        <v>11.791041433370662</v>
      </c>
      <c r="E2345" s="6">
        <v>3.3731553056921275E-3</v>
      </c>
      <c r="F2345" s="6"/>
      <c r="G2345" s="6">
        <v>2338</v>
      </c>
      <c r="H2345" s="6">
        <f t="shared" ca="1" si="77"/>
        <v>1.8967428828333788E-3</v>
      </c>
    </row>
    <row r="2346" spans="2:8" x14ac:dyDescent="0.3">
      <c r="B2346" s="4">
        <v>38700</v>
      </c>
      <c r="C2346" s="7">
        <v>44.65</v>
      </c>
      <c r="D2346" s="6">
        <f t="shared" si="76"/>
        <v>-0.98493447424183123</v>
      </c>
      <c r="E2346" s="6">
        <v>3.3707865168539006E-3</v>
      </c>
      <c r="F2346" s="6"/>
      <c r="G2346" s="6">
        <v>2339</v>
      </c>
      <c r="H2346" s="6">
        <f t="shared" ca="1" si="77"/>
        <v>-8.5814104383284094E-3</v>
      </c>
    </row>
    <row r="2347" spans="2:8" x14ac:dyDescent="0.3">
      <c r="B2347" s="4">
        <v>44876</v>
      </c>
      <c r="C2347" s="5">
        <v>2963.72</v>
      </c>
      <c r="D2347" s="6">
        <f t="shared" si="76"/>
        <v>3.1436735006386163E-2</v>
      </c>
      <c r="E2347" s="6">
        <v>3.3685764294443432E-3</v>
      </c>
      <c r="F2347" s="6"/>
      <c r="G2347" s="6">
        <v>2340</v>
      </c>
      <c r="H2347" s="6">
        <f t="shared" ca="1" si="77"/>
        <v>1.2098664241876887E-2</v>
      </c>
    </row>
    <row r="2348" spans="2:8" x14ac:dyDescent="0.3">
      <c r="B2348" s="4">
        <v>45453</v>
      </c>
      <c r="C2348" s="5">
        <v>2873.39</v>
      </c>
      <c r="D2348" s="6">
        <f t="shared" si="76"/>
        <v>0.28134476115729007</v>
      </c>
      <c r="E2348" s="6">
        <v>3.3662156263639885E-3</v>
      </c>
      <c r="F2348" s="6"/>
      <c r="G2348" s="6">
        <v>2341</v>
      </c>
      <c r="H2348" s="6">
        <f t="shared" ca="1" si="77"/>
        <v>6.0884831084813311E-3</v>
      </c>
    </row>
    <row r="2349" spans="2:8" x14ac:dyDescent="0.3">
      <c r="B2349" s="4">
        <v>45810</v>
      </c>
      <c r="C2349" s="5">
        <v>2242.48</v>
      </c>
      <c r="D2349" s="6">
        <f t="shared" si="76"/>
        <v>40.712797619047613</v>
      </c>
      <c r="E2349" s="6">
        <v>3.3647134624333239E-3</v>
      </c>
      <c r="F2349" s="6"/>
      <c r="G2349" s="6">
        <v>2342</v>
      </c>
      <c r="H2349" s="6">
        <f t="shared" ca="1" si="77"/>
        <v>2.860897852043956E-2</v>
      </c>
    </row>
    <row r="2350" spans="2:8" x14ac:dyDescent="0.3">
      <c r="B2350" s="4">
        <v>38772</v>
      </c>
      <c r="C2350" s="7">
        <v>53.76</v>
      </c>
      <c r="D2350" s="6">
        <f t="shared" si="76"/>
        <v>-0.97607189114846904</v>
      </c>
      <c r="E2350" s="6">
        <v>3.3594624860022342E-3</v>
      </c>
      <c r="F2350" s="6"/>
      <c r="G2350" s="6">
        <v>2343</v>
      </c>
      <c r="H2350" s="6">
        <f t="shared" ca="1" si="77"/>
        <v>8.0427445911509122E-3</v>
      </c>
    </row>
    <row r="2351" spans="2:8" x14ac:dyDescent="0.3">
      <c r="B2351" s="4">
        <v>45695</v>
      </c>
      <c r="C2351" s="5">
        <v>2246.73</v>
      </c>
      <c r="D2351" s="6">
        <f t="shared" si="76"/>
        <v>8.2736616172039454</v>
      </c>
      <c r="E2351" s="6">
        <v>3.3583272672058368E-3</v>
      </c>
      <c r="F2351" s="6"/>
      <c r="G2351" s="6">
        <v>2344</v>
      </c>
      <c r="H2351" s="6">
        <f t="shared" ca="1" si="77"/>
        <v>-1.5531901721573231E-2</v>
      </c>
    </row>
    <row r="2352" spans="2:8" x14ac:dyDescent="0.3">
      <c r="B2352" s="4">
        <v>40927</v>
      </c>
      <c r="C2352" s="7">
        <v>242.27</v>
      </c>
      <c r="D2352" s="6">
        <f t="shared" si="76"/>
        <v>-0.14992982456140347</v>
      </c>
      <c r="E2352" s="6">
        <v>3.3545928932328427E-3</v>
      </c>
      <c r="F2352" s="6"/>
      <c r="G2352" s="6">
        <v>2345</v>
      </c>
      <c r="H2352" s="6">
        <f t="shared" ca="1" si="77"/>
        <v>-2.4415530261924938E-2</v>
      </c>
    </row>
    <row r="2353" spans="2:8" x14ac:dyDescent="0.3">
      <c r="B2353" s="4">
        <v>40983</v>
      </c>
      <c r="C2353" s="7">
        <v>285</v>
      </c>
      <c r="D2353" s="6">
        <f t="shared" si="76"/>
        <v>1.7530079617265968E-2</v>
      </c>
      <c r="E2353" s="6">
        <v>3.3444816053511306E-3</v>
      </c>
      <c r="F2353" s="6"/>
      <c r="G2353" s="6">
        <v>2346</v>
      </c>
      <c r="H2353" s="6">
        <f t="shared" ca="1" si="77"/>
        <v>5.721039062565803E-3</v>
      </c>
    </row>
    <row r="2354" spans="2:8" x14ac:dyDescent="0.3">
      <c r="B2354" s="4">
        <v>40850</v>
      </c>
      <c r="C2354" s="7">
        <v>280.08999999999997</v>
      </c>
      <c r="D2354" s="6">
        <f t="shared" si="76"/>
        <v>-0.50278704821415898</v>
      </c>
      <c r="E2354" s="6">
        <v>3.3314228399482374E-3</v>
      </c>
      <c r="F2354" s="6"/>
      <c r="G2354" s="6">
        <v>2347</v>
      </c>
      <c r="H2354" s="6">
        <f t="shared" ca="1" si="77"/>
        <v>-1.2792465784470847E-2</v>
      </c>
    </row>
    <row r="2355" spans="2:8" x14ac:dyDescent="0.3">
      <c r="B2355" s="4">
        <v>41865</v>
      </c>
      <c r="C2355" s="7">
        <v>563.32000000000005</v>
      </c>
      <c r="D2355" s="6">
        <f t="shared" si="76"/>
        <v>-0.37067655733309496</v>
      </c>
      <c r="E2355" s="6">
        <v>3.3306616795796677E-3</v>
      </c>
      <c r="F2355" s="6"/>
      <c r="G2355" s="6">
        <v>2348</v>
      </c>
      <c r="H2355" s="6">
        <f t="shared" ca="1" si="77"/>
        <v>-3.961792272270212E-3</v>
      </c>
    </row>
    <row r="2356" spans="2:8" x14ac:dyDescent="0.3">
      <c r="B2356" s="4">
        <v>42753</v>
      </c>
      <c r="C2356" s="7">
        <v>895.12</v>
      </c>
      <c r="D2356" s="6">
        <f t="shared" si="76"/>
        <v>10.405708460754331</v>
      </c>
      <c r="E2356" s="6">
        <v>3.3290365969848427E-3</v>
      </c>
      <c r="F2356" s="6"/>
      <c r="G2356" s="6">
        <v>2349</v>
      </c>
      <c r="H2356" s="6">
        <f t="shared" ca="1" si="77"/>
        <v>-6.5698777270341126E-3</v>
      </c>
    </row>
    <row r="2357" spans="2:8" x14ac:dyDescent="0.3">
      <c r="B2357" s="4">
        <v>39819</v>
      </c>
      <c r="C2357" s="7">
        <v>78.48</v>
      </c>
      <c r="D2357" s="6">
        <f t="shared" si="76"/>
        <v>2.2470004137360364</v>
      </c>
      <c r="E2357" s="6">
        <v>3.323958066990605E-3</v>
      </c>
      <c r="F2357" s="6"/>
      <c r="G2357" s="6">
        <v>2350</v>
      </c>
      <c r="H2357" s="6">
        <f t="shared" ca="1" si="77"/>
        <v>-1.7551398499228172E-2</v>
      </c>
    </row>
    <row r="2358" spans="2:8" x14ac:dyDescent="0.3">
      <c r="B2358" s="4">
        <v>38184</v>
      </c>
      <c r="C2358" s="7">
        <v>24.17</v>
      </c>
      <c r="D2358" s="6">
        <f t="shared" si="76"/>
        <v>-0.97765843377948669</v>
      </c>
      <c r="E2358" s="6">
        <v>3.3208800332088771E-3</v>
      </c>
      <c r="F2358" s="6"/>
      <c r="G2358" s="6">
        <v>2351</v>
      </c>
      <c r="H2358" s="6">
        <f t="shared" ca="1" si="77"/>
        <v>-2.6934604191878004E-2</v>
      </c>
    </row>
    <row r="2359" spans="2:8" x14ac:dyDescent="0.3">
      <c r="B2359" s="4">
        <v>42888</v>
      </c>
      <c r="C2359" s="5">
        <v>1081.8399999999999</v>
      </c>
      <c r="D2359" s="6">
        <f t="shared" si="76"/>
        <v>9.1944967960799087</v>
      </c>
      <c r="E2359" s="6">
        <v>3.310859061274019E-3</v>
      </c>
      <c r="F2359" s="6"/>
      <c r="G2359" s="6">
        <v>2352</v>
      </c>
      <c r="H2359" s="6">
        <f t="shared" ca="1" si="77"/>
        <v>-1.1576492918405177E-2</v>
      </c>
    </row>
    <row r="2360" spans="2:8" x14ac:dyDescent="0.3">
      <c r="B2360" s="4">
        <v>39605</v>
      </c>
      <c r="C2360" s="7">
        <v>106.12</v>
      </c>
      <c r="D2360" s="6">
        <f t="shared" si="76"/>
        <v>-0.96900990561629763</v>
      </c>
      <c r="E2360" s="6">
        <v>3.3090668431503124E-3</v>
      </c>
      <c r="F2360" s="6"/>
      <c r="G2360" s="6">
        <v>2353</v>
      </c>
      <c r="H2360" s="6">
        <f t="shared" ca="1" si="77"/>
        <v>1.1124272307984387E-2</v>
      </c>
    </row>
    <row r="2361" spans="2:8" x14ac:dyDescent="0.3">
      <c r="B2361" s="4">
        <v>44791</v>
      </c>
      <c r="C2361" s="5">
        <v>3424.32</v>
      </c>
      <c r="D2361" s="6">
        <f t="shared" si="76"/>
        <v>0.26706998945440413</v>
      </c>
      <c r="E2361" s="6">
        <v>3.3049715209901437E-3</v>
      </c>
      <c r="F2361" s="6"/>
      <c r="G2361" s="6">
        <v>2354</v>
      </c>
      <c r="H2361" s="6">
        <f t="shared" ca="1" si="77"/>
        <v>-1.404149357242156E-2</v>
      </c>
    </row>
    <row r="2362" spans="2:8" x14ac:dyDescent="0.3">
      <c r="B2362" s="4">
        <v>44972</v>
      </c>
      <c r="C2362" s="5">
        <v>2702.55</v>
      </c>
      <c r="D2362" s="6">
        <f t="shared" si="76"/>
        <v>58.08504591167469</v>
      </c>
      <c r="E2362" s="6">
        <v>3.2966176257671165E-3</v>
      </c>
      <c r="F2362" s="6"/>
      <c r="G2362" s="6">
        <v>2355</v>
      </c>
      <c r="H2362" s="6">
        <f t="shared" ca="1" si="77"/>
        <v>-9.5175811203039706E-3</v>
      </c>
    </row>
    <row r="2363" spans="2:8" x14ac:dyDescent="0.3">
      <c r="B2363" s="4">
        <v>38890</v>
      </c>
      <c r="C2363" s="7">
        <v>45.74</v>
      </c>
      <c r="D2363" s="6">
        <f t="shared" si="76"/>
        <v>0.87382220401474808</v>
      </c>
      <c r="E2363" s="6">
        <v>3.2901952182495847E-3</v>
      </c>
      <c r="F2363" s="6"/>
      <c r="G2363" s="6">
        <v>2356</v>
      </c>
      <c r="H2363" s="6">
        <f t="shared" ca="1" si="77"/>
        <v>-4.2990152110938963E-2</v>
      </c>
    </row>
    <row r="2364" spans="2:8" x14ac:dyDescent="0.3">
      <c r="B2364" s="4">
        <v>38254</v>
      </c>
      <c r="C2364" s="7">
        <v>24.41</v>
      </c>
      <c r="D2364" s="6">
        <f t="shared" si="76"/>
        <v>-0.99028295277220479</v>
      </c>
      <c r="E2364" s="6">
        <v>3.2881216605015148E-3</v>
      </c>
      <c r="F2364" s="6"/>
      <c r="G2364" s="6">
        <v>2357</v>
      </c>
      <c r="H2364" s="6">
        <f t="shared" ca="1" si="77"/>
        <v>-6.9312084409565659E-3</v>
      </c>
    </row>
    <row r="2365" spans="2:8" x14ac:dyDescent="0.3">
      <c r="B2365" s="4">
        <v>45950</v>
      </c>
      <c r="C2365" s="5">
        <v>2512.08</v>
      </c>
      <c r="D2365" s="6">
        <f t="shared" si="76"/>
        <v>-0.15060980351714795</v>
      </c>
      <c r="E2365" s="6">
        <v>3.2709104633190976E-3</v>
      </c>
      <c r="F2365" s="6"/>
      <c r="G2365" s="6">
        <v>2358</v>
      </c>
      <c r="H2365" s="6">
        <f t="shared" ca="1" si="77"/>
        <v>1.1242609698078937E-2</v>
      </c>
    </row>
    <row r="2366" spans="2:8" x14ac:dyDescent="0.3">
      <c r="B2366" s="4">
        <v>44862</v>
      </c>
      <c r="C2366" s="5">
        <v>2957.51</v>
      </c>
      <c r="D2366" s="6">
        <f t="shared" si="76"/>
        <v>49.70306874678554</v>
      </c>
      <c r="E2366" s="6">
        <v>3.2701577749359124E-3</v>
      </c>
      <c r="F2366" s="6"/>
      <c r="G2366" s="6">
        <v>2359</v>
      </c>
      <c r="H2366" s="6">
        <f t="shared" ca="1" si="77"/>
        <v>-2.9529521461964418E-2</v>
      </c>
    </row>
    <row r="2367" spans="2:8" x14ac:dyDescent="0.3">
      <c r="B2367" s="4">
        <v>39063</v>
      </c>
      <c r="C2367" s="7">
        <v>58.33</v>
      </c>
      <c r="D2367" s="6">
        <f t="shared" si="76"/>
        <v>0.58247422680412364</v>
      </c>
      <c r="E2367" s="6">
        <v>3.2679738562091114E-3</v>
      </c>
      <c r="F2367" s="6"/>
      <c r="G2367" s="6">
        <v>2360</v>
      </c>
      <c r="H2367" s="6">
        <f t="shared" ca="1" si="77"/>
        <v>2.0459246878120358E-2</v>
      </c>
    </row>
    <row r="2368" spans="2:8" x14ac:dyDescent="0.3">
      <c r="B2368" s="4">
        <v>38574</v>
      </c>
      <c r="C2368" s="7">
        <v>36.86</v>
      </c>
      <c r="D2368" s="6">
        <f t="shared" si="76"/>
        <v>-0.98728952368472778</v>
      </c>
      <c r="E2368" s="6">
        <v>3.2661948829612801E-3</v>
      </c>
      <c r="F2368" s="6"/>
      <c r="G2368" s="6">
        <v>2361</v>
      </c>
      <c r="H2368" s="6">
        <f t="shared" ca="1" si="77"/>
        <v>1.1940556076718387E-2</v>
      </c>
    </row>
    <row r="2369" spans="2:8" x14ac:dyDescent="0.3">
      <c r="B2369" s="4">
        <v>44382</v>
      </c>
      <c r="C2369" s="5">
        <v>2899.97</v>
      </c>
      <c r="D2369" s="6">
        <f t="shared" si="76"/>
        <v>1.5717161505444996</v>
      </c>
      <c r="E2369" s="6">
        <v>3.2623662014709489E-3</v>
      </c>
      <c r="F2369" s="6"/>
      <c r="G2369" s="6">
        <v>2362</v>
      </c>
      <c r="H2369" s="6">
        <f t="shared" ca="1" si="77"/>
        <v>1.4684977379691709E-2</v>
      </c>
    </row>
    <row r="2370" spans="2:8" x14ac:dyDescent="0.3">
      <c r="B2370" s="4">
        <v>42656</v>
      </c>
      <c r="C2370" s="5">
        <v>1127.6400000000001</v>
      </c>
      <c r="D2370" s="6">
        <f t="shared" si="76"/>
        <v>20.528064146620846</v>
      </c>
      <c r="E2370" s="6">
        <v>3.2562856990338636E-3</v>
      </c>
      <c r="F2370" s="6"/>
      <c r="G2370" s="6">
        <v>2363</v>
      </c>
      <c r="H2370" s="6">
        <f t="shared" ca="1" si="77"/>
        <v>-3.2519022136960141E-3</v>
      </c>
    </row>
    <row r="2371" spans="2:8" x14ac:dyDescent="0.3">
      <c r="B2371" s="4">
        <v>38961</v>
      </c>
      <c r="C2371" s="7">
        <v>52.38</v>
      </c>
      <c r="D2371" s="6">
        <f t="shared" si="76"/>
        <v>-0.83656786271450856</v>
      </c>
      <c r="E2371" s="6">
        <v>3.2560812104961063E-3</v>
      </c>
      <c r="F2371" s="6"/>
      <c r="G2371" s="6">
        <v>2364</v>
      </c>
      <c r="H2371" s="6">
        <f t="shared" ca="1" si="77"/>
        <v>-2.0014917694891065E-2</v>
      </c>
    </row>
    <row r="2372" spans="2:8" x14ac:dyDescent="0.3">
      <c r="B2372" s="4">
        <v>41033</v>
      </c>
      <c r="C2372" s="7">
        <v>320.5</v>
      </c>
      <c r="D2372" s="6">
        <f t="shared" si="76"/>
        <v>-0.86872985382116952</v>
      </c>
      <c r="E2372" s="6">
        <v>3.255493645526891E-3</v>
      </c>
      <c r="F2372" s="6"/>
      <c r="G2372" s="6">
        <v>2365</v>
      </c>
      <c r="H2372" s="6">
        <f t="shared" ca="1" si="77"/>
        <v>-1.8783758106025332E-2</v>
      </c>
    </row>
    <row r="2373" spans="2:8" x14ac:dyDescent="0.3">
      <c r="B2373" s="4">
        <v>45764</v>
      </c>
      <c r="C2373" s="5">
        <v>2441.5300000000002</v>
      </c>
      <c r="D2373" s="6">
        <f t="shared" si="76"/>
        <v>2.3086200588131671</v>
      </c>
      <c r="E2373" s="6">
        <v>3.2544244969407886E-3</v>
      </c>
      <c r="F2373" s="6"/>
      <c r="G2373" s="6">
        <v>2366</v>
      </c>
      <c r="H2373" s="6">
        <f t="shared" ca="1" si="77"/>
        <v>1.9976351638397102E-2</v>
      </c>
    </row>
    <row r="2374" spans="2:8" x14ac:dyDescent="0.3">
      <c r="B2374" s="4">
        <v>42321</v>
      </c>
      <c r="C2374" s="7">
        <v>737.93</v>
      </c>
      <c r="D2374" s="6">
        <f t="shared" si="76"/>
        <v>-9.2314694088415541E-2</v>
      </c>
      <c r="E2374" s="6">
        <v>3.2493134295891271E-3</v>
      </c>
      <c r="F2374" s="6"/>
      <c r="G2374" s="6">
        <v>2367</v>
      </c>
      <c r="H2374" s="6">
        <f t="shared" ca="1" si="77"/>
        <v>1.7824941479973467E-3</v>
      </c>
    </row>
    <row r="2375" spans="2:8" x14ac:dyDescent="0.3">
      <c r="B2375" s="4">
        <v>42362</v>
      </c>
      <c r="C2375" s="7">
        <v>812.98</v>
      </c>
      <c r="D2375" s="6">
        <f t="shared" si="76"/>
        <v>-0.58932314950924669</v>
      </c>
      <c r="E2375" s="6">
        <v>3.2455111988646825E-3</v>
      </c>
      <c r="F2375" s="6"/>
      <c r="G2375" s="6">
        <v>2368</v>
      </c>
      <c r="H2375" s="6">
        <f t="shared" ca="1" si="77"/>
        <v>1.3937162329588219E-2</v>
      </c>
    </row>
    <row r="2376" spans="2:8" x14ac:dyDescent="0.3">
      <c r="B2376" s="4">
        <v>44118</v>
      </c>
      <c r="C2376" s="5">
        <v>1979.61</v>
      </c>
      <c r="D2376" s="6">
        <f t="shared" ref="D2376:D2439" si="78">((C2376-C2377)/C2377)</f>
        <v>0.13440148532723614</v>
      </c>
      <c r="E2376" s="6">
        <v>3.2434459586155877E-3</v>
      </c>
      <c r="F2376" s="6"/>
      <c r="G2376" s="6">
        <v>2369</v>
      </c>
      <c r="H2376" s="6">
        <f t="shared" ca="1" si="77"/>
        <v>-1.0590373998988963E-2</v>
      </c>
    </row>
    <row r="2377" spans="2:8" x14ac:dyDescent="0.3">
      <c r="B2377" s="4">
        <v>43945</v>
      </c>
      <c r="C2377" s="5">
        <v>1745.07</v>
      </c>
      <c r="D2377" s="6">
        <f t="shared" si="78"/>
        <v>2.3375420036241813E-2</v>
      </c>
      <c r="E2377" s="6">
        <v>3.2424414894533684E-3</v>
      </c>
      <c r="F2377" s="6"/>
      <c r="G2377" s="6">
        <v>2370</v>
      </c>
      <c r="H2377" s="6">
        <f t="shared" ref="H2377:H2440" ca="1" si="79">_xlfn.NORM.INV(RAND(),N$10,N$11)</f>
        <v>-2.178972501850218E-3</v>
      </c>
    </row>
    <row r="2378" spans="2:8" x14ac:dyDescent="0.3">
      <c r="B2378" s="4">
        <v>43763</v>
      </c>
      <c r="C2378" s="5">
        <v>1705.21</v>
      </c>
      <c r="D2378" s="6">
        <f t="shared" si="78"/>
        <v>21.931818181818183</v>
      </c>
      <c r="E2378" s="6">
        <v>3.2417485438606757E-3</v>
      </c>
      <c r="F2378" s="6"/>
      <c r="G2378" s="6">
        <v>2371</v>
      </c>
      <c r="H2378" s="6">
        <f t="shared" ca="1" si="79"/>
        <v>-5.2872550471756898E-3</v>
      </c>
    </row>
    <row r="2379" spans="2:8" x14ac:dyDescent="0.3">
      <c r="B2379" s="4">
        <v>39811</v>
      </c>
      <c r="C2379" s="7">
        <v>74.36</v>
      </c>
      <c r="D2379" s="6">
        <f t="shared" si="78"/>
        <v>1.9983870967741937</v>
      </c>
      <c r="E2379" s="6">
        <v>3.2379924446842264E-3</v>
      </c>
      <c r="F2379" s="6"/>
      <c r="G2379" s="6">
        <v>2372</v>
      </c>
      <c r="H2379" s="6">
        <f t="shared" ca="1" si="79"/>
        <v>-1.9407804006548637E-2</v>
      </c>
    </row>
    <row r="2380" spans="2:8" x14ac:dyDescent="0.3">
      <c r="B2380" s="4">
        <v>38233</v>
      </c>
      <c r="C2380" s="7">
        <v>24.8</v>
      </c>
      <c r="D2380" s="6">
        <f t="shared" si="78"/>
        <v>-0.99279691661559633</v>
      </c>
      <c r="E2380" s="6">
        <v>3.2362459546926314E-3</v>
      </c>
      <c r="F2380" s="6"/>
      <c r="G2380" s="6">
        <v>2373</v>
      </c>
      <c r="H2380" s="6">
        <f t="shared" ca="1" si="79"/>
        <v>1.0063485702814248E-2</v>
      </c>
    </row>
    <row r="2381" spans="2:8" x14ac:dyDescent="0.3">
      <c r="B2381" s="4">
        <v>45127</v>
      </c>
      <c r="C2381" s="5">
        <v>3442.97</v>
      </c>
      <c r="D2381" s="6">
        <f t="shared" si="78"/>
        <v>0.25706305451093492</v>
      </c>
      <c r="E2381" s="6">
        <v>3.2285417073390837E-3</v>
      </c>
      <c r="F2381" s="6"/>
      <c r="G2381" s="6">
        <v>2374</v>
      </c>
      <c r="H2381" s="6">
        <f t="shared" ca="1" si="79"/>
        <v>-2.0099373273760289E-3</v>
      </c>
    </row>
    <row r="2382" spans="2:8" x14ac:dyDescent="0.3">
      <c r="B2382" s="4">
        <v>44711</v>
      </c>
      <c r="C2382" s="5">
        <v>2738.9</v>
      </c>
      <c r="D2382" s="6">
        <f t="shared" si="78"/>
        <v>5.8797568511215488</v>
      </c>
      <c r="E2382" s="6">
        <v>3.2269998424960147E-3</v>
      </c>
      <c r="F2382" s="6"/>
      <c r="G2382" s="6">
        <v>2375</v>
      </c>
      <c r="H2382" s="6">
        <f t="shared" ca="1" si="79"/>
        <v>1.9890025967100364E-2</v>
      </c>
    </row>
    <row r="2383" spans="2:8" x14ac:dyDescent="0.3">
      <c r="B2383" s="4">
        <v>41263</v>
      </c>
      <c r="C2383" s="7">
        <v>398.11</v>
      </c>
      <c r="D2383" s="6">
        <f t="shared" si="78"/>
        <v>-0.8723621860432309</v>
      </c>
      <c r="E2383" s="6">
        <v>3.2255625834741062E-3</v>
      </c>
      <c r="F2383" s="6"/>
      <c r="G2383" s="6">
        <v>2376</v>
      </c>
      <c r="H2383" s="6">
        <f t="shared" ca="1" si="79"/>
        <v>1.8186200955927377E-3</v>
      </c>
    </row>
    <row r="2384" spans="2:8" x14ac:dyDescent="0.3">
      <c r="B2384" s="4">
        <v>44602</v>
      </c>
      <c r="C2384" s="5">
        <v>3119.06</v>
      </c>
      <c r="D2384" s="6">
        <f t="shared" si="78"/>
        <v>2.8648146312450438</v>
      </c>
      <c r="E2384" s="6">
        <v>3.2196330068669731E-3</v>
      </c>
      <c r="F2384" s="6"/>
      <c r="G2384" s="6">
        <v>2377</v>
      </c>
      <c r="H2384" s="6">
        <f t="shared" ca="1" si="79"/>
        <v>1.6805208331135719E-4</v>
      </c>
    </row>
    <row r="2385" spans="2:8" x14ac:dyDescent="0.3">
      <c r="B2385" s="4">
        <v>42447</v>
      </c>
      <c r="C2385" s="7">
        <v>807.04</v>
      </c>
      <c r="D2385" s="6">
        <f t="shared" si="78"/>
        <v>-0.22243739823298755</v>
      </c>
      <c r="E2385" s="6">
        <v>3.2195910249237592E-3</v>
      </c>
      <c r="F2385" s="6"/>
      <c r="G2385" s="6">
        <v>2378</v>
      </c>
      <c r="H2385" s="6">
        <f t="shared" ca="1" si="79"/>
        <v>1.6094098113266522E-2</v>
      </c>
    </row>
    <row r="2386" spans="2:8" x14ac:dyDescent="0.3">
      <c r="B2386" s="4">
        <v>43181</v>
      </c>
      <c r="C2386" s="5">
        <v>1037.9100000000001</v>
      </c>
      <c r="D2386" s="6">
        <f t="shared" si="78"/>
        <v>54.414308595835557</v>
      </c>
      <c r="E2386" s="6">
        <v>3.2186974424405603E-3</v>
      </c>
      <c r="F2386" s="6"/>
      <c r="G2386" s="6">
        <v>2379</v>
      </c>
      <c r="H2386" s="6">
        <f t="shared" ca="1" si="79"/>
        <v>2.1033609383137537E-2</v>
      </c>
    </row>
    <row r="2387" spans="2:8" x14ac:dyDescent="0.3">
      <c r="B2387" s="4">
        <v>37784</v>
      </c>
      <c r="C2387" s="7">
        <v>18.73</v>
      </c>
      <c r="D2387" s="6">
        <f t="shared" si="78"/>
        <v>-0.99353819297101675</v>
      </c>
      <c r="E2387" s="6">
        <v>3.213711837171865E-3</v>
      </c>
      <c r="F2387" s="6"/>
      <c r="G2387" s="6">
        <v>2380</v>
      </c>
      <c r="H2387" s="6">
        <f t="shared" ca="1" si="79"/>
        <v>-4.6780834657730464E-3</v>
      </c>
    </row>
    <row r="2388" spans="2:8" x14ac:dyDescent="0.3">
      <c r="B2388" s="4">
        <v>45477</v>
      </c>
      <c r="C2388" s="5">
        <v>2898.57</v>
      </c>
      <c r="D2388" s="6">
        <f t="shared" si="78"/>
        <v>1.9059219826160185</v>
      </c>
      <c r="E2388" s="6">
        <v>3.1945011663563365E-3</v>
      </c>
      <c r="F2388" s="6"/>
      <c r="G2388" s="6">
        <v>2381</v>
      </c>
      <c r="H2388" s="6">
        <f t="shared" ca="1" si="79"/>
        <v>3.0353152854499084E-2</v>
      </c>
    </row>
    <row r="2389" spans="2:8" x14ac:dyDescent="0.3">
      <c r="B2389" s="4">
        <v>42825</v>
      </c>
      <c r="C2389" s="7">
        <v>997.47</v>
      </c>
      <c r="D2389" s="6">
        <f t="shared" si="78"/>
        <v>-0.69120965869514739</v>
      </c>
      <c r="E2389" s="6">
        <v>3.1780832939426154E-3</v>
      </c>
      <c r="F2389" s="6"/>
      <c r="G2389" s="6">
        <v>2382</v>
      </c>
      <c r="H2389" s="6">
        <f t="shared" ca="1" si="79"/>
        <v>6.5739138675157613E-3</v>
      </c>
    </row>
    <row r="2390" spans="2:8" x14ac:dyDescent="0.3">
      <c r="B2390" s="4">
        <v>45103</v>
      </c>
      <c r="C2390" s="5">
        <v>3230.25</v>
      </c>
      <c r="D2390" s="6">
        <f t="shared" si="78"/>
        <v>168.655987394958</v>
      </c>
      <c r="E2390" s="6">
        <v>3.1676526762006232E-3</v>
      </c>
      <c r="F2390" s="6"/>
      <c r="G2390" s="6">
        <v>2383</v>
      </c>
      <c r="H2390" s="6">
        <f t="shared" ca="1" si="79"/>
        <v>-3.6525185639358073E-3</v>
      </c>
    </row>
    <row r="2391" spans="2:8" x14ac:dyDescent="0.3">
      <c r="B2391" s="4">
        <v>37778</v>
      </c>
      <c r="C2391" s="7">
        <v>19.04</v>
      </c>
      <c r="D2391" s="6">
        <f t="shared" si="78"/>
        <v>-0.99188523402405449</v>
      </c>
      <c r="E2391" s="6">
        <v>3.1612223393044634E-3</v>
      </c>
      <c r="F2391" s="6"/>
      <c r="G2391" s="6">
        <v>2384</v>
      </c>
      <c r="H2391" s="6">
        <f t="shared" ca="1" si="79"/>
        <v>-4.2999294710836453E-3</v>
      </c>
    </row>
    <row r="2392" spans="2:8" x14ac:dyDescent="0.3">
      <c r="B2392" s="4">
        <v>45930</v>
      </c>
      <c r="C2392" s="5">
        <v>2346.34</v>
      </c>
      <c r="D2392" s="6">
        <f t="shared" si="78"/>
        <v>14.072525213592858</v>
      </c>
      <c r="E2392" s="6">
        <v>3.1595373992604923E-3</v>
      </c>
      <c r="F2392" s="6"/>
      <c r="G2392" s="6">
        <v>2385</v>
      </c>
      <c r="H2392" s="6">
        <f t="shared" ca="1" si="79"/>
        <v>8.1333463248832241E-3</v>
      </c>
    </row>
    <row r="2393" spans="2:8" x14ac:dyDescent="0.3">
      <c r="B2393" s="4">
        <v>40183</v>
      </c>
      <c r="C2393" s="7">
        <v>155.66999999999999</v>
      </c>
      <c r="D2393" s="6">
        <f t="shared" si="78"/>
        <v>-0.77367296200985747</v>
      </c>
      <c r="E2393" s="6">
        <v>3.1576234050778493E-3</v>
      </c>
      <c r="F2393" s="6"/>
      <c r="G2393" s="6">
        <v>2386</v>
      </c>
      <c r="H2393" s="6">
        <f t="shared" ca="1" si="79"/>
        <v>5.3352984274829644E-3</v>
      </c>
    </row>
    <row r="2394" spans="2:8" x14ac:dyDescent="0.3">
      <c r="B2394" s="4">
        <v>42004</v>
      </c>
      <c r="C2394" s="7">
        <v>687.81</v>
      </c>
      <c r="D2394" s="6">
        <f t="shared" si="78"/>
        <v>-0.75473460873286147</v>
      </c>
      <c r="E2394" s="6">
        <v>3.1356649068050892E-3</v>
      </c>
      <c r="F2394" s="6"/>
      <c r="G2394" s="6">
        <v>2387</v>
      </c>
      <c r="H2394" s="6">
        <f t="shared" ca="1" si="79"/>
        <v>-4.5710743437208496E-4</v>
      </c>
    </row>
    <row r="2395" spans="2:8" x14ac:dyDescent="0.3">
      <c r="B2395" s="4">
        <v>45040</v>
      </c>
      <c r="C2395" s="5">
        <v>2804.35</v>
      </c>
      <c r="D2395" s="6">
        <f t="shared" si="78"/>
        <v>-0.10046927575002333</v>
      </c>
      <c r="E2395" s="6">
        <v>3.1227420035627226E-3</v>
      </c>
      <c r="F2395" s="6"/>
      <c r="G2395" s="6">
        <v>2388</v>
      </c>
      <c r="H2395" s="6">
        <f t="shared" ca="1" si="79"/>
        <v>4.6358263304773273E-2</v>
      </c>
    </row>
    <row r="2396" spans="2:8" x14ac:dyDescent="0.3">
      <c r="B2396" s="4">
        <v>44615</v>
      </c>
      <c r="C2396" s="5">
        <v>3117.57</v>
      </c>
      <c r="D2396" s="6">
        <f t="shared" si="78"/>
        <v>191.08687615526802</v>
      </c>
      <c r="E2396" s="6">
        <v>3.1146533500221343E-3</v>
      </c>
      <c r="F2396" s="6"/>
      <c r="G2396" s="6">
        <v>2389</v>
      </c>
      <c r="H2396" s="6">
        <f t="shared" ca="1" si="79"/>
        <v>-1.0203079653283645E-2</v>
      </c>
    </row>
    <row r="2397" spans="2:8" x14ac:dyDescent="0.3">
      <c r="B2397" s="4">
        <v>37664</v>
      </c>
      <c r="C2397" s="7">
        <v>16.23</v>
      </c>
      <c r="D2397" s="6">
        <f t="shared" si="78"/>
        <v>-0.98995413440291158</v>
      </c>
      <c r="E2397" s="6">
        <v>3.0902348578492407E-3</v>
      </c>
      <c r="F2397" s="6"/>
      <c r="G2397" s="6">
        <v>2390</v>
      </c>
      <c r="H2397" s="6">
        <f t="shared" ca="1" si="79"/>
        <v>-1.5769035222514383E-2</v>
      </c>
    </row>
    <row r="2398" spans="2:8" x14ac:dyDescent="0.3">
      <c r="B2398" s="4">
        <v>44011</v>
      </c>
      <c r="C2398" s="5">
        <v>1615.59</v>
      </c>
      <c r="D2398" s="6">
        <f t="shared" si="78"/>
        <v>5.960449786739046</v>
      </c>
      <c r="E2398" s="6">
        <v>3.0857682134830238E-3</v>
      </c>
      <c r="F2398" s="6"/>
      <c r="G2398" s="6">
        <v>2391</v>
      </c>
      <c r="H2398" s="6">
        <f t="shared" ca="1" si="79"/>
        <v>8.0199234954421612E-4</v>
      </c>
    </row>
    <row r="2399" spans="2:8" x14ac:dyDescent="0.3">
      <c r="B2399" s="4">
        <v>40456</v>
      </c>
      <c r="C2399" s="7">
        <v>232.11</v>
      </c>
      <c r="D2399" s="6">
        <f t="shared" si="78"/>
        <v>-0.28374375115719308</v>
      </c>
      <c r="E2399" s="6">
        <v>3.0682800345722037E-3</v>
      </c>
      <c r="F2399" s="6"/>
      <c r="G2399" s="6">
        <v>2392</v>
      </c>
      <c r="H2399" s="6">
        <f t="shared" ca="1" si="79"/>
        <v>-3.374058302461997E-2</v>
      </c>
    </row>
    <row r="2400" spans="2:8" x14ac:dyDescent="0.3">
      <c r="B2400" s="4">
        <v>41037</v>
      </c>
      <c r="C2400" s="7">
        <v>324.06</v>
      </c>
      <c r="D2400" s="6">
        <f t="shared" si="78"/>
        <v>-0.86959985835694054</v>
      </c>
      <c r="E2400" s="6">
        <v>3.0643513789581486E-3</v>
      </c>
      <c r="F2400" s="6"/>
      <c r="G2400" s="6">
        <v>2393</v>
      </c>
      <c r="H2400" s="6">
        <f t="shared" ca="1" si="79"/>
        <v>-1.7072010511935798E-2</v>
      </c>
    </row>
    <row r="2401" spans="2:8" x14ac:dyDescent="0.3">
      <c r="B2401" s="4">
        <v>45897</v>
      </c>
      <c r="C2401" s="5">
        <v>2485.12</v>
      </c>
      <c r="D2401" s="6">
        <f t="shared" si="78"/>
        <v>150.62416107382549</v>
      </c>
      <c r="E2401" s="6">
        <v>3.06353505305675E-3</v>
      </c>
      <c r="F2401" s="6"/>
      <c r="G2401" s="6">
        <v>2394</v>
      </c>
      <c r="H2401" s="6">
        <f t="shared" ca="1" si="79"/>
        <v>-2.6605551407070147E-2</v>
      </c>
    </row>
    <row r="2402" spans="2:8" x14ac:dyDescent="0.3">
      <c r="B2402" s="4">
        <v>37713</v>
      </c>
      <c r="C2402" s="7">
        <v>16.39</v>
      </c>
      <c r="D2402" s="6">
        <f t="shared" si="78"/>
        <v>-0.84440858173533317</v>
      </c>
      <c r="E2402" s="6">
        <v>3.059975520195882E-3</v>
      </c>
      <c r="F2402" s="6"/>
      <c r="G2402" s="6">
        <v>2395</v>
      </c>
      <c r="H2402" s="6">
        <f t="shared" ca="1" si="79"/>
        <v>-2.6378196777815697E-2</v>
      </c>
    </row>
    <row r="2403" spans="2:8" x14ac:dyDescent="0.3">
      <c r="B2403" s="4">
        <v>39667</v>
      </c>
      <c r="C2403" s="7">
        <v>105.34</v>
      </c>
      <c r="D2403" s="6">
        <f t="shared" si="78"/>
        <v>3.5661031642826186</v>
      </c>
      <c r="E2403" s="6">
        <v>3.0470386593030602E-3</v>
      </c>
      <c r="F2403" s="6"/>
      <c r="G2403" s="6">
        <v>2396</v>
      </c>
      <c r="H2403" s="6">
        <f t="shared" ca="1" si="79"/>
        <v>2.4574977892361471E-2</v>
      </c>
    </row>
    <row r="2404" spans="2:8" x14ac:dyDescent="0.3">
      <c r="B2404" s="4">
        <v>38288</v>
      </c>
      <c r="C2404" s="7">
        <v>23.07</v>
      </c>
      <c r="D2404" s="6">
        <f t="shared" si="78"/>
        <v>-0.99177393474772679</v>
      </c>
      <c r="E2404" s="6">
        <v>3.0434782608695777E-3</v>
      </c>
      <c r="F2404" s="6"/>
      <c r="G2404" s="6">
        <v>2397</v>
      </c>
      <c r="H2404" s="6">
        <f t="shared" ca="1" si="79"/>
        <v>-9.7328759658070561E-3</v>
      </c>
    </row>
    <row r="2405" spans="2:8" x14ac:dyDescent="0.3">
      <c r="B2405" s="4">
        <v>46001</v>
      </c>
      <c r="C2405" s="5">
        <v>2804.5</v>
      </c>
      <c r="D2405" s="6">
        <f t="shared" si="78"/>
        <v>168.35386473429952</v>
      </c>
      <c r="E2405" s="6">
        <v>3.0400572246065808E-3</v>
      </c>
      <c r="F2405" s="6"/>
      <c r="G2405" s="6">
        <v>2398</v>
      </c>
      <c r="H2405" s="6">
        <f t="shared" ca="1" si="79"/>
        <v>-1.5903571401395623E-2</v>
      </c>
    </row>
    <row r="2406" spans="2:8" x14ac:dyDescent="0.3">
      <c r="B2406" s="4">
        <v>37455</v>
      </c>
      <c r="C2406" s="7">
        <v>16.559999999999999</v>
      </c>
      <c r="D2406" s="6">
        <f t="shared" si="78"/>
        <v>-0.9901792174212144</v>
      </c>
      <c r="E2406" s="6">
        <v>3.0284675953965567E-3</v>
      </c>
      <c r="F2406" s="6"/>
      <c r="G2406" s="6">
        <v>2399</v>
      </c>
      <c r="H2406" s="6">
        <f t="shared" ca="1" si="79"/>
        <v>9.817405483169608E-3</v>
      </c>
    </row>
    <row r="2407" spans="2:8" x14ac:dyDescent="0.3">
      <c r="B2407" s="4">
        <v>43735</v>
      </c>
      <c r="C2407" s="5">
        <v>1686.22</v>
      </c>
      <c r="D2407" s="6">
        <f t="shared" si="78"/>
        <v>-0.46140922447936633</v>
      </c>
      <c r="E2407" s="6">
        <v>3.0217590444578837E-3</v>
      </c>
      <c r="F2407" s="6"/>
      <c r="G2407" s="6">
        <v>2400</v>
      </c>
      <c r="H2407" s="6">
        <f t="shared" ca="1" si="79"/>
        <v>3.4103738447043884E-3</v>
      </c>
    </row>
    <row r="2408" spans="2:8" x14ac:dyDescent="0.3">
      <c r="B2408" s="4">
        <v>45187</v>
      </c>
      <c r="C2408" s="5">
        <v>3130.8</v>
      </c>
      <c r="D2408" s="6">
        <f t="shared" si="78"/>
        <v>187.37545126353791</v>
      </c>
      <c r="E2408" s="6">
        <v>3.0178959306460837E-3</v>
      </c>
      <c r="F2408" s="6"/>
      <c r="G2408" s="6">
        <v>2401</v>
      </c>
      <c r="H2408" s="6">
        <f t="shared" ca="1" si="79"/>
        <v>-1.7207735599412754E-2</v>
      </c>
    </row>
    <row r="2409" spans="2:8" x14ac:dyDescent="0.3">
      <c r="B2409" s="4">
        <v>37645</v>
      </c>
      <c r="C2409" s="7">
        <v>16.62</v>
      </c>
      <c r="D2409" s="6">
        <f t="shared" si="78"/>
        <v>-0.97891264353232255</v>
      </c>
      <c r="E2409" s="6">
        <v>3.0175015087507973E-3</v>
      </c>
      <c r="F2409" s="6"/>
      <c r="G2409" s="6">
        <v>2402</v>
      </c>
      <c r="H2409" s="6">
        <f t="shared" ca="1" si="79"/>
        <v>3.2654338322485564E-3</v>
      </c>
    </row>
    <row r="2410" spans="2:8" x14ac:dyDescent="0.3">
      <c r="B2410" s="4">
        <v>42107</v>
      </c>
      <c r="C2410" s="7">
        <v>788.15</v>
      </c>
      <c r="D2410" s="6">
        <f t="shared" si="78"/>
        <v>46.251199040767389</v>
      </c>
      <c r="E2410" s="6">
        <v>3.0161113797755154E-3</v>
      </c>
      <c r="F2410" s="6"/>
      <c r="G2410" s="6">
        <v>2403</v>
      </c>
      <c r="H2410" s="6">
        <f t="shared" ca="1" si="79"/>
        <v>1.1274740080912653E-2</v>
      </c>
    </row>
    <row r="2411" spans="2:8" x14ac:dyDescent="0.3">
      <c r="B2411" s="4">
        <v>37643</v>
      </c>
      <c r="C2411" s="7">
        <v>16.68</v>
      </c>
      <c r="D2411" s="6">
        <f t="shared" si="78"/>
        <v>-0.99452583490863267</v>
      </c>
      <c r="E2411" s="6">
        <v>3.0066145520144748E-3</v>
      </c>
      <c r="F2411" s="6"/>
      <c r="G2411" s="6">
        <v>2404</v>
      </c>
      <c r="H2411" s="6">
        <f t="shared" ca="1" si="79"/>
        <v>2.6223508254103495E-2</v>
      </c>
    </row>
    <row r="2412" spans="2:8" x14ac:dyDescent="0.3">
      <c r="B2412" s="4">
        <v>44868</v>
      </c>
      <c r="C2412" s="5">
        <v>3047.04</v>
      </c>
      <c r="D2412" s="6">
        <f t="shared" si="78"/>
        <v>129.21538461538461</v>
      </c>
      <c r="E2412" s="6">
        <v>3.0020540369726295E-3</v>
      </c>
      <c r="F2412" s="6"/>
      <c r="G2412" s="6">
        <v>2405</v>
      </c>
      <c r="H2412" s="6">
        <f t="shared" ca="1" si="79"/>
        <v>-3.5245882359256256E-2</v>
      </c>
    </row>
    <row r="2413" spans="2:8" x14ac:dyDescent="0.3">
      <c r="B2413" s="4">
        <v>37937</v>
      </c>
      <c r="C2413" s="7">
        <v>23.4</v>
      </c>
      <c r="D2413" s="6">
        <f t="shared" si="78"/>
        <v>-0.93280110275113437</v>
      </c>
      <c r="E2413" s="6">
        <v>3.0004286326618212E-3</v>
      </c>
      <c r="F2413" s="6"/>
      <c r="G2413" s="6">
        <v>2406</v>
      </c>
      <c r="H2413" s="6">
        <f t="shared" ca="1" si="79"/>
        <v>-1.1121423180146275E-2</v>
      </c>
    </row>
    <row r="2414" spans="2:8" x14ac:dyDescent="0.3">
      <c r="B2414" s="4">
        <v>41081</v>
      </c>
      <c r="C2414" s="7">
        <v>348.22</v>
      </c>
      <c r="D2414" s="6">
        <f t="shared" si="78"/>
        <v>-0.74075535470998577</v>
      </c>
      <c r="E2414" s="6">
        <v>2.9955642606141497E-3</v>
      </c>
      <c r="F2414" s="6"/>
      <c r="G2414" s="6">
        <v>2407</v>
      </c>
      <c r="H2414" s="6">
        <f t="shared" ca="1" si="79"/>
        <v>-4.1675867636559744E-3</v>
      </c>
    </row>
    <row r="2415" spans="2:8" x14ac:dyDescent="0.3">
      <c r="B2415" s="4">
        <v>43626</v>
      </c>
      <c r="C2415" s="5">
        <v>1343.21</v>
      </c>
      <c r="D2415" s="6">
        <f t="shared" si="78"/>
        <v>17.205611276768774</v>
      </c>
      <c r="E2415" s="6">
        <v>2.9943249701314149E-3</v>
      </c>
      <c r="F2415" s="6"/>
      <c r="G2415" s="6">
        <v>2408</v>
      </c>
      <c r="H2415" s="6">
        <f t="shared" ca="1" si="79"/>
        <v>-2.1262116012788726E-2</v>
      </c>
    </row>
    <row r="2416" spans="2:8" x14ac:dyDescent="0.3">
      <c r="B2416" s="4">
        <v>39286</v>
      </c>
      <c r="C2416" s="7">
        <v>73.78</v>
      </c>
      <c r="D2416" s="6">
        <f t="shared" si="78"/>
        <v>-0.97230033376258174</v>
      </c>
      <c r="E2416" s="6">
        <v>2.9907558455682282E-3</v>
      </c>
      <c r="F2416" s="6"/>
      <c r="G2416" s="6">
        <v>2409</v>
      </c>
      <c r="H2416" s="6">
        <f t="shared" ca="1" si="79"/>
        <v>-9.0830430669968393E-3</v>
      </c>
    </row>
    <row r="2417" spans="2:8" x14ac:dyDescent="0.3">
      <c r="B2417" s="4">
        <v>44333</v>
      </c>
      <c r="C2417" s="5">
        <v>2663.57</v>
      </c>
      <c r="D2417" s="6">
        <f t="shared" si="78"/>
        <v>-0.117497183751905</v>
      </c>
      <c r="E2417" s="6">
        <v>2.9747671962254687E-3</v>
      </c>
      <c r="F2417" s="6"/>
      <c r="G2417" s="6">
        <v>2410</v>
      </c>
      <c r="H2417" s="6">
        <f t="shared" ca="1" si="79"/>
        <v>-5.238566873793175E-3</v>
      </c>
    </row>
    <row r="2418" spans="2:8" x14ac:dyDescent="0.3">
      <c r="B2418" s="4">
        <v>45243</v>
      </c>
      <c r="C2418" s="5">
        <v>3018.2</v>
      </c>
      <c r="D2418" s="6">
        <f t="shared" si="78"/>
        <v>19.315003028875275</v>
      </c>
      <c r="E2418" s="6">
        <v>2.9741629974245468E-3</v>
      </c>
      <c r="F2418" s="6"/>
      <c r="G2418" s="6">
        <v>2411</v>
      </c>
      <c r="H2418" s="6">
        <f t="shared" ca="1" si="79"/>
        <v>-5.7447320953591301E-3</v>
      </c>
    </row>
    <row r="2419" spans="2:8" x14ac:dyDescent="0.3">
      <c r="B2419" s="4">
        <v>40161</v>
      </c>
      <c r="C2419" s="7">
        <v>148.57</v>
      </c>
      <c r="D2419" s="6">
        <f t="shared" si="78"/>
        <v>0.7598910210850508</v>
      </c>
      <c r="E2419" s="6">
        <v>2.9703638695740076E-3</v>
      </c>
      <c r="F2419" s="6"/>
      <c r="G2419" s="6">
        <v>2412</v>
      </c>
      <c r="H2419" s="6">
        <f t="shared" ca="1" si="79"/>
        <v>1.2152464547229491E-2</v>
      </c>
    </row>
    <row r="2420" spans="2:8" x14ac:dyDescent="0.3">
      <c r="B2420" s="4">
        <v>39408</v>
      </c>
      <c r="C2420" s="7">
        <v>84.42</v>
      </c>
      <c r="D2420" s="6">
        <f t="shared" si="78"/>
        <v>-0.64346650899569224</v>
      </c>
      <c r="E2420" s="6">
        <v>2.9701793988356896E-3</v>
      </c>
      <c r="F2420" s="6"/>
      <c r="G2420" s="6">
        <v>2413</v>
      </c>
      <c r="H2420" s="6">
        <f t="shared" ca="1" si="79"/>
        <v>-3.3885565569368933E-2</v>
      </c>
    </row>
    <row r="2421" spans="2:8" x14ac:dyDescent="0.3">
      <c r="B2421" s="4">
        <v>40904</v>
      </c>
      <c r="C2421" s="7">
        <v>236.78</v>
      </c>
      <c r="D2421" s="6">
        <f t="shared" si="78"/>
        <v>-0.91629755057744711</v>
      </c>
      <c r="E2421" s="6">
        <v>2.965096577431331E-3</v>
      </c>
      <c r="F2421" s="6"/>
      <c r="G2421" s="6">
        <v>2414</v>
      </c>
      <c r="H2421" s="6">
        <f t="shared" ca="1" si="79"/>
        <v>1.1663173374750868E-2</v>
      </c>
    </row>
    <row r="2422" spans="2:8" x14ac:dyDescent="0.3">
      <c r="B2422" s="4">
        <v>45390</v>
      </c>
      <c r="C2422" s="5">
        <v>2828.83</v>
      </c>
      <c r="D2422" s="6">
        <f t="shared" si="78"/>
        <v>0.73401046966372008</v>
      </c>
      <c r="E2422" s="6">
        <v>2.964044999592312E-3</v>
      </c>
      <c r="F2422" s="6"/>
      <c r="G2422" s="6">
        <v>2415</v>
      </c>
      <c r="H2422" s="6">
        <f t="shared" ca="1" si="79"/>
        <v>-1.986429534357138E-3</v>
      </c>
    </row>
    <row r="2423" spans="2:8" x14ac:dyDescent="0.3">
      <c r="B2423" s="4">
        <v>43796</v>
      </c>
      <c r="C2423" s="5">
        <v>1631.38</v>
      </c>
      <c r="D2423" s="6">
        <f t="shared" si="78"/>
        <v>1.0897445751031181</v>
      </c>
      <c r="E2423" s="6">
        <v>2.957142944970197E-3</v>
      </c>
      <c r="F2423" s="6"/>
      <c r="G2423" s="6">
        <v>2416</v>
      </c>
      <c r="H2423" s="6">
        <f t="shared" ca="1" si="79"/>
        <v>5.2731030339810848E-3</v>
      </c>
    </row>
    <row r="2424" spans="2:8" x14ac:dyDescent="0.3">
      <c r="B2424" s="4">
        <v>42209</v>
      </c>
      <c r="C2424" s="7">
        <v>780.66</v>
      </c>
      <c r="D2424" s="6">
        <f t="shared" si="78"/>
        <v>-0.54684452493730851</v>
      </c>
      <c r="E2424" s="6">
        <v>2.9549308803123934E-3</v>
      </c>
      <c r="F2424" s="6"/>
      <c r="G2424" s="6">
        <v>2417</v>
      </c>
      <c r="H2424" s="6">
        <f t="shared" ca="1" si="79"/>
        <v>1.7769961074675041E-2</v>
      </c>
    </row>
    <row r="2425" spans="2:8" x14ac:dyDescent="0.3">
      <c r="B2425" s="4">
        <v>44056</v>
      </c>
      <c r="C2425" s="5">
        <v>1722.72</v>
      </c>
      <c r="D2425" s="6">
        <f t="shared" si="78"/>
        <v>0.1010609740508757</v>
      </c>
      <c r="E2425" s="6">
        <v>2.9517072744738079E-3</v>
      </c>
      <c r="F2425" s="6"/>
      <c r="G2425" s="6">
        <v>2418</v>
      </c>
      <c r="H2425" s="6">
        <f t="shared" ca="1" si="79"/>
        <v>-5.6052139018290875E-3</v>
      </c>
    </row>
    <row r="2426" spans="2:8" x14ac:dyDescent="0.3">
      <c r="B2426" s="4">
        <v>43987</v>
      </c>
      <c r="C2426" s="5">
        <v>1564.6</v>
      </c>
      <c r="D2426" s="6">
        <f t="shared" si="78"/>
        <v>37.226239921817736</v>
      </c>
      <c r="E2426" s="6">
        <v>2.942288831481797E-3</v>
      </c>
      <c r="F2426" s="6"/>
      <c r="G2426" s="6">
        <v>2419</v>
      </c>
      <c r="H2426" s="6">
        <f t="shared" ca="1" si="79"/>
        <v>4.2555206909191115E-3</v>
      </c>
    </row>
    <row r="2427" spans="2:8" x14ac:dyDescent="0.3">
      <c r="B2427" s="4">
        <v>38629</v>
      </c>
      <c r="C2427" s="7">
        <v>40.93</v>
      </c>
      <c r="D2427" s="6">
        <f t="shared" si="78"/>
        <v>-0.9872844365604293</v>
      </c>
      <c r="E2427" s="6">
        <v>2.9404557706443871E-3</v>
      </c>
      <c r="F2427" s="6"/>
      <c r="G2427" s="6">
        <v>2420</v>
      </c>
      <c r="H2427" s="6">
        <f t="shared" ca="1" si="79"/>
        <v>-2.7579070347553344E-3</v>
      </c>
    </row>
    <row r="2428" spans="2:8" x14ac:dyDescent="0.3">
      <c r="B2428" s="4">
        <v>44448</v>
      </c>
      <c r="C2428" s="5">
        <v>3218.89</v>
      </c>
      <c r="D2428" s="6">
        <f t="shared" si="78"/>
        <v>103.17119741100323</v>
      </c>
      <c r="E2428" s="6">
        <v>2.9225645036157089E-3</v>
      </c>
      <c r="F2428" s="6"/>
      <c r="G2428" s="6">
        <v>2421</v>
      </c>
      <c r="H2428" s="6">
        <f t="shared" ca="1" si="79"/>
        <v>-2.4681702867579671E-2</v>
      </c>
    </row>
    <row r="2429" spans="2:8" x14ac:dyDescent="0.3">
      <c r="B2429" s="4">
        <v>38460</v>
      </c>
      <c r="C2429" s="7">
        <v>30.9</v>
      </c>
      <c r="D2429" s="6">
        <f t="shared" si="78"/>
        <v>-0.91099717725675444</v>
      </c>
      <c r="E2429" s="6">
        <v>2.92112950340798E-3</v>
      </c>
      <c r="F2429" s="6"/>
      <c r="G2429" s="6">
        <v>2422</v>
      </c>
      <c r="H2429" s="6">
        <f t="shared" ca="1" si="79"/>
        <v>-8.7728125178400201E-4</v>
      </c>
    </row>
    <row r="2430" spans="2:8" x14ac:dyDescent="0.3">
      <c r="B2430" s="4">
        <v>41198</v>
      </c>
      <c r="C2430" s="7">
        <v>347.18</v>
      </c>
      <c r="D2430" s="6">
        <f t="shared" si="78"/>
        <v>10.202968699580511</v>
      </c>
      <c r="E2430" s="6">
        <v>2.9176416211687635E-3</v>
      </c>
      <c r="F2430" s="6"/>
      <c r="G2430" s="6">
        <v>2423</v>
      </c>
      <c r="H2430" s="6">
        <f t="shared" ca="1" si="79"/>
        <v>-1.5113385708050958E-3</v>
      </c>
    </row>
    <row r="2431" spans="2:8" x14ac:dyDescent="0.3">
      <c r="B2431" s="4">
        <v>38464</v>
      </c>
      <c r="C2431" s="7">
        <v>30.99</v>
      </c>
      <c r="D2431" s="6">
        <f t="shared" si="78"/>
        <v>-0.957186079604327</v>
      </c>
      <c r="E2431" s="6">
        <v>2.9126213592232963E-3</v>
      </c>
      <c r="F2431" s="6"/>
      <c r="G2431" s="6">
        <v>2424</v>
      </c>
      <c r="H2431" s="6">
        <f t="shared" ca="1" si="79"/>
        <v>-1.4845348294428478E-2</v>
      </c>
    </row>
    <row r="2432" spans="2:8" x14ac:dyDescent="0.3">
      <c r="B2432" s="4">
        <v>41977</v>
      </c>
      <c r="C2432" s="7">
        <v>723.83</v>
      </c>
      <c r="D2432" s="6">
        <f t="shared" si="78"/>
        <v>-0.57129488690543173</v>
      </c>
      <c r="E2432" s="6">
        <v>2.9096753633630619E-3</v>
      </c>
      <c r="F2432" s="6"/>
      <c r="G2432" s="6">
        <v>2425</v>
      </c>
      <c r="H2432" s="6">
        <f t="shared" ca="1" si="79"/>
        <v>1.3079206733690646E-2</v>
      </c>
    </row>
    <row r="2433" spans="2:8" x14ac:dyDescent="0.3">
      <c r="B2433" s="4">
        <v>43748</v>
      </c>
      <c r="C2433" s="5">
        <v>1688.41</v>
      </c>
      <c r="D2433" s="6">
        <f t="shared" si="78"/>
        <v>5.0296050282122708</v>
      </c>
      <c r="E2433" s="6">
        <v>2.9046283976430932E-3</v>
      </c>
      <c r="F2433" s="6"/>
      <c r="G2433" s="6">
        <v>2426</v>
      </c>
      <c r="H2433" s="6">
        <f t="shared" ca="1" si="79"/>
        <v>1.2334650253470686E-2</v>
      </c>
    </row>
    <row r="2434" spans="2:8" x14ac:dyDescent="0.3">
      <c r="B2434" s="4">
        <v>40970</v>
      </c>
      <c r="C2434" s="7">
        <v>280.02</v>
      </c>
      <c r="D2434" s="6">
        <f t="shared" si="78"/>
        <v>3.7316661034133149</v>
      </c>
      <c r="E2434" s="6">
        <v>2.9010422262813018E-3</v>
      </c>
      <c r="F2434" s="6"/>
      <c r="G2434" s="6">
        <v>2427</v>
      </c>
      <c r="H2434" s="6">
        <f t="shared" ca="1" si="79"/>
        <v>1.4297398557738527E-2</v>
      </c>
    </row>
    <row r="2435" spans="2:8" x14ac:dyDescent="0.3">
      <c r="B2435" s="4">
        <v>39052</v>
      </c>
      <c r="C2435" s="7">
        <v>59.18</v>
      </c>
      <c r="D2435" s="6">
        <f t="shared" si="78"/>
        <v>-0.98055374828309116</v>
      </c>
      <c r="E2435" s="6">
        <v>2.8808676495509526E-3</v>
      </c>
      <c r="F2435" s="6"/>
      <c r="G2435" s="6">
        <v>2428</v>
      </c>
      <c r="H2435" s="6">
        <f t="shared" ca="1" si="79"/>
        <v>2.9815189601391602E-2</v>
      </c>
    </row>
    <row r="2436" spans="2:8" x14ac:dyDescent="0.3">
      <c r="B2436" s="4">
        <v>45075</v>
      </c>
      <c r="C2436" s="5">
        <v>3043.26</v>
      </c>
      <c r="D2436" s="6">
        <f t="shared" si="78"/>
        <v>2.3177724963478186</v>
      </c>
      <c r="E2436" s="6">
        <v>2.876887030281466E-3</v>
      </c>
      <c r="F2436" s="6"/>
      <c r="G2436" s="6">
        <v>2429</v>
      </c>
      <c r="H2436" s="6">
        <f t="shared" ca="1" si="79"/>
        <v>9.5372578931918212E-3</v>
      </c>
    </row>
    <row r="2437" spans="2:8" x14ac:dyDescent="0.3">
      <c r="B2437" s="4">
        <v>42534</v>
      </c>
      <c r="C2437" s="7">
        <v>917.26</v>
      </c>
      <c r="D2437" s="6">
        <f t="shared" si="78"/>
        <v>1.007177399943106</v>
      </c>
      <c r="E2437" s="6">
        <v>2.875479702174645E-3</v>
      </c>
      <c r="F2437" s="6"/>
      <c r="G2437" s="6">
        <v>2430</v>
      </c>
      <c r="H2437" s="6">
        <f t="shared" ca="1" si="79"/>
        <v>1.3538743878675997E-2</v>
      </c>
    </row>
    <row r="2438" spans="2:8" x14ac:dyDescent="0.3">
      <c r="B2438" s="4">
        <v>41610</v>
      </c>
      <c r="C2438" s="7">
        <v>456.99</v>
      </c>
      <c r="D2438" s="6">
        <f t="shared" si="78"/>
        <v>3.7458285091602532E-2</v>
      </c>
      <c r="E2438" s="6">
        <v>2.874824438202252E-3</v>
      </c>
      <c r="F2438" s="6"/>
      <c r="G2438" s="6">
        <v>2431</v>
      </c>
      <c r="H2438" s="6">
        <f t="shared" ca="1" si="79"/>
        <v>-2.4009846831734825E-2</v>
      </c>
    </row>
    <row r="2439" spans="2:8" x14ac:dyDescent="0.3">
      <c r="B2439" s="4">
        <v>41361</v>
      </c>
      <c r="C2439" s="7">
        <v>440.49</v>
      </c>
      <c r="D2439" s="6">
        <f t="shared" si="78"/>
        <v>16.993872549019606</v>
      </c>
      <c r="E2439" s="6">
        <v>2.868656512533276E-3</v>
      </c>
      <c r="F2439" s="6"/>
      <c r="G2439" s="6">
        <v>2432</v>
      </c>
      <c r="H2439" s="6">
        <f t="shared" ca="1" si="79"/>
        <v>1.6801938874148221E-2</v>
      </c>
    </row>
    <row r="2440" spans="2:8" x14ac:dyDescent="0.3">
      <c r="B2440" s="4">
        <v>38257</v>
      </c>
      <c r="C2440" s="7">
        <v>24.48</v>
      </c>
      <c r="D2440" s="6">
        <f t="shared" ref="D2440:D2503" si="80">((C2440-C2441)/C2441)</f>
        <v>-0.98918135374498395</v>
      </c>
      <c r="E2440" s="6">
        <v>2.8676771814830104E-3</v>
      </c>
      <c r="F2440" s="6"/>
      <c r="G2440" s="6">
        <v>2433</v>
      </c>
      <c r="H2440" s="6">
        <f t="shared" ca="1" si="79"/>
        <v>-9.1699398625581033E-3</v>
      </c>
    </row>
    <row r="2441" spans="2:8" x14ac:dyDescent="0.3">
      <c r="B2441" s="4">
        <v>45736</v>
      </c>
      <c r="C2441" s="5">
        <v>2262.7600000000002</v>
      </c>
      <c r="D2441" s="6">
        <f t="shared" si="80"/>
        <v>5.6006242525013867</v>
      </c>
      <c r="E2441" s="6">
        <v>2.8497604517071047E-3</v>
      </c>
      <c r="F2441" s="6"/>
      <c r="G2441" s="6">
        <v>2434</v>
      </c>
      <c r="H2441" s="6">
        <f t="shared" ref="H2441:H2504" ca="1" si="81">_xlfn.NORM.INV(RAND(),N$10,N$11)</f>
        <v>-4.1889409744593192E-4</v>
      </c>
    </row>
    <row r="2442" spans="2:8" x14ac:dyDescent="0.3">
      <c r="B2442" s="4">
        <v>41071</v>
      </c>
      <c r="C2442" s="7">
        <v>342.81</v>
      </c>
      <c r="D2442" s="6">
        <f t="shared" si="80"/>
        <v>-0.88233941411679917</v>
      </c>
      <c r="E2442" s="6">
        <v>2.8375848350106112E-3</v>
      </c>
      <c r="F2442" s="6"/>
      <c r="G2442" s="6">
        <v>2435</v>
      </c>
      <c r="H2442" s="6">
        <f t="shared" ca="1" si="81"/>
        <v>-7.9381435082504156E-3</v>
      </c>
    </row>
    <row r="2443" spans="2:8" x14ac:dyDescent="0.3">
      <c r="B2443" s="4">
        <v>44644</v>
      </c>
      <c r="C2443" s="5">
        <v>2913.55</v>
      </c>
      <c r="D2443" s="6">
        <f t="shared" si="80"/>
        <v>0.24998391158666092</v>
      </c>
      <c r="E2443" s="6">
        <v>2.8327344320074957E-3</v>
      </c>
      <c r="F2443" s="6"/>
      <c r="G2443" s="6">
        <v>2436</v>
      </c>
      <c r="H2443" s="6">
        <f t="shared" ca="1" si="81"/>
        <v>1.7238294671992456E-2</v>
      </c>
    </row>
    <row r="2444" spans="2:8" x14ac:dyDescent="0.3">
      <c r="B2444" s="4">
        <v>45751</v>
      </c>
      <c r="C2444" s="5">
        <v>2330.87</v>
      </c>
      <c r="D2444" s="6">
        <f t="shared" si="80"/>
        <v>6.1442101391528228</v>
      </c>
      <c r="E2444" s="6">
        <v>2.8309720387730995E-3</v>
      </c>
      <c r="F2444" s="6"/>
      <c r="G2444" s="6">
        <v>2437</v>
      </c>
      <c r="H2444" s="6">
        <f t="shared" ca="1" si="81"/>
        <v>1.7941496465379111E-2</v>
      </c>
    </row>
    <row r="2445" spans="2:8" x14ac:dyDescent="0.3">
      <c r="B2445" s="4">
        <v>41155</v>
      </c>
      <c r="C2445" s="7">
        <v>326.26</v>
      </c>
      <c r="D2445" s="6">
        <f t="shared" si="80"/>
        <v>12.071314102564102</v>
      </c>
      <c r="E2445" s="6">
        <v>2.8278109055142804E-3</v>
      </c>
      <c r="F2445" s="6"/>
      <c r="G2445" s="6">
        <v>2438</v>
      </c>
      <c r="H2445" s="6">
        <f t="shared" ca="1" si="81"/>
        <v>1.4706582594481765E-2</v>
      </c>
    </row>
    <row r="2446" spans="2:8" x14ac:dyDescent="0.3">
      <c r="B2446" s="4">
        <v>38201</v>
      </c>
      <c r="C2446" s="7">
        <v>24.96</v>
      </c>
      <c r="D2446" s="6">
        <f t="shared" si="80"/>
        <v>-0.82954312640852279</v>
      </c>
      <c r="E2446" s="6">
        <v>2.8123744475693161E-3</v>
      </c>
      <c r="F2446" s="6"/>
      <c r="G2446" s="6">
        <v>2439</v>
      </c>
      <c r="H2446" s="6">
        <f t="shared" ca="1" si="81"/>
        <v>1.7613059434783831E-2</v>
      </c>
    </row>
    <row r="2447" spans="2:8" x14ac:dyDescent="0.3">
      <c r="B2447" s="4">
        <v>40123</v>
      </c>
      <c r="C2447" s="7">
        <v>146.43</v>
      </c>
      <c r="D2447" s="6">
        <f t="shared" si="80"/>
        <v>-0.94784290538133853</v>
      </c>
      <c r="E2447" s="6">
        <v>2.8078345432132347E-3</v>
      </c>
      <c r="F2447" s="6"/>
      <c r="G2447" s="6">
        <v>2440</v>
      </c>
      <c r="H2447" s="6">
        <f t="shared" ca="1" si="81"/>
        <v>1.5042201776605306E-2</v>
      </c>
    </row>
    <row r="2448" spans="2:8" x14ac:dyDescent="0.3">
      <c r="B2448" s="4">
        <v>44354</v>
      </c>
      <c r="C2448" s="5">
        <v>2807.48</v>
      </c>
      <c r="D2448" s="6">
        <f t="shared" si="80"/>
        <v>0.21642301926359847</v>
      </c>
      <c r="E2448" s="6">
        <v>2.8039419494718617E-3</v>
      </c>
      <c r="F2448" s="6"/>
      <c r="G2448" s="6">
        <v>2441</v>
      </c>
      <c r="H2448" s="6">
        <f t="shared" ca="1" si="81"/>
        <v>-1.7841756118904351E-3</v>
      </c>
    </row>
    <row r="2449" spans="2:8" x14ac:dyDescent="0.3">
      <c r="B2449" s="4">
        <v>44274</v>
      </c>
      <c r="C2449" s="5">
        <v>2307.98</v>
      </c>
      <c r="D2449" s="6">
        <f t="shared" si="80"/>
        <v>3.8230622949449358</v>
      </c>
      <c r="E2449" s="6">
        <v>2.7850554186923944E-3</v>
      </c>
      <c r="F2449" s="6"/>
      <c r="G2449" s="6">
        <v>2442</v>
      </c>
      <c r="H2449" s="6">
        <f t="shared" ca="1" si="81"/>
        <v>-8.1259693087555648E-3</v>
      </c>
    </row>
    <row r="2450" spans="2:8" x14ac:dyDescent="0.3">
      <c r="B2450" s="4">
        <v>41779</v>
      </c>
      <c r="C2450" s="7">
        <v>478.53</v>
      </c>
      <c r="D2450" s="6">
        <f t="shared" si="80"/>
        <v>-0.84105742499277591</v>
      </c>
      <c r="E2450" s="6">
        <v>2.7660778273715832E-3</v>
      </c>
      <c r="F2450" s="6"/>
      <c r="G2450" s="6">
        <v>2443</v>
      </c>
      <c r="H2450" s="6">
        <f t="shared" ca="1" si="81"/>
        <v>-6.7023433599679317E-3</v>
      </c>
    </row>
    <row r="2451" spans="2:8" x14ac:dyDescent="0.3">
      <c r="B2451" s="4">
        <v>44887</v>
      </c>
      <c r="C2451" s="5">
        <v>3010.71</v>
      </c>
      <c r="D2451" s="6">
        <f t="shared" si="80"/>
        <v>1.1985453589502046</v>
      </c>
      <c r="E2451" s="6">
        <v>2.7611060411268122E-3</v>
      </c>
      <c r="F2451" s="6"/>
      <c r="G2451" s="6">
        <v>2444</v>
      </c>
      <c r="H2451" s="6">
        <f t="shared" ca="1" si="81"/>
        <v>-1.0455978741064506E-2</v>
      </c>
    </row>
    <row r="2452" spans="2:8" x14ac:dyDescent="0.3">
      <c r="B2452" s="4">
        <v>43501</v>
      </c>
      <c r="C2452" s="5">
        <v>1369.41</v>
      </c>
      <c r="D2452" s="6">
        <f t="shared" si="80"/>
        <v>0.95214472052345733</v>
      </c>
      <c r="E2452" s="6">
        <v>2.7606104097712292E-3</v>
      </c>
      <c r="F2452" s="6"/>
      <c r="G2452" s="6">
        <v>2445</v>
      </c>
      <c r="H2452" s="6">
        <f t="shared" ca="1" si="81"/>
        <v>-7.1893689746634192E-3</v>
      </c>
    </row>
    <row r="2453" spans="2:8" x14ac:dyDescent="0.3">
      <c r="B2453" s="4">
        <v>42187</v>
      </c>
      <c r="C2453" s="7">
        <v>701.49</v>
      </c>
      <c r="D2453" s="6">
        <f t="shared" si="80"/>
        <v>-0.75014603219831877</v>
      </c>
      <c r="E2453" s="6">
        <v>2.7588770084053743E-3</v>
      </c>
      <c r="F2453" s="6"/>
      <c r="G2453" s="6">
        <v>2446</v>
      </c>
      <c r="H2453" s="6">
        <f t="shared" ca="1" si="81"/>
        <v>-1.1091477765666578E-2</v>
      </c>
    </row>
    <row r="2454" spans="2:8" x14ac:dyDescent="0.3">
      <c r="B2454" s="4">
        <v>46013</v>
      </c>
      <c r="C2454" s="5">
        <v>2807.6</v>
      </c>
      <c r="D2454" s="6">
        <f t="shared" si="80"/>
        <v>50.271000730460187</v>
      </c>
      <c r="E2454" s="6">
        <v>2.7500982177934277E-3</v>
      </c>
      <c r="F2454" s="6"/>
      <c r="G2454" s="6">
        <v>2447</v>
      </c>
      <c r="H2454" s="6">
        <f t="shared" ca="1" si="81"/>
        <v>1.3889474266482004E-2</v>
      </c>
    </row>
    <row r="2455" spans="2:8" x14ac:dyDescent="0.3">
      <c r="B2455" s="4">
        <v>38987</v>
      </c>
      <c r="C2455" s="7">
        <v>54.76</v>
      </c>
      <c r="D2455" s="6">
        <f t="shared" si="80"/>
        <v>-0.93063876679881952</v>
      </c>
      <c r="E2455" s="6">
        <v>2.7467496795458447E-3</v>
      </c>
      <c r="F2455" s="6"/>
      <c r="G2455" s="6">
        <v>2448</v>
      </c>
      <c r="H2455" s="6">
        <f t="shared" ca="1" si="81"/>
        <v>1.915762014715984E-2</v>
      </c>
    </row>
    <row r="2456" spans="2:8" x14ac:dyDescent="0.3">
      <c r="B2456" s="4">
        <v>42300</v>
      </c>
      <c r="C2456" s="7">
        <v>789.49</v>
      </c>
      <c r="D2456" s="6">
        <f t="shared" si="80"/>
        <v>-0.75459727955438416</v>
      </c>
      <c r="E2456" s="6">
        <v>2.7434493795485604E-3</v>
      </c>
      <c r="F2456" s="6"/>
      <c r="G2456" s="6">
        <v>2449</v>
      </c>
      <c r="H2456" s="6">
        <f t="shared" ca="1" si="81"/>
        <v>-1.6149078309349706E-2</v>
      </c>
    </row>
    <row r="2457" spans="2:8" x14ac:dyDescent="0.3">
      <c r="B2457" s="4">
        <v>45168</v>
      </c>
      <c r="C2457" s="5">
        <v>3217.12</v>
      </c>
      <c r="D2457" s="6">
        <f t="shared" si="80"/>
        <v>0.19924998415721992</v>
      </c>
      <c r="E2457" s="6">
        <v>2.7397431062265924E-3</v>
      </c>
      <c r="F2457" s="6"/>
      <c r="G2457" s="6">
        <v>2450</v>
      </c>
      <c r="H2457" s="6">
        <f t="shared" ca="1" si="81"/>
        <v>-7.5105379045498095E-3</v>
      </c>
    </row>
    <row r="2458" spans="2:8" x14ac:dyDescent="0.3">
      <c r="B2458" s="4">
        <v>44965</v>
      </c>
      <c r="C2458" s="5">
        <v>2682.61</v>
      </c>
      <c r="D2458" s="6">
        <f t="shared" si="80"/>
        <v>-0.16793784215505345</v>
      </c>
      <c r="E2458" s="6">
        <v>2.7361519685716925E-3</v>
      </c>
      <c r="F2458" s="6"/>
      <c r="G2458" s="6">
        <v>2451</v>
      </c>
      <c r="H2458" s="6">
        <f t="shared" ca="1" si="81"/>
        <v>8.3968707991494227E-3</v>
      </c>
    </row>
    <row r="2459" spans="2:8" x14ac:dyDescent="0.3">
      <c r="B2459" s="4">
        <v>45196</v>
      </c>
      <c r="C2459" s="5">
        <v>3224.05</v>
      </c>
      <c r="D2459" s="6">
        <f t="shared" si="80"/>
        <v>78.704573547589618</v>
      </c>
      <c r="E2459" s="6">
        <v>2.7338380099898494E-3</v>
      </c>
      <c r="F2459" s="6"/>
      <c r="G2459" s="6">
        <v>2452</v>
      </c>
      <c r="H2459" s="6">
        <f t="shared" ca="1" si="81"/>
        <v>2.0301939710281665E-2</v>
      </c>
    </row>
    <row r="2460" spans="2:8" x14ac:dyDescent="0.3">
      <c r="B2460" s="4">
        <v>38646</v>
      </c>
      <c r="C2460" s="7">
        <v>40.450000000000003</v>
      </c>
      <c r="D2460" s="6">
        <f t="shared" si="80"/>
        <v>-0.85142878131198119</v>
      </c>
      <c r="E2460" s="6">
        <v>2.7268220128904169E-3</v>
      </c>
      <c r="F2460" s="6"/>
      <c r="G2460" s="6">
        <v>2453</v>
      </c>
      <c r="H2460" s="6">
        <f t="shared" ca="1" si="81"/>
        <v>-4.9577597257097084E-3</v>
      </c>
    </row>
    <row r="2461" spans="2:8" x14ac:dyDescent="0.3">
      <c r="B2461" s="4">
        <v>40990</v>
      </c>
      <c r="C2461" s="7">
        <v>272.26</v>
      </c>
      <c r="D2461" s="6">
        <f t="shared" si="80"/>
        <v>-0.73713734009172094</v>
      </c>
      <c r="E2461" s="6">
        <v>2.725397760754306E-3</v>
      </c>
      <c r="F2461" s="6"/>
      <c r="G2461" s="6">
        <v>2454</v>
      </c>
      <c r="H2461" s="6">
        <f t="shared" ca="1" si="81"/>
        <v>9.0400328974821181E-3</v>
      </c>
    </row>
    <row r="2462" spans="2:8" x14ac:dyDescent="0.3">
      <c r="B2462" s="4">
        <v>43157</v>
      </c>
      <c r="C2462" s="5">
        <v>1035.75</v>
      </c>
      <c r="D2462" s="6">
        <f t="shared" si="80"/>
        <v>-0.68037833083890087</v>
      </c>
      <c r="E2462" s="6">
        <v>2.7203903421301771E-3</v>
      </c>
      <c r="F2462" s="6"/>
      <c r="G2462" s="6">
        <v>2455</v>
      </c>
      <c r="H2462" s="6">
        <f t="shared" ca="1" si="81"/>
        <v>-1.726736600491834E-3</v>
      </c>
    </row>
    <row r="2463" spans="2:8" x14ac:dyDescent="0.3">
      <c r="B2463" s="4">
        <v>45097</v>
      </c>
      <c r="C2463" s="5">
        <v>3240.55</v>
      </c>
      <c r="D2463" s="6">
        <f t="shared" si="80"/>
        <v>0.1222295331763403</v>
      </c>
      <c r="E2463" s="6">
        <v>2.719880189122943E-3</v>
      </c>
      <c r="F2463" s="6"/>
      <c r="G2463" s="6">
        <v>2456</v>
      </c>
      <c r="H2463" s="6">
        <f t="shared" ca="1" si="81"/>
        <v>-1.3413118012010989E-2</v>
      </c>
    </row>
    <row r="2464" spans="2:8" x14ac:dyDescent="0.3">
      <c r="B2464" s="4">
        <v>44391</v>
      </c>
      <c r="C2464" s="5">
        <v>2887.6</v>
      </c>
      <c r="D2464" s="6">
        <f t="shared" si="80"/>
        <v>-5.7371831491667621E-2</v>
      </c>
      <c r="E2464" s="6">
        <v>2.7050395685826369E-3</v>
      </c>
      <c r="F2464" s="6"/>
      <c r="G2464" s="6">
        <v>2457</v>
      </c>
      <c r="H2464" s="6">
        <f t="shared" ca="1" si="81"/>
        <v>-6.1135001922942777E-3</v>
      </c>
    </row>
    <row r="2465" spans="2:8" x14ac:dyDescent="0.3">
      <c r="B2465" s="4">
        <v>45510</v>
      </c>
      <c r="C2465" s="5">
        <v>3063.35</v>
      </c>
      <c r="D2465" s="6">
        <f t="shared" si="80"/>
        <v>8.8966542010891977E-2</v>
      </c>
      <c r="E2465" s="6">
        <v>2.6971205619436881E-3</v>
      </c>
      <c r="F2465" s="6"/>
      <c r="G2465" s="6">
        <v>2458</v>
      </c>
      <c r="H2465" s="6">
        <f t="shared" ca="1" si="81"/>
        <v>1.4889471112894253E-2</v>
      </c>
    </row>
    <row r="2466" spans="2:8" x14ac:dyDescent="0.3">
      <c r="B2466" s="4">
        <v>45412</v>
      </c>
      <c r="C2466" s="5">
        <v>2813.08</v>
      </c>
      <c r="D2466" s="6">
        <f t="shared" si="80"/>
        <v>1.1250679881549526</v>
      </c>
      <c r="E2466" s="6">
        <v>2.6839657108230987E-3</v>
      </c>
      <c r="F2466" s="6"/>
      <c r="G2466" s="6">
        <v>2459</v>
      </c>
      <c r="H2466" s="6">
        <f t="shared" ca="1" si="81"/>
        <v>2.1935664585850983E-2</v>
      </c>
    </row>
    <row r="2467" spans="2:8" x14ac:dyDescent="0.3">
      <c r="B2467" s="4">
        <v>43522</v>
      </c>
      <c r="C2467" s="5">
        <v>1323.76</v>
      </c>
      <c r="D2467" s="6">
        <f t="shared" si="80"/>
        <v>17.620903080602055</v>
      </c>
      <c r="E2467" s="6">
        <v>2.6813712866037205E-3</v>
      </c>
      <c r="F2467" s="6"/>
      <c r="G2467" s="6">
        <v>2460</v>
      </c>
      <c r="H2467" s="6">
        <f t="shared" ca="1" si="81"/>
        <v>-1.3579394287059456E-2</v>
      </c>
    </row>
    <row r="2468" spans="2:8" x14ac:dyDescent="0.3">
      <c r="B2468" s="4">
        <v>39254</v>
      </c>
      <c r="C2468" s="7">
        <v>71.09</v>
      </c>
      <c r="D2468" s="6">
        <f t="shared" si="80"/>
        <v>-0.85042186546594556</v>
      </c>
      <c r="E2468" s="6">
        <v>2.6798307475317026E-3</v>
      </c>
      <c r="F2468" s="6"/>
      <c r="G2468" s="6">
        <v>2461</v>
      </c>
      <c r="H2468" s="6">
        <f t="shared" ca="1" si="81"/>
        <v>1.2491476851199642E-2</v>
      </c>
    </row>
    <row r="2469" spans="2:8" x14ac:dyDescent="0.3">
      <c r="B2469" s="4">
        <v>41723</v>
      </c>
      <c r="C2469" s="7">
        <v>475.27</v>
      </c>
      <c r="D2469" s="6">
        <f t="shared" si="80"/>
        <v>-0.84954525165485339</v>
      </c>
      <c r="E2469" s="6">
        <v>2.6793248945147295E-3</v>
      </c>
      <c r="F2469" s="6"/>
      <c r="G2469" s="6">
        <v>2462</v>
      </c>
      <c r="H2469" s="6">
        <f t="shared" ca="1" si="81"/>
        <v>2.5286864079609509E-2</v>
      </c>
    </row>
    <row r="2470" spans="2:8" x14ac:dyDescent="0.3">
      <c r="B2470" s="4">
        <v>44552</v>
      </c>
      <c r="C2470" s="5">
        <v>3158.89</v>
      </c>
      <c r="D2470" s="6">
        <f t="shared" si="80"/>
        <v>0.31068291488770211</v>
      </c>
      <c r="E2470" s="6">
        <v>2.6757997244846263E-3</v>
      </c>
      <c r="F2470" s="6"/>
      <c r="G2470" s="6">
        <v>2463</v>
      </c>
      <c r="H2470" s="6">
        <f t="shared" ca="1" si="81"/>
        <v>3.7704990755851953E-3</v>
      </c>
    </row>
    <row r="2471" spans="2:8" x14ac:dyDescent="0.3">
      <c r="B2471" s="4">
        <v>44309</v>
      </c>
      <c r="C2471" s="5">
        <v>2410.11</v>
      </c>
      <c r="D2471" s="6">
        <f t="shared" si="80"/>
        <v>127.06110520722635</v>
      </c>
      <c r="E2471" s="6">
        <v>2.6667221367060404E-3</v>
      </c>
      <c r="F2471" s="6"/>
      <c r="G2471" s="6">
        <v>2464</v>
      </c>
      <c r="H2471" s="6">
        <f t="shared" ca="1" si="81"/>
        <v>2.9959093374895725E-3</v>
      </c>
    </row>
    <row r="2472" spans="2:8" x14ac:dyDescent="0.3">
      <c r="B2472" s="4">
        <v>37775</v>
      </c>
      <c r="C2472" s="7">
        <v>18.82</v>
      </c>
      <c r="D2472" s="6">
        <f t="shared" si="80"/>
        <v>-0.89592434883592331</v>
      </c>
      <c r="E2472" s="6">
        <v>2.6638252530634368E-3</v>
      </c>
      <c r="F2472" s="6"/>
      <c r="G2472" s="6">
        <v>2465</v>
      </c>
      <c r="H2472" s="6">
        <f t="shared" ca="1" si="81"/>
        <v>4.0465326137481194E-3</v>
      </c>
    </row>
    <row r="2473" spans="2:8" x14ac:dyDescent="0.3">
      <c r="B2473" s="4">
        <v>40301</v>
      </c>
      <c r="C2473" s="7">
        <v>180.83</v>
      </c>
      <c r="D2473" s="6">
        <f t="shared" si="80"/>
        <v>-0.57659977990587463</v>
      </c>
      <c r="E2473" s="6">
        <v>2.6614915442196739E-3</v>
      </c>
      <c r="F2473" s="6"/>
      <c r="G2473" s="6">
        <v>2466</v>
      </c>
      <c r="H2473" s="6">
        <f t="shared" ca="1" si="81"/>
        <v>2.1396387746466725E-2</v>
      </c>
    </row>
    <row r="2474" spans="2:8" x14ac:dyDescent="0.3">
      <c r="B2474" s="4">
        <v>41695</v>
      </c>
      <c r="C2474" s="7">
        <v>427.09</v>
      </c>
      <c r="D2474" s="6">
        <f t="shared" si="80"/>
        <v>-0.67821677742115338</v>
      </c>
      <c r="E2474" s="6">
        <v>2.6528312517607182E-3</v>
      </c>
      <c r="F2474" s="6"/>
      <c r="G2474" s="6">
        <v>2467</v>
      </c>
      <c r="H2474" s="6">
        <f t="shared" ca="1" si="81"/>
        <v>3.1953829217642891E-3</v>
      </c>
    </row>
    <row r="2475" spans="2:8" x14ac:dyDescent="0.3">
      <c r="B2475" s="4">
        <v>43523</v>
      </c>
      <c r="C2475" s="5">
        <v>1327.26</v>
      </c>
      <c r="D2475" s="6">
        <f t="shared" si="80"/>
        <v>0.44979682789356401</v>
      </c>
      <c r="E2475" s="6">
        <v>2.6439838037106422E-3</v>
      </c>
      <c r="F2475" s="6"/>
      <c r="G2475" s="6">
        <v>2468</v>
      </c>
      <c r="H2475" s="6">
        <f t="shared" ca="1" si="81"/>
        <v>1.0813431349091152E-2</v>
      </c>
    </row>
    <row r="2476" spans="2:8" x14ac:dyDescent="0.3">
      <c r="B2476" s="4">
        <v>42558</v>
      </c>
      <c r="C2476" s="7">
        <v>915.48</v>
      </c>
      <c r="D2476" s="6">
        <f t="shared" si="80"/>
        <v>-0.6757101412312303</v>
      </c>
      <c r="E2476" s="6">
        <v>2.6394471398687594E-3</v>
      </c>
      <c r="F2476" s="6"/>
      <c r="G2476" s="6">
        <v>2469</v>
      </c>
      <c r="H2476" s="6">
        <f t="shared" ca="1" si="81"/>
        <v>-1.1672649558848011E-3</v>
      </c>
    </row>
    <row r="2477" spans="2:8" x14ac:dyDescent="0.3">
      <c r="B2477" s="4">
        <v>44343</v>
      </c>
      <c r="C2477" s="5">
        <v>2823.03</v>
      </c>
      <c r="D2477" s="6">
        <f t="shared" si="80"/>
        <v>1.6789049155437468</v>
      </c>
      <c r="E2477" s="6">
        <v>2.6353081570246136E-3</v>
      </c>
      <c r="F2477" s="6"/>
      <c r="G2477" s="6">
        <v>2470</v>
      </c>
      <c r="H2477" s="6">
        <f t="shared" ca="1" si="81"/>
        <v>3.5552930556163424E-2</v>
      </c>
    </row>
    <row r="2478" spans="2:8" x14ac:dyDescent="0.3">
      <c r="B2478" s="4">
        <v>43139</v>
      </c>
      <c r="C2478" s="5">
        <v>1053.8</v>
      </c>
      <c r="D2478" s="6">
        <f t="shared" si="80"/>
        <v>11.516926000712672</v>
      </c>
      <c r="E2478" s="6">
        <v>2.6259704673466193E-3</v>
      </c>
      <c r="F2478" s="6"/>
      <c r="G2478" s="6">
        <v>2471</v>
      </c>
      <c r="H2478" s="6">
        <f t="shared" ca="1" si="81"/>
        <v>-2.1645533481237662E-2</v>
      </c>
    </row>
    <row r="2479" spans="2:8" x14ac:dyDescent="0.3">
      <c r="B2479" s="4">
        <v>39401</v>
      </c>
      <c r="C2479" s="7">
        <v>84.19</v>
      </c>
      <c r="D2479" s="6">
        <f t="shared" si="80"/>
        <v>-8.3076192736775915E-4</v>
      </c>
      <c r="E2479" s="6">
        <v>2.6199833273788122E-3</v>
      </c>
      <c r="F2479" s="6"/>
      <c r="G2479" s="6">
        <v>2472</v>
      </c>
      <c r="H2479" s="6">
        <f t="shared" ca="1" si="81"/>
        <v>5.8231793617201091E-3</v>
      </c>
    </row>
    <row r="2480" spans="2:8" x14ac:dyDescent="0.3">
      <c r="B2480" s="4">
        <v>39413</v>
      </c>
      <c r="C2480" s="7">
        <v>84.26</v>
      </c>
      <c r="D2480" s="6">
        <f t="shared" si="80"/>
        <v>-0.74468214047633474</v>
      </c>
      <c r="E2480" s="6">
        <v>2.6178010471204051E-3</v>
      </c>
      <c r="F2480" s="6"/>
      <c r="G2480" s="6">
        <v>2473</v>
      </c>
      <c r="H2480" s="6">
        <f t="shared" ca="1" si="81"/>
        <v>2.7798322826911571E-2</v>
      </c>
    </row>
    <row r="2481" spans="2:8" x14ac:dyDescent="0.3">
      <c r="B2481" s="4">
        <v>41100</v>
      </c>
      <c r="C2481" s="7">
        <v>330.02</v>
      </c>
      <c r="D2481" s="6">
        <f t="shared" si="80"/>
        <v>4.0454059012383432</v>
      </c>
      <c r="E2481" s="6">
        <v>2.6127111435166992E-3</v>
      </c>
      <c r="F2481" s="6"/>
      <c r="G2481" s="6">
        <v>2474</v>
      </c>
      <c r="H2481" s="6">
        <f t="shared" ca="1" si="81"/>
        <v>-2.2350550911367954E-2</v>
      </c>
    </row>
    <row r="2482" spans="2:8" x14ac:dyDescent="0.3">
      <c r="B2482" s="4">
        <v>39106</v>
      </c>
      <c r="C2482" s="7">
        <v>65.41</v>
      </c>
      <c r="D2482" s="6">
        <f t="shared" si="80"/>
        <v>0.53833490122295369</v>
      </c>
      <c r="E2482" s="6">
        <v>2.6057633353770955E-3</v>
      </c>
      <c r="F2482" s="6"/>
      <c r="G2482" s="6">
        <v>2475</v>
      </c>
      <c r="H2482" s="6">
        <f t="shared" ca="1" si="81"/>
        <v>-1.1265924325586948E-2</v>
      </c>
    </row>
    <row r="2483" spans="2:8" x14ac:dyDescent="0.3">
      <c r="B2483" s="4">
        <v>38684</v>
      </c>
      <c r="C2483" s="7">
        <v>42.52</v>
      </c>
      <c r="D2483" s="6">
        <f t="shared" si="80"/>
        <v>-0.35468204583396568</v>
      </c>
      <c r="E2483" s="6">
        <v>2.5937278943646909E-3</v>
      </c>
      <c r="F2483" s="6"/>
      <c r="G2483" s="6">
        <v>2476</v>
      </c>
      <c r="H2483" s="6">
        <f t="shared" ca="1" si="81"/>
        <v>-6.5487427606507843E-3</v>
      </c>
    </row>
    <row r="2484" spans="2:8" x14ac:dyDescent="0.3">
      <c r="B2484" s="4">
        <v>39848</v>
      </c>
      <c r="C2484" s="7">
        <v>65.89</v>
      </c>
      <c r="D2484" s="6">
        <f t="shared" si="80"/>
        <v>-0.91828509065654684</v>
      </c>
      <c r="E2484" s="6">
        <v>2.5867315885575426E-3</v>
      </c>
      <c r="F2484" s="6"/>
      <c r="G2484" s="6">
        <v>2477</v>
      </c>
      <c r="H2484" s="6">
        <f t="shared" ca="1" si="81"/>
        <v>-8.2987972374956951E-3</v>
      </c>
    </row>
    <row r="2485" spans="2:8" x14ac:dyDescent="0.3">
      <c r="B2485" s="4">
        <v>42377</v>
      </c>
      <c r="C2485" s="7">
        <v>806.34</v>
      </c>
      <c r="D2485" s="6">
        <f t="shared" si="80"/>
        <v>-0.68170998875007394</v>
      </c>
      <c r="E2485" s="6">
        <v>2.5737625424298435E-3</v>
      </c>
      <c r="F2485" s="6"/>
      <c r="G2485" s="6">
        <v>2478</v>
      </c>
      <c r="H2485" s="6">
        <f t="shared" ca="1" si="81"/>
        <v>8.3467650725443099E-3</v>
      </c>
    </row>
    <row r="2486" spans="2:8" x14ac:dyDescent="0.3">
      <c r="B2486" s="4">
        <v>45909</v>
      </c>
      <c r="C2486" s="5">
        <v>2533.35</v>
      </c>
      <c r="D2486" s="6">
        <f t="shared" si="80"/>
        <v>2.5460233476106491</v>
      </c>
      <c r="E2486" s="6">
        <v>2.5684050560774167E-3</v>
      </c>
      <c r="F2486" s="6"/>
      <c r="G2486" s="6">
        <v>2479</v>
      </c>
      <c r="H2486" s="6">
        <f t="shared" ca="1" si="81"/>
        <v>-1.4556670408151595E-2</v>
      </c>
    </row>
    <row r="2487" spans="2:8" x14ac:dyDescent="0.3">
      <c r="B2487" s="4">
        <v>42129</v>
      </c>
      <c r="C2487" s="7">
        <v>714.42</v>
      </c>
      <c r="D2487" s="6">
        <f t="shared" si="80"/>
        <v>-0.73071849110084197</v>
      </c>
      <c r="E2487" s="6">
        <v>2.568096661474238E-3</v>
      </c>
      <c r="F2487" s="6"/>
      <c r="G2487" s="6">
        <v>2480</v>
      </c>
      <c r="H2487" s="6">
        <f t="shared" ca="1" si="81"/>
        <v>1.6584355719007314E-2</v>
      </c>
    </row>
    <row r="2488" spans="2:8" x14ac:dyDescent="0.3">
      <c r="B2488" s="4">
        <v>45972</v>
      </c>
      <c r="C2488" s="5">
        <v>2653.06</v>
      </c>
      <c r="D2488" s="6">
        <f t="shared" si="80"/>
        <v>8.679874489200234</v>
      </c>
      <c r="E2488" s="6">
        <v>2.5658757420822377E-3</v>
      </c>
      <c r="F2488" s="6"/>
      <c r="G2488" s="6">
        <v>2481</v>
      </c>
      <c r="H2488" s="6">
        <f t="shared" ca="1" si="81"/>
        <v>2.5353480382248574E-2</v>
      </c>
    </row>
    <row r="2489" spans="2:8" x14ac:dyDescent="0.3">
      <c r="B2489" s="4">
        <v>40808</v>
      </c>
      <c r="C2489" s="7">
        <v>274.08</v>
      </c>
      <c r="D2489" s="6">
        <f t="shared" si="80"/>
        <v>-0.83330190916997637</v>
      </c>
      <c r="E2489" s="6">
        <v>2.5605384446557491E-3</v>
      </c>
      <c r="F2489" s="6"/>
      <c r="G2489" s="6">
        <v>2482</v>
      </c>
      <c r="H2489" s="6">
        <f t="shared" ca="1" si="81"/>
        <v>-1.5241925410620064E-2</v>
      </c>
    </row>
    <row r="2490" spans="2:8" x14ac:dyDescent="0.3">
      <c r="B2490" s="4">
        <v>43838</v>
      </c>
      <c r="C2490" s="5">
        <v>1644.17</v>
      </c>
      <c r="D2490" s="6">
        <f t="shared" si="80"/>
        <v>5.046965796248621</v>
      </c>
      <c r="E2490" s="6">
        <v>2.5549092062098649E-3</v>
      </c>
      <c r="F2490" s="6"/>
      <c r="G2490" s="6">
        <v>2483</v>
      </c>
      <c r="H2490" s="6">
        <f t="shared" ca="1" si="81"/>
        <v>8.4107762148405221E-3</v>
      </c>
    </row>
    <row r="2491" spans="2:8" x14ac:dyDescent="0.3">
      <c r="B2491" s="4">
        <v>40963</v>
      </c>
      <c r="C2491" s="7">
        <v>271.89999999999998</v>
      </c>
      <c r="D2491" s="6">
        <f t="shared" si="80"/>
        <v>-0.71477724511953344</v>
      </c>
      <c r="E2491" s="6">
        <v>2.5441539766232727E-3</v>
      </c>
      <c r="F2491" s="6"/>
      <c r="G2491" s="6">
        <v>2484</v>
      </c>
      <c r="H2491" s="6">
        <f t="shared" ca="1" si="81"/>
        <v>-1.6394903997387848E-2</v>
      </c>
    </row>
    <row r="2492" spans="2:8" x14ac:dyDescent="0.3">
      <c r="B2492" s="4">
        <v>42569</v>
      </c>
      <c r="C2492" s="7">
        <v>953.29</v>
      </c>
      <c r="D2492" s="6">
        <f t="shared" si="80"/>
        <v>39.13852631578947</v>
      </c>
      <c r="E2492" s="6">
        <v>2.5344943631162376E-3</v>
      </c>
      <c r="F2492" s="6"/>
      <c r="G2492" s="6">
        <v>2485</v>
      </c>
      <c r="H2492" s="6">
        <f t="shared" ca="1" si="81"/>
        <v>-1.1136415519358881E-3</v>
      </c>
    </row>
    <row r="2493" spans="2:8" x14ac:dyDescent="0.3">
      <c r="B2493" s="4">
        <v>37957</v>
      </c>
      <c r="C2493" s="7">
        <v>23.75</v>
      </c>
      <c r="D2493" s="6">
        <f t="shared" si="80"/>
        <v>-0.70118268746854551</v>
      </c>
      <c r="E2493" s="6">
        <v>2.5327142254115121E-3</v>
      </c>
      <c r="F2493" s="6"/>
      <c r="G2493" s="6">
        <v>2486</v>
      </c>
      <c r="H2493" s="6">
        <f t="shared" ca="1" si="81"/>
        <v>4.4268490649288826E-3</v>
      </c>
    </row>
    <row r="2494" spans="2:8" x14ac:dyDescent="0.3">
      <c r="B2494" s="4">
        <v>39373</v>
      </c>
      <c r="C2494" s="7">
        <v>79.48</v>
      </c>
      <c r="D2494" s="6">
        <f t="shared" si="80"/>
        <v>-0.85926266954704822</v>
      </c>
      <c r="E2494" s="6">
        <v>2.5227043390514989E-3</v>
      </c>
      <c r="F2494" s="6"/>
      <c r="G2494" s="6">
        <v>2487</v>
      </c>
      <c r="H2494" s="6">
        <f t="shared" ca="1" si="81"/>
        <v>-4.2824398174712876E-3</v>
      </c>
    </row>
    <row r="2495" spans="2:8" x14ac:dyDescent="0.3">
      <c r="B2495" s="4">
        <v>41869</v>
      </c>
      <c r="C2495" s="7">
        <v>564.74</v>
      </c>
      <c r="D2495" s="6">
        <f t="shared" si="80"/>
        <v>5.8598272330571974E-3</v>
      </c>
      <c r="E2495" s="6">
        <v>2.5207697223602198E-3</v>
      </c>
      <c r="F2495" s="6"/>
      <c r="G2495" s="6">
        <v>2488</v>
      </c>
      <c r="H2495" s="6">
        <f t="shared" ca="1" si="81"/>
        <v>-2.7271266509794429E-3</v>
      </c>
    </row>
    <row r="2496" spans="2:8" x14ac:dyDescent="0.3">
      <c r="B2496" s="4">
        <v>41864</v>
      </c>
      <c r="C2496" s="7">
        <v>561.45000000000005</v>
      </c>
      <c r="D2496" s="6">
        <f t="shared" si="80"/>
        <v>1.0400784855201486</v>
      </c>
      <c r="E2496" s="6">
        <v>2.517677308763806E-3</v>
      </c>
      <c r="F2496" s="6"/>
      <c r="G2496" s="6">
        <v>2489</v>
      </c>
      <c r="H2496" s="6">
        <f t="shared" ca="1" si="81"/>
        <v>1.3060241129069457E-2</v>
      </c>
    </row>
    <row r="2497" spans="2:8" x14ac:dyDescent="0.3">
      <c r="B2497" s="4">
        <v>40996</v>
      </c>
      <c r="C2497" s="7">
        <v>275.20999999999998</v>
      </c>
      <c r="D2497" s="6">
        <f t="shared" si="80"/>
        <v>3.0555555555555549</v>
      </c>
      <c r="E2497" s="6">
        <v>2.5134780708145044E-3</v>
      </c>
      <c r="F2497" s="6"/>
      <c r="G2497" s="6">
        <v>2490</v>
      </c>
      <c r="H2497" s="6">
        <f t="shared" ca="1" si="81"/>
        <v>1.6593830660554917E-2</v>
      </c>
    </row>
    <row r="2498" spans="2:8" x14ac:dyDescent="0.3">
      <c r="B2498" s="4">
        <v>39853</v>
      </c>
      <c r="C2498" s="7">
        <v>67.86</v>
      </c>
      <c r="D2498" s="6">
        <f t="shared" si="80"/>
        <v>-0.97837930836726494</v>
      </c>
      <c r="E2498" s="6">
        <v>2.5114492539518645E-3</v>
      </c>
      <c r="F2498" s="6"/>
      <c r="G2498" s="6">
        <v>2491</v>
      </c>
      <c r="H2498" s="6">
        <f t="shared" ca="1" si="81"/>
        <v>3.9459824956959294E-2</v>
      </c>
    </row>
    <row r="2499" spans="2:8" x14ac:dyDescent="0.3">
      <c r="B2499" s="4">
        <v>45189</v>
      </c>
      <c r="C2499" s="5">
        <v>3138.66</v>
      </c>
      <c r="D2499" s="6">
        <f t="shared" si="80"/>
        <v>-1.6445533571074922E-2</v>
      </c>
      <c r="E2499" s="6">
        <v>2.5105404369489179E-3</v>
      </c>
      <c r="F2499" s="6"/>
      <c r="G2499" s="6">
        <v>2492</v>
      </c>
      <c r="H2499" s="6">
        <f t="shared" ca="1" si="81"/>
        <v>9.7060205206970247E-3</v>
      </c>
    </row>
    <row r="2500" spans="2:8" x14ac:dyDescent="0.3">
      <c r="B2500" s="4">
        <v>44461</v>
      </c>
      <c r="C2500" s="5">
        <v>3191.14</v>
      </c>
      <c r="D2500" s="6">
        <f t="shared" si="80"/>
        <v>32.282644972882771</v>
      </c>
      <c r="E2500" s="6">
        <v>2.5100922042630043E-3</v>
      </c>
      <c r="F2500" s="6"/>
      <c r="G2500" s="6">
        <v>2493</v>
      </c>
      <c r="H2500" s="6">
        <f t="shared" ca="1" si="81"/>
        <v>3.4767644687244324E-2</v>
      </c>
    </row>
    <row r="2501" spans="2:8" x14ac:dyDescent="0.3">
      <c r="B2501" s="4">
        <v>39450</v>
      </c>
      <c r="C2501" s="7">
        <v>95.88</v>
      </c>
      <c r="D2501" s="6">
        <f t="shared" si="80"/>
        <v>-0.46715571857285765</v>
      </c>
      <c r="E2501" s="6">
        <v>2.5094102885821297E-3</v>
      </c>
      <c r="F2501" s="6"/>
      <c r="G2501" s="6">
        <v>2494</v>
      </c>
      <c r="H2501" s="6">
        <f t="shared" ca="1" si="81"/>
        <v>3.15977508769184E-2</v>
      </c>
    </row>
    <row r="2502" spans="2:8" x14ac:dyDescent="0.3">
      <c r="B2502" s="4">
        <v>40323</v>
      </c>
      <c r="C2502" s="7">
        <v>179.94</v>
      </c>
      <c r="D2502" s="6">
        <f t="shared" si="80"/>
        <v>-0.81803656662082358</v>
      </c>
      <c r="E2502" s="6">
        <v>2.5071034598027112E-3</v>
      </c>
      <c r="F2502" s="6"/>
      <c r="G2502" s="6">
        <v>2495</v>
      </c>
      <c r="H2502" s="6">
        <f t="shared" ca="1" si="81"/>
        <v>1.018889578475388E-2</v>
      </c>
    </row>
    <row r="2503" spans="2:8" x14ac:dyDescent="0.3">
      <c r="B2503" s="4">
        <v>42818</v>
      </c>
      <c r="C2503" s="7">
        <v>988.88</v>
      </c>
      <c r="D2503" s="6">
        <f t="shared" si="80"/>
        <v>33.856538597109619</v>
      </c>
      <c r="E2503" s="6">
        <v>2.4938667099207606E-3</v>
      </c>
      <c r="F2503" s="6"/>
      <c r="G2503" s="6">
        <v>2496</v>
      </c>
      <c r="H2503" s="6">
        <f t="shared" ca="1" si="81"/>
        <v>-1.9889827600199528E-2</v>
      </c>
    </row>
    <row r="2504" spans="2:8" x14ac:dyDescent="0.3">
      <c r="B2504" s="4">
        <v>38421</v>
      </c>
      <c r="C2504" s="7">
        <v>28.37</v>
      </c>
      <c r="D2504" s="6">
        <f t="shared" ref="D2504:D2567" si="82">((C2504-C2505)/C2505)</f>
        <v>-0.93822536744692431</v>
      </c>
      <c r="E2504" s="6">
        <v>2.4734982332155577E-3</v>
      </c>
      <c r="F2504" s="6"/>
      <c r="G2504" s="6">
        <v>2497</v>
      </c>
      <c r="H2504" s="6">
        <f t="shared" ca="1" si="81"/>
        <v>4.1444460635991845E-3</v>
      </c>
    </row>
    <row r="2505" spans="2:8" x14ac:dyDescent="0.3">
      <c r="B2505" s="4">
        <v>41789</v>
      </c>
      <c r="C2505" s="7">
        <v>459.25</v>
      </c>
      <c r="D2505" s="6">
        <f t="shared" si="82"/>
        <v>1.0144310904465306</v>
      </c>
      <c r="E2505" s="6">
        <v>2.4666026368636938E-3</v>
      </c>
      <c r="F2505" s="6"/>
      <c r="G2505" s="6">
        <v>2498</v>
      </c>
      <c r="H2505" s="6">
        <f t="shared" ref="H2505:H2568" ca="1" si="83">_xlfn.NORM.INV(RAND(),N$10,N$11)</f>
        <v>2.4594573523392758E-2</v>
      </c>
    </row>
    <row r="2506" spans="2:8" x14ac:dyDescent="0.3">
      <c r="B2506" s="4">
        <v>40396</v>
      </c>
      <c r="C2506" s="7">
        <v>227.98</v>
      </c>
      <c r="D2506" s="6">
        <f t="shared" si="82"/>
        <v>-0.32542312699727777</v>
      </c>
      <c r="E2506" s="6">
        <v>2.4624043619734513E-3</v>
      </c>
      <c r="F2506" s="6"/>
      <c r="G2506" s="6">
        <v>2499</v>
      </c>
      <c r="H2506" s="6">
        <f t="shared" ca="1" si="83"/>
        <v>2.415568397341283E-2</v>
      </c>
    </row>
    <row r="2507" spans="2:8" x14ac:dyDescent="0.3">
      <c r="B2507" s="4">
        <v>41135</v>
      </c>
      <c r="C2507" s="7">
        <v>337.96</v>
      </c>
      <c r="D2507" s="6">
        <f t="shared" si="82"/>
        <v>7.2731946144430832</v>
      </c>
      <c r="E2507" s="6">
        <v>2.4619582950196782E-3</v>
      </c>
      <c r="F2507" s="6"/>
      <c r="G2507" s="6">
        <v>2500</v>
      </c>
      <c r="H2507" s="6">
        <f t="shared" ca="1" si="83"/>
        <v>2.4278951408799297E-2</v>
      </c>
    </row>
    <row r="2508" spans="2:8" x14ac:dyDescent="0.3">
      <c r="B2508" s="4">
        <v>38664</v>
      </c>
      <c r="C2508" s="7">
        <v>40.85</v>
      </c>
      <c r="D2508" s="6">
        <f t="shared" si="82"/>
        <v>-0.97631362271109001</v>
      </c>
      <c r="E2508" s="6">
        <v>2.4539877300613845E-3</v>
      </c>
      <c r="F2508" s="6"/>
      <c r="G2508" s="6">
        <v>2501</v>
      </c>
      <c r="H2508" s="6">
        <f t="shared" ca="1" si="83"/>
        <v>-1.7050591658816578E-2</v>
      </c>
    </row>
    <row r="2509" spans="2:8" x14ac:dyDescent="0.3">
      <c r="B2509" s="4">
        <v>43756</v>
      </c>
      <c r="C2509" s="5">
        <v>1724.62</v>
      </c>
      <c r="D2509" s="6">
        <f t="shared" si="82"/>
        <v>83.374755381604686</v>
      </c>
      <c r="E2509" s="6">
        <v>2.4529179260635897E-3</v>
      </c>
      <c r="F2509" s="6"/>
      <c r="G2509" s="6">
        <v>2502</v>
      </c>
      <c r="H2509" s="6">
        <f t="shared" ca="1" si="83"/>
        <v>-1.9999145525285814E-2</v>
      </c>
    </row>
    <row r="2510" spans="2:8" x14ac:dyDescent="0.3">
      <c r="B2510" s="4">
        <v>37840</v>
      </c>
      <c r="C2510" s="7">
        <v>20.440000000000001</v>
      </c>
      <c r="D2510" s="6">
        <f t="shared" si="82"/>
        <v>-0.99260903837948466</v>
      </c>
      <c r="E2510" s="6">
        <v>2.4521824423737472E-3</v>
      </c>
      <c r="F2510" s="6"/>
      <c r="G2510" s="6">
        <v>2503</v>
      </c>
      <c r="H2510" s="6">
        <f t="shared" ca="1" si="83"/>
        <v>1.1023637913203281E-2</v>
      </c>
    </row>
    <row r="2511" spans="2:8" x14ac:dyDescent="0.3">
      <c r="B2511" s="4">
        <v>45357</v>
      </c>
      <c r="C2511" s="5">
        <v>2765.54</v>
      </c>
      <c r="D2511" s="6">
        <f t="shared" si="82"/>
        <v>111.37464445347419</v>
      </c>
      <c r="E2511" s="6">
        <v>2.44672483226342E-3</v>
      </c>
      <c r="F2511" s="6"/>
      <c r="G2511" s="6">
        <v>2504</v>
      </c>
      <c r="H2511" s="6">
        <f t="shared" ca="1" si="83"/>
        <v>-1.4802846924787305E-3</v>
      </c>
    </row>
    <row r="2512" spans="2:8" x14ac:dyDescent="0.3">
      <c r="B2512" s="4">
        <v>38028</v>
      </c>
      <c r="C2512" s="7">
        <v>24.61</v>
      </c>
      <c r="D2512" s="6">
        <f t="shared" si="82"/>
        <v>-0.98562214458478914</v>
      </c>
      <c r="E2512" s="6">
        <v>2.4439918533604365E-3</v>
      </c>
      <c r="F2512" s="6"/>
      <c r="G2512" s="6">
        <v>2505</v>
      </c>
      <c r="H2512" s="6">
        <f t="shared" ca="1" si="83"/>
        <v>-1.8590586972241949E-2</v>
      </c>
    </row>
    <row r="2513" spans="2:8" x14ac:dyDescent="0.3">
      <c r="B2513" s="4">
        <v>43753</v>
      </c>
      <c r="C2513" s="5">
        <v>1711.66</v>
      </c>
      <c r="D2513" s="6">
        <f t="shared" si="82"/>
        <v>45.298620503110634</v>
      </c>
      <c r="E2513" s="6">
        <v>2.4421812133600036E-3</v>
      </c>
      <c r="F2513" s="6"/>
      <c r="G2513" s="6">
        <v>2506</v>
      </c>
      <c r="H2513" s="6">
        <f t="shared" ca="1" si="83"/>
        <v>3.1194392415671403E-3</v>
      </c>
    </row>
    <row r="2514" spans="2:8" x14ac:dyDescent="0.3">
      <c r="B2514" s="4">
        <v>38566</v>
      </c>
      <c r="C2514" s="7">
        <v>36.97</v>
      </c>
      <c r="D2514" s="6">
        <f t="shared" si="82"/>
        <v>-0.52669312508001542</v>
      </c>
      <c r="E2514" s="6">
        <v>2.4403470715834139E-3</v>
      </c>
      <c r="F2514" s="6"/>
      <c r="G2514" s="6">
        <v>2507</v>
      </c>
      <c r="H2514" s="6">
        <f t="shared" ca="1" si="83"/>
        <v>-6.4374095145355624E-3</v>
      </c>
    </row>
    <row r="2515" spans="2:8" x14ac:dyDescent="0.3">
      <c r="B2515" s="4">
        <v>39337</v>
      </c>
      <c r="C2515" s="7">
        <v>78.11</v>
      </c>
      <c r="D2515" s="6">
        <f t="shared" si="82"/>
        <v>-0.79863885952927227</v>
      </c>
      <c r="E2515" s="6">
        <v>2.4383983572894984E-3</v>
      </c>
      <c r="F2515" s="6"/>
      <c r="G2515" s="6">
        <v>2508</v>
      </c>
      <c r="H2515" s="6">
        <f t="shared" ca="1" si="83"/>
        <v>3.4567397215050984E-2</v>
      </c>
    </row>
    <row r="2516" spans="2:8" x14ac:dyDescent="0.3">
      <c r="B2516" s="4">
        <v>41243</v>
      </c>
      <c r="C2516" s="7">
        <v>387.91</v>
      </c>
      <c r="D2516" s="6">
        <f t="shared" si="82"/>
        <v>3.9472006121668155</v>
      </c>
      <c r="E2516" s="6">
        <v>2.4291288730392477E-3</v>
      </c>
      <c r="F2516" s="6"/>
      <c r="G2516" s="6">
        <v>2509</v>
      </c>
      <c r="H2516" s="6">
        <f t="shared" ca="1" si="83"/>
        <v>-1.1900996706420695E-2</v>
      </c>
    </row>
    <row r="2517" spans="2:8" x14ac:dyDescent="0.3">
      <c r="B2517" s="4">
        <v>39315</v>
      </c>
      <c r="C2517" s="7">
        <v>78.41</v>
      </c>
      <c r="D2517" s="6">
        <f t="shared" si="82"/>
        <v>3.7320458660229328</v>
      </c>
      <c r="E2517" s="6">
        <v>2.4290462797238268E-3</v>
      </c>
      <c r="F2517" s="6"/>
      <c r="G2517" s="6">
        <v>2510</v>
      </c>
      <c r="H2517" s="6">
        <f t="shared" ca="1" si="83"/>
        <v>2.9500684076189509E-2</v>
      </c>
    </row>
    <row r="2518" spans="2:8" x14ac:dyDescent="0.3">
      <c r="B2518" s="4">
        <v>37494</v>
      </c>
      <c r="C2518" s="7">
        <v>16.57</v>
      </c>
      <c r="D2518" s="6">
        <f t="shared" si="82"/>
        <v>-0.93759650510300152</v>
      </c>
      <c r="E2518" s="6">
        <v>2.4198427102237836E-3</v>
      </c>
      <c r="F2518" s="6"/>
      <c r="G2518" s="6">
        <v>2511</v>
      </c>
      <c r="H2518" s="6">
        <f t="shared" ca="1" si="83"/>
        <v>-4.3146001515991126E-3</v>
      </c>
    </row>
    <row r="2519" spans="2:8" x14ac:dyDescent="0.3">
      <c r="B2519" s="4">
        <v>40939</v>
      </c>
      <c r="C2519" s="7">
        <v>265.52999999999997</v>
      </c>
      <c r="D2519" s="6">
        <f t="shared" si="82"/>
        <v>3.5662940670679273</v>
      </c>
      <c r="E2519" s="6">
        <v>2.4160972479141773E-3</v>
      </c>
      <c r="F2519" s="6"/>
      <c r="G2519" s="6">
        <v>2512</v>
      </c>
      <c r="H2519" s="6">
        <f t="shared" ca="1" si="83"/>
        <v>6.3688872998262725E-4</v>
      </c>
    </row>
    <row r="2520" spans="2:8" x14ac:dyDescent="0.3">
      <c r="B2520" s="4">
        <v>39050</v>
      </c>
      <c r="C2520" s="7">
        <v>58.15</v>
      </c>
      <c r="D2520" s="6">
        <f t="shared" si="82"/>
        <v>-0.30007221954742419</v>
      </c>
      <c r="E2520" s="6">
        <v>2.4133770039648436E-3</v>
      </c>
      <c r="F2520" s="6"/>
      <c r="G2520" s="6">
        <v>2513</v>
      </c>
      <c r="H2520" s="6">
        <f t="shared" ca="1" si="83"/>
        <v>-1.9472095083862957E-2</v>
      </c>
    </row>
    <row r="2521" spans="2:8" x14ac:dyDescent="0.3">
      <c r="B2521" s="4">
        <v>39769</v>
      </c>
      <c r="C2521" s="7">
        <v>83.08</v>
      </c>
      <c r="D2521" s="6">
        <f t="shared" si="82"/>
        <v>-0.69263780984091761</v>
      </c>
      <c r="E2521" s="6">
        <v>2.4131274131274473E-3</v>
      </c>
      <c r="F2521" s="6"/>
      <c r="G2521" s="6">
        <v>2514</v>
      </c>
      <c r="H2521" s="6">
        <f t="shared" ca="1" si="83"/>
        <v>-6.9051674629639018E-3</v>
      </c>
    </row>
    <row r="2522" spans="2:8" x14ac:dyDescent="0.3">
      <c r="B2522" s="4">
        <v>40865</v>
      </c>
      <c r="C2522" s="7">
        <v>270.3</v>
      </c>
      <c r="D2522" s="6">
        <f t="shared" si="82"/>
        <v>9.8076769292283092</v>
      </c>
      <c r="E2522" s="6">
        <v>2.4105321713333364E-3</v>
      </c>
      <c r="F2522" s="6"/>
      <c r="G2522" s="6">
        <v>2515</v>
      </c>
      <c r="H2522" s="6">
        <f t="shared" ca="1" si="83"/>
        <v>2.1669105189283826E-2</v>
      </c>
    </row>
    <row r="2523" spans="2:8" x14ac:dyDescent="0.3">
      <c r="B2523" s="4">
        <v>38210</v>
      </c>
      <c r="C2523" s="7">
        <v>25.01</v>
      </c>
      <c r="D2523" s="6">
        <f t="shared" si="82"/>
        <v>-0.88891849877859208</v>
      </c>
      <c r="E2523" s="6">
        <v>2.4048096192385683E-3</v>
      </c>
      <c r="F2523" s="6"/>
      <c r="G2523" s="6">
        <v>2516</v>
      </c>
      <c r="H2523" s="6">
        <f t="shared" ca="1" si="83"/>
        <v>-2.0120255002905551E-2</v>
      </c>
    </row>
    <row r="2524" spans="2:8" x14ac:dyDescent="0.3">
      <c r="B2524" s="4">
        <v>40644</v>
      </c>
      <c r="C2524" s="7">
        <v>225.15</v>
      </c>
      <c r="D2524" s="6">
        <f t="shared" si="82"/>
        <v>12.465909090909092</v>
      </c>
      <c r="E2524" s="6">
        <v>2.4041672231868215E-3</v>
      </c>
      <c r="F2524" s="6"/>
      <c r="G2524" s="6">
        <v>2517</v>
      </c>
      <c r="H2524" s="6">
        <f t="shared" ca="1" si="83"/>
        <v>-2.5495222718137325E-2</v>
      </c>
    </row>
    <row r="2525" spans="2:8" x14ac:dyDescent="0.3">
      <c r="B2525" s="4">
        <v>37565</v>
      </c>
      <c r="C2525" s="7">
        <v>16.72</v>
      </c>
      <c r="D2525" s="6">
        <f t="shared" si="82"/>
        <v>-0.99405202345039567</v>
      </c>
      <c r="E2525" s="6">
        <v>2.3980815347721313E-3</v>
      </c>
      <c r="F2525" s="6"/>
      <c r="G2525" s="6">
        <v>2518</v>
      </c>
      <c r="H2525" s="6">
        <f t="shared" ca="1" si="83"/>
        <v>1.4245599927001277E-2</v>
      </c>
    </row>
    <row r="2526" spans="2:8" x14ac:dyDescent="0.3">
      <c r="B2526" s="4">
        <v>45041</v>
      </c>
      <c r="C2526" s="5">
        <v>2811.04</v>
      </c>
      <c r="D2526" s="6">
        <f t="shared" si="82"/>
        <v>5.5580440462859277</v>
      </c>
      <c r="E2526" s="6">
        <v>2.3855795460623868E-3</v>
      </c>
      <c r="F2526" s="6"/>
      <c r="G2526" s="6">
        <v>2519</v>
      </c>
      <c r="H2526" s="6">
        <f t="shared" ca="1" si="83"/>
        <v>3.8087159952199974E-2</v>
      </c>
    </row>
    <row r="2527" spans="2:8" x14ac:dyDescent="0.3">
      <c r="B2527" s="4">
        <v>41415</v>
      </c>
      <c r="C2527" s="7">
        <v>428.64</v>
      </c>
      <c r="D2527" s="6">
        <f t="shared" si="82"/>
        <v>4.9974814607527627</v>
      </c>
      <c r="E2527" s="6">
        <v>2.3852953556895884E-3</v>
      </c>
      <c r="F2527" s="6"/>
      <c r="G2527" s="6">
        <v>2520</v>
      </c>
      <c r="H2527" s="6">
        <f t="shared" ca="1" si="83"/>
        <v>-1.4897011416164905E-2</v>
      </c>
    </row>
    <row r="2528" spans="2:8" x14ac:dyDescent="0.3">
      <c r="B2528" s="4">
        <v>39274</v>
      </c>
      <c r="C2528" s="7">
        <v>71.47</v>
      </c>
      <c r="D2528" s="6">
        <f t="shared" si="82"/>
        <v>1.1214010092015436</v>
      </c>
      <c r="E2528" s="6">
        <v>2.3842917251052135E-3</v>
      </c>
      <c r="F2528" s="6"/>
      <c r="G2528" s="6">
        <v>2521</v>
      </c>
      <c r="H2528" s="6">
        <f t="shared" ca="1" si="83"/>
        <v>6.8996624159569254E-4</v>
      </c>
    </row>
    <row r="2529" spans="2:8" x14ac:dyDescent="0.3">
      <c r="B2529" s="4">
        <v>38538</v>
      </c>
      <c r="C2529" s="7">
        <v>33.69</v>
      </c>
      <c r="D2529" s="6">
        <f t="shared" si="82"/>
        <v>-0.95563719680809045</v>
      </c>
      <c r="E2529" s="6">
        <v>2.3802439750073875E-3</v>
      </c>
      <c r="F2529" s="6"/>
      <c r="G2529" s="6">
        <v>2522</v>
      </c>
      <c r="H2529" s="6">
        <f t="shared" ca="1" si="83"/>
        <v>1.019685154297351E-2</v>
      </c>
    </row>
    <row r="2530" spans="2:8" x14ac:dyDescent="0.3">
      <c r="B2530" s="4">
        <v>42327</v>
      </c>
      <c r="C2530" s="7">
        <v>759.42</v>
      </c>
      <c r="D2530" s="6">
        <f t="shared" si="82"/>
        <v>-0.73151614784960495</v>
      </c>
      <c r="E2530" s="6">
        <v>2.3758612497029575E-3</v>
      </c>
      <c r="F2530" s="6"/>
      <c r="G2530" s="6">
        <v>2523</v>
      </c>
      <c r="H2530" s="6">
        <f t="shared" ca="1" si="83"/>
        <v>7.7846249898098907E-4</v>
      </c>
    </row>
    <row r="2531" spans="2:8" x14ac:dyDescent="0.3">
      <c r="B2531" s="4">
        <v>44942</v>
      </c>
      <c r="C2531" s="5">
        <v>2828.55</v>
      </c>
      <c r="D2531" s="6">
        <f t="shared" si="82"/>
        <v>-1.5183694501698956E-2</v>
      </c>
      <c r="E2531" s="6">
        <v>2.3743288977090466E-3</v>
      </c>
      <c r="F2531" s="6"/>
      <c r="G2531" s="6">
        <v>2524</v>
      </c>
      <c r="H2531" s="6">
        <f t="shared" ca="1" si="83"/>
        <v>8.9685591872469238E-3</v>
      </c>
    </row>
    <row r="2532" spans="2:8" x14ac:dyDescent="0.3">
      <c r="B2532" s="4">
        <v>45324</v>
      </c>
      <c r="C2532" s="5">
        <v>2872.16</v>
      </c>
      <c r="D2532" s="6">
        <f t="shared" si="82"/>
        <v>-6.3906343701926813E-2</v>
      </c>
      <c r="E2532" s="6">
        <v>2.3731747494205708E-3</v>
      </c>
      <c r="F2532" s="6"/>
      <c r="G2532" s="6">
        <v>2525</v>
      </c>
      <c r="H2532" s="6">
        <f t="shared" ca="1" si="83"/>
        <v>1.379257717992342E-2</v>
      </c>
    </row>
    <row r="2533" spans="2:8" x14ac:dyDescent="0.3">
      <c r="B2533" s="4">
        <v>45506</v>
      </c>
      <c r="C2533" s="5">
        <v>3068.24</v>
      </c>
      <c r="D2533" s="6">
        <f t="shared" si="82"/>
        <v>180.12396694214874</v>
      </c>
      <c r="E2533" s="6">
        <v>2.3717894269154856E-3</v>
      </c>
      <c r="F2533" s="6"/>
      <c r="G2533" s="6">
        <v>2526</v>
      </c>
      <c r="H2533" s="6">
        <f t="shared" ca="1" si="83"/>
        <v>2.4803473701745229E-3</v>
      </c>
    </row>
    <row r="2534" spans="2:8" x14ac:dyDescent="0.3">
      <c r="B2534" s="4">
        <v>37518</v>
      </c>
      <c r="C2534" s="7">
        <v>16.940000000000001</v>
      </c>
      <c r="D2534" s="6">
        <f t="shared" si="82"/>
        <v>-0.99409558597997938</v>
      </c>
      <c r="E2534" s="6">
        <v>2.3668639053256038E-3</v>
      </c>
      <c r="F2534" s="6"/>
      <c r="G2534" s="6">
        <v>2527</v>
      </c>
      <c r="H2534" s="6">
        <f t="shared" ca="1" si="83"/>
        <v>6.1724744545085348E-3</v>
      </c>
    </row>
    <row r="2535" spans="2:8" x14ac:dyDescent="0.3">
      <c r="B2535" s="4">
        <v>45482</v>
      </c>
      <c r="C2535" s="5">
        <v>2869.04</v>
      </c>
      <c r="D2535" s="6">
        <f t="shared" si="82"/>
        <v>0.12983688675010033</v>
      </c>
      <c r="E2535" s="6">
        <v>2.3652555489174611E-3</v>
      </c>
      <c r="F2535" s="6"/>
      <c r="G2535" s="6">
        <v>2528</v>
      </c>
      <c r="H2535" s="6">
        <f t="shared" ca="1" si="83"/>
        <v>1.5151409393770826E-2</v>
      </c>
    </row>
    <row r="2536" spans="2:8" x14ac:dyDescent="0.3">
      <c r="B2536" s="4">
        <v>45910</v>
      </c>
      <c r="C2536" s="5">
        <v>2539.34</v>
      </c>
      <c r="D2536" s="6">
        <f t="shared" si="82"/>
        <v>4.7202649125968641</v>
      </c>
      <c r="E2536" s="6">
        <v>2.3644581285650369E-3</v>
      </c>
      <c r="F2536" s="6"/>
      <c r="G2536" s="6">
        <v>2529</v>
      </c>
      <c r="H2536" s="6">
        <f t="shared" ca="1" si="83"/>
        <v>-1.7340426717446639E-3</v>
      </c>
    </row>
    <row r="2537" spans="2:8" x14ac:dyDescent="0.3">
      <c r="B2537" s="4">
        <v>41645</v>
      </c>
      <c r="C2537" s="7">
        <v>443.92</v>
      </c>
      <c r="D2537" s="6">
        <f t="shared" si="82"/>
        <v>16.293338527463966</v>
      </c>
      <c r="E2537" s="6">
        <v>2.3482658959538033E-3</v>
      </c>
      <c r="F2537" s="6"/>
      <c r="G2537" s="6">
        <v>2530</v>
      </c>
      <c r="H2537" s="6">
        <f t="shared" ca="1" si="83"/>
        <v>1.2065410910831462E-3</v>
      </c>
    </row>
    <row r="2538" spans="2:8" x14ac:dyDescent="0.3">
      <c r="B2538" s="4">
        <v>38334</v>
      </c>
      <c r="C2538" s="7">
        <v>25.67</v>
      </c>
      <c r="D2538" s="6">
        <f t="shared" si="82"/>
        <v>-0.96838903529295872</v>
      </c>
      <c r="E2538" s="6">
        <v>2.3428348301445636E-3</v>
      </c>
      <c r="F2538" s="6"/>
      <c r="G2538" s="6">
        <v>2531</v>
      </c>
      <c r="H2538" s="6">
        <f t="shared" ca="1" si="83"/>
        <v>-3.2443669175331369E-2</v>
      </c>
    </row>
    <row r="2539" spans="2:8" x14ac:dyDescent="0.3">
      <c r="B2539" s="4">
        <v>42373</v>
      </c>
      <c r="C2539" s="7">
        <v>812.06</v>
      </c>
      <c r="D2539" s="6">
        <f t="shared" si="82"/>
        <v>0.28324009987042109</v>
      </c>
      <c r="E2539" s="6">
        <v>2.3328437241566416E-3</v>
      </c>
      <c r="F2539" s="6"/>
      <c r="G2539" s="6">
        <v>2532</v>
      </c>
      <c r="H2539" s="6">
        <f t="shared" ca="1" si="83"/>
        <v>6.1877531731815514E-3</v>
      </c>
    </row>
    <row r="2540" spans="2:8" x14ac:dyDescent="0.3">
      <c r="B2540" s="4">
        <v>41964</v>
      </c>
      <c r="C2540" s="7">
        <v>632.82000000000005</v>
      </c>
      <c r="D2540" s="6">
        <f t="shared" si="82"/>
        <v>-0.64633096741742579</v>
      </c>
      <c r="E2540" s="6">
        <v>2.328344024709E-3</v>
      </c>
      <c r="F2540" s="6"/>
      <c r="G2540" s="6">
        <v>2533</v>
      </c>
      <c r="H2540" s="6">
        <f t="shared" ca="1" si="83"/>
        <v>-5.7096090367000875E-3</v>
      </c>
    </row>
    <row r="2541" spans="2:8" x14ac:dyDescent="0.3">
      <c r="B2541" s="4">
        <v>43878</v>
      </c>
      <c r="C2541" s="5">
        <v>1789.3</v>
      </c>
      <c r="D2541" s="6">
        <f t="shared" si="82"/>
        <v>0.17574005322469366</v>
      </c>
      <c r="E2541" s="6">
        <v>2.3191198548028593E-3</v>
      </c>
      <c r="F2541" s="6"/>
      <c r="G2541" s="6">
        <v>2534</v>
      </c>
      <c r="H2541" s="6">
        <f t="shared" ca="1" si="83"/>
        <v>-1.1048546646235608E-2</v>
      </c>
    </row>
    <row r="2542" spans="2:8" x14ac:dyDescent="0.3">
      <c r="B2542" s="4">
        <v>43705</v>
      </c>
      <c r="C2542" s="5">
        <v>1521.85</v>
      </c>
      <c r="D2542" s="6">
        <f t="shared" si="82"/>
        <v>0.61190725853431194</v>
      </c>
      <c r="E2542" s="6">
        <v>2.3117351844777791E-3</v>
      </c>
      <c r="F2542" s="6"/>
      <c r="G2542" s="6">
        <v>2535</v>
      </c>
      <c r="H2542" s="6">
        <f t="shared" ca="1" si="83"/>
        <v>-9.7025918888014387E-3</v>
      </c>
    </row>
    <row r="2543" spans="2:8" x14ac:dyDescent="0.3">
      <c r="B2543" s="4">
        <v>42523</v>
      </c>
      <c r="C2543" s="7">
        <v>944.13</v>
      </c>
      <c r="D2543" s="6">
        <f t="shared" si="82"/>
        <v>0.68663915536738307</v>
      </c>
      <c r="E2543" s="6">
        <v>2.3037071637861044E-3</v>
      </c>
      <c r="F2543" s="6"/>
      <c r="G2543" s="6">
        <v>2536</v>
      </c>
      <c r="H2543" s="6">
        <f t="shared" ca="1" si="83"/>
        <v>1.3420948425255584E-2</v>
      </c>
    </row>
    <row r="2544" spans="2:8" x14ac:dyDescent="0.3">
      <c r="B2544" s="4">
        <v>41872</v>
      </c>
      <c r="C2544" s="7">
        <v>559.77</v>
      </c>
      <c r="D2544" s="6">
        <f t="shared" si="82"/>
        <v>1.2432973991103276</v>
      </c>
      <c r="E2544" s="6">
        <v>2.2918942147576011E-3</v>
      </c>
      <c r="F2544" s="6"/>
      <c r="G2544" s="6">
        <v>2537</v>
      </c>
      <c r="H2544" s="6">
        <f t="shared" ca="1" si="83"/>
        <v>-1.6984295710334735E-2</v>
      </c>
    </row>
    <row r="2545" spans="2:8" x14ac:dyDescent="0.3">
      <c r="B2545" s="4">
        <v>40441</v>
      </c>
      <c r="C2545" s="7">
        <v>249.53</v>
      </c>
      <c r="D2545" s="6">
        <f t="shared" si="82"/>
        <v>-0.79998717506833283</v>
      </c>
      <c r="E2545" s="6">
        <v>2.2895244215938026E-3</v>
      </c>
      <c r="F2545" s="6"/>
      <c r="G2545" s="6">
        <v>2538</v>
      </c>
      <c r="H2545" s="6">
        <f t="shared" ca="1" si="83"/>
        <v>1.6193967522545375E-2</v>
      </c>
    </row>
    <row r="2546" spans="2:8" x14ac:dyDescent="0.3">
      <c r="B2546" s="4">
        <v>43420</v>
      </c>
      <c r="C2546" s="5">
        <v>1247.57</v>
      </c>
      <c r="D2546" s="6">
        <f t="shared" si="82"/>
        <v>-0.58811391519089318</v>
      </c>
      <c r="E2546" s="6">
        <v>2.2816193069982393E-3</v>
      </c>
      <c r="F2546" s="6"/>
      <c r="G2546" s="6">
        <v>2539</v>
      </c>
      <c r="H2546" s="6">
        <f t="shared" ca="1" si="83"/>
        <v>-1.0396182717568004E-2</v>
      </c>
    </row>
    <row r="2547" spans="2:8" x14ac:dyDescent="0.3">
      <c r="B2547" s="4">
        <v>44509</v>
      </c>
      <c r="C2547" s="5">
        <v>3028.92</v>
      </c>
      <c r="D2547" s="6">
        <f t="shared" si="82"/>
        <v>-5.1446824502066814E-2</v>
      </c>
      <c r="E2547" s="6">
        <v>2.2766078542971334E-3</v>
      </c>
      <c r="F2547" s="6"/>
      <c r="G2547" s="6">
        <v>2540</v>
      </c>
      <c r="H2547" s="6">
        <f t="shared" ca="1" si="83"/>
        <v>1.5741889091666441E-3</v>
      </c>
    </row>
    <row r="2548" spans="2:8" x14ac:dyDescent="0.3">
      <c r="B2548" s="4">
        <v>45091</v>
      </c>
      <c r="C2548" s="5">
        <v>3193.2</v>
      </c>
      <c r="D2548" s="6">
        <f t="shared" si="82"/>
        <v>0.5398117429210707</v>
      </c>
      <c r="E2548" s="6">
        <v>2.2535953948813366E-3</v>
      </c>
      <c r="F2548" s="6"/>
      <c r="G2548" s="6">
        <v>2541</v>
      </c>
      <c r="H2548" s="6">
        <f t="shared" ca="1" si="83"/>
        <v>2.1540074228425226E-2</v>
      </c>
    </row>
    <row r="2549" spans="2:8" x14ac:dyDescent="0.3">
      <c r="B2549" s="4">
        <v>44155</v>
      </c>
      <c r="C2549" s="5">
        <v>2073.7600000000002</v>
      </c>
      <c r="D2549" s="6">
        <f t="shared" si="82"/>
        <v>0.23692843594545926</v>
      </c>
      <c r="E2549" s="6">
        <v>2.242499226724563E-3</v>
      </c>
      <c r="F2549" s="6"/>
      <c r="G2549" s="6">
        <v>2542</v>
      </c>
      <c r="H2549" s="6">
        <f t="shared" ca="1" si="83"/>
        <v>9.5818926382098355E-3</v>
      </c>
    </row>
    <row r="2550" spans="2:8" x14ac:dyDescent="0.3">
      <c r="B2550" s="4">
        <v>43739</v>
      </c>
      <c r="C2550" s="5">
        <v>1676.54</v>
      </c>
      <c r="D2550" s="6">
        <f t="shared" si="82"/>
        <v>-0.45032376518417733</v>
      </c>
      <c r="E2550" s="6">
        <v>2.2417637599459585E-3</v>
      </c>
      <c r="F2550" s="6"/>
      <c r="G2550" s="6">
        <v>2543</v>
      </c>
      <c r="H2550" s="6">
        <f t="shared" ca="1" si="83"/>
        <v>2.1449135860909735E-3</v>
      </c>
    </row>
    <row r="2551" spans="2:8" x14ac:dyDescent="0.3">
      <c r="B2551" s="4">
        <v>45076</v>
      </c>
      <c r="C2551" s="5">
        <v>3050.05</v>
      </c>
      <c r="D2551" s="6">
        <f t="shared" si="82"/>
        <v>18.914142073648474</v>
      </c>
      <c r="E2551" s="6">
        <v>2.2311600060461356E-3</v>
      </c>
      <c r="F2551" s="6"/>
      <c r="G2551" s="6">
        <v>2544</v>
      </c>
      <c r="H2551" s="6">
        <f t="shared" ca="1" si="83"/>
        <v>-2.8372924789633578E-2</v>
      </c>
    </row>
    <row r="2552" spans="2:8" x14ac:dyDescent="0.3">
      <c r="B2552" s="4">
        <v>40234</v>
      </c>
      <c r="C2552" s="7">
        <v>153.16</v>
      </c>
      <c r="D2552" s="6">
        <f t="shared" si="82"/>
        <v>-0.34714407502131289</v>
      </c>
      <c r="E2552" s="6">
        <v>2.2248396806700916E-3</v>
      </c>
      <c r="F2552" s="6"/>
      <c r="G2552" s="6">
        <v>2545</v>
      </c>
      <c r="H2552" s="6">
        <f t="shared" ca="1" si="83"/>
        <v>-2.0609297841784578E-3</v>
      </c>
    </row>
    <row r="2553" spans="2:8" x14ac:dyDescent="0.3">
      <c r="B2553" s="4">
        <v>40563</v>
      </c>
      <c r="C2553" s="7">
        <v>234.6</v>
      </c>
      <c r="D2553" s="6">
        <f t="shared" si="82"/>
        <v>-0.42232400088645938</v>
      </c>
      <c r="E2553" s="6">
        <v>2.2214627477784594E-3</v>
      </c>
      <c r="F2553" s="6"/>
      <c r="G2553" s="6">
        <v>2546</v>
      </c>
      <c r="H2553" s="6">
        <f t="shared" ca="1" si="83"/>
        <v>5.2878622900614661E-3</v>
      </c>
    </row>
    <row r="2554" spans="2:8" x14ac:dyDescent="0.3">
      <c r="B2554" s="4">
        <v>41316</v>
      </c>
      <c r="C2554" s="7">
        <v>406.11</v>
      </c>
      <c r="D2554" s="6">
        <f t="shared" si="82"/>
        <v>-0.85568281562609938</v>
      </c>
      <c r="E2554" s="6">
        <v>2.1963377918167572E-3</v>
      </c>
      <c r="F2554" s="6"/>
      <c r="G2554" s="6">
        <v>2547</v>
      </c>
      <c r="H2554" s="6">
        <f t="shared" ca="1" si="83"/>
        <v>2.1799246596583617E-2</v>
      </c>
    </row>
    <row r="2555" spans="2:8" x14ac:dyDescent="0.3">
      <c r="B2555" s="4">
        <v>45362</v>
      </c>
      <c r="C2555" s="5">
        <v>2814.01</v>
      </c>
      <c r="D2555" s="6">
        <f t="shared" si="82"/>
        <v>50.257012750455374</v>
      </c>
      <c r="E2555" s="6">
        <v>2.1938493865414142E-3</v>
      </c>
      <c r="F2555" s="6"/>
      <c r="G2555" s="6">
        <v>2548</v>
      </c>
      <c r="H2555" s="6">
        <f t="shared" ca="1" si="83"/>
        <v>1.1869920642172953E-2</v>
      </c>
    </row>
    <row r="2556" spans="2:8" x14ac:dyDescent="0.3">
      <c r="B2556" s="4">
        <v>39021</v>
      </c>
      <c r="C2556" s="7">
        <v>54.9</v>
      </c>
      <c r="D2556" s="6">
        <f t="shared" si="82"/>
        <v>-0.94727288443253521</v>
      </c>
      <c r="E2556" s="6">
        <v>2.190580503833469E-3</v>
      </c>
      <c r="F2556" s="6"/>
      <c r="G2556" s="6">
        <v>2549</v>
      </c>
      <c r="H2556" s="6">
        <f t="shared" ca="1" si="83"/>
        <v>1.0131623031370459E-2</v>
      </c>
    </row>
    <row r="2557" spans="2:8" x14ac:dyDescent="0.3">
      <c r="B2557" s="4">
        <v>42584</v>
      </c>
      <c r="C2557" s="5">
        <v>1041.21</v>
      </c>
      <c r="D2557" s="6">
        <f t="shared" si="82"/>
        <v>-0.64706420712237378</v>
      </c>
      <c r="E2557" s="6">
        <v>2.1849192446146857E-3</v>
      </c>
      <c r="F2557" s="6"/>
      <c r="G2557" s="6">
        <v>2550</v>
      </c>
      <c r="H2557" s="6">
        <f t="shared" ca="1" si="83"/>
        <v>-2.4561223369918552E-3</v>
      </c>
    </row>
    <row r="2558" spans="2:8" x14ac:dyDescent="0.3">
      <c r="B2558" s="4">
        <v>45056</v>
      </c>
      <c r="C2558" s="5">
        <v>2950.14</v>
      </c>
      <c r="D2558" s="6">
        <f t="shared" si="82"/>
        <v>5.3922256890275611</v>
      </c>
      <c r="E2558" s="6">
        <v>2.1775094862639759E-3</v>
      </c>
      <c r="F2558" s="6"/>
      <c r="G2558" s="6">
        <v>2551</v>
      </c>
      <c r="H2558" s="6">
        <f t="shared" ca="1" si="83"/>
        <v>-3.9299673751276454E-3</v>
      </c>
    </row>
    <row r="2559" spans="2:8" x14ac:dyDescent="0.3">
      <c r="B2559" s="4">
        <v>41795</v>
      </c>
      <c r="C2559" s="7">
        <v>461.52</v>
      </c>
      <c r="D2559" s="6">
        <f t="shared" si="82"/>
        <v>0.63781539444266988</v>
      </c>
      <c r="E2559" s="6">
        <v>2.1714583514288199E-3</v>
      </c>
      <c r="F2559" s="6"/>
      <c r="G2559" s="6">
        <v>2552</v>
      </c>
      <c r="H2559" s="6">
        <f t="shared" ca="1" si="83"/>
        <v>-3.2534582459535985E-3</v>
      </c>
    </row>
    <row r="2560" spans="2:8" x14ac:dyDescent="0.3">
      <c r="B2560" s="4">
        <v>40795</v>
      </c>
      <c r="C2560" s="7">
        <v>281.79000000000002</v>
      </c>
      <c r="D2560" s="6">
        <f t="shared" si="82"/>
        <v>11.19342276070965</v>
      </c>
      <c r="E2560" s="6">
        <v>2.1694288356213587E-3</v>
      </c>
      <c r="F2560" s="6"/>
      <c r="G2560" s="6">
        <v>2553</v>
      </c>
      <c r="H2560" s="6">
        <f t="shared" ca="1" si="83"/>
        <v>-1.9929710405200574E-3</v>
      </c>
    </row>
    <row r="2561" spans="2:8" x14ac:dyDescent="0.3">
      <c r="B2561" s="4">
        <v>37861</v>
      </c>
      <c r="C2561" s="7">
        <v>23.11</v>
      </c>
      <c r="D2561" s="6">
        <f t="shared" si="82"/>
        <v>-0.82176461514730836</v>
      </c>
      <c r="E2561" s="6">
        <v>2.168256721595868E-3</v>
      </c>
      <c r="F2561" s="6"/>
      <c r="G2561" s="6">
        <v>2554</v>
      </c>
      <c r="H2561" s="6">
        <f t="shared" ca="1" si="83"/>
        <v>2.1365102851204892E-3</v>
      </c>
    </row>
    <row r="2562" spans="2:8" x14ac:dyDescent="0.3">
      <c r="B2562" s="4">
        <v>40095</v>
      </c>
      <c r="C2562" s="7">
        <v>129.66</v>
      </c>
      <c r="D2562" s="6">
        <f t="shared" si="82"/>
        <v>-0.91626789623573623</v>
      </c>
      <c r="E2562" s="6">
        <v>2.1641675684031625E-3</v>
      </c>
      <c r="F2562" s="6"/>
      <c r="G2562" s="6">
        <v>2555</v>
      </c>
      <c r="H2562" s="6">
        <f t="shared" ca="1" si="83"/>
        <v>-1.4988038424879601E-2</v>
      </c>
    </row>
    <row r="2563" spans="2:8" x14ac:dyDescent="0.3">
      <c r="B2563" s="4">
        <v>43998</v>
      </c>
      <c r="C2563" s="5">
        <v>1548.51</v>
      </c>
      <c r="D2563" s="6">
        <f t="shared" si="82"/>
        <v>-0.47129077965754473</v>
      </c>
      <c r="E2563" s="6">
        <v>2.1615744545907039E-3</v>
      </c>
      <c r="F2563" s="6"/>
      <c r="G2563" s="6">
        <v>2556</v>
      </c>
      <c r="H2563" s="6">
        <f t="shared" ca="1" si="83"/>
        <v>9.6485351968948162E-3</v>
      </c>
    </row>
    <row r="2564" spans="2:8" x14ac:dyDescent="0.3">
      <c r="B2564" s="4">
        <v>45054</v>
      </c>
      <c r="C2564" s="5">
        <v>2928.85</v>
      </c>
      <c r="D2564" s="6">
        <f t="shared" si="82"/>
        <v>0.15544237680633416</v>
      </c>
      <c r="E2564" s="6">
        <v>2.1590807995784302E-3</v>
      </c>
      <c r="F2564" s="6"/>
      <c r="G2564" s="6">
        <v>2557</v>
      </c>
      <c r="H2564" s="6">
        <f t="shared" ca="1" si="83"/>
        <v>1.4027201333530054E-2</v>
      </c>
    </row>
    <row r="2565" spans="2:8" x14ac:dyDescent="0.3">
      <c r="B2565" s="4">
        <v>44189</v>
      </c>
      <c r="C2565" s="5">
        <v>2534.83</v>
      </c>
      <c r="D2565" s="6">
        <f t="shared" si="82"/>
        <v>8.0919296987087499</v>
      </c>
      <c r="E2565" s="6">
        <v>2.1586402938281219E-3</v>
      </c>
      <c r="F2565" s="6"/>
      <c r="G2565" s="6">
        <v>2558</v>
      </c>
      <c r="H2565" s="6">
        <f t="shared" ca="1" si="83"/>
        <v>1.6593668170722546E-2</v>
      </c>
    </row>
    <row r="2566" spans="2:8" x14ac:dyDescent="0.3">
      <c r="B2566" s="4">
        <v>40765</v>
      </c>
      <c r="C2566" s="7">
        <v>278.8</v>
      </c>
      <c r="D2566" s="6">
        <f t="shared" si="82"/>
        <v>-0.91395433530649905</v>
      </c>
      <c r="E2566" s="6">
        <v>2.156721782890089E-3</v>
      </c>
      <c r="F2566" s="6"/>
      <c r="G2566" s="6">
        <v>2559</v>
      </c>
      <c r="H2566" s="6">
        <f t="shared" ca="1" si="83"/>
        <v>-6.5843922273730437E-3</v>
      </c>
    </row>
    <row r="2567" spans="2:8" x14ac:dyDescent="0.3">
      <c r="B2567" s="4">
        <v>45544</v>
      </c>
      <c r="C2567" s="5">
        <v>3240.14</v>
      </c>
      <c r="D2567" s="6">
        <f t="shared" si="82"/>
        <v>8.799600774255989</v>
      </c>
      <c r="E2567" s="6">
        <v>2.1526794054151136E-3</v>
      </c>
      <c r="F2567" s="6"/>
      <c r="G2567" s="6">
        <v>2560</v>
      </c>
      <c r="H2567" s="6">
        <f t="shared" ca="1" si="83"/>
        <v>2.9675681290330956E-2</v>
      </c>
    </row>
    <row r="2568" spans="2:8" x14ac:dyDescent="0.3">
      <c r="B2568" s="4">
        <v>41144</v>
      </c>
      <c r="C2568" s="7">
        <v>330.64</v>
      </c>
      <c r="D2568" s="6">
        <f t="shared" ref="D2568:D2631" si="84">((C2568-C2569)/C2569)</f>
        <v>13.154109589041095</v>
      </c>
      <c r="E2568" s="6">
        <v>2.151971630345769E-3</v>
      </c>
      <c r="F2568" s="6"/>
      <c r="G2568" s="6">
        <v>2561</v>
      </c>
      <c r="H2568" s="6">
        <f t="shared" ca="1" si="83"/>
        <v>3.2102243754060768E-2</v>
      </c>
    </row>
    <row r="2569" spans="2:8" x14ac:dyDescent="0.3">
      <c r="B2569" s="4">
        <v>38093</v>
      </c>
      <c r="C2569" s="7">
        <v>23.36</v>
      </c>
      <c r="D2569" s="6">
        <f t="shared" si="84"/>
        <v>-0.97554771649587058</v>
      </c>
      <c r="E2569" s="6">
        <v>2.1450021450021757E-3</v>
      </c>
      <c r="F2569" s="6"/>
      <c r="G2569" s="6">
        <v>2562</v>
      </c>
      <c r="H2569" s="6">
        <f t="shared" ref="H2569:H2632" ca="1" si="85">_xlfn.NORM.INV(RAND(),N$10,N$11)</f>
        <v>1.0985486806229215E-2</v>
      </c>
    </row>
    <row r="2570" spans="2:8" x14ac:dyDescent="0.3">
      <c r="B2570" s="4">
        <v>42570</v>
      </c>
      <c r="C2570" s="7">
        <v>955.33</v>
      </c>
      <c r="D2570" s="6">
        <f t="shared" si="84"/>
        <v>-0.54313164740990127</v>
      </c>
      <c r="E2570" s="6">
        <v>2.1399574106516143E-3</v>
      </c>
      <c r="F2570" s="6"/>
      <c r="G2570" s="6">
        <v>2563</v>
      </c>
      <c r="H2570" s="6">
        <f t="shared" ca="1" si="85"/>
        <v>1.6364225101612891E-2</v>
      </c>
    </row>
    <row r="2571" spans="2:8" x14ac:dyDescent="0.3">
      <c r="B2571" s="4">
        <v>44149</v>
      </c>
      <c r="C2571" s="5">
        <v>2091.04</v>
      </c>
      <c r="D2571" s="6">
        <f t="shared" si="84"/>
        <v>1.4062323793742304</v>
      </c>
      <c r="E2571" s="6">
        <v>2.1374689683597257E-3</v>
      </c>
      <c r="F2571" s="6"/>
      <c r="G2571" s="6">
        <v>2564</v>
      </c>
      <c r="H2571" s="6">
        <f t="shared" ca="1" si="85"/>
        <v>-1.8964469090374254E-3</v>
      </c>
    </row>
    <row r="2572" spans="2:8" x14ac:dyDescent="0.3">
      <c r="B2572" s="4">
        <v>42751</v>
      </c>
      <c r="C2572" s="7">
        <v>869.01</v>
      </c>
      <c r="D2572" s="6">
        <f t="shared" si="84"/>
        <v>-0.18078978874235238</v>
      </c>
      <c r="E2572" s="6">
        <v>2.1334009871304292E-3</v>
      </c>
      <c r="F2572" s="6"/>
      <c r="G2572" s="6">
        <v>2565</v>
      </c>
      <c r="H2572" s="6">
        <f t="shared" ca="1" si="85"/>
        <v>9.3367354769793853E-3</v>
      </c>
    </row>
    <row r="2573" spans="2:8" x14ac:dyDescent="0.3">
      <c r="B2573" s="4">
        <v>43171</v>
      </c>
      <c r="C2573" s="5">
        <v>1060.79</v>
      </c>
      <c r="D2573" s="6">
        <f t="shared" si="84"/>
        <v>43.986853265479226</v>
      </c>
      <c r="E2573" s="6">
        <v>2.1255691801915846E-3</v>
      </c>
      <c r="F2573" s="6"/>
      <c r="G2573" s="6">
        <v>2566</v>
      </c>
      <c r="H2573" s="6">
        <f t="shared" ca="1" si="85"/>
        <v>-6.3936881423904959E-3</v>
      </c>
    </row>
    <row r="2574" spans="2:8" x14ac:dyDescent="0.3">
      <c r="B2574" s="4">
        <v>37952</v>
      </c>
      <c r="C2574" s="7">
        <v>23.58</v>
      </c>
      <c r="D2574" s="6">
        <f t="shared" si="84"/>
        <v>-0.98742567657645652</v>
      </c>
      <c r="E2574" s="6">
        <v>2.1249468763279711E-3</v>
      </c>
      <c r="F2574" s="6"/>
      <c r="G2574" s="6">
        <v>2567</v>
      </c>
      <c r="H2574" s="6">
        <f t="shared" ca="1" si="85"/>
        <v>2.98952804555421E-2</v>
      </c>
    </row>
    <row r="2575" spans="2:8" x14ac:dyDescent="0.3">
      <c r="B2575" s="4">
        <v>44067</v>
      </c>
      <c r="C2575" s="5">
        <v>1875.25</v>
      </c>
      <c r="D2575" s="6">
        <f t="shared" si="84"/>
        <v>0.75784362433093677</v>
      </c>
      <c r="E2575" s="6">
        <v>2.1215424736009724E-3</v>
      </c>
      <c r="F2575" s="6"/>
      <c r="G2575" s="6">
        <v>2568</v>
      </c>
      <c r="H2575" s="6">
        <f t="shared" ca="1" si="85"/>
        <v>-1.8137414826942123E-2</v>
      </c>
    </row>
    <row r="2576" spans="2:8" x14ac:dyDescent="0.3">
      <c r="B2576" s="4">
        <v>43090</v>
      </c>
      <c r="C2576" s="5">
        <v>1066.79</v>
      </c>
      <c r="D2576" s="6">
        <f t="shared" si="84"/>
        <v>21.477665402444163</v>
      </c>
      <c r="E2576" s="6">
        <v>2.1135889680049601E-3</v>
      </c>
      <c r="F2576" s="6"/>
      <c r="G2576" s="6">
        <v>2569</v>
      </c>
      <c r="H2576" s="6">
        <f t="shared" ca="1" si="85"/>
        <v>-1.9439788512147577E-2</v>
      </c>
    </row>
    <row r="2577" spans="2:8" x14ac:dyDescent="0.3">
      <c r="B2577" s="4">
        <v>38730</v>
      </c>
      <c r="C2577" s="7">
        <v>47.46</v>
      </c>
      <c r="D2577" s="6">
        <f t="shared" si="84"/>
        <v>0.66467905997895471</v>
      </c>
      <c r="E2577" s="6">
        <v>2.1114864864865165E-3</v>
      </c>
      <c r="F2577" s="6"/>
      <c r="G2577" s="6">
        <v>2570</v>
      </c>
      <c r="H2577" s="6">
        <f t="shared" ca="1" si="85"/>
        <v>-3.1680241947808661E-3</v>
      </c>
    </row>
    <row r="2578" spans="2:8" x14ac:dyDescent="0.3">
      <c r="B2578" s="4">
        <v>38401</v>
      </c>
      <c r="C2578" s="7">
        <v>28.51</v>
      </c>
      <c r="D2578" s="6">
        <f t="shared" si="84"/>
        <v>-0.98738266676697972</v>
      </c>
      <c r="E2578" s="6">
        <v>2.1089630931459499E-3</v>
      </c>
      <c r="F2578" s="6"/>
      <c r="G2578" s="6">
        <v>2571</v>
      </c>
      <c r="H2578" s="6">
        <f t="shared" ca="1" si="85"/>
        <v>-1.5357577363146893E-2</v>
      </c>
    </row>
    <row r="2579" spans="2:8" x14ac:dyDescent="0.3">
      <c r="B2579" s="4">
        <v>45650</v>
      </c>
      <c r="C2579" s="5">
        <v>2259.59</v>
      </c>
      <c r="D2579" s="6">
        <f t="shared" si="84"/>
        <v>38.489514155889559</v>
      </c>
      <c r="E2579" s="6">
        <v>2.106579624274893E-3</v>
      </c>
      <c r="F2579" s="6"/>
      <c r="G2579" s="6">
        <v>2572</v>
      </c>
      <c r="H2579" s="6">
        <f t="shared" ca="1" si="85"/>
        <v>5.8083268635896667E-3</v>
      </c>
    </row>
    <row r="2580" spans="2:8" x14ac:dyDescent="0.3">
      <c r="B2580" s="4">
        <v>39156</v>
      </c>
      <c r="C2580" s="7">
        <v>57.22</v>
      </c>
      <c r="D2580" s="6">
        <f t="shared" si="84"/>
        <v>-0.97551698022788647</v>
      </c>
      <c r="E2580" s="6">
        <v>2.1015761821365575E-3</v>
      </c>
      <c r="F2580" s="6"/>
      <c r="G2580" s="6">
        <v>2573</v>
      </c>
      <c r="H2580" s="6">
        <f t="shared" ca="1" si="85"/>
        <v>-1.5019681002396831E-2</v>
      </c>
    </row>
    <row r="2581" spans="2:8" x14ac:dyDescent="0.3">
      <c r="B2581" s="4">
        <v>44224</v>
      </c>
      <c r="C2581" s="5">
        <v>2337.13</v>
      </c>
      <c r="D2581" s="6">
        <f t="shared" si="84"/>
        <v>2.3480839481412512</v>
      </c>
      <c r="E2581" s="6">
        <v>2.0966967379001853E-3</v>
      </c>
      <c r="F2581" s="6"/>
      <c r="G2581" s="6">
        <v>2574</v>
      </c>
      <c r="H2581" s="6">
        <f t="shared" ca="1" si="85"/>
        <v>-4.9491086230826792E-2</v>
      </c>
    </row>
    <row r="2582" spans="2:8" x14ac:dyDescent="0.3">
      <c r="B2582" s="4">
        <v>42150</v>
      </c>
      <c r="C2582" s="7">
        <v>698.05</v>
      </c>
      <c r="D2582" s="6">
        <f t="shared" si="84"/>
        <v>-0.59168811417875522</v>
      </c>
      <c r="E2582" s="6">
        <v>2.095924431875167E-3</v>
      </c>
      <c r="F2582" s="6"/>
      <c r="G2582" s="6">
        <v>2575</v>
      </c>
      <c r="H2582" s="6">
        <f t="shared" ca="1" si="85"/>
        <v>8.7886988798589211E-3</v>
      </c>
    </row>
    <row r="2583" spans="2:8" x14ac:dyDescent="0.3">
      <c r="B2583" s="4">
        <v>43775</v>
      </c>
      <c r="C2583" s="5">
        <v>1709.6</v>
      </c>
      <c r="D2583" s="6">
        <f t="shared" si="84"/>
        <v>1.2991473681379271</v>
      </c>
      <c r="E2583" s="6">
        <v>2.0925775044987114E-3</v>
      </c>
      <c r="F2583" s="6"/>
      <c r="G2583" s="6">
        <v>2576</v>
      </c>
      <c r="H2583" s="6">
        <f t="shared" ca="1" si="85"/>
        <v>-1.7376343620901243E-2</v>
      </c>
    </row>
    <row r="2584" spans="2:8" x14ac:dyDescent="0.3">
      <c r="B2584" s="4">
        <v>42087</v>
      </c>
      <c r="C2584" s="7">
        <v>743.58</v>
      </c>
      <c r="D2584" s="6">
        <f t="shared" si="84"/>
        <v>6.7464319199916662</v>
      </c>
      <c r="E2584" s="6">
        <v>2.0888643316308887E-3</v>
      </c>
      <c r="F2584" s="6"/>
      <c r="G2584" s="6">
        <v>2577</v>
      </c>
      <c r="H2584" s="6">
        <f t="shared" ca="1" si="85"/>
        <v>1.6473903547166988E-4</v>
      </c>
    </row>
    <row r="2585" spans="2:8" x14ac:dyDescent="0.3">
      <c r="B2585" s="4">
        <v>39969</v>
      </c>
      <c r="C2585" s="7">
        <v>95.99</v>
      </c>
      <c r="D2585" s="6">
        <f t="shared" si="84"/>
        <v>-0.91311235019370718</v>
      </c>
      <c r="E2585" s="6">
        <v>2.0879006159305628E-3</v>
      </c>
      <c r="F2585" s="6"/>
      <c r="G2585" s="6">
        <v>2578</v>
      </c>
      <c r="H2585" s="6">
        <f t="shared" ca="1" si="85"/>
        <v>-6.8172420285878641E-3</v>
      </c>
    </row>
    <row r="2586" spans="2:8" x14ac:dyDescent="0.3">
      <c r="B2586" s="4">
        <v>43041</v>
      </c>
      <c r="C2586" s="5">
        <v>1104.76</v>
      </c>
      <c r="D2586" s="6">
        <f t="shared" si="84"/>
        <v>-0.54860589023632855</v>
      </c>
      <c r="E2586" s="6">
        <v>2.0862434918273265E-3</v>
      </c>
      <c r="F2586" s="6"/>
      <c r="G2586" s="6">
        <v>2579</v>
      </c>
      <c r="H2586" s="6">
        <f t="shared" ca="1" si="85"/>
        <v>3.1112099430049604E-2</v>
      </c>
    </row>
    <row r="2587" spans="2:8" x14ac:dyDescent="0.3">
      <c r="B2587" s="4">
        <v>44326</v>
      </c>
      <c r="C2587" s="5">
        <v>2447.44</v>
      </c>
      <c r="D2587" s="6">
        <f t="shared" si="84"/>
        <v>0.760393589780476</v>
      </c>
      <c r="E2587" s="6">
        <v>2.0758525530530443E-3</v>
      </c>
      <c r="F2587" s="6"/>
      <c r="G2587" s="6">
        <v>2580</v>
      </c>
      <c r="H2587" s="6">
        <f t="shared" ca="1" si="85"/>
        <v>-1.2707694158081383E-2</v>
      </c>
    </row>
    <row r="2588" spans="2:8" x14ac:dyDescent="0.3">
      <c r="B2588" s="4">
        <v>43503</v>
      </c>
      <c r="C2588" s="5">
        <v>1390.28</v>
      </c>
      <c r="D2588" s="6">
        <f t="shared" si="84"/>
        <v>10.388269986893841</v>
      </c>
      <c r="E2588" s="6">
        <v>2.0758252847051187E-3</v>
      </c>
      <c r="F2588" s="6"/>
      <c r="G2588" s="6">
        <v>2581</v>
      </c>
      <c r="H2588" s="6">
        <f t="shared" ca="1" si="85"/>
        <v>2.7345833372887401E-2</v>
      </c>
    </row>
    <row r="2589" spans="2:8" x14ac:dyDescent="0.3">
      <c r="B2589" s="4">
        <v>40028</v>
      </c>
      <c r="C2589" s="7">
        <v>122.08</v>
      </c>
      <c r="D2589" s="6">
        <f t="shared" si="84"/>
        <v>-0.96245067190782452</v>
      </c>
      <c r="E2589" s="6">
        <v>2.0520397274891244E-3</v>
      </c>
      <c r="F2589" s="6"/>
      <c r="G2589" s="6">
        <v>2582</v>
      </c>
      <c r="H2589" s="6">
        <f t="shared" ca="1" si="85"/>
        <v>8.2035771569871152E-4</v>
      </c>
    </row>
    <row r="2590" spans="2:8" x14ac:dyDescent="0.3">
      <c r="B2590" s="4">
        <v>44796</v>
      </c>
      <c r="C2590" s="5">
        <v>3251.19</v>
      </c>
      <c r="D2590" s="6">
        <f t="shared" si="84"/>
        <v>1.4155354953750139</v>
      </c>
      <c r="E2590" s="6">
        <v>2.0465087608450699E-3</v>
      </c>
      <c r="F2590" s="6"/>
      <c r="G2590" s="6">
        <v>2583</v>
      </c>
      <c r="H2590" s="6">
        <f t="shared" ca="1" si="85"/>
        <v>-1.9213876707298155E-2</v>
      </c>
    </row>
    <row r="2591" spans="2:8" x14ac:dyDescent="0.3">
      <c r="B2591" s="4">
        <v>43627</v>
      </c>
      <c r="C2591" s="5">
        <v>1345.95</v>
      </c>
      <c r="D2591" s="6">
        <f t="shared" si="84"/>
        <v>-0.57914863546539253</v>
      </c>
      <c r="E2591" s="6">
        <v>2.0398895183925143E-3</v>
      </c>
      <c r="F2591" s="6"/>
      <c r="G2591" s="6">
        <v>2584</v>
      </c>
      <c r="H2591" s="6">
        <f t="shared" ca="1" si="85"/>
        <v>1.6109344793049218E-2</v>
      </c>
    </row>
    <row r="2592" spans="2:8" x14ac:dyDescent="0.3">
      <c r="B2592" s="4">
        <v>45540</v>
      </c>
      <c r="C2592" s="5">
        <v>3198.16</v>
      </c>
      <c r="D2592" s="6">
        <f t="shared" si="84"/>
        <v>3.3100144199021604</v>
      </c>
      <c r="E2592" s="6">
        <v>2.0396973352340524E-3</v>
      </c>
      <c r="F2592" s="6"/>
      <c r="G2592" s="6">
        <v>2585</v>
      </c>
      <c r="H2592" s="6">
        <f t="shared" ca="1" si="85"/>
        <v>-5.134880762692951E-3</v>
      </c>
    </row>
    <row r="2593" spans="2:8" x14ac:dyDescent="0.3">
      <c r="B2593" s="4">
        <v>42086</v>
      </c>
      <c r="C2593" s="7">
        <v>742.03</v>
      </c>
      <c r="D2593" s="6">
        <f t="shared" si="84"/>
        <v>11.500505390835579</v>
      </c>
      <c r="E2593" s="6">
        <v>2.0391076540809041E-3</v>
      </c>
      <c r="F2593" s="6"/>
      <c r="G2593" s="6">
        <v>2586</v>
      </c>
      <c r="H2593" s="6">
        <f t="shared" ca="1" si="85"/>
        <v>-1.4182777439738491E-2</v>
      </c>
    </row>
    <row r="2594" spans="2:8" x14ac:dyDescent="0.3">
      <c r="B2594" s="4">
        <v>39073</v>
      </c>
      <c r="C2594" s="7">
        <v>59.36</v>
      </c>
      <c r="D2594" s="6">
        <f t="shared" si="84"/>
        <v>-0.73338124326266607</v>
      </c>
      <c r="E2594" s="6">
        <v>2.0256583389601187E-3</v>
      </c>
      <c r="F2594" s="6"/>
      <c r="G2594" s="6">
        <v>2587</v>
      </c>
      <c r="H2594" s="6">
        <f t="shared" ca="1" si="85"/>
        <v>2.0690435241402332E-2</v>
      </c>
    </row>
    <row r="2595" spans="2:8" x14ac:dyDescent="0.3">
      <c r="B2595" s="4">
        <v>40605</v>
      </c>
      <c r="C2595" s="7">
        <v>222.64</v>
      </c>
      <c r="D2595" s="6">
        <f t="shared" si="84"/>
        <v>-0.90219430228216224</v>
      </c>
      <c r="E2595" s="6">
        <v>2.0252936675817482E-3</v>
      </c>
      <c r="F2595" s="6"/>
      <c r="G2595" s="6">
        <v>2588</v>
      </c>
      <c r="H2595" s="6">
        <f t="shared" ca="1" si="85"/>
        <v>-4.2749613197282602E-3</v>
      </c>
    </row>
    <row r="2596" spans="2:8" x14ac:dyDescent="0.3">
      <c r="B2596" s="4">
        <v>45833</v>
      </c>
      <c r="C2596" s="5">
        <v>2276.35</v>
      </c>
      <c r="D2596" s="6">
        <f t="shared" si="84"/>
        <v>10.426312619214938</v>
      </c>
      <c r="E2596" s="6">
        <v>2.0248706943985515E-3</v>
      </c>
      <c r="F2596" s="6"/>
      <c r="G2596" s="6">
        <v>2589</v>
      </c>
      <c r="H2596" s="6">
        <f t="shared" ca="1" si="85"/>
        <v>1.6146170460441207E-2</v>
      </c>
    </row>
    <row r="2597" spans="2:8" x14ac:dyDescent="0.3">
      <c r="B2597" s="4">
        <v>40343</v>
      </c>
      <c r="C2597" s="7">
        <v>199.22</v>
      </c>
      <c r="D2597" s="6">
        <f t="shared" si="84"/>
        <v>3.9471070275639426</v>
      </c>
      <c r="E2597" s="6">
        <v>2.0118700331958842E-3</v>
      </c>
      <c r="F2597" s="6"/>
      <c r="G2597" s="6">
        <v>2590</v>
      </c>
      <c r="H2597" s="6">
        <f t="shared" ca="1" si="85"/>
        <v>-2.8933583970571462E-3</v>
      </c>
    </row>
    <row r="2598" spans="2:8" x14ac:dyDescent="0.3">
      <c r="B2598" s="4">
        <v>38611</v>
      </c>
      <c r="C2598" s="7">
        <v>40.270000000000003</v>
      </c>
      <c r="D2598" s="6">
        <f t="shared" si="84"/>
        <v>-0.27297346091352226</v>
      </c>
      <c r="E2598" s="6">
        <v>1.990544911669704E-3</v>
      </c>
      <c r="F2598" s="6"/>
      <c r="G2598" s="6">
        <v>2591</v>
      </c>
      <c r="H2598" s="6">
        <f t="shared" ca="1" si="85"/>
        <v>7.2751630636796825E-3</v>
      </c>
    </row>
    <row r="2599" spans="2:8" x14ac:dyDescent="0.3">
      <c r="B2599" s="4">
        <v>38994</v>
      </c>
      <c r="C2599" s="7">
        <v>55.39</v>
      </c>
      <c r="D2599" s="6">
        <f t="shared" si="84"/>
        <v>1.1971439904799681</v>
      </c>
      <c r="E2599" s="6">
        <v>1.9898697539797294E-3</v>
      </c>
      <c r="F2599" s="6"/>
      <c r="G2599" s="6">
        <v>2592</v>
      </c>
      <c r="H2599" s="6">
        <f t="shared" ca="1" si="85"/>
        <v>-2.9564885218606569E-2</v>
      </c>
    </row>
    <row r="2600" spans="2:8" x14ac:dyDescent="0.3">
      <c r="B2600" s="4">
        <v>37993</v>
      </c>
      <c r="C2600" s="7">
        <v>25.21</v>
      </c>
      <c r="D2600" s="6">
        <f t="shared" si="84"/>
        <v>0.24432379072063173</v>
      </c>
      <c r="E2600" s="6">
        <v>1.987281399046133E-3</v>
      </c>
      <c r="F2600" s="6"/>
      <c r="G2600" s="6">
        <v>2593</v>
      </c>
      <c r="H2600" s="6">
        <f t="shared" ca="1" si="85"/>
        <v>-6.3372565845458339E-3</v>
      </c>
    </row>
    <row r="2601" spans="2:8" x14ac:dyDescent="0.3">
      <c r="B2601" s="4">
        <v>37832</v>
      </c>
      <c r="C2601" s="7">
        <v>20.260000000000002</v>
      </c>
      <c r="D2601" s="6">
        <f t="shared" si="84"/>
        <v>-0.91312550919771884</v>
      </c>
      <c r="E2601" s="6">
        <v>1.9782393669635361E-3</v>
      </c>
      <c r="F2601" s="6"/>
      <c r="G2601" s="6">
        <v>2594</v>
      </c>
      <c r="H2601" s="6">
        <f t="shared" ca="1" si="85"/>
        <v>-2.1077120970394572E-2</v>
      </c>
    </row>
    <row r="2602" spans="2:8" x14ac:dyDescent="0.3">
      <c r="B2602" s="4">
        <v>40400</v>
      </c>
      <c r="C2602" s="7">
        <v>233.21</v>
      </c>
      <c r="D2602" s="6">
        <f t="shared" si="84"/>
        <v>0.98257247300858641</v>
      </c>
      <c r="E2602" s="6">
        <v>1.9763694951665219E-3</v>
      </c>
      <c r="F2602" s="6"/>
      <c r="G2602" s="6">
        <v>2595</v>
      </c>
      <c r="H2602" s="6">
        <f t="shared" ca="1" si="85"/>
        <v>5.3129360920288471E-3</v>
      </c>
    </row>
    <row r="2603" spans="2:8" x14ac:dyDescent="0.3">
      <c r="B2603" s="4">
        <v>40070</v>
      </c>
      <c r="C2603" s="7">
        <v>117.63</v>
      </c>
      <c r="D2603" s="6">
        <f t="shared" si="84"/>
        <v>-0.96135600570313473</v>
      </c>
      <c r="E2603" s="6">
        <v>1.9591141396932688E-3</v>
      </c>
      <c r="F2603" s="6"/>
      <c r="G2603" s="6">
        <v>2596</v>
      </c>
      <c r="H2603" s="6">
        <f t="shared" ca="1" si="85"/>
        <v>1.334729710814106E-2</v>
      </c>
    </row>
    <row r="2604" spans="2:8" x14ac:dyDescent="0.3">
      <c r="B2604" s="4">
        <v>45062</v>
      </c>
      <c r="C2604" s="5">
        <v>3043.94</v>
      </c>
      <c r="D2604" s="6">
        <f t="shared" si="84"/>
        <v>-1.1550602797083412E-3</v>
      </c>
      <c r="E2604" s="6">
        <v>1.9486375994891649E-3</v>
      </c>
      <c r="F2604" s="6"/>
      <c r="G2604" s="6">
        <v>2597</v>
      </c>
      <c r="H2604" s="6">
        <f t="shared" ca="1" si="85"/>
        <v>1.0523413035655411E-2</v>
      </c>
    </row>
    <row r="2605" spans="2:8" x14ac:dyDescent="0.3">
      <c r="B2605" s="4">
        <v>44673</v>
      </c>
      <c r="C2605" s="5">
        <v>3047.46</v>
      </c>
      <c r="D2605" s="6">
        <f t="shared" si="84"/>
        <v>64.678017241379308</v>
      </c>
      <c r="E2605" s="6">
        <v>1.9463824246927783E-3</v>
      </c>
      <c r="F2605" s="6"/>
      <c r="G2605" s="6">
        <v>2598</v>
      </c>
      <c r="H2605" s="6">
        <f t="shared" ca="1" si="85"/>
        <v>1.4836954553454847E-2</v>
      </c>
    </row>
    <row r="2606" spans="2:8" x14ac:dyDescent="0.3">
      <c r="B2606" s="4">
        <v>38887</v>
      </c>
      <c r="C2606" s="7">
        <v>46.4</v>
      </c>
      <c r="D2606" s="6">
        <f t="shared" si="84"/>
        <v>-0.98126274557312165</v>
      </c>
      <c r="E2606" s="6">
        <v>1.9434247462750227E-3</v>
      </c>
      <c r="F2606" s="6"/>
      <c r="G2606" s="6">
        <v>2599</v>
      </c>
      <c r="H2606" s="6">
        <f t="shared" ca="1" si="85"/>
        <v>5.7105981746041418E-3</v>
      </c>
    </row>
    <row r="2607" spans="2:8" x14ac:dyDescent="0.3">
      <c r="B2607" s="4">
        <v>44320</v>
      </c>
      <c r="C2607" s="5">
        <v>2476.35</v>
      </c>
      <c r="D2607" s="6">
        <f t="shared" si="84"/>
        <v>118.5149613899614</v>
      </c>
      <c r="E2607" s="6">
        <v>1.9380472252342503E-3</v>
      </c>
      <c r="F2607" s="6"/>
      <c r="G2607" s="6">
        <v>2600</v>
      </c>
      <c r="H2607" s="6">
        <f t="shared" ca="1" si="85"/>
        <v>-6.0715956312166744E-3</v>
      </c>
    </row>
    <row r="2608" spans="2:8" x14ac:dyDescent="0.3">
      <c r="B2608" s="4">
        <v>37844</v>
      </c>
      <c r="C2608" s="7">
        <v>20.72</v>
      </c>
      <c r="D2608" s="6">
        <f t="shared" si="84"/>
        <v>-0.94036552021873654</v>
      </c>
      <c r="E2608" s="6">
        <v>1.9342359767891271E-3</v>
      </c>
      <c r="F2608" s="6"/>
      <c r="G2608" s="6">
        <v>2601</v>
      </c>
      <c r="H2608" s="6">
        <f t="shared" ca="1" si="85"/>
        <v>7.6335681575384461E-3</v>
      </c>
    </row>
    <row r="2609" spans="2:8" x14ac:dyDescent="0.3">
      <c r="B2609" s="4">
        <v>41214</v>
      </c>
      <c r="C2609" s="7">
        <v>347.45</v>
      </c>
      <c r="D2609" s="6">
        <f t="shared" si="84"/>
        <v>-0.87996614385407312</v>
      </c>
      <c r="E2609" s="6">
        <v>1.9320606724725069E-3</v>
      </c>
      <c r="F2609" s="6"/>
      <c r="G2609" s="6">
        <v>2602</v>
      </c>
      <c r="H2609" s="6">
        <f t="shared" ca="1" si="85"/>
        <v>5.9272784811082342E-3</v>
      </c>
    </row>
    <row r="2610" spans="2:8" x14ac:dyDescent="0.3">
      <c r="B2610" s="4">
        <v>44935</v>
      </c>
      <c r="C2610" s="5">
        <v>2894.6</v>
      </c>
      <c r="D2610" s="6">
        <f t="shared" si="84"/>
        <v>54.601229350749129</v>
      </c>
      <c r="E2610" s="6">
        <v>1.9279827485348745E-3</v>
      </c>
      <c r="F2610" s="6"/>
      <c r="G2610" s="6">
        <v>2603</v>
      </c>
      <c r="H2610" s="6">
        <f t="shared" ca="1" si="85"/>
        <v>3.3377644286003656E-2</v>
      </c>
    </row>
    <row r="2611" spans="2:8" x14ac:dyDescent="0.3">
      <c r="B2611" s="4">
        <v>38958</v>
      </c>
      <c r="C2611" s="7">
        <v>52.06</v>
      </c>
      <c r="D2611" s="6">
        <f t="shared" si="84"/>
        <v>-0.92487517677277853</v>
      </c>
      <c r="E2611" s="6">
        <v>1.9245573518091113E-3</v>
      </c>
      <c r="F2611" s="6"/>
      <c r="G2611" s="6">
        <v>2604</v>
      </c>
      <c r="H2611" s="6">
        <f t="shared" ca="1" si="85"/>
        <v>1.3659780600885598E-2</v>
      </c>
    </row>
    <row r="2612" spans="2:8" x14ac:dyDescent="0.3">
      <c r="B2612" s="4">
        <v>42179</v>
      </c>
      <c r="C2612" s="7">
        <v>692.98</v>
      </c>
      <c r="D2612" s="6">
        <f t="shared" si="84"/>
        <v>-0.75630615582086402</v>
      </c>
      <c r="E2612" s="6">
        <v>1.9229379021181827E-3</v>
      </c>
      <c r="F2612" s="6"/>
      <c r="G2612" s="6">
        <v>2605</v>
      </c>
      <c r="H2612" s="6">
        <f t="shared" ca="1" si="85"/>
        <v>-1.0364418464037146E-2</v>
      </c>
    </row>
    <row r="2613" spans="2:8" x14ac:dyDescent="0.3">
      <c r="B2613" s="4">
        <v>44358</v>
      </c>
      <c r="C2613" s="5">
        <v>2843.65</v>
      </c>
      <c r="D2613" s="6">
        <f t="shared" si="84"/>
        <v>-1.1055699301672078E-2</v>
      </c>
      <c r="E2613" s="6">
        <v>1.91670101930444E-3</v>
      </c>
      <c r="F2613" s="6"/>
      <c r="G2613" s="6">
        <v>2606</v>
      </c>
      <c r="H2613" s="6">
        <f t="shared" ca="1" si="85"/>
        <v>7.0752473584072932E-3</v>
      </c>
    </row>
    <row r="2614" spans="2:8" x14ac:dyDescent="0.3">
      <c r="B2614" s="4">
        <v>44393</v>
      </c>
      <c r="C2614" s="5">
        <v>2875.44</v>
      </c>
      <c r="D2614" s="6">
        <f t="shared" si="84"/>
        <v>48.525318635893903</v>
      </c>
      <c r="E2614" s="6">
        <v>1.9129253122877529E-3</v>
      </c>
      <c r="F2614" s="6"/>
      <c r="G2614" s="6">
        <v>2607</v>
      </c>
      <c r="H2614" s="6">
        <f t="shared" ca="1" si="85"/>
        <v>1.4539525041582558E-2</v>
      </c>
    </row>
    <row r="2615" spans="2:8" x14ac:dyDescent="0.3">
      <c r="B2615" s="4">
        <v>39029</v>
      </c>
      <c r="C2615" s="7">
        <v>58.06</v>
      </c>
      <c r="D2615" s="6">
        <f t="shared" si="84"/>
        <v>-0.95957021593654912</v>
      </c>
      <c r="E2615" s="6">
        <v>1.8981880931837692E-3</v>
      </c>
      <c r="F2615" s="6"/>
      <c r="G2615" s="6">
        <v>2608</v>
      </c>
      <c r="H2615" s="6">
        <f t="shared" ca="1" si="85"/>
        <v>-3.2123517721754563E-2</v>
      </c>
    </row>
    <row r="2616" spans="2:8" x14ac:dyDescent="0.3">
      <c r="B2616" s="4">
        <v>43970</v>
      </c>
      <c r="C2616" s="5">
        <v>1436.07</v>
      </c>
      <c r="D2616" s="6">
        <f t="shared" si="84"/>
        <v>5.6254671280276813</v>
      </c>
      <c r="E2616" s="6">
        <v>1.8976523528796369E-3</v>
      </c>
      <c r="F2616" s="6"/>
      <c r="G2616" s="6">
        <v>2609</v>
      </c>
      <c r="H2616" s="6">
        <f t="shared" ca="1" si="85"/>
        <v>-1.710814140803798E-4</v>
      </c>
    </row>
    <row r="2617" spans="2:8" x14ac:dyDescent="0.3">
      <c r="B2617" s="4">
        <v>40379</v>
      </c>
      <c r="C2617" s="7">
        <v>216.75</v>
      </c>
      <c r="D2617" s="6">
        <f t="shared" si="84"/>
        <v>1.2663111668757843</v>
      </c>
      <c r="E2617" s="6">
        <v>1.8951650180271636E-3</v>
      </c>
      <c r="F2617" s="6"/>
      <c r="G2617" s="6">
        <v>2610</v>
      </c>
      <c r="H2617" s="6">
        <f t="shared" ca="1" si="85"/>
        <v>2.4043076464847863E-3</v>
      </c>
    </row>
    <row r="2618" spans="2:8" x14ac:dyDescent="0.3">
      <c r="B2618" s="4">
        <v>39449</v>
      </c>
      <c r="C2618" s="7">
        <v>95.64</v>
      </c>
      <c r="D2618" s="6">
        <f t="shared" si="84"/>
        <v>1.5688960515713137</v>
      </c>
      <c r="E2618" s="6">
        <v>1.8856065367693991E-3</v>
      </c>
      <c r="F2618" s="6"/>
      <c r="G2618" s="6">
        <v>2611</v>
      </c>
      <c r="H2618" s="6">
        <f t="shared" ca="1" si="85"/>
        <v>-1.4333238057907476E-2</v>
      </c>
    </row>
    <row r="2619" spans="2:8" x14ac:dyDescent="0.3">
      <c r="B2619" s="4">
        <v>38568</v>
      </c>
      <c r="C2619" s="7">
        <v>37.229999999999997</v>
      </c>
      <c r="D2619" s="6">
        <f t="shared" si="84"/>
        <v>-0.98873906573264125</v>
      </c>
      <c r="E2619" s="6">
        <v>1.8837459634015149E-3</v>
      </c>
      <c r="F2619" s="6"/>
      <c r="G2619" s="6">
        <v>2612</v>
      </c>
      <c r="H2619" s="6">
        <f t="shared" ca="1" si="85"/>
        <v>-9.6141236978001619E-3</v>
      </c>
    </row>
    <row r="2620" spans="2:8" x14ac:dyDescent="0.3">
      <c r="B2620" s="4">
        <v>45295</v>
      </c>
      <c r="C2620" s="5">
        <v>3306.12</v>
      </c>
      <c r="D2620" s="6">
        <f t="shared" si="84"/>
        <v>0.21565512828998171</v>
      </c>
      <c r="E2620" s="6">
        <v>1.8818695055319802E-3</v>
      </c>
      <c r="F2620" s="6"/>
      <c r="G2620" s="6">
        <v>2613</v>
      </c>
      <c r="H2620" s="6">
        <f t="shared" ca="1" si="85"/>
        <v>1.6650108419576811E-2</v>
      </c>
    </row>
    <row r="2621" spans="2:8" x14ac:dyDescent="0.3">
      <c r="B2621" s="4">
        <v>45012</v>
      </c>
      <c r="C2621" s="5">
        <v>2719.62</v>
      </c>
      <c r="D2621" s="6">
        <f t="shared" si="84"/>
        <v>125.67070330693993</v>
      </c>
      <c r="E2621" s="6">
        <v>1.875094399398677E-3</v>
      </c>
      <c r="F2621" s="6"/>
      <c r="G2621" s="6">
        <v>2614</v>
      </c>
      <c r="H2621" s="6">
        <f t="shared" ca="1" si="85"/>
        <v>4.9492508945516421E-5</v>
      </c>
    </row>
    <row r="2622" spans="2:8" x14ac:dyDescent="0.3">
      <c r="B2622" s="4">
        <v>37923</v>
      </c>
      <c r="C2622" s="7">
        <v>21.47</v>
      </c>
      <c r="D2622" s="6">
        <f t="shared" si="84"/>
        <v>-0.87098906381444541</v>
      </c>
      <c r="E2622" s="6">
        <v>1.8665422305179256E-3</v>
      </c>
      <c r="F2622" s="6"/>
      <c r="G2622" s="6">
        <v>2615</v>
      </c>
      <c r="H2622" s="6">
        <f t="shared" ca="1" si="85"/>
        <v>3.346786972661122E-2</v>
      </c>
    </row>
    <row r="2623" spans="2:8" x14ac:dyDescent="0.3">
      <c r="B2623" s="4">
        <v>40213</v>
      </c>
      <c r="C2623" s="7">
        <v>166.42</v>
      </c>
      <c r="D2623" s="6">
        <f t="shared" si="84"/>
        <v>-0.32675270035195603</v>
      </c>
      <c r="E2623" s="6">
        <v>1.8662332189511397E-3</v>
      </c>
      <c r="F2623" s="6"/>
      <c r="G2623" s="6">
        <v>2616</v>
      </c>
      <c r="H2623" s="6">
        <f t="shared" ca="1" si="85"/>
        <v>4.338042450096973E-3</v>
      </c>
    </row>
    <row r="2624" spans="2:8" x14ac:dyDescent="0.3">
      <c r="B2624" s="4">
        <v>40541</v>
      </c>
      <c r="C2624" s="7">
        <v>247.19</v>
      </c>
      <c r="D2624" s="6">
        <f t="shared" si="84"/>
        <v>3.5997394864160772</v>
      </c>
      <c r="E2624" s="6">
        <v>1.8643861711182587E-3</v>
      </c>
      <c r="F2624" s="6"/>
      <c r="G2624" s="6">
        <v>2617</v>
      </c>
      <c r="H2624" s="6">
        <f t="shared" ca="1" si="85"/>
        <v>8.9342400283304035E-3</v>
      </c>
    </row>
    <row r="2625" spans="2:8" x14ac:dyDescent="0.3">
      <c r="B2625" s="4">
        <v>38968</v>
      </c>
      <c r="C2625" s="7">
        <v>53.74</v>
      </c>
      <c r="D2625" s="6">
        <f t="shared" si="84"/>
        <v>-0.9459524695517495</v>
      </c>
      <c r="E2625" s="6">
        <v>1.8642803877703471E-3</v>
      </c>
      <c r="F2625" s="6"/>
      <c r="G2625" s="6">
        <v>2618</v>
      </c>
      <c r="H2625" s="6">
        <f t="shared" ca="1" si="85"/>
        <v>-1.475489340246223E-2</v>
      </c>
    </row>
    <row r="2626" spans="2:8" x14ac:dyDescent="0.3">
      <c r="B2626" s="4">
        <v>42824</v>
      </c>
      <c r="C2626" s="7">
        <v>994.31</v>
      </c>
      <c r="D2626" s="6">
        <f t="shared" si="84"/>
        <v>2.5943679282796515</v>
      </c>
      <c r="E2626" s="6">
        <v>1.8640549745076969E-3</v>
      </c>
      <c r="F2626" s="6"/>
      <c r="G2626" s="6">
        <v>2619</v>
      </c>
      <c r="H2626" s="6">
        <f t="shared" ca="1" si="85"/>
        <v>1.5003410427560409E-2</v>
      </c>
    </row>
    <row r="2627" spans="2:8" x14ac:dyDescent="0.3">
      <c r="B2627" s="4">
        <v>40738</v>
      </c>
      <c r="C2627" s="7">
        <v>276.63</v>
      </c>
      <c r="D2627" s="6">
        <f t="shared" si="84"/>
        <v>15.992014742014742</v>
      </c>
      <c r="E2627" s="6">
        <v>1.8470230334636784E-3</v>
      </c>
      <c r="F2627" s="6"/>
      <c r="G2627" s="6">
        <v>2620</v>
      </c>
      <c r="H2627" s="6">
        <f t="shared" ca="1" si="85"/>
        <v>2.4864386231346316E-2</v>
      </c>
    </row>
    <row r="2628" spans="2:8" x14ac:dyDescent="0.3">
      <c r="B2628" s="4">
        <v>37624</v>
      </c>
      <c r="C2628" s="7">
        <v>16.28</v>
      </c>
      <c r="D2628" s="6">
        <f t="shared" si="84"/>
        <v>-0.99022891233629828</v>
      </c>
      <c r="E2628" s="6">
        <v>1.8461538461539161E-3</v>
      </c>
      <c r="F2628" s="6"/>
      <c r="G2628" s="6">
        <v>2621</v>
      </c>
      <c r="H2628" s="6">
        <f t="shared" ca="1" si="85"/>
        <v>7.2687458892238535E-3</v>
      </c>
    </row>
    <row r="2629" spans="2:8" x14ac:dyDescent="0.3">
      <c r="B2629" s="4">
        <v>44042</v>
      </c>
      <c r="C2629" s="5">
        <v>1666.14</v>
      </c>
      <c r="D2629" s="6">
        <f t="shared" si="84"/>
        <v>1.0772222914848524</v>
      </c>
      <c r="E2629" s="6">
        <v>1.8399595930443352E-3</v>
      </c>
      <c r="F2629" s="6"/>
      <c r="G2629" s="6">
        <v>2622</v>
      </c>
      <c r="H2629" s="6">
        <f t="shared" ca="1" si="85"/>
        <v>2.2034762032542465E-2</v>
      </c>
    </row>
    <row r="2630" spans="2:8" x14ac:dyDescent="0.3">
      <c r="B2630" s="4">
        <v>42461</v>
      </c>
      <c r="C2630" s="7">
        <v>802.1</v>
      </c>
      <c r="D2630" s="6">
        <f t="shared" si="84"/>
        <v>47.968253968253975</v>
      </c>
      <c r="E2630" s="6">
        <v>1.8360541073904641E-3</v>
      </c>
      <c r="F2630" s="6"/>
      <c r="G2630" s="6">
        <v>2623</v>
      </c>
      <c r="H2630" s="6">
        <f t="shared" ca="1" si="85"/>
        <v>-7.5298108044813856E-3</v>
      </c>
    </row>
    <row r="2631" spans="2:8" x14ac:dyDescent="0.3">
      <c r="B2631" s="4">
        <v>37460</v>
      </c>
      <c r="C2631" s="7">
        <v>16.38</v>
      </c>
      <c r="D2631" s="6">
        <f t="shared" si="84"/>
        <v>-0.99470293763824746</v>
      </c>
      <c r="E2631" s="6">
        <v>1.8348623853209529E-3</v>
      </c>
      <c r="F2631" s="6"/>
      <c r="G2631" s="6">
        <v>2624</v>
      </c>
      <c r="H2631" s="6">
        <f t="shared" ca="1" si="85"/>
        <v>9.0228803231481945E-3</v>
      </c>
    </row>
    <row r="2632" spans="2:8" x14ac:dyDescent="0.3">
      <c r="B2632" s="4">
        <v>45202</v>
      </c>
      <c r="C2632" s="5">
        <v>3092.28</v>
      </c>
      <c r="D2632" s="6">
        <f t="shared" ref="D2632:D2695" si="86">((C2632-C2633)/C2633)</f>
        <v>187.43875685557589</v>
      </c>
      <c r="E2632" s="6">
        <v>1.833721028179792E-3</v>
      </c>
      <c r="F2632" s="6"/>
      <c r="G2632" s="6">
        <v>2625</v>
      </c>
      <c r="H2632" s="6">
        <f t="shared" ca="1" si="85"/>
        <v>2.1778969638362889E-3</v>
      </c>
    </row>
    <row r="2633" spans="2:8" x14ac:dyDescent="0.3">
      <c r="B2633" s="4">
        <v>37715</v>
      </c>
      <c r="C2633" s="7">
        <v>16.41</v>
      </c>
      <c r="D2633" s="6">
        <f t="shared" si="86"/>
        <v>-6.0901339829485764E-4</v>
      </c>
      <c r="E2633" s="6">
        <v>1.8315018315019011E-3</v>
      </c>
      <c r="F2633" s="6"/>
      <c r="G2633" s="6">
        <v>2626</v>
      </c>
      <c r="H2633" s="6">
        <f t="shared" ref="H2633:H2696" ca="1" si="87">_xlfn.NORM.INV(RAND(),N$10,N$11)</f>
        <v>2.480301320283047E-2</v>
      </c>
    </row>
    <row r="2634" spans="2:8" x14ac:dyDescent="0.3">
      <c r="B2634" s="4">
        <v>37651</v>
      </c>
      <c r="C2634" s="7">
        <v>16.420000000000002</v>
      </c>
      <c r="D2634" s="6">
        <f t="shared" si="86"/>
        <v>-0.97961312110451693</v>
      </c>
      <c r="E2634" s="6">
        <v>1.8303843807200204E-3</v>
      </c>
      <c r="F2634" s="6"/>
      <c r="G2634" s="6">
        <v>2627</v>
      </c>
      <c r="H2634" s="6">
        <f t="shared" ca="1" si="87"/>
        <v>-2.128108420770173E-2</v>
      </c>
    </row>
    <row r="2635" spans="2:8" x14ac:dyDescent="0.3">
      <c r="B2635" s="4">
        <v>42494</v>
      </c>
      <c r="C2635" s="7">
        <v>805.42</v>
      </c>
      <c r="D2635" s="6">
        <f t="shared" si="86"/>
        <v>3.445904173106646</v>
      </c>
      <c r="E2635" s="6">
        <v>1.8284719198954082E-3</v>
      </c>
      <c r="F2635" s="6"/>
      <c r="G2635" s="6">
        <v>2628</v>
      </c>
      <c r="H2635" s="6">
        <f t="shared" ca="1" si="87"/>
        <v>-7.5467430165840673E-3</v>
      </c>
    </row>
    <row r="2636" spans="2:8" x14ac:dyDescent="0.3">
      <c r="B2636" s="4">
        <v>40302</v>
      </c>
      <c r="C2636" s="7">
        <v>181.16</v>
      </c>
      <c r="D2636" s="6">
        <f t="shared" si="86"/>
        <v>9.9927184466019412</v>
      </c>
      <c r="E2636" s="6">
        <v>1.8249184316760719E-3</v>
      </c>
      <c r="F2636" s="6"/>
      <c r="G2636" s="6">
        <v>2629</v>
      </c>
      <c r="H2636" s="6">
        <f t="shared" ca="1" si="87"/>
        <v>7.5959010612389084E-3</v>
      </c>
    </row>
    <row r="2637" spans="2:8" x14ac:dyDescent="0.3">
      <c r="B2637" s="4">
        <v>37631</v>
      </c>
      <c r="C2637" s="7">
        <v>16.48</v>
      </c>
      <c r="D2637" s="6">
        <f t="shared" si="86"/>
        <v>-0.9334517848489744</v>
      </c>
      <c r="E2637" s="6">
        <v>1.8237082066869994E-3</v>
      </c>
      <c r="F2637" s="6"/>
      <c r="G2637" s="6">
        <v>2630</v>
      </c>
      <c r="H2637" s="6">
        <f t="shared" ca="1" si="87"/>
        <v>-1.3051471878900494E-2</v>
      </c>
    </row>
    <row r="2638" spans="2:8" x14ac:dyDescent="0.3">
      <c r="B2638" s="4">
        <v>40542</v>
      </c>
      <c r="C2638" s="7">
        <v>247.64</v>
      </c>
      <c r="D2638" s="6">
        <f t="shared" si="86"/>
        <v>-0.91341864205300327</v>
      </c>
      <c r="E2638" s="6">
        <v>1.8204619927990155E-3</v>
      </c>
      <c r="F2638" s="6"/>
      <c r="G2638" s="6">
        <v>2631</v>
      </c>
      <c r="H2638" s="6">
        <f t="shared" ca="1" si="87"/>
        <v>-5.330833019859791E-2</v>
      </c>
    </row>
    <row r="2639" spans="2:8" x14ac:dyDescent="0.3">
      <c r="B2639" s="4">
        <v>45467</v>
      </c>
      <c r="C2639" s="5">
        <v>2860.2</v>
      </c>
      <c r="D2639" s="6">
        <f t="shared" si="86"/>
        <v>-6.5645514223195067E-3</v>
      </c>
      <c r="E2639" s="6">
        <v>1.7968035809978928E-3</v>
      </c>
      <c r="F2639" s="6"/>
      <c r="G2639" s="6">
        <v>2632</v>
      </c>
      <c r="H2639" s="6">
        <f t="shared" ca="1" si="87"/>
        <v>4.6668670258925727E-3</v>
      </c>
    </row>
    <row r="2640" spans="2:8" x14ac:dyDescent="0.3">
      <c r="B2640" s="4">
        <v>45988</v>
      </c>
      <c r="C2640" s="5">
        <v>2879.1</v>
      </c>
      <c r="D2640" s="6">
        <f t="shared" si="86"/>
        <v>-2.0181050912061047E-2</v>
      </c>
      <c r="E2640" s="6">
        <v>1.7745302713987156E-3</v>
      </c>
      <c r="F2640" s="6"/>
      <c r="G2640" s="6">
        <v>2633</v>
      </c>
      <c r="H2640" s="6">
        <f t="shared" ca="1" si="87"/>
        <v>1.2791203976108195E-2</v>
      </c>
    </row>
    <row r="2641" spans="2:8" x14ac:dyDescent="0.3">
      <c r="B2641" s="4">
        <v>44642</v>
      </c>
      <c r="C2641" s="5">
        <v>2938.4</v>
      </c>
      <c r="D2641" s="6">
        <f t="shared" si="86"/>
        <v>-9.0503899962857515E-2</v>
      </c>
      <c r="E2641" s="6">
        <v>1.7728078549025888E-3</v>
      </c>
      <c r="F2641" s="6"/>
      <c r="G2641" s="6">
        <v>2634</v>
      </c>
      <c r="H2641" s="6">
        <f t="shared" ca="1" si="87"/>
        <v>-1.4211798338015532E-2</v>
      </c>
    </row>
    <row r="2642" spans="2:8" x14ac:dyDescent="0.3">
      <c r="B2642" s="4">
        <v>45281</v>
      </c>
      <c r="C2642" s="5">
        <v>3230.8</v>
      </c>
      <c r="D2642" s="6">
        <f t="shared" si="86"/>
        <v>112.36140350877194</v>
      </c>
      <c r="E2642" s="6">
        <v>1.7580686669994923E-3</v>
      </c>
      <c r="F2642" s="6"/>
      <c r="G2642" s="6">
        <v>2635</v>
      </c>
      <c r="H2642" s="6">
        <f t="shared" ca="1" si="87"/>
        <v>-1.3462878113519455E-2</v>
      </c>
    </row>
    <row r="2643" spans="2:8" x14ac:dyDescent="0.3">
      <c r="B2643" s="4">
        <v>38398</v>
      </c>
      <c r="C2643" s="7">
        <v>28.5</v>
      </c>
      <c r="D2643" s="6">
        <f t="shared" si="86"/>
        <v>-0.93250603893335859</v>
      </c>
      <c r="E2643" s="6">
        <v>1.75746924428825E-3</v>
      </c>
      <c r="F2643" s="6"/>
      <c r="G2643" s="6">
        <v>2636</v>
      </c>
      <c r="H2643" s="6">
        <f t="shared" ca="1" si="87"/>
        <v>-4.6395975027620998E-3</v>
      </c>
    </row>
    <row r="2644" spans="2:8" x14ac:dyDescent="0.3">
      <c r="B2644" s="4">
        <v>41393</v>
      </c>
      <c r="C2644" s="7">
        <v>422.26</v>
      </c>
      <c r="D2644" s="6">
        <f t="shared" si="86"/>
        <v>-0.60181806180278563</v>
      </c>
      <c r="E2644" s="6">
        <v>1.7555513380148253E-3</v>
      </c>
      <c r="F2644" s="6"/>
      <c r="G2644" s="6">
        <v>2637</v>
      </c>
      <c r="H2644" s="6">
        <f t="shared" ca="1" si="87"/>
        <v>1.0530498850686557E-2</v>
      </c>
    </row>
    <row r="2645" spans="2:8" x14ac:dyDescent="0.3">
      <c r="B2645" s="4">
        <v>42928</v>
      </c>
      <c r="C2645" s="5">
        <v>1060.47</v>
      </c>
      <c r="D2645" s="6">
        <f t="shared" si="86"/>
        <v>-0.64986661207887053</v>
      </c>
      <c r="E2645" s="6">
        <v>1.7286329630468592E-3</v>
      </c>
      <c r="F2645" s="6"/>
      <c r="G2645" s="6">
        <v>2638</v>
      </c>
      <c r="H2645" s="6">
        <f t="shared" ca="1" si="87"/>
        <v>2.6763602276250922E-2</v>
      </c>
    </row>
    <row r="2646" spans="2:8" x14ac:dyDescent="0.3">
      <c r="B2646" s="4">
        <v>45218</v>
      </c>
      <c r="C2646" s="5">
        <v>3028.76</v>
      </c>
      <c r="D2646" s="6">
        <f t="shared" si="86"/>
        <v>73.398427904691729</v>
      </c>
      <c r="E2646" s="6">
        <v>1.7264530980242545E-3</v>
      </c>
      <c r="F2646" s="6"/>
      <c r="G2646" s="6">
        <v>2639</v>
      </c>
      <c r="H2646" s="6">
        <f t="shared" ca="1" si="87"/>
        <v>1.8561629865580173E-2</v>
      </c>
    </row>
    <row r="2647" spans="2:8" x14ac:dyDescent="0.3">
      <c r="B2647" s="4">
        <v>38674</v>
      </c>
      <c r="C2647" s="7">
        <v>40.71</v>
      </c>
      <c r="D2647" s="6">
        <f t="shared" si="86"/>
        <v>-0.77427224840587738</v>
      </c>
      <c r="E2647" s="6">
        <v>1.7224409448818967E-3</v>
      </c>
      <c r="F2647" s="6"/>
      <c r="G2647" s="6">
        <v>2640</v>
      </c>
      <c r="H2647" s="6">
        <f t="shared" ca="1" si="87"/>
        <v>7.9371189760990939E-3</v>
      </c>
    </row>
    <row r="2648" spans="2:8" x14ac:dyDescent="0.3">
      <c r="B2648" s="4">
        <v>40298</v>
      </c>
      <c r="C2648" s="7">
        <v>180.35</v>
      </c>
      <c r="D2648" s="6">
        <f t="shared" si="86"/>
        <v>6.7337049742710118</v>
      </c>
      <c r="E2648" s="6">
        <v>1.7218395912019678E-3</v>
      </c>
      <c r="F2648" s="6"/>
      <c r="G2648" s="6">
        <v>2641</v>
      </c>
      <c r="H2648" s="6">
        <f t="shared" ca="1" si="87"/>
        <v>3.2321496998836081E-2</v>
      </c>
    </row>
    <row r="2649" spans="2:8" x14ac:dyDescent="0.3">
      <c r="B2649" s="4">
        <v>38090</v>
      </c>
      <c r="C2649" s="7">
        <v>23.32</v>
      </c>
      <c r="D2649" s="6">
        <f t="shared" si="86"/>
        <v>-0.99175362723707605</v>
      </c>
      <c r="E2649" s="6">
        <v>1.7182130584192073E-3</v>
      </c>
      <c r="F2649" s="6"/>
      <c r="G2649" s="6">
        <v>2642</v>
      </c>
      <c r="H2649" s="6">
        <f t="shared" ca="1" si="87"/>
        <v>2.6106205380449606E-2</v>
      </c>
    </row>
    <row r="2650" spans="2:8" x14ac:dyDescent="0.3">
      <c r="B2650" s="4">
        <v>45469</v>
      </c>
      <c r="C2650" s="5">
        <v>2827.91</v>
      </c>
      <c r="D2650" s="6">
        <f t="shared" si="86"/>
        <v>0.15088557521691709</v>
      </c>
      <c r="E2650" s="6">
        <v>1.7144456212561823E-3</v>
      </c>
      <c r="F2650" s="6"/>
      <c r="G2650" s="6">
        <v>2643</v>
      </c>
      <c r="H2650" s="6">
        <f t="shared" ca="1" si="87"/>
        <v>-2.736402228999818E-6</v>
      </c>
    </row>
    <row r="2651" spans="2:8" x14ac:dyDescent="0.3">
      <c r="B2651" s="4">
        <v>45615</v>
      </c>
      <c r="C2651" s="5">
        <v>2457.16</v>
      </c>
      <c r="D2651" s="6">
        <f t="shared" si="86"/>
        <v>-0.21499495227020052</v>
      </c>
      <c r="E2651" s="6">
        <v>1.7122170765115688E-3</v>
      </c>
      <c r="F2651" s="6"/>
      <c r="G2651" s="6">
        <v>2644</v>
      </c>
      <c r="H2651" s="6">
        <f t="shared" ca="1" si="87"/>
        <v>3.4670840094491527E-2</v>
      </c>
    </row>
    <row r="2652" spans="2:8" x14ac:dyDescent="0.3">
      <c r="B2652" s="4">
        <v>44904</v>
      </c>
      <c r="C2652" s="5">
        <v>3130.12</v>
      </c>
      <c r="D2652" s="6">
        <f t="shared" si="86"/>
        <v>1.8979909267660404</v>
      </c>
      <c r="E2652" s="6">
        <v>1.7089203079895833E-3</v>
      </c>
      <c r="F2652" s="6"/>
      <c r="G2652" s="6">
        <v>2645</v>
      </c>
      <c r="H2652" s="6">
        <f t="shared" ca="1" si="87"/>
        <v>2.7580249922592521E-2</v>
      </c>
    </row>
    <row r="2653" spans="2:8" x14ac:dyDescent="0.3">
      <c r="B2653" s="4">
        <v>43193</v>
      </c>
      <c r="C2653" s="5">
        <v>1080.0999999999999</v>
      </c>
      <c r="D2653" s="6">
        <f t="shared" si="86"/>
        <v>21.791728212703099</v>
      </c>
      <c r="E2653" s="6">
        <v>1.6971630482160566E-3</v>
      </c>
      <c r="F2653" s="6"/>
      <c r="G2653" s="6">
        <v>2646</v>
      </c>
      <c r="H2653" s="6">
        <f t="shared" ca="1" si="87"/>
        <v>1.6780082387447784E-2</v>
      </c>
    </row>
    <row r="2654" spans="2:8" x14ac:dyDescent="0.3">
      <c r="B2654" s="4">
        <v>38903</v>
      </c>
      <c r="C2654" s="7">
        <v>47.39</v>
      </c>
      <c r="D2654" s="6">
        <f t="shared" si="86"/>
        <v>-0.20606466744848378</v>
      </c>
      <c r="E2654" s="6">
        <v>1.6909744240118007E-3</v>
      </c>
      <c r="F2654" s="6"/>
      <c r="G2654" s="6">
        <v>2647</v>
      </c>
      <c r="H2654" s="6">
        <f t="shared" ca="1" si="87"/>
        <v>4.7302243743057852E-2</v>
      </c>
    </row>
    <row r="2655" spans="2:8" x14ac:dyDescent="0.3">
      <c r="B2655" s="4">
        <v>39066</v>
      </c>
      <c r="C2655" s="7">
        <v>59.69</v>
      </c>
      <c r="D2655" s="6">
        <f t="shared" si="86"/>
        <v>-0.73821323626156743</v>
      </c>
      <c r="E2655" s="6">
        <v>1.6781339150863284E-3</v>
      </c>
      <c r="F2655" s="6"/>
      <c r="G2655" s="6">
        <v>2648</v>
      </c>
      <c r="H2655" s="6">
        <f t="shared" ca="1" si="87"/>
        <v>-4.5668014465570306E-3</v>
      </c>
    </row>
    <row r="2656" spans="2:8" x14ac:dyDescent="0.3">
      <c r="B2656" s="4">
        <v>40592</v>
      </c>
      <c r="C2656" s="7">
        <v>228.01</v>
      </c>
      <c r="D2656" s="6">
        <f t="shared" si="86"/>
        <v>8.4885559717020378</v>
      </c>
      <c r="E2656" s="6">
        <v>1.6693757413346021E-3</v>
      </c>
      <c r="F2656" s="6"/>
      <c r="G2656" s="6">
        <v>2649</v>
      </c>
      <c r="H2656" s="6">
        <f t="shared" ca="1" si="87"/>
        <v>-4.3685347176757516E-5</v>
      </c>
    </row>
    <row r="2657" spans="2:8" x14ac:dyDescent="0.3">
      <c r="B2657" s="4">
        <v>38069</v>
      </c>
      <c r="C2657" s="7">
        <v>24.03</v>
      </c>
      <c r="D2657" s="6">
        <f t="shared" si="86"/>
        <v>-0.75007800312012485</v>
      </c>
      <c r="E2657" s="6">
        <v>1.6673614005836891E-3</v>
      </c>
      <c r="F2657" s="6"/>
      <c r="G2657" s="6">
        <v>2650</v>
      </c>
      <c r="H2657" s="6">
        <f t="shared" ca="1" si="87"/>
        <v>-8.3826664160942732E-4</v>
      </c>
    </row>
    <row r="2658" spans="2:8" x14ac:dyDescent="0.3">
      <c r="B2658" s="4">
        <v>39972</v>
      </c>
      <c r="C2658" s="7">
        <v>96.15</v>
      </c>
      <c r="D2658" s="6">
        <f t="shared" si="86"/>
        <v>2.9863184079601988</v>
      </c>
      <c r="E2658" s="6">
        <v>1.6668402958642651E-3</v>
      </c>
      <c r="F2658" s="6"/>
      <c r="G2658" s="6">
        <v>2651</v>
      </c>
      <c r="H2658" s="6">
        <f t="shared" ca="1" si="87"/>
        <v>5.600881653437452E-3</v>
      </c>
    </row>
    <row r="2659" spans="2:8" x14ac:dyDescent="0.3">
      <c r="B2659" s="4">
        <v>38064</v>
      </c>
      <c r="C2659" s="7">
        <v>24.12</v>
      </c>
      <c r="D2659" s="6">
        <f t="shared" si="86"/>
        <v>-2.4813895781637188E-3</v>
      </c>
      <c r="E2659" s="6">
        <v>1.6611295681064244E-3</v>
      </c>
      <c r="F2659" s="6"/>
      <c r="G2659" s="6">
        <v>2652</v>
      </c>
      <c r="H2659" s="6">
        <f t="shared" ca="1" si="87"/>
        <v>1.4929364489733411E-2</v>
      </c>
    </row>
    <row r="2660" spans="2:8" x14ac:dyDescent="0.3">
      <c r="B2660" s="4">
        <v>38196</v>
      </c>
      <c r="C2660" s="7">
        <v>24.18</v>
      </c>
      <c r="D2660" s="6">
        <f t="shared" si="86"/>
        <v>-0.97980759595149813</v>
      </c>
      <c r="E2660" s="6">
        <v>1.6570008285003788E-3</v>
      </c>
      <c r="F2660" s="6"/>
      <c r="G2660" s="6">
        <v>2653</v>
      </c>
      <c r="H2660" s="6">
        <f t="shared" ca="1" si="87"/>
        <v>3.9238341078766559E-2</v>
      </c>
    </row>
    <row r="2661" spans="2:8" x14ac:dyDescent="0.3">
      <c r="B2661" s="4">
        <v>43271</v>
      </c>
      <c r="C2661" s="5">
        <v>1197.48</v>
      </c>
      <c r="D2661" s="6">
        <f t="shared" si="86"/>
        <v>-0.61179136557707081</v>
      </c>
      <c r="E2661" s="6">
        <v>1.6562107904642561E-3</v>
      </c>
      <c r="F2661" s="6"/>
      <c r="G2661" s="6">
        <v>2654</v>
      </c>
      <c r="H2661" s="6">
        <f t="shared" ca="1" si="87"/>
        <v>-1.2830727737054204E-3</v>
      </c>
    </row>
    <row r="2662" spans="2:8" x14ac:dyDescent="0.3">
      <c r="B2662" s="4">
        <v>44595</v>
      </c>
      <c r="C2662" s="5">
        <v>3084.63</v>
      </c>
      <c r="D2662" s="6">
        <f t="shared" si="86"/>
        <v>20.107362802791847</v>
      </c>
      <c r="E2662" s="6">
        <v>1.6560968719252316E-3</v>
      </c>
      <c r="F2662" s="6"/>
      <c r="G2662" s="6">
        <v>2655</v>
      </c>
      <c r="H2662" s="6">
        <f t="shared" ca="1" si="87"/>
        <v>-1.0392074464958843E-2</v>
      </c>
    </row>
    <row r="2663" spans="2:8" x14ac:dyDescent="0.3">
      <c r="B2663" s="4">
        <v>40143</v>
      </c>
      <c r="C2663" s="7">
        <v>146.13999999999999</v>
      </c>
      <c r="D2663" s="6">
        <f t="shared" si="86"/>
        <v>4.9795417348608835</v>
      </c>
      <c r="E2663" s="6">
        <v>1.6449623029470915E-3</v>
      </c>
      <c r="F2663" s="6"/>
      <c r="G2663" s="6">
        <v>2656</v>
      </c>
      <c r="H2663" s="6">
        <f t="shared" ca="1" si="87"/>
        <v>-6.7929376162125781E-3</v>
      </c>
    </row>
    <row r="2664" spans="2:8" x14ac:dyDescent="0.3">
      <c r="B2664" s="4">
        <v>38168</v>
      </c>
      <c r="C2664" s="7">
        <v>24.44</v>
      </c>
      <c r="D2664" s="6">
        <f t="shared" si="86"/>
        <v>-5.2910052910052508E-3</v>
      </c>
      <c r="E2664" s="6">
        <v>1.6393442622951928E-3</v>
      </c>
      <c r="F2664" s="6"/>
      <c r="G2664" s="6">
        <v>2657</v>
      </c>
      <c r="H2664" s="6">
        <f t="shared" ca="1" si="87"/>
        <v>-1.5114950542222786E-3</v>
      </c>
    </row>
    <row r="2665" spans="2:8" x14ac:dyDescent="0.3">
      <c r="B2665" s="4">
        <v>38037</v>
      </c>
      <c r="C2665" s="7">
        <v>24.57</v>
      </c>
      <c r="D2665" s="6">
        <f t="shared" si="86"/>
        <v>0</v>
      </c>
      <c r="E2665" s="6">
        <v>1.6306563391764836E-3</v>
      </c>
      <c r="F2665" s="6"/>
      <c r="G2665" s="6">
        <v>2658</v>
      </c>
      <c r="H2665" s="6">
        <f t="shared" ca="1" si="87"/>
        <v>7.8482880544478791E-4</v>
      </c>
    </row>
    <row r="2666" spans="2:8" x14ac:dyDescent="0.3">
      <c r="B2666" s="4">
        <v>38033</v>
      </c>
      <c r="C2666" s="7">
        <v>24.57</v>
      </c>
      <c r="D2666" s="6">
        <f t="shared" si="86"/>
        <v>-0.83341243474133841</v>
      </c>
      <c r="E2666" s="6">
        <v>1.6306563391764836E-3</v>
      </c>
      <c r="F2666" s="6"/>
      <c r="G2666" s="6">
        <v>2659</v>
      </c>
      <c r="H2666" s="6">
        <f t="shared" ca="1" si="87"/>
        <v>-1.7990051950565699E-2</v>
      </c>
    </row>
    <row r="2667" spans="2:8" x14ac:dyDescent="0.3">
      <c r="B2667" s="4">
        <v>40156</v>
      </c>
      <c r="C2667" s="7">
        <v>147.49</v>
      </c>
      <c r="D2667" s="6">
        <f t="shared" si="86"/>
        <v>-0.93687701953735214</v>
      </c>
      <c r="E2667" s="6">
        <v>1.6298811544992128E-3</v>
      </c>
      <c r="F2667" s="6"/>
      <c r="G2667" s="6">
        <v>2660</v>
      </c>
      <c r="H2667" s="6">
        <f t="shared" ca="1" si="87"/>
        <v>1.4841340053431611E-2</v>
      </c>
    </row>
    <row r="2668" spans="2:8" x14ac:dyDescent="0.3">
      <c r="B2668" s="4">
        <v>45940</v>
      </c>
      <c r="C2668" s="5">
        <v>2336.5500000000002</v>
      </c>
      <c r="D2668" s="6">
        <f t="shared" si="86"/>
        <v>-0.14326414326414319</v>
      </c>
      <c r="E2668" s="6">
        <v>1.6246849225809612E-3</v>
      </c>
      <c r="F2668" s="6"/>
      <c r="G2668" s="6">
        <v>2661</v>
      </c>
      <c r="H2668" s="6">
        <f t="shared" ca="1" si="87"/>
        <v>1.0433468999249773E-2</v>
      </c>
    </row>
    <row r="2669" spans="2:8" x14ac:dyDescent="0.3">
      <c r="B2669" s="4">
        <v>44207</v>
      </c>
      <c r="C2669" s="5">
        <v>2727.27</v>
      </c>
      <c r="D2669" s="6">
        <f t="shared" si="86"/>
        <v>7.3125666737785364</v>
      </c>
      <c r="E2669" s="6">
        <v>1.6196205460434448E-3</v>
      </c>
      <c r="F2669" s="6"/>
      <c r="G2669" s="6">
        <v>2662</v>
      </c>
      <c r="H2669" s="6">
        <f t="shared" ca="1" si="87"/>
        <v>-1.2615020357959403E-2</v>
      </c>
    </row>
    <row r="2670" spans="2:8" x14ac:dyDescent="0.3">
      <c r="B2670" s="4">
        <v>41047</v>
      </c>
      <c r="C2670" s="7">
        <v>328.09</v>
      </c>
      <c r="D2670" s="6">
        <f t="shared" si="86"/>
        <v>9.5938004520503721</v>
      </c>
      <c r="E2670" s="6">
        <v>1.6180241787763241E-3</v>
      </c>
      <c r="F2670" s="6"/>
      <c r="G2670" s="6">
        <v>2663</v>
      </c>
      <c r="H2670" s="6">
        <f t="shared" ca="1" si="87"/>
        <v>9.0994434494713235E-3</v>
      </c>
    </row>
    <row r="2671" spans="2:8" x14ac:dyDescent="0.3">
      <c r="B2671" s="4">
        <v>38442</v>
      </c>
      <c r="C2671" s="7">
        <v>30.97</v>
      </c>
      <c r="D2671" s="6">
        <f t="shared" si="86"/>
        <v>-0.98936246947334439</v>
      </c>
      <c r="E2671" s="6">
        <v>1.6170763260024952E-3</v>
      </c>
      <c r="F2671" s="6"/>
      <c r="G2671" s="6">
        <v>2664</v>
      </c>
      <c r="H2671" s="6">
        <f t="shared" ca="1" si="87"/>
        <v>-2.4633671161433484E-2</v>
      </c>
    </row>
    <row r="2672" spans="2:8" x14ac:dyDescent="0.3">
      <c r="B2672" s="4">
        <v>45336</v>
      </c>
      <c r="C2672" s="5">
        <v>2911.39</v>
      </c>
      <c r="D2672" s="6">
        <f t="shared" si="86"/>
        <v>34.823674172511382</v>
      </c>
      <c r="E2672" s="6">
        <v>1.6169594968847101E-3</v>
      </c>
      <c r="F2672" s="6"/>
      <c r="G2672" s="6">
        <v>2665</v>
      </c>
      <c r="H2672" s="6">
        <f t="shared" ca="1" si="87"/>
        <v>1.5415530467944548E-2</v>
      </c>
    </row>
    <row r="2673" spans="2:8" x14ac:dyDescent="0.3">
      <c r="B2673" s="4">
        <v>39947</v>
      </c>
      <c r="C2673" s="7">
        <v>81.27</v>
      </c>
      <c r="D2673" s="6">
        <f t="shared" si="86"/>
        <v>-0.95447466893723809</v>
      </c>
      <c r="E2673" s="6">
        <v>1.6021690904608756E-3</v>
      </c>
      <c r="F2673" s="6"/>
      <c r="G2673" s="6">
        <v>2666</v>
      </c>
      <c r="H2673" s="6">
        <f t="shared" ca="1" si="87"/>
        <v>-5.9993647582092437E-3</v>
      </c>
    </row>
    <row r="2674" spans="2:8" x14ac:dyDescent="0.3">
      <c r="B2674" s="4">
        <v>43875</v>
      </c>
      <c r="C2674" s="5">
        <v>1785.16</v>
      </c>
      <c r="D2674" s="6">
        <f t="shared" si="86"/>
        <v>-4.2115010235899584E-3</v>
      </c>
      <c r="E2674" s="6">
        <v>1.5990484259192489E-3</v>
      </c>
      <c r="F2674" s="6"/>
      <c r="G2674" s="6">
        <v>2667</v>
      </c>
      <c r="H2674" s="6">
        <f t="shared" ca="1" si="87"/>
        <v>-8.8969628761321681E-3</v>
      </c>
    </row>
    <row r="2675" spans="2:8" x14ac:dyDescent="0.3">
      <c r="B2675" s="4">
        <v>43896</v>
      </c>
      <c r="C2675" s="5">
        <v>1792.71</v>
      </c>
      <c r="D2675" s="6">
        <f t="shared" si="86"/>
        <v>19.399522075557577</v>
      </c>
      <c r="E2675" s="6">
        <v>1.5978992653016327E-3</v>
      </c>
      <c r="F2675" s="6"/>
      <c r="G2675" s="6">
        <v>2668</v>
      </c>
      <c r="H2675" s="6">
        <f t="shared" ca="1" si="87"/>
        <v>-3.2266062519421164E-3</v>
      </c>
    </row>
    <row r="2676" spans="2:8" x14ac:dyDescent="0.3">
      <c r="B2676" s="4">
        <v>39639</v>
      </c>
      <c r="C2676" s="7">
        <v>87.88</v>
      </c>
      <c r="D2676" s="6">
        <f t="shared" si="86"/>
        <v>3.6179716237519699</v>
      </c>
      <c r="E2676" s="6">
        <v>1.5956234328698493E-3</v>
      </c>
      <c r="F2676" s="6"/>
      <c r="G2676" s="6">
        <v>2669</v>
      </c>
      <c r="H2676" s="6">
        <f t="shared" ca="1" si="87"/>
        <v>-2.9263440666689785E-3</v>
      </c>
    </row>
    <row r="2677" spans="2:8" x14ac:dyDescent="0.3">
      <c r="B2677" s="4">
        <v>37804</v>
      </c>
      <c r="C2677" s="7">
        <v>19.03</v>
      </c>
      <c r="D2677" s="6">
        <f t="shared" si="86"/>
        <v>-0.93055504871729366</v>
      </c>
      <c r="E2677" s="6">
        <v>1.5789473684211124E-3</v>
      </c>
      <c r="F2677" s="6"/>
      <c r="G2677" s="6">
        <v>2670</v>
      </c>
      <c r="H2677" s="6">
        <f t="shared" ca="1" si="87"/>
        <v>-1.3834782934352412E-2</v>
      </c>
    </row>
    <row r="2678" spans="2:8" x14ac:dyDescent="0.3">
      <c r="B2678" s="4">
        <v>40704</v>
      </c>
      <c r="C2678" s="7">
        <v>274.02999999999997</v>
      </c>
      <c r="D2678" s="6">
        <f t="shared" si="86"/>
        <v>1.8535874205977296</v>
      </c>
      <c r="E2678" s="6">
        <v>1.5716374269004018E-3</v>
      </c>
      <c r="F2678" s="6"/>
      <c r="G2678" s="6">
        <v>2671</v>
      </c>
      <c r="H2678" s="6">
        <f t="shared" ca="1" si="87"/>
        <v>-1.1871084559905112E-2</v>
      </c>
    </row>
    <row r="2679" spans="2:8" x14ac:dyDescent="0.3">
      <c r="B2679" s="4">
        <v>39451</v>
      </c>
      <c r="C2679" s="7">
        <v>96.03</v>
      </c>
      <c r="D2679" s="6">
        <f t="shared" si="86"/>
        <v>2.7351225204200698</v>
      </c>
      <c r="E2679" s="6">
        <v>1.5644555694618867E-3</v>
      </c>
      <c r="F2679" s="6"/>
      <c r="G2679" s="6">
        <v>2672</v>
      </c>
      <c r="H2679" s="6">
        <f t="shared" ca="1" si="87"/>
        <v>1.0030343969553931E-3</v>
      </c>
    </row>
    <row r="2680" spans="2:8" x14ac:dyDescent="0.3">
      <c r="B2680" s="4">
        <v>38335</v>
      </c>
      <c r="C2680" s="7">
        <v>25.71</v>
      </c>
      <c r="D2680" s="6">
        <f t="shared" si="86"/>
        <v>-0.96642814238332764</v>
      </c>
      <c r="E2680" s="6">
        <v>1.558239189715588E-3</v>
      </c>
      <c r="F2680" s="6"/>
      <c r="G2680" s="6">
        <v>2673</v>
      </c>
      <c r="H2680" s="6">
        <f t="shared" ca="1" si="87"/>
        <v>-1.7581407142155739E-2</v>
      </c>
    </row>
    <row r="2681" spans="2:8" x14ac:dyDescent="0.3">
      <c r="B2681" s="4">
        <v>42307</v>
      </c>
      <c r="C2681" s="7">
        <v>765.82</v>
      </c>
      <c r="D2681" s="6">
        <f t="shared" si="86"/>
        <v>-0.74763142891979972</v>
      </c>
      <c r="E2681" s="6">
        <v>1.5563082798216844E-3</v>
      </c>
      <c r="F2681" s="6"/>
      <c r="G2681" s="6">
        <v>2674</v>
      </c>
      <c r="H2681" s="6">
        <f t="shared" ca="1" si="87"/>
        <v>1.5757346285666846E-2</v>
      </c>
    </row>
    <row r="2682" spans="2:8" x14ac:dyDescent="0.3">
      <c r="B2682" s="4">
        <v>45072</v>
      </c>
      <c r="C2682" s="5">
        <v>3034.53</v>
      </c>
      <c r="D2682" s="6">
        <f t="shared" si="86"/>
        <v>1.2071074776891242</v>
      </c>
      <c r="E2682" s="6">
        <v>1.5545477949185219E-3</v>
      </c>
      <c r="F2682" s="6"/>
      <c r="G2682" s="6">
        <v>2675</v>
      </c>
      <c r="H2682" s="6">
        <f t="shared" ca="1" si="87"/>
        <v>-4.238513189793109E-2</v>
      </c>
    </row>
    <row r="2683" spans="2:8" x14ac:dyDescent="0.3">
      <c r="B2683" s="4">
        <v>43544</v>
      </c>
      <c r="C2683" s="5">
        <v>1374.89</v>
      </c>
      <c r="D2683" s="6">
        <f t="shared" si="86"/>
        <v>-0.52884391320439184</v>
      </c>
      <c r="E2683" s="6">
        <v>1.5443227926019059E-3</v>
      </c>
      <c r="F2683" s="6"/>
      <c r="G2683" s="6">
        <v>2676</v>
      </c>
      <c r="H2683" s="6">
        <f t="shared" ca="1" si="87"/>
        <v>-8.1652225827868064E-3</v>
      </c>
    </row>
    <row r="2684" spans="2:8" x14ac:dyDescent="0.3">
      <c r="B2684" s="4">
        <v>45502</v>
      </c>
      <c r="C2684" s="5">
        <v>2918.12</v>
      </c>
      <c r="D2684" s="6">
        <f t="shared" si="86"/>
        <v>110.97697620874905</v>
      </c>
      <c r="E2684" s="6">
        <v>1.5410330069362897E-3</v>
      </c>
      <c r="F2684" s="6"/>
      <c r="G2684" s="6">
        <v>2677</v>
      </c>
      <c r="H2684" s="6">
        <f t="shared" ca="1" si="87"/>
        <v>-8.9043029738828123E-3</v>
      </c>
    </row>
    <row r="2685" spans="2:8" x14ac:dyDescent="0.3">
      <c r="B2685" s="4">
        <v>37998</v>
      </c>
      <c r="C2685" s="7">
        <v>26.06</v>
      </c>
      <c r="D2685" s="6">
        <f t="shared" si="86"/>
        <v>-0.33874651103780762</v>
      </c>
      <c r="E2685" s="6">
        <v>1.5372790161413969E-3</v>
      </c>
      <c r="F2685" s="6"/>
      <c r="G2685" s="6">
        <v>2678</v>
      </c>
      <c r="H2685" s="6">
        <f t="shared" ca="1" si="87"/>
        <v>7.7301779934968529E-3</v>
      </c>
    </row>
    <row r="2686" spans="2:8" x14ac:dyDescent="0.3">
      <c r="B2686" s="4">
        <v>38604</v>
      </c>
      <c r="C2686" s="7">
        <v>39.409999999999997</v>
      </c>
      <c r="D2686" s="6">
        <f t="shared" si="86"/>
        <v>0.49790954009882166</v>
      </c>
      <c r="E2686" s="6">
        <v>1.5247776365945405E-3</v>
      </c>
      <c r="F2686" s="6"/>
      <c r="G2686" s="6">
        <v>2679</v>
      </c>
      <c r="H2686" s="6">
        <f t="shared" ca="1" si="87"/>
        <v>1.0781053720039079E-2</v>
      </c>
    </row>
    <row r="2687" spans="2:8" x14ac:dyDescent="0.3">
      <c r="B2687" s="4">
        <v>38001</v>
      </c>
      <c r="C2687" s="7">
        <v>26.31</v>
      </c>
      <c r="D2687" s="6">
        <f t="shared" si="86"/>
        <v>-0.99142110909310266</v>
      </c>
      <c r="E2687" s="6">
        <v>1.5226494099733212E-3</v>
      </c>
      <c r="F2687" s="6"/>
      <c r="G2687" s="6">
        <v>2680</v>
      </c>
      <c r="H2687" s="6">
        <f t="shared" ca="1" si="87"/>
        <v>-1.2271778682005558E-2</v>
      </c>
    </row>
    <row r="2688" spans="2:8" x14ac:dyDescent="0.3">
      <c r="B2688" s="4">
        <v>44901</v>
      </c>
      <c r="C2688" s="5">
        <v>3066.83</v>
      </c>
      <c r="D2688" s="6">
        <f t="shared" si="86"/>
        <v>16.228414134037411</v>
      </c>
      <c r="E2688" s="6">
        <v>1.5217966344128035E-3</v>
      </c>
      <c r="F2688" s="6"/>
      <c r="G2688" s="6">
        <v>2681</v>
      </c>
      <c r="H2688" s="6">
        <f t="shared" ca="1" si="87"/>
        <v>-2.4096296674726483E-3</v>
      </c>
    </row>
    <row r="2689" spans="2:8" x14ac:dyDescent="0.3">
      <c r="B2689" s="4">
        <v>40284</v>
      </c>
      <c r="C2689" s="7">
        <v>178.01</v>
      </c>
      <c r="D2689" s="6">
        <f t="shared" si="86"/>
        <v>-0.94651270402153787</v>
      </c>
      <c r="E2689" s="6">
        <v>1.5190728029705288E-3</v>
      </c>
      <c r="F2689" s="6"/>
      <c r="G2689" s="6">
        <v>2682</v>
      </c>
      <c r="H2689" s="6">
        <f t="shared" ca="1" si="87"/>
        <v>-1.580783794880828E-2</v>
      </c>
    </row>
    <row r="2690" spans="2:8" x14ac:dyDescent="0.3">
      <c r="B2690" s="4">
        <v>45289</v>
      </c>
      <c r="C2690" s="5">
        <v>3328.08</v>
      </c>
      <c r="D2690" s="6">
        <f t="shared" si="86"/>
        <v>1.8007408517654078E-2</v>
      </c>
      <c r="E2690" s="6">
        <v>1.5166835187057524E-3</v>
      </c>
      <c r="F2690" s="6"/>
      <c r="G2690" s="6">
        <v>2683</v>
      </c>
      <c r="H2690" s="6">
        <f t="shared" ca="1" si="87"/>
        <v>1.993029097228952E-2</v>
      </c>
    </row>
    <row r="2691" spans="2:8" x14ac:dyDescent="0.3">
      <c r="B2691" s="4">
        <v>45146</v>
      </c>
      <c r="C2691" s="5">
        <v>3269.21</v>
      </c>
      <c r="D2691" s="6">
        <f t="shared" si="86"/>
        <v>1.1427747445418137</v>
      </c>
      <c r="E2691" s="6">
        <v>1.510287107723552E-3</v>
      </c>
      <c r="F2691" s="6"/>
      <c r="G2691" s="6">
        <v>2684</v>
      </c>
      <c r="H2691" s="6">
        <f t="shared" ca="1" si="87"/>
        <v>6.3754887178895754E-3</v>
      </c>
    </row>
    <row r="2692" spans="2:8" x14ac:dyDescent="0.3">
      <c r="B2692" s="4">
        <v>44000</v>
      </c>
      <c r="C2692" s="5">
        <v>1525.69</v>
      </c>
      <c r="D2692" s="6">
        <f t="shared" si="86"/>
        <v>0.44123370489325542</v>
      </c>
      <c r="E2692" s="6">
        <v>1.5097906642422192E-3</v>
      </c>
      <c r="F2692" s="6"/>
      <c r="G2692" s="6">
        <v>2685</v>
      </c>
      <c r="H2692" s="6">
        <f t="shared" ca="1" si="87"/>
        <v>1.7327608945772364E-2</v>
      </c>
    </row>
    <row r="2693" spans="2:8" x14ac:dyDescent="0.3">
      <c r="B2693" s="4">
        <v>43007</v>
      </c>
      <c r="C2693" s="5">
        <v>1058.5999999999999</v>
      </c>
      <c r="D2693" s="6">
        <f t="shared" si="86"/>
        <v>-0.67858487472522133</v>
      </c>
      <c r="E2693" s="6">
        <v>1.5042431008220529E-3</v>
      </c>
      <c r="F2693" s="6"/>
      <c r="G2693" s="6">
        <v>2686</v>
      </c>
      <c r="H2693" s="6">
        <f t="shared" ca="1" si="87"/>
        <v>4.912676406313818E-3</v>
      </c>
    </row>
    <row r="2694" spans="2:8" x14ac:dyDescent="0.3">
      <c r="B2694" s="4">
        <v>44811</v>
      </c>
      <c r="C2694" s="5">
        <v>3293.56</v>
      </c>
      <c r="D2694" s="6">
        <f t="shared" si="86"/>
        <v>0.37056348753885643</v>
      </c>
      <c r="E2694" s="6">
        <v>1.5021498379259551E-3</v>
      </c>
      <c r="F2694" s="6"/>
      <c r="G2694" s="6">
        <v>2687</v>
      </c>
      <c r="H2694" s="6">
        <f t="shared" ca="1" si="87"/>
        <v>-2.7990105833799808E-2</v>
      </c>
    </row>
    <row r="2695" spans="2:8" x14ac:dyDescent="0.3">
      <c r="B2695" s="4">
        <v>44237</v>
      </c>
      <c r="C2695" s="5">
        <v>2403.0700000000002</v>
      </c>
      <c r="D2695" s="6">
        <f t="shared" si="86"/>
        <v>8.4002112345485855</v>
      </c>
      <c r="E2695" s="6">
        <v>1.496157500791899E-3</v>
      </c>
      <c r="F2695" s="6"/>
      <c r="G2695" s="6">
        <v>2688</v>
      </c>
      <c r="H2695" s="6">
        <f t="shared" ca="1" si="87"/>
        <v>-8.0318126183206951E-4</v>
      </c>
    </row>
    <row r="2696" spans="2:8" x14ac:dyDescent="0.3">
      <c r="B2696" s="4">
        <v>40686</v>
      </c>
      <c r="C2696" s="7">
        <v>255.64</v>
      </c>
      <c r="D2696" s="6">
        <f t="shared" ref="D2696:D2759" si="88">((C2696-C2697)/C2697)</f>
        <v>-0.89427013971032243</v>
      </c>
      <c r="E2696" s="6">
        <v>1.4886782104520703E-3</v>
      </c>
      <c r="F2696" s="6"/>
      <c r="G2696" s="6">
        <v>2689</v>
      </c>
      <c r="H2696" s="6">
        <f t="shared" ca="1" si="87"/>
        <v>1.0847931011211894E-2</v>
      </c>
    </row>
    <row r="2697" spans="2:8" x14ac:dyDescent="0.3">
      <c r="B2697" s="4">
        <v>44175</v>
      </c>
      <c r="C2697" s="5">
        <v>2417.86</v>
      </c>
      <c r="D2697" s="6">
        <f t="shared" si="88"/>
        <v>8.6884917454720316</v>
      </c>
      <c r="E2697" s="6">
        <v>1.4869919271664502E-3</v>
      </c>
      <c r="F2697" s="6"/>
      <c r="G2697" s="6">
        <v>2690</v>
      </c>
      <c r="H2697" s="6">
        <f t="shared" ref="H2697:H2760" ca="1" si="89">_xlfn.NORM.INV(RAND(),N$10,N$11)</f>
        <v>-3.026769836184968E-3</v>
      </c>
    </row>
    <row r="2698" spans="2:8" x14ac:dyDescent="0.3">
      <c r="B2698" s="4">
        <v>40428</v>
      </c>
      <c r="C2698" s="7">
        <v>249.56</v>
      </c>
      <c r="D2698" s="6">
        <f t="shared" si="88"/>
        <v>0.84667751960929427</v>
      </c>
      <c r="E2698" s="6">
        <v>1.4848107869497354E-3</v>
      </c>
      <c r="F2698" s="6"/>
      <c r="G2698" s="6">
        <v>2691</v>
      </c>
      <c r="H2698" s="6">
        <f t="shared" ca="1" si="89"/>
        <v>-1.8395696345041609E-2</v>
      </c>
    </row>
    <row r="2699" spans="2:8" x14ac:dyDescent="0.3">
      <c r="B2699" s="4">
        <v>40102</v>
      </c>
      <c r="C2699" s="7">
        <v>135.13999999999999</v>
      </c>
      <c r="D2699" s="6">
        <f t="shared" si="88"/>
        <v>-0.95269648251408012</v>
      </c>
      <c r="E2699" s="6">
        <v>1.4821402104638257E-3</v>
      </c>
      <c r="F2699" s="6"/>
      <c r="G2699" s="6">
        <v>2692</v>
      </c>
      <c r="H2699" s="6">
        <f t="shared" ca="1" si="89"/>
        <v>-2.2865930478613287E-2</v>
      </c>
    </row>
    <row r="2700" spans="2:8" x14ac:dyDescent="0.3">
      <c r="B2700" s="4">
        <v>44944</v>
      </c>
      <c r="C2700" s="5">
        <v>2856.87</v>
      </c>
      <c r="D2700" s="6">
        <f t="shared" si="88"/>
        <v>4.849087893864013</v>
      </c>
      <c r="E2700" s="6">
        <v>1.4793262405131367E-3</v>
      </c>
      <c r="F2700" s="6"/>
      <c r="G2700" s="6">
        <v>2693</v>
      </c>
      <c r="H2700" s="6">
        <f t="shared" ca="1" si="89"/>
        <v>-1.9270593654155878E-2</v>
      </c>
    </row>
    <row r="2701" spans="2:8" x14ac:dyDescent="0.3">
      <c r="B2701" s="4">
        <v>41726</v>
      </c>
      <c r="C2701" s="7">
        <v>488.43</v>
      </c>
      <c r="D2701" s="6">
        <f t="shared" si="88"/>
        <v>-0.61107926042711758</v>
      </c>
      <c r="E2701" s="6">
        <v>1.4762871378483674E-3</v>
      </c>
      <c r="F2701" s="6"/>
      <c r="G2701" s="6">
        <v>2694</v>
      </c>
      <c r="H2701" s="6">
        <f t="shared" ca="1" si="89"/>
        <v>5.3841517238275025E-3</v>
      </c>
    </row>
    <row r="2702" spans="2:8" x14ac:dyDescent="0.3">
      <c r="B2702" s="4">
        <v>43656</v>
      </c>
      <c r="C2702" s="5">
        <v>1255.8599999999999</v>
      </c>
      <c r="D2702" s="6">
        <f t="shared" si="88"/>
        <v>-0.48700624974469997</v>
      </c>
      <c r="E2702" s="6">
        <v>1.4752673423656184E-3</v>
      </c>
      <c r="F2702" s="6"/>
      <c r="G2702" s="6">
        <v>2695</v>
      </c>
      <c r="H2702" s="6">
        <f t="shared" ca="1" si="89"/>
        <v>-1.2589034659259441E-2</v>
      </c>
    </row>
    <row r="2703" spans="2:8" x14ac:dyDescent="0.3">
      <c r="B2703" s="4">
        <v>46146</v>
      </c>
      <c r="C2703" s="5">
        <v>2448.1</v>
      </c>
      <c r="D2703" s="6">
        <f t="shared" si="88"/>
        <v>0.42039883262838473</v>
      </c>
      <c r="E2703" s="6">
        <v>1.4726938024135442E-3</v>
      </c>
      <c r="F2703" s="6"/>
      <c r="G2703" s="6">
        <v>2696</v>
      </c>
      <c r="H2703" s="6">
        <f t="shared" ca="1" si="89"/>
        <v>9.1906038568669648E-3</v>
      </c>
    </row>
    <row r="2704" spans="2:8" x14ac:dyDescent="0.3">
      <c r="B2704" s="4">
        <v>43826</v>
      </c>
      <c r="C2704" s="5">
        <v>1723.53</v>
      </c>
      <c r="D2704" s="6">
        <f t="shared" si="88"/>
        <v>61.651035986913847</v>
      </c>
      <c r="E2704" s="6">
        <v>1.4642564540589432E-3</v>
      </c>
      <c r="F2704" s="6"/>
      <c r="G2704" s="6">
        <v>2697</v>
      </c>
      <c r="H2704" s="6">
        <f t="shared" ca="1" si="89"/>
        <v>1.2097227116579559E-2</v>
      </c>
    </row>
    <row r="2705" spans="2:8" x14ac:dyDescent="0.3">
      <c r="B2705" s="4">
        <v>38380</v>
      </c>
      <c r="C2705" s="7">
        <v>27.51</v>
      </c>
      <c r="D2705" s="6">
        <f t="shared" si="88"/>
        <v>-0.96680743243243239</v>
      </c>
      <c r="E2705" s="6">
        <v>1.4561339643248163E-3</v>
      </c>
      <c r="F2705" s="6"/>
      <c r="G2705" s="6">
        <v>2698</v>
      </c>
      <c r="H2705" s="6">
        <f t="shared" ca="1" si="89"/>
        <v>-5.2393030388319635E-3</v>
      </c>
    </row>
    <row r="2706" spans="2:8" x14ac:dyDescent="0.3">
      <c r="B2706" s="4">
        <v>42234</v>
      </c>
      <c r="C2706" s="7">
        <v>828.8</v>
      </c>
      <c r="D2706" s="6">
        <f t="shared" si="88"/>
        <v>-0.71161942671834877</v>
      </c>
      <c r="E2706" s="6">
        <v>1.4499758337360219E-3</v>
      </c>
      <c r="F2706" s="6"/>
      <c r="G2706" s="6">
        <v>2699</v>
      </c>
      <c r="H2706" s="6">
        <f t="shared" ca="1" si="89"/>
        <v>-9.7539285083708977E-3</v>
      </c>
    </row>
    <row r="2707" spans="2:8" x14ac:dyDescent="0.3">
      <c r="B2707" s="4">
        <v>45456</v>
      </c>
      <c r="C2707" s="5">
        <v>2873.98</v>
      </c>
      <c r="D2707" s="6">
        <f t="shared" si="88"/>
        <v>1.6639291838531773</v>
      </c>
      <c r="E2707" s="6">
        <v>1.4460786875877983E-3</v>
      </c>
      <c r="F2707" s="6"/>
      <c r="G2707" s="6">
        <v>2700</v>
      </c>
      <c r="H2707" s="6">
        <f t="shared" ca="1" si="89"/>
        <v>3.2754886188917434E-2</v>
      </c>
    </row>
    <row r="2708" spans="2:8" x14ac:dyDescent="0.3">
      <c r="B2708" s="4">
        <v>42977</v>
      </c>
      <c r="C2708" s="5">
        <v>1078.8499999999999</v>
      </c>
      <c r="D2708" s="6">
        <f t="shared" si="88"/>
        <v>13.027434663892862</v>
      </c>
      <c r="E2708" s="6">
        <v>1.4387821405364844E-3</v>
      </c>
      <c r="F2708" s="6"/>
      <c r="G2708" s="6">
        <v>2701</v>
      </c>
      <c r="H2708" s="6">
        <f t="shared" ca="1" si="89"/>
        <v>1.053116492784514E-2</v>
      </c>
    </row>
    <row r="2709" spans="2:8" x14ac:dyDescent="0.3">
      <c r="B2709" s="4">
        <v>39776</v>
      </c>
      <c r="C2709" s="7">
        <v>76.91</v>
      </c>
      <c r="D2709" s="6">
        <f t="shared" si="88"/>
        <v>-0.97351091456400296</v>
      </c>
      <c r="E2709" s="6">
        <v>1.4322916666666594E-3</v>
      </c>
      <c r="F2709" s="6"/>
      <c r="G2709" s="6">
        <v>2702</v>
      </c>
      <c r="H2709" s="6">
        <f t="shared" ca="1" si="89"/>
        <v>-4.5806258931349451E-2</v>
      </c>
    </row>
    <row r="2710" spans="2:8" x14ac:dyDescent="0.3">
      <c r="B2710" s="4">
        <v>45597</v>
      </c>
      <c r="C2710" s="5">
        <v>2903.46</v>
      </c>
      <c r="D2710" s="6">
        <f t="shared" si="88"/>
        <v>6.1526125193998968</v>
      </c>
      <c r="E2710" s="6">
        <v>1.4313750513053421E-3</v>
      </c>
      <c r="F2710" s="6"/>
      <c r="G2710" s="6">
        <v>2703</v>
      </c>
      <c r="H2710" s="6">
        <f t="shared" ca="1" si="89"/>
        <v>-2.122291603279941E-2</v>
      </c>
    </row>
    <row r="2711" spans="2:8" x14ac:dyDescent="0.3">
      <c r="B2711" s="4">
        <v>41437</v>
      </c>
      <c r="C2711" s="7">
        <v>405.93</v>
      </c>
      <c r="D2711" s="6">
        <f t="shared" si="88"/>
        <v>-7.9482062678579546E-2</v>
      </c>
      <c r="E2711" s="6">
        <v>1.4308622178363982E-3</v>
      </c>
      <c r="F2711" s="6"/>
      <c r="G2711" s="6">
        <v>2704</v>
      </c>
      <c r="H2711" s="6">
        <f t="shared" ca="1" si="89"/>
        <v>1.975827584761564E-2</v>
      </c>
    </row>
    <row r="2712" spans="2:8" x14ac:dyDescent="0.3">
      <c r="B2712" s="4">
        <v>41632</v>
      </c>
      <c r="C2712" s="7">
        <v>440.98</v>
      </c>
      <c r="D2712" s="6">
        <f t="shared" si="88"/>
        <v>-0.8707879654481312</v>
      </c>
      <c r="E2712" s="6">
        <v>1.4306801407970829E-3</v>
      </c>
      <c r="F2712" s="6"/>
      <c r="G2712" s="6">
        <v>2705</v>
      </c>
      <c r="H2712" s="6">
        <f t="shared" ca="1" si="89"/>
        <v>-6.4679069266142487E-3</v>
      </c>
    </row>
    <row r="2713" spans="2:8" x14ac:dyDescent="0.3">
      <c r="B2713" s="4">
        <v>44573</v>
      </c>
      <c r="C2713" s="5">
        <v>3412.84</v>
      </c>
      <c r="D2713" s="6">
        <f t="shared" si="88"/>
        <v>2.2263870900651361</v>
      </c>
      <c r="E2713" s="6">
        <v>1.4260647069525428E-3</v>
      </c>
      <c r="F2713" s="6"/>
      <c r="G2713" s="6">
        <v>2706</v>
      </c>
      <c r="H2713" s="6">
        <f t="shared" ca="1" si="89"/>
        <v>-5.387227043606794E-3</v>
      </c>
    </row>
    <row r="2714" spans="2:8" x14ac:dyDescent="0.3">
      <c r="B2714" s="4">
        <v>43131</v>
      </c>
      <c r="C2714" s="5">
        <v>1057.79</v>
      </c>
      <c r="D2714" s="6">
        <f t="shared" si="88"/>
        <v>3.7924519753533885</v>
      </c>
      <c r="E2714" s="6">
        <v>1.4200645656022495E-3</v>
      </c>
      <c r="F2714" s="6"/>
      <c r="G2714" s="6">
        <v>2707</v>
      </c>
      <c r="H2714" s="6">
        <f t="shared" ca="1" si="89"/>
        <v>4.1041769131992881E-3</v>
      </c>
    </row>
    <row r="2715" spans="2:8" x14ac:dyDescent="0.3">
      <c r="B2715" s="4">
        <v>40385</v>
      </c>
      <c r="C2715" s="7">
        <v>220.72</v>
      </c>
      <c r="D2715" s="6">
        <f t="shared" si="88"/>
        <v>-0.79411792140438586</v>
      </c>
      <c r="E2715" s="6">
        <v>1.4064697609001511E-3</v>
      </c>
      <c r="F2715" s="6"/>
      <c r="G2715" s="6">
        <v>2708</v>
      </c>
      <c r="H2715" s="6">
        <f t="shared" ca="1" si="89"/>
        <v>3.6367248124466499E-3</v>
      </c>
    </row>
    <row r="2716" spans="2:8" x14ac:dyDescent="0.3">
      <c r="B2716" s="4">
        <v>42950</v>
      </c>
      <c r="C2716" s="5">
        <v>1072.07</v>
      </c>
      <c r="D2716" s="6">
        <f t="shared" si="88"/>
        <v>-0.59926961189254246</v>
      </c>
      <c r="E2716" s="6">
        <v>1.40112276637679E-3</v>
      </c>
      <c r="F2716" s="6"/>
      <c r="G2716" s="6">
        <v>2709</v>
      </c>
      <c r="H2716" s="6">
        <f t="shared" ca="1" si="89"/>
        <v>9.607384001528425E-3</v>
      </c>
    </row>
    <row r="2717" spans="2:8" x14ac:dyDescent="0.3">
      <c r="B2717" s="4">
        <v>44964</v>
      </c>
      <c r="C2717" s="5">
        <v>2675.29</v>
      </c>
      <c r="D2717" s="6">
        <f t="shared" si="88"/>
        <v>0.2776223041509866</v>
      </c>
      <c r="E2717" s="6">
        <v>1.3999363665287124E-3</v>
      </c>
      <c r="F2717" s="6"/>
      <c r="G2717" s="6">
        <v>2710</v>
      </c>
      <c r="H2717" s="6">
        <f t="shared" ca="1" si="89"/>
        <v>-7.3008168954618834E-3</v>
      </c>
    </row>
    <row r="2718" spans="2:8" x14ac:dyDescent="0.3">
      <c r="B2718" s="4">
        <v>44152</v>
      </c>
      <c r="C2718" s="5">
        <v>2093.96</v>
      </c>
      <c r="D2718" s="6">
        <f t="shared" si="88"/>
        <v>0.8770819513419511</v>
      </c>
      <c r="E2718" s="6">
        <v>1.3964343101997441E-3</v>
      </c>
      <c r="F2718" s="6"/>
      <c r="G2718" s="6">
        <v>2711</v>
      </c>
      <c r="H2718" s="6">
        <f t="shared" ca="1" si="89"/>
        <v>1.2696070016792035E-2</v>
      </c>
    </row>
    <row r="2719" spans="2:8" x14ac:dyDescent="0.3">
      <c r="B2719" s="4">
        <v>43119</v>
      </c>
      <c r="C2719" s="5">
        <v>1115.54</v>
      </c>
      <c r="D2719" s="6">
        <f t="shared" si="88"/>
        <v>3.2859589833804E-2</v>
      </c>
      <c r="E2719" s="6">
        <v>1.3913948958248767E-3</v>
      </c>
      <c r="F2719" s="6"/>
      <c r="G2719" s="6">
        <v>2712</v>
      </c>
      <c r="H2719" s="6">
        <f t="shared" ca="1" si="89"/>
        <v>-5.5730959906061623E-3</v>
      </c>
    </row>
    <row r="2720" spans="2:8" x14ac:dyDescent="0.3">
      <c r="B2720" s="4">
        <v>43129</v>
      </c>
      <c r="C2720" s="5">
        <v>1080.05</v>
      </c>
      <c r="D2720" s="6">
        <f t="shared" si="88"/>
        <v>1.0406408827252631</v>
      </c>
      <c r="E2720" s="6">
        <v>1.3907561077372399E-3</v>
      </c>
      <c r="F2720" s="6"/>
      <c r="G2720" s="6">
        <v>2713</v>
      </c>
      <c r="H2720" s="6">
        <f t="shared" ca="1" si="89"/>
        <v>2.5614740898082983E-2</v>
      </c>
    </row>
    <row r="2721" spans="2:8" x14ac:dyDescent="0.3">
      <c r="B2721" s="4">
        <v>41838</v>
      </c>
      <c r="C2721" s="7">
        <v>529.27</v>
      </c>
      <c r="D2721" s="6">
        <f t="shared" si="88"/>
        <v>0.96952331336285469</v>
      </c>
      <c r="E2721" s="6">
        <v>1.3811632042986684E-3</v>
      </c>
      <c r="F2721" s="6"/>
      <c r="G2721" s="6">
        <v>2714</v>
      </c>
      <c r="H2721" s="6">
        <f t="shared" ca="1" si="89"/>
        <v>2.5961492440213403E-3</v>
      </c>
    </row>
    <row r="2722" spans="2:8" x14ac:dyDescent="0.3">
      <c r="B2722" s="4">
        <v>40954</v>
      </c>
      <c r="C2722" s="7">
        <v>268.73</v>
      </c>
      <c r="D2722" s="6">
        <f t="shared" si="88"/>
        <v>-0.83616921398045463</v>
      </c>
      <c r="E2722" s="6">
        <v>1.3787449694440473E-3</v>
      </c>
      <c r="F2722" s="6"/>
      <c r="G2722" s="6">
        <v>2715</v>
      </c>
      <c r="H2722" s="6">
        <f t="shared" ca="1" si="89"/>
        <v>-1.4464316623618901E-2</v>
      </c>
    </row>
    <row r="2723" spans="2:8" x14ac:dyDescent="0.3">
      <c r="B2723" s="4">
        <v>44048</v>
      </c>
      <c r="C2723" s="5">
        <v>1640.29</v>
      </c>
      <c r="D2723" s="6">
        <f t="shared" si="88"/>
        <v>-0.32118440655520614</v>
      </c>
      <c r="E2723" s="6">
        <v>1.3735928304559107E-3</v>
      </c>
      <c r="F2723" s="6"/>
      <c r="G2723" s="6">
        <v>2716</v>
      </c>
      <c r="H2723" s="6">
        <f t="shared" ca="1" si="89"/>
        <v>1.2168988749388163E-2</v>
      </c>
    </row>
    <row r="2724" spans="2:8" x14ac:dyDescent="0.3">
      <c r="B2724" s="4">
        <v>46078</v>
      </c>
      <c r="C2724" s="5">
        <v>2416.4</v>
      </c>
      <c r="D2724" s="6">
        <f t="shared" si="88"/>
        <v>0.77902773380844759</v>
      </c>
      <c r="E2724" s="6">
        <v>1.3675355352037552E-3</v>
      </c>
      <c r="F2724" s="6"/>
      <c r="G2724" s="6">
        <v>2717</v>
      </c>
      <c r="H2724" s="6">
        <f t="shared" ca="1" si="89"/>
        <v>-3.5333654885570075E-3</v>
      </c>
    </row>
    <row r="2725" spans="2:8" x14ac:dyDescent="0.3">
      <c r="B2725" s="4">
        <v>43588</v>
      </c>
      <c r="C2725" s="5">
        <v>1358.27</v>
      </c>
      <c r="D2725" s="6">
        <f t="shared" si="88"/>
        <v>-0.5728616667662495</v>
      </c>
      <c r="E2725" s="6">
        <v>1.356501994205317E-3</v>
      </c>
      <c r="F2725" s="6"/>
      <c r="G2725" s="6">
        <v>2718</v>
      </c>
      <c r="H2725" s="6">
        <f t="shared" ca="1" si="89"/>
        <v>-9.0063859472255987E-3</v>
      </c>
    </row>
    <row r="2726" spans="2:8" x14ac:dyDescent="0.3">
      <c r="B2726" s="4">
        <v>44545</v>
      </c>
      <c r="C2726" s="5">
        <v>3179.93</v>
      </c>
      <c r="D2726" s="6">
        <f t="shared" si="88"/>
        <v>3.9285193967855423</v>
      </c>
      <c r="E2726" s="6">
        <v>1.3509087931881333E-3</v>
      </c>
      <c r="F2726" s="6"/>
      <c r="G2726" s="6">
        <v>2719</v>
      </c>
      <c r="H2726" s="6">
        <f t="shared" ca="1" si="89"/>
        <v>2.4828140460849486E-4</v>
      </c>
    </row>
    <row r="2727" spans="2:8" x14ac:dyDescent="0.3">
      <c r="B2727" s="4">
        <v>41970</v>
      </c>
      <c r="C2727" s="7">
        <v>645.21</v>
      </c>
      <c r="D2727" s="6">
        <f t="shared" si="88"/>
        <v>1.4736801748265156</v>
      </c>
      <c r="E2727" s="6">
        <v>1.350218828568775E-3</v>
      </c>
      <c r="F2727" s="6"/>
      <c r="G2727" s="6">
        <v>2720</v>
      </c>
      <c r="H2727" s="6">
        <f t="shared" ca="1" si="89"/>
        <v>1.1706329327291994E-2</v>
      </c>
    </row>
    <row r="2728" spans="2:8" x14ac:dyDescent="0.3">
      <c r="B2728" s="4">
        <v>40715</v>
      </c>
      <c r="C2728" s="7">
        <v>260.83</v>
      </c>
      <c r="D2728" s="6">
        <f t="shared" si="88"/>
        <v>-0.91209231941060098</v>
      </c>
      <c r="E2728" s="6">
        <v>1.3436732186730875E-3</v>
      </c>
      <c r="F2728" s="6"/>
      <c r="G2728" s="6">
        <v>2721</v>
      </c>
      <c r="H2728" s="6">
        <f t="shared" ca="1" si="89"/>
        <v>-3.3809654864817247E-2</v>
      </c>
    </row>
    <row r="2729" spans="2:8" x14ac:dyDescent="0.3">
      <c r="B2729" s="4">
        <v>45237</v>
      </c>
      <c r="C2729" s="5">
        <v>2967.09</v>
      </c>
      <c r="D2729" s="6">
        <f t="shared" si="88"/>
        <v>1.8030022483798442</v>
      </c>
      <c r="E2729" s="6">
        <v>1.3364246590598578E-3</v>
      </c>
      <c r="F2729" s="6"/>
      <c r="G2729" s="6">
        <v>2722</v>
      </c>
      <c r="H2729" s="6">
        <f t="shared" ca="1" si="89"/>
        <v>-4.2397215710634024E-3</v>
      </c>
    </row>
    <row r="2730" spans="2:8" x14ac:dyDescent="0.3">
      <c r="B2730" s="4">
        <v>43168</v>
      </c>
      <c r="C2730" s="5">
        <v>1058.54</v>
      </c>
      <c r="D2730" s="6">
        <f t="shared" si="88"/>
        <v>-0.15066756531227934</v>
      </c>
      <c r="E2730" s="6">
        <v>1.3338000056756069E-3</v>
      </c>
      <c r="F2730" s="6"/>
      <c r="G2730" s="6">
        <v>2723</v>
      </c>
      <c r="H2730" s="6">
        <f t="shared" ca="1" si="89"/>
        <v>-2.0391793160769223E-2</v>
      </c>
    </row>
    <row r="2731" spans="2:8" x14ac:dyDescent="0.3">
      <c r="B2731" s="4">
        <v>43287</v>
      </c>
      <c r="C2731" s="5">
        <v>1246.32</v>
      </c>
      <c r="D2731" s="6">
        <f t="shared" si="88"/>
        <v>-0.59586893432124388</v>
      </c>
      <c r="E2731" s="6">
        <v>1.3256525826121489E-3</v>
      </c>
      <c r="F2731" s="6"/>
      <c r="G2731" s="6">
        <v>2724</v>
      </c>
      <c r="H2731" s="6">
        <f t="shared" ca="1" si="89"/>
        <v>9.7036065736123556E-3</v>
      </c>
    </row>
    <row r="2732" spans="2:8" x14ac:dyDescent="0.3">
      <c r="B2732" s="4">
        <v>44896</v>
      </c>
      <c r="C2732" s="5">
        <v>3083.95</v>
      </c>
      <c r="D2732" s="6">
        <f t="shared" si="88"/>
        <v>133.3769063180828</v>
      </c>
      <c r="E2732" s="6">
        <v>1.3247312386561534E-3</v>
      </c>
      <c r="F2732" s="6"/>
      <c r="G2732" s="6">
        <v>2725</v>
      </c>
      <c r="H2732" s="6">
        <f t="shared" ca="1" si="89"/>
        <v>5.4572117608842593E-3</v>
      </c>
    </row>
    <row r="2733" spans="2:8" x14ac:dyDescent="0.3">
      <c r="B2733" s="4">
        <v>38299</v>
      </c>
      <c r="C2733" s="7">
        <v>22.95</v>
      </c>
      <c r="D2733" s="6">
        <f t="shared" si="88"/>
        <v>-0.99243253580943847</v>
      </c>
      <c r="E2733" s="6">
        <v>1.3089005235601039E-3</v>
      </c>
      <c r="F2733" s="6"/>
      <c r="G2733" s="6">
        <v>2726</v>
      </c>
      <c r="H2733" s="6">
        <f t="shared" ca="1" si="89"/>
        <v>-1.3977778080737807E-2</v>
      </c>
    </row>
    <row r="2734" spans="2:8" x14ac:dyDescent="0.3">
      <c r="B2734" s="4">
        <v>45219</v>
      </c>
      <c r="C2734" s="5">
        <v>3032.72</v>
      </c>
      <c r="D2734" s="6">
        <f t="shared" si="88"/>
        <v>3.1002095585750014</v>
      </c>
      <c r="E2734" s="6">
        <v>1.3074657615656511E-3</v>
      </c>
      <c r="F2734" s="6"/>
      <c r="G2734" s="6">
        <v>2727</v>
      </c>
      <c r="H2734" s="6">
        <f t="shared" ca="1" si="89"/>
        <v>-3.7998910458786735E-2</v>
      </c>
    </row>
    <row r="2735" spans="2:8" x14ac:dyDescent="0.3">
      <c r="B2735" s="4">
        <v>42074</v>
      </c>
      <c r="C2735" s="7">
        <v>739.65</v>
      </c>
      <c r="D2735" s="6">
        <f t="shared" si="88"/>
        <v>22.859677419354838</v>
      </c>
      <c r="E2735" s="6">
        <v>1.2995979368881703E-3</v>
      </c>
      <c r="F2735" s="6"/>
      <c r="G2735" s="6">
        <v>2728</v>
      </c>
      <c r="H2735" s="6">
        <f t="shared" ca="1" si="89"/>
        <v>-1.3439143959113442E-3</v>
      </c>
    </row>
    <row r="2736" spans="2:8" x14ac:dyDescent="0.3">
      <c r="B2736" s="4">
        <v>38432</v>
      </c>
      <c r="C2736" s="7">
        <v>31</v>
      </c>
      <c r="D2736" s="6">
        <f t="shared" si="88"/>
        <v>-0.60056693725035437</v>
      </c>
      <c r="E2736" s="6">
        <v>1.2919896640826599E-3</v>
      </c>
      <c r="F2736" s="6"/>
      <c r="G2736" s="6">
        <v>2729</v>
      </c>
      <c r="H2736" s="6">
        <f t="shared" ca="1" si="89"/>
        <v>7.2179197120538592E-3</v>
      </c>
    </row>
    <row r="2737" spans="2:8" x14ac:dyDescent="0.3">
      <c r="B2737" s="4">
        <v>39317</v>
      </c>
      <c r="C2737" s="7">
        <v>77.61</v>
      </c>
      <c r="D2737" s="6">
        <f t="shared" si="88"/>
        <v>2.3195038494439695</v>
      </c>
      <c r="E2737" s="6">
        <v>1.2901561088891021E-3</v>
      </c>
      <c r="F2737" s="6"/>
      <c r="G2737" s="6">
        <v>2730</v>
      </c>
      <c r="H2737" s="6">
        <f t="shared" ca="1" si="89"/>
        <v>-2.6572644906118085E-3</v>
      </c>
    </row>
    <row r="2738" spans="2:8" x14ac:dyDescent="0.3">
      <c r="B2738" s="4">
        <v>37946</v>
      </c>
      <c r="C2738" s="7">
        <v>23.38</v>
      </c>
      <c r="D2738" s="6">
        <f t="shared" si="88"/>
        <v>-0.57265582160482542</v>
      </c>
      <c r="E2738" s="6">
        <v>1.2847965738756995E-3</v>
      </c>
      <c r="F2738" s="6"/>
      <c r="G2738" s="6">
        <v>2731</v>
      </c>
      <c r="H2738" s="6">
        <f t="shared" ca="1" si="89"/>
        <v>-1.2594392784271069E-2</v>
      </c>
    </row>
    <row r="2739" spans="2:8" x14ac:dyDescent="0.3">
      <c r="B2739" s="4">
        <v>38975</v>
      </c>
      <c r="C2739" s="7">
        <v>54.71</v>
      </c>
      <c r="D2739" s="6">
        <f t="shared" si="88"/>
        <v>-0.98151414399437753</v>
      </c>
      <c r="E2739" s="6">
        <v>1.2811127379209423E-3</v>
      </c>
      <c r="F2739" s="6"/>
      <c r="G2739" s="6">
        <v>2732</v>
      </c>
      <c r="H2739" s="6">
        <f t="shared" ca="1" si="89"/>
        <v>2.8171640702935024E-2</v>
      </c>
    </row>
    <row r="2740" spans="2:8" x14ac:dyDescent="0.3">
      <c r="B2740" s="4">
        <v>45595</v>
      </c>
      <c r="C2740" s="5">
        <v>2959.56</v>
      </c>
      <c r="D2740" s="6">
        <f t="shared" si="88"/>
        <v>2.2922398418382218E-2</v>
      </c>
      <c r="E2740" s="6">
        <v>1.2720752418972066E-3</v>
      </c>
      <c r="F2740" s="6"/>
      <c r="G2740" s="6">
        <v>2733</v>
      </c>
      <c r="H2740" s="6">
        <f t="shared" ca="1" si="89"/>
        <v>-7.4319564276184406E-3</v>
      </c>
    </row>
    <row r="2741" spans="2:8" x14ac:dyDescent="0.3">
      <c r="B2741" s="4">
        <v>45322</v>
      </c>
      <c r="C2741" s="5">
        <v>2893.24</v>
      </c>
      <c r="D2741" s="6">
        <f t="shared" si="88"/>
        <v>9.4163306451612883</v>
      </c>
      <c r="E2741" s="6">
        <v>1.2700851683813223E-3</v>
      </c>
      <c r="F2741" s="6"/>
      <c r="G2741" s="6">
        <v>2734</v>
      </c>
      <c r="H2741" s="6">
        <f t="shared" ca="1" si="89"/>
        <v>-1.1349547430252897E-2</v>
      </c>
    </row>
    <row r="2742" spans="2:8" x14ac:dyDescent="0.3">
      <c r="B2742" s="4">
        <v>40751</v>
      </c>
      <c r="C2742" s="7">
        <v>277.76</v>
      </c>
      <c r="D2742" s="6">
        <f t="shared" si="88"/>
        <v>-0.78918927123969707</v>
      </c>
      <c r="E2742" s="6">
        <v>1.2616704516778985E-3</v>
      </c>
      <c r="F2742" s="6"/>
      <c r="G2742" s="6">
        <v>2735</v>
      </c>
      <c r="H2742" s="6">
        <f t="shared" ca="1" si="89"/>
        <v>-9.7090335048532189E-3</v>
      </c>
    </row>
    <row r="2743" spans="2:8" x14ac:dyDescent="0.3">
      <c r="B2743" s="4">
        <v>43531</v>
      </c>
      <c r="C2743" s="5">
        <v>1317.58</v>
      </c>
      <c r="D2743" s="6">
        <f t="shared" si="88"/>
        <v>-0.19100861439088343</v>
      </c>
      <c r="E2743" s="6">
        <v>1.2614748616936093E-3</v>
      </c>
      <c r="F2743" s="6"/>
      <c r="G2743" s="6">
        <v>2736</v>
      </c>
      <c r="H2743" s="6">
        <f t="shared" ca="1" si="89"/>
        <v>2.1324498633250335E-2</v>
      </c>
    </row>
    <row r="2744" spans="2:8" x14ac:dyDescent="0.3">
      <c r="B2744" s="4">
        <v>44025</v>
      </c>
      <c r="C2744" s="5">
        <v>1628.67</v>
      </c>
      <c r="D2744" s="6">
        <f t="shared" si="88"/>
        <v>-0.44925267144596231</v>
      </c>
      <c r="E2744" s="6">
        <v>1.2602820572722468E-3</v>
      </c>
      <c r="F2744" s="6"/>
      <c r="G2744" s="6">
        <v>2737</v>
      </c>
      <c r="H2744" s="6">
        <f t="shared" ca="1" si="89"/>
        <v>1.9740663585274338E-2</v>
      </c>
    </row>
    <row r="2745" spans="2:8" x14ac:dyDescent="0.3">
      <c r="B2745" s="4">
        <v>45995</v>
      </c>
      <c r="C2745" s="5">
        <v>2957.2</v>
      </c>
      <c r="D2745" s="6">
        <f t="shared" si="88"/>
        <v>0.80412779950339486</v>
      </c>
      <c r="E2745" s="6">
        <v>1.2527509734213029E-3</v>
      </c>
      <c r="F2745" s="6"/>
      <c r="G2745" s="6">
        <v>2738</v>
      </c>
      <c r="H2745" s="6">
        <f t="shared" ca="1" si="89"/>
        <v>1.5604736963517434E-2</v>
      </c>
    </row>
    <row r="2746" spans="2:8" x14ac:dyDescent="0.3">
      <c r="B2746" s="4">
        <v>43789</v>
      </c>
      <c r="C2746" s="5">
        <v>1639.13</v>
      </c>
      <c r="D2746" s="6">
        <f t="shared" si="88"/>
        <v>0.51790972903894972</v>
      </c>
      <c r="E2746" s="6">
        <v>1.2522295794953099E-3</v>
      </c>
      <c r="F2746" s="6"/>
      <c r="G2746" s="6">
        <v>2739</v>
      </c>
      <c r="H2746" s="6">
        <f t="shared" ca="1" si="89"/>
        <v>-1.6503773473909876E-2</v>
      </c>
    </row>
    <row r="2747" spans="2:8" x14ac:dyDescent="0.3">
      <c r="B2747" s="4">
        <v>42633</v>
      </c>
      <c r="C2747" s="5">
        <v>1079.8599999999999</v>
      </c>
      <c r="D2747" s="6">
        <f t="shared" si="88"/>
        <v>66.072049689440988</v>
      </c>
      <c r="E2747" s="6">
        <v>1.251726919546327E-3</v>
      </c>
      <c r="F2747" s="6"/>
      <c r="G2747" s="6">
        <v>2740</v>
      </c>
      <c r="H2747" s="6">
        <f t="shared" ca="1" si="89"/>
        <v>1.0579704012953231E-2</v>
      </c>
    </row>
    <row r="2748" spans="2:8" x14ac:dyDescent="0.3">
      <c r="B2748" s="4">
        <v>37722</v>
      </c>
      <c r="C2748" s="7">
        <v>16.100000000000001</v>
      </c>
      <c r="D2748" s="6">
        <f t="shared" si="88"/>
        <v>-0.97269010906993703</v>
      </c>
      <c r="E2748" s="6">
        <v>1.2437810945275577E-3</v>
      </c>
      <c r="F2748" s="6"/>
      <c r="G2748" s="6">
        <v>2741</v>
      </c>
      <c r="H2748" s="6">
        <f t="shared" ca="1" si="89"/>
        <v>4.5425747019822733E-3</v>
      </c>
    </row>
    <row r="2749" spans="2:8" x14ac:dyDescent="0.3">
      <c r="B2749" s="4">
        <v>41956</v>
      </c>
      <c r="C2749" s="7">
        <v>589.53</v>
      </c>
      <c r="D2749" s="6">
        <f t="shared" si="88"/>
        <v>-0.81079337569805521</v>
      </c>
      <c r="E2749" s="6">
        <v>1.2398097826087267E-3</v>
      </c>
      <c r="F2749" s="6"/>
      <c r="G2749" s="6">
        <v>2742</v>
      </c>
      <c r="H2749" s="6">
        <f t="shared" ca="1" si="89"/>
        <v>2.6658169767651198E-2</v>
      </c>
    </row>
    <row r="2750" spans="2:8" x14ac:dyDescent="0.3">
      <c r="B2750" s="4">
        <v>45538</v>
      </c>
      <c r="C2750" s="5">
        <v>3115.8</v>
      </c>
      <c r="D2750" s="6">
        <f t="shared" si="88"/>
        <v>3.7638455031670646E-2</v>
      </c>
      <c r="E2750" s="6">
        <v>1.2371664069153951E-3</v>
      </c>
      <c r="F2750" s="6"/>
      <c r="G2750" s="6">
        <v>2743</v>
      </c>
      <c r="H2750" s="6">
        <f t="shared" ca="1" si="89"/>
        <v>-9.1330249415707589E-4</v>
      </c>
    </row>
    <row r="2751" spans="2:8" x14ac:dyDescent="0.3">
      <c r="B2751" s="4">
        <v>44655</v>
      </c>
      <c r="C2751" s="5">
        <v>3002.78</v>
      </c>
      <c r="D2751" s="6">
        <f t="shared" si="88"/>
        <v>6.7023983583429532</v>
      </c>
      <c r="E2751" s="6">
        <v>1.2370501522138649E-3</v>
      </c>
      <c r="F2751" s="6"/>
      <c r="G2751" s="6">
        <v>2744</v>
      </c>
      <c r="H2751" s="6">
        <f t="shared" ca="1" si="89"/>
        <v>1.540646597232883E-2</v>
      </c>
    </row>
    <row r="2752" spans="2:8" x14ac:dyDescent="0.3">
      <c r="B2752" s="4">
        <v>41247</v>
      </c>
      <c r="C2752" s="7">
        <v>389.85</v>
      </c>
      <c r="D2752" s="6">
        <f t="shared" si="88"/>
        <v>1.6590955596480457</v>
      </c>
      <c r="E2752" s="6">
        <v>1.2327606132984518E-3</v>
      </c>
      <c r="F2752" s="6"/>
      <c r="G2752" s="6">
        <v>2745</v>
      </c>
      <c r="H2752" s="6">
        <f t="shared" ca="1" si="89"/>
        <v>-2.2731419726951495E-2</v>
      </c>
    </row>
    <row r="2753" spans="2:8" x14ac:dyDescent="0.3">
      <c r="B2753" s="4">
        <v>40126</v>
      </c>
      <c r="C2753" s="7">
        <v>146.61000000000001</v>
      </c>
      <c r="D2753" s="6">
        <f t="shared" si="88"/>
        <v>4.9743276283618592</v>
      </c>
      <c r="E2753" s="6">
        <v>1.2292562999385837E-3</v>
      </c>
      <c r="F2753" s="6"/>
      <c r="G2753" s="6">
        <v>2746</v>
      </c>
      <c r="H2753" s="6">
        <f t="shared" ca="1" si="89"/>
        <v>4.0110752472915616E-3</v>
      </c>
    </row>
    <row r="2754" spans="2:8" x14ac:dyDescent="0.3">
      <c r="B2754" s="4">
        <v>37964</v>
      </c>
      <c r="C2754" s="7">
        <v>24.54</v>
      </c>
      <c r="D2754" s="6">
        <f t="shared" si="88"/>
        <v>-0.93029399233063481</v>
      </c>
      <c r="E2754" s="6">
        <v>1.2239902080782368E-3</v>
      </c>
      <c r="F2754" s="6"/>
      <c r="G2754" s="6">
        <v>2747</v>
      </c>
      <c r="H2754" s="6">
        <f t="shared" ca="1" si="89"/>
        <v>-4.3386946565964696E-3</v>
      </c>
    </row>
    <row r="2755" spans="2:8" x14ac:dyDescent="0.3">
      <c r="B2755" s="4">
        <v>41183</v>
      </c>
      <c r="C2755" s="7">
        <v>352.05</v>
      </c>
      <c r="D2755" s="6">
        <f t="shared" si="88"/>
        <v>0.95106406561737977</v>
      </c>
      <c r="E2755" s="6">
        <v>1.2229110972072318E-3</v>
      </c>
      <c r="F2755" s="6"/>
      <c r="G2755" s="6">
        <v>2748</v>
      </c>
      <c r="H2755" s="6">
        <f t="shared" ca="1" si="89"/>
        <v>-2.1479560320226344E-2</v>
      </c>
    </row>
    <row r="2756" spans="2:8" x14ac:dyDescent="0.3">
      <c r="B2756" s="4">
        <v>40331</v>
      </c>
      <c r="C2756" s="7">
        <v>180.44</v>
      </c>
      <c r="D2756" s="6">
        <f t="shared" si="88"/>
        <v>-0.9396630708835193</v>
      </c>
      <c r="E2756" s="6">
        <v>1.2207302186216782E-3</v>
      </c>
      <c r="F2756" s="6"/>
      <c r="G2756" s="6">
        <v>2749</v>
      </c>
      <c r="H2756" s="6">
        <f t="shared" ca="1" si="89"/>
        <v>-7.6613561977430262E-3</v>
      </c>
    </row>
    <row r="2757" spans="2:8" x14ac:dyDescent="0.3">
      <c r="B2757" s="4">
        <v>44881</v>
      </c>
      <c r="C2757" s="5">
        <v>2990.54</v>
      </c>
      <c r="D2757" s="6">
        <f t="shared" si="88"/>
        <v>10.026658309059401</v>
      </c>
      <c r="E2757" s="6">
        <v>1.218654792594286E-3</v>
      </c>
      <c r="F2757" s="6"/>
      <c r="G2757" s="6">
        <v>2750</v>
      </c>
      <c r="H2757" s="6">
        <f t="shared" ca="1" si="89"/>
        <v>-8.8041207802429626E-3</v>
      </c>
    </row>
    <row r="2758" spans="2:8" x14ac:dyDescent="0.3">
      <c r="B2758" s="4">
        <v>40708</v>
      </c>
      <c r="C2758" s="7">
        <v>271.20999999999998</v>
      </c>
      <c r="D2758" s="6">
        <f t="shared" si="88"/>
        <v>-0.71309030128639128</v>
      </c>
      <c r="E2758" s="6">
        <v>1.2182516243354404E-3</v>
      </c>
      <c r="F2758" s="6"/>
      <c r="G2758" s="6">
        <v>2751</v>
      </c>
      <c r="H2758" s="6">
        <f t="shared" ca="1" si="89"/>
        <v>4.3402740318548511E-3</v>
      </c>
    </row>
    <row r="2759" spans="2:8" x14ac:dyDescent="0.3">
      <c r="B2759" s="4">
        <v>42524</v>
      </c>
      <c r="C2759" s="7">
        <v>945.28</v>
      </c>
      <c r="D2759" s="6">
        <f t="shared" si="88"/>
        <v>56.498783454987823</v>
      </c>
      <c r="E2759" s="6">
        <v>1.2180525986887159E-3</v>
      </c>
      <c r="F2759" s="6"/>
      <c r="G2759" s="6">
        <v>2752</v>
      </c>
      <c r="H2759" s="6">
        <f t="shared" ca="1" si="89"/>
        <v>8.5572725991951235E-3</v>
      </c>
    </row>
    <row r="2760" spans="2:8" x14ac:dyDescent="0.3">
      <c r="B2760" s="4">
        <v>37599</v>
      </c>
      <c r="C2760" s="7">
        <v>16.440000000000001</v>
      </c>
      <c r="D2760" s="6">
        <f t="shared" ref="D2760:D2823" si="90">((C2760-C2761)/C2761)</f>
        <v>-0.97849940494095178</v>
      </c>
      <c r="E2760" s="6">
        <v>1.2180267965894989E-3</v>
      </c>
      <c r="F2760" s="6"/>
      <c r="G2760" s="6">
        <v>2753</v>
      </c>
      <c r="H2760" s="6">
        <f t="shared" ca="1" si="89"/>
        <v>-1.3009319177564404E-2</v>
      </c>
    </row>
    <row r="2761" spans="2:8" x14ac:dyDescent="0.3">
      <c r="B2761" s="4">
        <v>42306</v>
      </c>
      <c r="C2761" s="7">
        <v>764.63</v>
      </c>
      <c r="D2761" s="6">
        <f t="shared" si="90"/>
        <v>2.4435037153794186</v>
      </c>
      <c r="E2761" s="6">
        <v>1.2177556632184756E-3</v>
      </c>
      <c r="F2761" s="6"/>
      <c r="G2761" s="6">
        <v>2754</v>
      </c>
      <c r="H2761" s="6">
        <f t="shared" ref="H2761:H2824" ca="1" si="91">_xlfn.NORM.INV(RAND(),N$10,N$11)</f>
        <v>-1.8554658618339308E-2</v>
      </c>
    </row>
    <row r="2762" spans="2:8" x14ac:dyDescent="0.3">
      <c r="B2762" s="4">
        <v>40617</v>
      </c>
      <c r="C2762" s="7">
        <v>222.05</v>
      </c>
      <c r="D2762" s="6">
        <f t="shared" si="90"/>
        <v>-0.69116399393593786</v>
      </c>
      <c r="E2762" s="6">
        <v>1.217422671115566E-3</v>
      </c>
      <c r="F2762" s="6"/>
      <c r="G2762" s="6">
        <v>2755</v>
      </c>
      <c r="H2762" s="6">
        <f t="shared" ca="1" si="91"/>
        <v>-9.6885230549509198E-3</v>
      </c>
    </row>
    <row r="2763" spans="2:8" x14ac:dyDescent="0.3">
      <c r="B2763" s="4">
        <v>42117</v>
      </c>
      <c r="C2763" s="7">
        <v>718.99</v>
      </c>
      <c r="D2763" s="6">
        <f t="shared" si="90"/>
        <v>-0.70983077935128724</v>
      </c>
      <c r="E2763" s="6">
        <v>1.2114966857906819E-3</v>
      </c>
      <c r="F2763" s="6"/>
      <c r="G2763" s="6">
        <v>2756</v>
      </c>
      <c r="H2763" s="6">
        <f t="shared" ca="1" si="91"/>
        <v>-2.2038543900332443E-3</v>
      </c>
    </row>
    <row r="2764" spans="2:8" x14ac:dyDescent="0.3">
      <c r="B2764" s="4">
        <v>45919</v>
      </c>
      <c r="C2764" s="5">
        <v>2477.83</v>
      </c>
      <c r="D2764" s="6">
        <f t="shared" si="90"/>
        <v>148.35684147076552</v>
      </c>
      <c r="E2764" s="6">
        <v>1.2081589112830655E-3</v>
      </c>
      <c r="F2764" s="6"/>
      <c r="G2764" s="6">
        <v>2757</v>
      </c>
      <c r="H2764" s="6">
        <f t="shared" ca="1" si="91"/>
        <v>2.5932310834427996E-2</v>
      </c>
    </row>
    <row r="2765" spans="2:8" x14ac:dyDescent="0.3">
      <c r="B2765" s="4">
        <v>37495</v>
      </c>
      <c r="C2765" s="7">
        <v>16.59</v>
      </c>
      <c r="D2765" s="6">
        <f t="shared" si="90"/>
        <v>-0.71465428276573784</v>
      </c>
      <c r="E2765" s="6">
        <v>1.207000603500276E-3</v>
      </c>
      <c r="F2765" s="6"/>
      <c r="G2765" s="6">
        <v>2758</v>
      </c>
      <c r="H2765" s="6">
        <f t="shared" ca="1" si="91"/>
        <v>2.7437648417383734E-2</v>
      </c>
    </row>
    <row r="2766" spans="2:8" x14ac:dyDescent="0.3">
      <c r="B2766" s="4">
        <v>39048</v>
      </c>
      <c r="C2766" s="7">
        <v>58.14</v>
      </c>
      <c r="D2766" s="6">
        <f t="shared" si="90"/>
        <v>-0.97385650304872573</v>
      </c>
      <c r="E2766" s="6">
        <v>1.2054417082831114E-3</v>
      </c>
      <c r="F2766" s="6"/>
      <c r="G2766" s="6">
        <v>2759</v>
      </c>
      <c r="H2766" s="6">
        <f t="shared" ca="1" si="91"/>
        <v>1.3880359958699989E-2</v>
      </c>
    </row>
    <row r="2767" spans="2:8" x14ac:dyDescent="0.3">
      <c r="B2767" s="4">
        <v>45817</v>
      </c>
      <c r="C2767" s="5">
        <v>2223.88</v>
      </c>
      <c r="D2767" s="6">
        <f t="shared" si="90"/>
        <v>-0.31849300375707124</v>
      </c>
      <c r="E2767" s="6">
        <v>1.2020475326511553E-3</v>
      </c>
      <c r="F2767" s="6"/>
      <c r="G2767" s="6">
        <v>2760</v>
      </c>
      <c r="H2767" s="6">
        <f t="shared" ca="1" si="91"/>
        <v>-5.3442968326621793E-2</v>
      </c>
    </row>
    <row r="2768" spans="2:8" x14ac:dyDescent="0.3">
      <c r="B2768" s="4">
        <v>45279</v>
      </c>
      <c r="C2768" s="5">
        <v>3263.18</v>
      </c>
      <c r="D2768" s="6">
        <f t="shared" si="90"/>
        <v>7.2752516927446553</v>
      </c>
      <c r="E2768" s="6">
        <v>1.1996551375000703E-3</v>
      </c>
      <c r="F2768" s="6"/>
      <c r="G2768" s="6">
        <v>2761</v>
      </c>
      <c r="H2768" s="6">
        <f t="shared" ca="1" si="91"/>
        <v>-5.7862496747571454E-3</v>
      </c>
    </row>
    <row r="2769" spans="2:8" x14ac:dyDescent="0.3">
      <c r="B2769" s="4">
        <v>41278</v>
      </c>
      <c r="C2769" s="7">
        <v>394.33</v>
      </c>
      <c r="D2769" s="6">
        <f t="shared" si="90"/>
        <v>22.472023809523808</v>
      </c>
      <c r="E2769" s="6">
        <v>1.1933174224342924E-3</v>
      </c>
      <c r="F2769" s="6"/>
      <c r="G2769" s="6">
        <v>2762</v>
      </c>
      <c r="H2769" s="6">
        <f t="shared" ca="1" si="91"/>
        <v>4.924796460016828E-3</v>
      </c>
    </row>
    <row r="2770" spans="2:8" x14ac:dyDescent="0.3">
      <c r="B2770" s="4">
        <v>37525</v>
      </c>
      <c r="C2770" s="7">
        <v>16.8</v>
      </c>
      <c r="D2770" s="6">
        <f t="shared" si="90"/>
        <v>-0.98893528458711488</v>
      </c>
      <c r="E2770" s="6">
        <v>1.1918951132300103E-3</v>
      </c>
      <c r="F2770" s="6"/>
      <c r="G2770" s="6">
        <v>2763</v>
      </c>
      <c r="H2770" s="6">
        <f t="shared" ca="1" si="91"/>
        <v>-6.6709689472440924E-3</v>
      </c>
    </row>
    <row r="2771" spans="2:8" x14ac:dyDescent="0.3">
      <c r="B2771" s="4">
        <v>43704</v>
      </c>
      <c r="C2771" s="5">
        <v>1518.34</v>
      </c>
      <c r="D2771" s="6">
        <f t="shared" si="90"/>
        <v>88.472009428403069</v>
      </c>
      <c r="E2771" s="6">
        <v>1.1869123135558274E-3</v>
      </c>
      <c r="F2771" s="6"/>
      <c r="G2771" s="6">
        <v>2764</v>
      </c>
      <c r="H2771" s="6">
        <f t="shared" ca="1" si="91"/>
        <v>-1.6133442163562304E-2</v>
      </c>
    </row>
    <row r="2772" spans="2:8" x14ac:dyDescent="0.3">
      <c r="B2772" s="4">
        <v>37750</v>
      </c>
      <c r="C2772" s="7">
        <v>16.97</v>
      </c>
      <c r="D2772" s="6">
        <f t="shared" si="90"/>
        <v>-0.92618850854682266</v>
      </c>
      <c r="E2772" s="6">
        <v>1.1799410029498273E-3</v>
      </c>
      <c r="F2772" s="6"/>
      <c r="G2772" s="6">
        <v>2765</v>
      </c>
      <c r="H2772" s="6">
        <f t="shared" ca="1" si="91"/>
        <v>-6.5283708924402375E-3</v>
      </c>
    </row>
    <row r="2773" spans="2:8" x14ac:dyDescent="0.3">
      <c r="B2773" s="4">
        <v>40648</v>
      </c>
      <c r="C2773" s="7">
        <v>229.91</v>
      </c>
      <c r="D2773" s="6">
        <f t="shared" si="90"/>
        <v>7.9703472493172072</v>
      </c>
      <c r="E2773" s="6">
        <v>1.175753353074422E-3</v>
      </c>
      <c r="F2773" s="6"/>
      <c r="G2773" s="6">
        <v>2766</v>
      </c>
      <c r="H2773" s="6">
        <f t="shared" ca="1" si="91"/>
        <v>1.3732050742013193E-2</v>
      </c>
    </row>
    <row r="2774" spans="2:8" x14ac:dyDescent="0.3">
      <c r="B2774" s="4">
        <v>38344</v>
      </c>
      <c r="C2774" s="7">
        <v>25.63</v>
      </c>
      <c r="D2774" s="6">
        <f t="shared" si="90"/>
        <v>-0.62822744415433718</v>
      </c>
      <c r="E2774" s="6">
        <v>1.1718749999999056E-3</v>
      </c>
      <c r="F2774" s="6"/>
      <c r="G2774" s="6">
        <v>2767</v>
      </c>
      <c r="H2774" s="6">
        <f t="shared" ca="1" si="91"/>
        <v>-2.2516700671270293E-2</v>
      </c>
    </row>
    <row r="2775" spans="2:8" x14ac:dyDescent="0.3">
      <c r="B2775" s="4">
        <v>39227</v>
      </c>
      <c r="C2775" s="7">
        <v>68.94</v>
      </c>
      <c r="D2775" s="6">
        <f t="shared" si="90"/>
        <v>-0.97597767115125289</v>
      </c>
      <c r="E2775" s="6">
        <v>1.1617775196049709E-3</v>
      </c>
      <c r="F2775" s="6"/>
      <c r="G2775" s="6">
        <v>2768</v>
      </c>
      <c r="H2775" s="6">
        <f t="shared" ca="1" si="91"/>
        <v>2.1938133137226941E-4</v>
      </c>
    </row>
    <row r="2776" spans="2:8" x14ac:dyDescent="0.3">
      <c r="B2776" s="4">
        <v>45455</v>
      </c>
      <c r="C2776" s="5">
        <v>2869.83</v>
      </c>
      <c r="D2776" s="6">
        <f t="shared" si="90"/>
        <v>1.3151445235924784</v>
      </c>
      <c r="E2776" s="6">
        <v>1.1547102409890549E-3</v>
      </c>
      <c r="F2776" s="6"/>
      <c r="G2776" s="6">
        <v>2769</v>
      </c>
      <c r="H2776" s="6">
        <f t="shared" ca="1" si="91"/>
        <v>-1.9462388516089509E-2</v>
      </c>
    </row>
    <row r="2777" spans="2:8" x14ac:dyDescent="0.3">
      <c r="B2777" s="4">
        <v>43350</v>
      </c>
      <c r="C2777" s="5">
        <v>1239.5899999999999</v>
      </c>
      <c r="D2777" s="6">
        <f t="shared" si="90"/>
        <v>-0.58829644489318744</v>
      </c>
      <c r="E2777" s="6">
        <v>1.1468538245958514E-3</v>
      </c>
      <c r="F2777" s="6"/>
      <c r="G2777" s="6">
        <v>2770</v>
      </c>
      <c r="H2777" s="6">
        <f t="shared" ca="1" si="91"/>
        <v>1.1986242462318584E-2</v>
      </c>
    </row>
    <row r="2778" spans="2:8" x14ac:dyDescent="0.3">
      <c r="B2778" s="4">
        <v>44768</v>
      </c>
      <c r="C2778" s="5">
        <v>3010.88</v>
      </c>
      <c r="D2778" s="6">
        <f t="shared" si="90"/>
        <v>0.31605909607483168</v>
      </c>
      <c r="E2778" s="6">
        <v>1.1438299683451888E-3</v>
      </c>
      <c r="F2778" s="6"/>
      <c r="G2778" s="6">
        <v>2771</v>
      </c>
      <c r="H2778" s="6">
        <f t="shared" ca="1" si="91"/>
        <v>-1.0517131796154149E-2</v>
      </c>
    </row>
    <row r="2779" spans="2:8" x14ac:dyDescent="0.3">
      <c r="B2779" s="4">
        <v>46086</v>
      </c>
      <c r="C2779" s="5">
        <v>2287.8000000000002</v>
      </c>
      <c r="D2779" s="6">
        <f t="shared" si="90"/>
        <v>8.2627231871735702</v>
      </c>
      <c r="E2779" s="6">
        <v>1.1377559950990566E-3</v>
      </c>
      <c r="F2779" s="6"/>
      <c r="G2779" s="6">
        <v>2772</v>
      </c>
      <c r="H2779" s="6">
        <f t="shared" ca="1" si="91"/>
        <v>-4.7807695814332044E-3</v>
      </c>
    </row>
    <row r="2780" spans="2:8" x14ac:dyDescent="0.3">
      <c r="B2780" s="4">
        <v>40892</v>
      </c>
      <c r="C2780" s="7">
        <v>246.99</v>
      </c>
      <c r="D2780" s="6">
        <f t="shared" si="90"/>
        <v>-0.77209898870598659</v>
      </c>
      <c r="E2780" s="6">
        <v>1.1349357545296142E-3</v>
      </c>
      <c r="F2780" s="6"/>
      <c r="G2780" s="6">
        <v>2773</v>
      </c>
      <c r="H2780" s="6">
        <f t="shared" ca="1" si="91"/>
        <v>-8.2430554494963802E-3</v>
      </c>
    </row>
    <row r="2781" spans="2:8" x14ac:dyDescent="0.3">
      <c r="B2781" s="4">
        <v>43017</v>
      </c>
      <c r="C2781" s="5">
        <v>1083.76</v>
      </c>
      <c r="D2781" s="6">
        <f t="shared" si="90"/>
        <v>2.1129111015366941</v>
      </c>
      <c r="E2781" s="6">
        <v>1.1269791416483707E-3</v>
      </c>
      <c r="F2781" s="6"/>
      <c r="G2781" s="6">
        <v>2774</v>
      </c>
      <c r="H2781" s="6">
        <f t="shared" ca="1" si="91"/>
        <v>2.8465281496352111E-2</v>
      </c>
    </row>
    <row r="2782" spans="2:8" x14ac:dyDescent="0.3">
      <c r="B2782" s="4">
        <v>41192</v>
      </c>
      <c r="C2782" s="7">
        <v>348.15</v>
      </c>
      <c r="D2782" s="6">
        <f t="shared" si="90"/>
        <v>0.11230031948881782</v>
      </c>
      <c r="E2782" s="6">
        <v>1.121463077984778E-3</v>
      </c>
      <c r="F2782" s="6"/>
      <c r="G2782" s="6">
        <v>2775</v>
      </c>
      <c r="H2782" s="6">
        <f t="shared" ca="1" si="91"/>
        <v>-1.926806315251809E-2</v>
      </c>
    </row>
    <row r="2783" spans="2:8" x14ac:dyDescent="0.3">
      <c r="B2783" s="4">
        <v>41031</v>
      </c>
      <c r="C2783" s="7">
        <v>313</v>
      </c>
      <c r="D2783" s="6">
        <f t="shared" si="90"/>
        <v>-0.88866835976125946</v>
      </c>
      <c r="E2783" s="6">
        <v>1.1194626579242692E-3</v>
      </c>
      <c r="F2783" s="6"/>
      <c r="G2783" s="6">
        <v>2776</v>
      </c>
      <c r="H2783" s="6">
        <f t="shared" ca="1" si="91"/>
        <v>-2.9798684833055224E-2</v>
      </c>
    </row>
    <row r="2784" spans="2:8" x14ac:dyDescent="0.3">
      <c r="B2784" s="4">
        <v>45384</v>
      </c>
      <c r="C2784" s="5">
        <v>2811.42</v>
      </c>
      <c r="D2784" s="6">
        <f t="shared" si="90"/>
        <v>2.3906845482174734</v>
      </c>
      <c r="E2784" s="6">
        <v>1.1145572572633558E-3</v>
      </c>
      <c r="F2784" s="6"/>
      <c r="G2784" s="6">
        <v>2777</v>
      </c>
      <c r="H2784" s="6">
        <f t="shared" ca="1" si="91"/>
        <v>-1.235870896836886E-2</v>
      </c>
    </row>
    <row r="2785" spans="2:8" x14ac:dyDescent="0.3">
      <c r="B2785" s="4">
        <v>42443</v>
      </c>
      <c r="C2785" s="7">
        <v>829.16</v>
      </c>
      <c r="D2785" s="6">
        <f t="shared" si="90"/>
        <v>0.86840326287800262</v>
      </c>
      <c r="E2785" s="6">
        <v>1.1107891432434549E-3</v>
      </c>
      <c r="F2785" s="6"/>
      <c r="G2785" s="6">
        <v>2778</v>
      </c>
      <c r="H2785" s="6">
        <f t="shared" ca="1" si="91"/>
        <v>-3.1421841050062998E-3</v>
      </c>
    </row>
    <row r="2786" spans="2:8" x14ac:dyDescent="0.3">
      <c r="B2786" s="4">
        <v>41647</v>
      </c>
      <c r="C2786" s="7">
        <v>443.78</v>
      </c>
      <c r="D2786" s="6">
        <f t="shared" si="90"/>
        <v>0.13597501663850906</v>
      </c>
      <c r="E2786" s="6">
        <v>1.1053712016962987E-3</v>
      </c>
      <c r="F2786" s="6"/>
      <c r="G2786" s="6">
        <v>2779</v>
      </c>
      <c r="H2786" s="6">
        <f t="shared" ca="1" si="91"/>
        <v>-1.0012636244531387E-2</v>
      </c>
    </row>
    <row r="2787" spans="2:8" x14ac:dyDescent="0.3">
      <c r="B2787" s="4">
        <v>41267</v>
      </c>
      <c r="C2787" s="7">
        <v>390.66</v>
      </c>
      <c r="D2787" s="6">
        <f t="shared" si="90"/>
        <v>1.6838417147568014</v>
      </c>
      <c r="E2787" s="6">
        <v>1.1019142556953766E-3</v>
      </c>
      <c r="F2787" s="6"/>
      <c r="G2787" s="6">
        <v>2780</v>
      </c>
      <c r="H2787" s="6">
        <f t="shared" ca="1" si="91"/>
        <v>1.5470661910463411E-2</v>
      </c>
    </row>
    <row r="2788" spans="2:8" x14ac:dyDescent="0.3">
      <c r="B2788" s="4">
        <v>40134</v>
      </c>
      <c r="C2788" s="7">
        <v>145.56</v>
      </c>
      <c r="D2788" s="6">
        <f t="shared" si="90"/>
        <v>-0.93714048815878115</v>
      </c>
      <c r="E2788" s="6">
        <v>1.1004126547455061E-3</v>
      </c>
      <c r="F2788" s="6"/>
      <c r="G2788" s="6">
        <v>2781</v>
      </c>
      <c r="H2788" s="6">
        <f t="shared" ca="1" si="91"/>
        <v>1.3591161733430711E-2</v>
      </c>
    </row>
    <row r="2789" spans="2:8" x14ac:dyDescent="0.3">
      <c r="B2789" s="4">
        <v>45744</v>
      </c>
      <c r="C2789" s="5">
        <v>2315.64</v>
      </c>
      <c r="D2789" s="6">
        <f t="shared" si="90"/>
        <v>21.738020424194811</v>
      </c>
      <c r="E2789" s="6">
        <v>1.0894376426644455E-3</v>
      </c>
      <c r="F2789" s="6"/>
      <c r="G2789" s="6">
        <v>2782</v>
      </c>
      <c r="H2789" s="6">
        <f t="shared" ca="1" si="91"/>
        <v>5.5058003965191345E-2</v>
      </c>
    </row>
    <row r="2790" spans="2:8" x14ac:dyDescent="0.3">
      <c r="B2790" s="4">
        <v>39708</v>
      </c>
      <c r="C2790" s="7">
        <v>101.84</v>
      </c>
      <c r="D2790" s="6">
        <f t="shared" si="90"/>
        <v>-0.70395348837209304</v>
      </c>
      <c r="E2790" s="6">
        <v>1.0812936203676341E-3</v>
      </c>
      <c r="F2790" s="6"/>
      <c r="G2790" s="6">
        <v>2783</v>
      </c>
      <c r="H2790" s="6">
        <f t="shared" ca="1" si="91"/>
        <v>2.4614612740669287E-2</v>
      </c>
    </row>
    <row r="2791" spans="2:8" x14ac:dyDescent="0.3">
      <c r="B2791" s="4">
        <v>41165</v>
      </c>
      <c r="C2791" s="7">
        <v>344</v>
      </c>
      <c r="D2791" s="6">
        <f t="shared" si="90"/>
        <v>4.261547873967575</v>
      </c>
      <c r="E2791" s="6">
        <v>1.076739516340263E-3</v>
      </c>
      <c r="F2791" s="6"/>
      <c r="G2791" s="6">
        <v>2784</v>
      </c>
      <c r="H2791" s="6">
        <f t="shared" ca="1" si="91"/>
        <v>-6.0367995941397476E-3</v>
      </c>
    </row>
    <row r="2792" spans="2:8" x14ac:dyDescent="0.3">
      <c r="B2792" s="4">
        <v>39132</v>
      </c>
      <c r="C2792" s="7">
        <v>65.38</v>
      </c>
      <c r="D2792" s="6">
        <f t="shared" si="90"/>
        <v>-0.61194207027540359</v>
      </c>
      <c r="E2792" s="6">
        <v>1.0718113612003242E-3</v>
      </c>
      <c r="F2792" s="6"/>
      <c r="G2792" s="6">
        <v>2785</v>
      </c>
      <c r="H2792" s="6">
        <f t="shared" ca="1" si="91"/>
        <v>2.6865645493696377E-3</v>
      </c>
    </row>
    <row r="2793" spans="2:8" x14ac:dyDescent="0.3">
      <c r="B2793" s="4">
        <v>40248</v>
      </c>
      <c r="C2793" s="7">
        <v>168.48</v>
      </c>
      <c r="D2793" s="6">
        <f t="shared" si="90"/>
        <v>-1.4224751066856868E-3</v>
      </c>
      <c r="E2793" s="6">
        <v>1.0695187165774118E-3</v>
      </c>
      <c r="F2793" s="6"/>
      <c r="G2793" s="6">
        <v>2786</v>
      </c>
      <c r="H2793" s="6">
        <f t="shared" ca="1" si="91"/>
        <v>4.7955378124913996E-3</v>
      </c>
    </row>
    <row r="2794" spans="2:8" x14ac:dyDescent="0.3">
      <c r="B2794" s="4">
        <v>40246</v>
      </c>
      <c r="C2794" s="7">
        <v>168.72</v>
      </c>
      <c r="D2794" s="6">
        <f t="shared" si="90"/>
        <v>-0.86944814138475346</v>
      </c>
      <c r="E2794" s="6">
        <v>1.0679957280171285E-3</v>
      </c>
      <c r="F2794" s="6"/>
      <c r="G2794" s="6">
        <v>2787</v>
      </c>
      <c r="H2794" s="6">
        <f t="shared" ca="1" si="91"/>
        <v>1.0435520691987193E-2</v>
      </c>
    </row>
    <row r="2795" spans="2:8" x14ac:dyDescent="0.3">
      <c r="B2795" s="4">
        <v>43643</v>
      </c>
      <c r="C2795" s="5">
        <v>1292.3599999999999</v>
      </c>
      <c r="D2795" s="6">
        <f t="shared" si="90"/>
        <v>-0.59395500816890789</v>
      </c>
      <c r="E2795" s="6">
        <v>1.0612010937341813E-3</v>
      </c>
      <c r="F2795" s="6"/>
      <c r="G2795" s="6">
        <v>2788</v>
      </c>
      <c r="H2795" s="6">
        <f t="shared" ca="1" si="91"/>
        <v>7.7225052237289661E-3</v>
      </c>
    </row>
    <row r="2796" spans="2:8" x14ac:dyDescent="0.3">
      <c r="B2796" s="4">
        <v>45170</v>
      </c>
      <c r="C2796" s="5">
        <v>3182.8</v>
      </c>
      <c r="D2796" s="6">
        <f t="shared" si="90"/>
        <v>1.369988681717996</v>
      </c>
      <c r="E2796" s="6">
        <v>1.0599384166345368E-3</v>
      </c>
      <c r="F2796" s="6"/>
      <c r="G2796" s="6">
        <v>2789</v>
      </c>
      <c r="H2796" s="6">
        <f t="shared" ca="1" si="91"/>
        <v>5.0163652613536254E-3</v>
      </c>
    </row>
    <row r="2797" spans="2:8" x14ac:dyDescent="0.3">
      <c r="B2797" s="4">
        <v>43320</v>
      </c>
      <c r="C2797" s="5">
        <v>1342.96</v>
      </c>
      <c r="D2797" s="6">
        <f t="shared" si="90"/>
        <v>27.113041657944315</v>
      </c>
      <c r="E2797" s="6">
        <v>1.051023070329158E-3</v>
      </c>
      <c r="F2797" s="6"/>
      <c r="G2797" s="6">
        <v>2790</v>
      </c>
      <c r="H2797" s="6">
        <f t="shared" ca="1" si="91"/>
        <v>-2.163639554612632E-2</v>
      </c>
    </row>
    <row r="2798" spans="2:8" x14ac:dyDescent="0.3">
      <c r="B2798" s="4">
        <v>38723</v>
      </c>
      <c r="C2798" s="7">
        <v>47.77</v>
      </c>
      <c r="D2798" s="6">
        <f t="shared" si="90"/>
        <v>-0.6890581266679684</v>
      </c>
      <c r="E2798" s="6">
        <v>1.0477787091367197E-3</v>
      </c>
      <c r="F2798" s="6"/>
      <c r="G2798" s="6">
        <v>2791</v>
      </c>
      <c r="H2798" s="6">
        <f t="shared" ca="1" si="91"/>
        <v>8.1072228528835822E-3</v>
      </c>
    </row>
    <row r="2799" spans="2:8" x14ac:dyDescent="0.3">
      <c r="B2799" s="4">
        <v>40164</v>
      </c>
      <c r="C2799" s="7">
        <v>153.63</v>
      </c>
      <c r="D2799" s="6">
        <f t="shared" si="90"/>
        <v>-0.44943377293577985</v>
      </c>
      <c r="E2799" s="6">
        <v>1.042549032384157E-3</v>
      </c>
      <c r="F2799" s="6"/>
      <c r="G2799" s="6">
        <v>2792</v>
      </c>
      <c r="H2799" s="6">
        <f t="shared" ca="1" si="91"/>
        <v>-2.278411414307744E-2</v>
      </c>
    </row>
    <row r="2800" spans="2:8" x14ac:dyDescent="0.3">
      <c r="B2800" s="4">
        <v>40816</v>
      </c>
      <c r="C2800" s="7">
        <v>279.04000000000002</v>
      </c>
      <c r="D2800" s="6">
        <f t="shared" si="90"/>
        <v>1.6181272283730535</v>
      </c>
      <c r="E2800" s="6">
        <v>1.0403587443946923E-3</v>
      </c>
      <c r="F2800" s="6"/>
      <c r="G2800" s="6">
        <v>2793</v>
      </c>
      <c r="H2800" s="6">
        <f t="shared" ca="1" si="91"/>
        <v>3.8672609025033278E-2</v>
      </c>
    </row>
    <row r="2801" spans="2:8" x14ac:dyDescent="0.3">
      <c r="B2801" s="4">
        <v>39672</v>
      </c>
      <c r="C2801" s="7">
        <v>106.58</v>
      </c>
      <c r="D2801" s="6">
        <f t="shared" si="90"/>
        <v>-0.93970730493123877</v>
      </c>
      <c r="E2801" s="6">
        <v>1.0331548793087201E-3</v>
      </c>
      <c r="F2801" s="6"/>
      <c r="G2801" s="6">
        <v>2794</v>
      </c>
      <c r="H2801" s="6">
        <f t="shared" ca="1" si="91"/>
        <v>-4.7827579036337151E-3</v>
      </c>
    </row>
    <row r="2802" spans="2:8" x14ac:dyDescent="0.3">
      <c r="B2802" s="4">
        <v>43868</v>
      </c>
      <c r="C2802" s="5">
        <v>1767.71</v>
      </c>
      <c r="D2802" s="6">
        <f t="shared" si="90"/>
        <v>3.0211783439490447</v>
      </c>
      <c r="E2802" s="6">
        <v>1.0249731015345973E-3</v>
      </c>
      <c r="F2802" s="6"/>
      <c r="G2802" s="6">
        <v>2795</v>
      </c>
      <c r="H2802" s="6">
        <f t="shared" ca="1" si="91"/>
        <v>-4.9677154695197973E-3</v>
      </c>
    </row>
    <row r="2803" spans="2:8" x14ac:dyDescent="0.3">
      <c r="B2803" s="4">
        <v>41565</v>
      </c>
      <c r="C2803" s="7">
        <v>439.6</v>
      </c>
      <c r="D2803" s="6">
        <f t="shared" si="90"/>
        <v>2.1304277118230644E-2</v>
      </c>
      <c r="E2803" s="6">
        <v>1.0247068199932723E-3</v>
      </c>
      <c r="F2803" s="6"/>
      <c r="G2803" s="6">
        <v>2796</v>
      </c>
      <c r="H2803" s="6">
        <f t="shared" ca="1" si="91"/>
        <v>-2.7536722724085154E-3</v>
      </c>
    </row>
    <row r="2804" spans="2:8" x14ac:dyDescent="0.3">
      <c r="B2804" s="4">
        <v>41418</v>
      </c>
      <c r="C2804" s="7">
        <v>430.43</v>
      </c>
      <c r="D2804" s="6">
        <f t="shared" si="90"/>
        <v>-0.58966414673441558</v>
      </c>
      <c r="E2804" s="6">
        <v>1.0232796111537424E-3</v>
      </c>
      <c r="F2804" s="6"/>
      <c r="G2804" s="6">
        <v>2797</v>
      </c>
      <c r="H2804" s="6">
        <f t="shared" ca="1" si="91"/>
        <v>1.1102229575360872E-2</v>
      </c>
    </row>
    <row r="2805" spans="2:8" x14ac:dyDescent="0.3">
      <c r="B2805" s="4">
        <v>43160</v>
      </c>
      <c r="C2805" s="5">
        <v>1048.97</v>
      </c>
      <c r="D2805" s="6">
        <f t="shared" si="90"/>
        <v>-0.57051142947219291</v>
      </c>
      <c r="E2805" s="6">
        <v>1.0210897986448479E-3</v>
      </c>
      <c r="F2805" s="6"/>
      <c r="G2805" s="6">
        <v>2798</v>
      </c>
      <c r="H2805" s="6">
        <f t="shared" ca="1" si="91"/>
        <v>-1.1119531405897196E-2</v>
      </c>
    </row>
    <row r="2806" spans="2:8" x14ac:dyDescent="0.3">
      <c r="B2806" s="4">
        <v>44323</v>
      </c>
      <c r="C2806" s="5">
        <v>2442.37</v>
      </c>
      <c r="D2806" s="6">
        <f t="shared" si="90"/>
        <v>8.755688548095511E-2</v>
      </c>
      <c r="E2806" s="6">
        <v>1.0205419938684613E-3</v>
      </c>
      <c r="F2806" s="6"/>
      <c r="G2806" s="6">
        <v>2799</v>
      </c>
      <c r="H2806" s="6">
        <f t="shared" ca="1" si="91"/>
        <v>-8.155191050518748E-3</v>
      </c>
    </row>
    <row r="2807" spans="2:8" x14ac:dyDescent="0.3">
      <c r="B2807" s="4">
        <v>45723</v>
      </c>
      <c r="C2807" s="5">
        <v>2245.7399999999998</v>
      </c>
      <c r="D2807" s="6">
        <f t="shared" si="90"/>
        <v>4.5266149870801025</v>
      </c>
      <c r="E2807" s="6">
        <v>1.0118254311401453E-3</v>
      </c>
      <c r="F2807" s="6"/>
      <c r="G2807" s="6">
        <v>2800</v>
      </c>
      <c r="H2807" s="6">
        <f t="shared" ca="1" si="91"/>
        <v>1.0485323991368495E-2</v>
      </c>
    </row>
    <row r="2808" spans="2:8" x14ac:dyDescent="0.3">
      <c r="B2808" s="4">
        <v>41374</v>
      </c>
      <c r="C2808" s="7">
        <v>406.35</v>
      </c>
      <c r="D2808" s="6">
        <f t="shared" si="90"/>
        <v>3.076953948028494</v>
      </c>
      <c r="E2808" s="6">
        <v>1.0100014780510052E-3</v>
      </c>
      <c r="F2808" s="6"/>
      <c r="G2808" s="6">
        <v>2801</v>
      </c>
      <c r="H2808" s="6">
        <f t="shared" ca="1" si="91"/>
        <v>2.0319911487854107E-2</v>
      </c>
    </row>
    <row r="2809" spans="2:8" x14ac:dyDescent="0.3">
      <c r="B2809" s="4">
        <v>39542</v>
      </c>
      <c r="C2809" s="7">
        <v>99.67</v>
      </c>
      <c r="D2809" s="6">
        <f t="shared" si="90"/>
        <v>-0.96946646733736075</v>
      </c>
      <c r="E2809" s="6">
        <v>1.0043185698504421E-3</v>
      </c>
      <c r="F2809" s="6"/>
      <c r="G2809" s="6">
        <v>2802</v>
      </c>
      <c r="H2809" s="6">
        <f t="shared" ca="1" si="91"/>
        <v>1.1843577848744329E-2</v>
      </c>
    </row>
    <row r="2810" spans="2:8" x14ac:dyDescent="0.3">
      <c r="B2810" s="4">
        <v>45145</v>
      </c>
      <c r="C2810" s="5">
        <v>3264.28</v>
      </c>
      <c r="D2810" s="6">
        <f t="shared" si="90"/>
        <v>9.4406844714537037</v>
      </c>
      <c r="E2810" s="6">
        <v>1.0027568146065121E-3</v>
      </c>
      <c r="F2810" s="6"/>
      <c r="G2810" s="6">
        <v>2803</v>
      </c>
      <c r="H2810" s="6">
        <f t="shared" ca="1" si="91"/>
        <v>3.5841772214822203E-2</v>
      </c>
    </row>
    <row r="2811" spans="2:8" x14ac:dyDescent="0.3">
      <c r="B2811" s="4">
        <v>41029</v>
      </c>
      <c r="C2811" s="7">
        <v>312.64999999999998</v>
      </c>
      <c r="D2811" s="6">
        <f t="shared" si="90"/>
        <v>-0.73831345469763554</v>
      </c>
      <c r="E2811" s="6">
        <v>9.9250816418006756E-4</v>
      </c>
      <c r="F2811" s="6"/>
      <c r="G2811" s="6">
        <v>2804</v>
      </c>
      <c r="H2811" s="6">
        <f t="shared" ca="1" si="91"/>
        <v>-6.900205256132998E-3</v>
      </c>
    </row>
    <row r="2812" spans="2:8" x14ac:dyDescent="0.3">
      <c r="B2812" s="4">
        <v>43279</v>
      </c>
      <c r="C2812" s="5">
        <v>1194.75</v>
      </c>
      <c r="D2812" s="6">
        <f t="shared" si="90"/>
        <v>-0.63362577851647195</v>
      </c>
      <c r="E2812" s="6">
        <v>9.8863074641626701E-4</v>
      </c>
      <c r="F2812" s="6"/>
      <c r="G2812" s="6">
        <v>2805</v>
      </c>
      <c r="H2812" s="6">
        <f t="shared" ca="1" si="91"/>
        <v>-2.2385754010616956E-2</v>
      </c>
    </row>
    <row r="2813" spans="2:8" x14ac:dyDescent="0.3">
      <c r="B2813" s="4">
        <v>45142</v>
      </c>
      <c r="C2813" s="5">
        <v>3261.01</v>
      </c>
      <c r="D2813" s="6">
        <f t="shared" si="90"/>
        <v>2.3134957730450338</v>
      </c>
      <c r="E2813" s="6">
        <v>9.8840011173226467E-4</v>
      </c>
      <c r="F2813" s="6"/>
      <c r="G2813" s="6">
        <v>2806</v>
      </c>
      <c r="H2813" s="6">
        <f t="shared" ca="1" si="91"/>
        <v>-2.1778427416415128E-2</v>
      </c>
    </row>
    <row r="2814" spans="2:8" x14ac:dyDescent="0.3">
      <c r="B2814" s="4">
        <v>42578</v>
      </c>
      <c r="C2814" s="7">
        <v>984.16</v>
      </c>
      <c r="D2814" s="6">
        <f t="shared" si="90"/>
        <v>-0.57921200590033572</v>
      </c>
      <c r="E2814" s="6">
        <v>9.8658448519605931E-4</v>
      </c>
      <c r="F2814" s="6"/>
      <c r="G2814" s="6">
        <v>2807</v>
      </c>
      <c r="H2814" s="6">
        <f t="shared" ca="1" si="91"/>
        <v>9.6350306835544536E-3</v>
      </c>
    </row>
    <row r="2815" spans="2:8" x14ac:dyDescent="0.3">
      <c r="B2815" s="4">
        <v>45943</v>
      </c>
      <c r="C2815" s="5">
        <v>2338.85</v>
      </c>
      <c r="D2815" s="6">
        <f t="shared" si="90"/>
        <v>7.4990370289618076</v>
      </c>
      <c r="E2815" s="6">
        <v>9.8435727889397925E-4</v>
      </c>
      <c r="F2815" s="6"/>
      <c r="G2815" s="6">
        <v>2808</v>
      </c>
      <c r="H2815" s="6">
        <f t="shared" ca="1" si="91"/>
        <v>1.6656375467657032E-2</v>
      </c>
    </row>
    <row r="2816" spans="2:8" x14ac:dyDescent="0.3">
      <c r="B2816" s="4">
        <v>40749</v>
      </c>
      <c r="C2816" s="7">
        <v>275.19</v>
      </c>
      <c r="D2816" s="6">
        <f t="shared" si="90"/>
        <v>-0.65394917193767832</v>
      </c>
      <c r="E2816" s="6">
        <v>9.8210388476641141E-4</v>
      </c>
      <c r="F2816" s="6"/>
      <c r="G2816" s="6">
        <v>2809</v>
      </c>
      <c r="H2816" s="6">
        <f t="shared" ca="1" si="91"/>
        <v>1.5827779462031091E-2</v>
      </c>
    </row>
    <row r="2817" spans="2:8" x14ac:dyDescent="0.3">
      <c r="B2817" s="4">
        <v>42426</v>
      </c>
      <c r="C2817" s="7">
        <v>795.23</v>
      </c>
      <c r="D2817" s="6">
        <f t="shared" si="90"/>
        <v>-0.70262771156873671</v>
      </c>
      <c r="E2817" s="6">
        <v>9.8181131600474881E-4</v>
      </c>
      <c r="F2817" s="6"/>
      <c r="G2817" s="6">
        <v>2810</v>
      </c>
      <c r="H2817" s="6">
        <f t="shared" ca="1" si="91"/>
        <v>9.3609966245825037E-3</v>
      </c>
    </row>
    <row r="2818" spans="2:8" x14ac:dyDescent="0.3">
      <c r="B2818" s="4">
        <v>44736</v>
      </c>
      <c r="C2818" s="5">
        <v>2674.19</v>
      </c>
      <c r="D2818" s="6">
        <f t="shared" si="90"/>
        <v>-6.5674176146686358E-2</v>
      </c>
      <c r="E2818" s="6">
        <v>9.7694996968091061E-4</v>
      </c>
      <c r="F2818" s="6"/>
      <c r="G2818" s="6">
        <v>2811</v>
      </c>
      <c r="H2818" s="6">
        <f t="shared" ca="1" si="91"/>
        <v>-1.5015150878733513E-2</v>
      </c>
    </row>
    <row r="2819" spans="2:8" x14ac:dyDescent="0.3">
      <c r="B2819" s="4">
        <v>44420</v>
      </c>
      <c r="C2819" s="5">
        <v>2862.16</v>
      </c>
      <c r="D2819" s="6">
        <f t="shared" si="90"/>
        <v>2.0248995983935738</v>
      </c>
      <c r="E2819" s="6">
        <v>9.7573941112901223E-4</v>
      </c>
      <c r="F2819" s="6"/>
      <c r="G2819" s="6">
        <v>2812</v>
      </c>
      <c r="H2819" s="6">
        <f t="shared" ca="1" si="91"/>
        <v>2.7005944249824224E-2</v>
      </c>
    </row>
    <row r="2820" spans="2:8" x14ac:dyDescent="0.3">
      <c r="B2820" s="4">
        <v>42527</v>
      </c>
      <c r="C2820" s="7">
        <v>946.2</v>
      </c>
      <c r="D2820" s="6">
        <f t="shared" si="90"/>
        <v>29.61145260433517</v>
      </c>
      <c r="E2820" s="6">
        <v>9.732566012187635E-4</v>
      </c>
      <c r="F2820" s="6"/>
      <c r="G2820" s="6">
        <v>2813</v>
      </c>
      <c r="H2820" s="6">
        <f t="shared" ca="1" si="91"/>
        <v>1.3368472033310746E-2</v>
      </c>
    </row>
    <row r="2821" spans="2:8" x14ac:dyDescent="0.3">
      <c r="B2821" s="4">
        <v>38512</v>
      </c>
      <c r="C2821" s="7">
        <v>30.91</v>
      </c>
      <c r="D2821" s="6">
        <f t="shared" si="90"/>
        <v>-0.99001376297952359</v>
      </c>
      <c r="E2821" s="6">
        <v>9.7150259067361197E-4</v>
      </c>
      <c r="F2821" s="6"/>
      <c r="G2821" s="6">
        <v>2814</v>
      </c>
      <c r="H2821" s="6">
        <f t="shared" ca="1" si="91"/>
        <v>1.5749976812566738E-2</v>
      </c>
    </row>
    <row r="2822" spans="2:8" x14ac:dyDescent="0.3">
      <c r="B2822" s="4">
        <v>45203</v>
      </c>
      <c r="C2822" s="5">
        <v>3095.26</v>
      </c>
      <c r="D2822" s="6">
        <f t="shared" si="90"/>
        <v>6.2288757064785845</v>
      </c>
      <c r="E2822" s="6">
        <v>9.6369022210149725E-4</v>
      </c>
      <c r="F2822" s="6"/>
      <c r="G2822" s="6">
        <v>2815</v>
      </c>
      <c r="H2822" s="6">
        <f t="shared" ca="1" si="91"/>
        <v>-6.8544583710204287E-3</v>
      </c>
    </row>
    <row r="2823" spans="2:8" x14ac:dyDescent="0.3">
      <c r="B2823" s="4">
        <v>41687</v>
      </c>
      <c r="C2823" s="7">
        <v>428.18</v>
      </c>
      <c r="D2823" s="6">
        <f t="shared" si="90"/>
        <v>-0.86594952679412807</v>
      </c>
      <c r="E2823" s="6">
        <v>9.5845898496861636E-4</v>
      </c>
      <c r="F2823" s="6"/>
      <c r="G2823" s="6">
        <v>2816</v>
      </c>
      <c r="H2823" s="6">
        <f t="shared" ca="1" si="91"/>
        <v>1.423930136132346E-2</v>
      </c>
    </row>
    <row r="2824" spans="2:8" x14ac:dyDescent="0.3">
      <c r="B2824" s="4">
        <v>44462</v>
      </c>
      <c r="C2824" s="5">
        <v>3194.17</v>
      </c>
      <c r="D2824" s="6">
        <f t="shared" ref="D2824:D2887" si="92">((C2824-C2825)/C2825)</f>
        <v>8.1675850984444054</v>
      </c>
      <c r="E2824" s="6">
        <v>9.495039390312554E-4</v>
      </c>
      <c r="F2824" s="6"/>
      <c r="G2824" s="6">
        <v>2817</v>
      </c>
      <c r="H2824" s="6">
        <f t="shared" ca="1" si="91"/>
        <v>3.6356482286751274E-3</v>
      </c>
    </row>
    <row r="2825" spans="2:8" x14ac:dyDescent="0.3">
      <c r="B2825" s="4">
        <v>41194</v>
      </c>
      <c r="C2825" s="7">
        <v>348.42</v>
      </c>
      <c r="D2825" s="6">
        <f t="shared" si="92"/>
        <v>-0.44909479010198439</v>
      </c>
      <c r="E2825" s="6">
        <v>9.4803068172036244E-4</v>
      </c>
      <c r="F2825" s="6"/>
      <c r="G2825" s="6">
        <v>2818</v>
      </c>
      <c r="H2825" s="6">
        <f t="shared" ref="H2825:H2888" ca="1" si="93">_xlfn.NORM.INV(RAND(),N$10,N$11)</f>
        <v>-1.1184769509071081E-2</v>
      </c>
    </row>
    <row r="2826" spans="2:8" x14ac:dyDescent="0.3">
      <c r="B2826" s="4">
        <v>41968</v>
      </c>
      <c r="C2826" s="7">
        <v>632.45000000000005</v>
      </c>
      <c r="D2826" s="6">
        <f t="shared" si="92"/>
        <v>1.2538398489006095</v>
      </c>
      <c r="E2826" s="6">
        <v>9.337511474061213E-4</v>
      </c>
      <c r="F2826" s="6"/>
      <c r="G2826" s="6">
        <v>2819</v>
      </c>
      <c r="H2826" s="6">
        <f t="shared" ca="1" si="93"/>
        <v>8.267440939131147E-3</v>
      </c>
    </row>
    <row r="2827" spans="2:8" x14ac:dyDescent="0.3">
      <c r="B2827" s="4">
        <v>40828</v>
      </c>
      <c r="C2827" s="7">
        <v>280.61</v>
      </c>
      <c r="D2827" s="6">
        <f t="shared" si="92"/>
        <v>-0.69237093962748164</v>
      </c>
      <c r="E2827" s="6">
        <v>9.2741216336718704E-4</v>
      </c>
      <c r="F2827" s="6"/>
      <c r="G2827" s="6">
        <v>2820</v>
      </c>
      <c r="H2827" s="6">
        <f t="shared" ca="1" si="93"/>
        <v>-2.53834016128314E-2</v>
      </c>
    </row>
    <row r="2828" spans="2:8" x14ac:dyDescent="0.3">
      <c r="B2828" s="4">
        <v>42781</v>
      </c>
      <c r="C2828" s="7">
        <v>912.17</v>
      </c>
      <c r="D2828" s="6">
        <f t="shared" si="92"/>
        <v>-0.68318630175048622</v>
      </c>
      <c r="E2828" s="6">
        <v>9.1074681238607674E-4</v>
      </c>
      <c r="F2828" s="6"/>
      <c r="G2828" s="6">
        <v>2821</v>
      </c>
      <c r="H2828" s="6">
        <f t="shared" ca="1" si="93"/>
        <v>-1.0090781904398133E-2</v>
      </c>
    </row>
    <row r="2829" spans="2:8" x14ac:dyDescent="0.3">
      <c r="B2829" s="4">
        <v>45985</v>
      </c>
      <c r="C2829" s="5">
        <v>2879.2</v>
      </c>
      <c r="D2829" s="6">
        <f t="shared" si="92"/>
        <v>5.824365963498459</v>
      </c>
      <c r="E2829" s="6">
        <v>9.0384481679757673E-4</v>
      </c>
      <c r="F2829" s="6"/>
      <c r="G2829" s="6">
        <v>2822</v>
      </c>
      <c r="H2829" s="6">
        <f t="shared" ca="1" si="93"/>
        <v>1.4555855292765011E-2</v>
      </c>
    </row>
    <row r="2830" spans="2:8" x14ac:dyDescent="0.3">
      <c r="B2830" s="4">
        <v>41463</v>
      </c>
      <c r="C2830" s="7">
        <v>421.9</v>
      </c>
      <c r="D2830" s="6">
        <f t="shared" si="92"/>
        <v>-0.68426094310111285</v>
      </c>
      <c r="E2830" s="6">
        <v>9.0149933573732081E-4</v>
      </c>
      <c r="F2830" s="6"/>
      <c r="G2830" s="6">
        <v>2823</v>
      </c>
      <c r="H2830" s="6">
        <f t="shared" ca="1" si="93"/>
        <v>-1.765319361122648E-2</v>
      </c>
    </row>
    <row r="2831" spans="2:8" x14ac:dyDescent="0.3">
      <c r="B2831" s="4">
        <v>43322</v>
      </c>
      <c r="C2831" s="5">
        <v>1336.23</v>
      </c>
      <c r="D2831" s="6">
        <f t="shared" si="92"/>
        <v>57.709578207381369</v>
      </c>
      <c r="E2831" s="6">
        <v>8.8386202763946202E-4</v>
      </c>
      <c r="F2831" s="6"/>
      <c r="G2831" s="6">
        <v>2824</v>
      </c>
      <c r="H2831" s="6">
        <f t="shared" ca="1" si="93"/>
        <v>2.1960300370374781E-2</v>
      </c>
    </row>
    <row r="2832" spans="2:8" x14ac:dyDescent="0.3">
      <c r="B2832" s="4">
        <v>37867</v>
      </c>
      <c r="C2832" s="7">
        <v>22.76</v>
      </c>
      <c r="D2832" s="6">
        <f t="shared" si="92"/>
        <v>-0.98958924160644035</v>
      </c>
      <c r="E2832" s="6">
        <v>8.7950747581368193E-4</v>
      </c>
      <c r="F2832" s="6"/>
      <c r="G2832" s="6">
        <v>2825</v>
      </c>
      <c r="H2832" s="6">
        <f t="shared" ca="1" si="93"/>
        <v>-4.7011485291831192E-4</v>
      </c>
    </row>
    <row r="2833" spans="2:8" x14ac:dyDescent="0.3">
      <c r="B2833" s="4">
        <v>46119</v>
      </c>
      <c r="C2833" s="5">
        <v>2186.1999999999998</v>
      </c>
      <c r="D2833" s="6">
        <f t="shared" si="92"/>
        <v>3.6334484878028102</v>
      </c>
      <c r="E2833" s="6">
        <v>8.6984388591294058E-4</v>
      </c>
      <c r="F2833" s="6"/>
      <c r="G2833" s="6">
        <v>2826</v>
      </c>
      <c r="H2833" s="6">
        <f t="shared" ca="1" si="93"/>
        <v>1.2685614414003975E-2</v>
      </c>
    </row>
    <row r="2834" spans="2:8" x14ac:dyDescent="0.3">
      <c r="B2834" s="4">
        <v>41571</v>
      </c>
      <c r="C2834" s="7">
        <v>471.83</v>
      </c>
      <c r="D2834" s="6">
        <f t="shared" si="92"/>
        <v>19.425541125541123</v>
      </c>
      <c r="E2834" s="6">
        <v>8.6971278265658681E-4</v>
      </c>
      <c r="F2834" s="6"/>
      <c r="G2834" s="6">
        <v>2827</v>
      </c>
      <c r="H2834" s="6">
        <f t="shared" ca="1" si="93"/>
        <v>4.7140799175554842E-3</v>
      </c>
    </row>
    <row r="2835" spans="2:8" x14ac:dyDescent="0.3">
      <c r="B2835" s="4">
        <v>37888</v>
      </c>
      <c r="C2835" s="7">
        <v>23.1</v>
      </c>
      <c r="D2835" s="6">
        <f t="shared" si="92"/>
        <v>-0.98641815616180628</v>
      </c>
      <c r="E2835" s="6">
        <v>8.6655112651659995E-4</v>
      </c>
      <c r="F2835" s="6"/>
      <c r="G2835" s="6">
        <v>2828</v>
      </c>
      <c r="H2835" s="6">
        <f t="shared" ca="1" si="93"/>
        <v>-1.2476168382776423E-2</v>
      </c>
    </row>
    <row r="2836" spans="2:8" x14ac:dyDescent="0.3">
      <c r="B2836" s="4">
        <v>43857</v>
      </c>
      <c r="C2836" s="5">
        <v>1700.8</v>
      </c>
      <c r="D2836" s="6">
        <f t="shared" si="92"/>
        <v>28.253525971792222</v>
      </c>
      <c r="E2836" s="6">
        <v>8.6504681256732198E-4</v>
      </c>
      <c r="F2836" s="6"/>
      <c r="G2836" s="6">
        <v>2829</v>
      </c>
      <c r="H2836" s="6">
        <f t="shared" ca="1" si="93"/>
        <v>9.0812425520315539E-3</v>
      </c>
    </row>
    <row r="2837" spans="2:8" x14ac:dyDescent="0.3">
      <c r="B2837" s="4">
        <v>39062</v>
      </c>
      <c r="C2837" s="7">
        <v>58.14</v>
      </c>
      <c r="D2837" s="6">
        <f t="shared" si="92"/>
        <v>1.4963503649635037</v>
      </c>
      <c r="E2837" s="6">
        <v>8.6073334480972897E-4</v>
      </c>
      <c r="F2837" s="6"/>
      <c r="G2837" s="6">
        <v>2830</v>
      </c>
      <c r="H2837" s="6">
        <f t="shared" ca="1" si="93"/>
        <v>1.1752635258067051E-2</v>
      </c>
    </row>
    <row r="2838" spans="2:8" x14ac:dyDescent="0.3">
      <c r="B2838" s="4">
        <v>38303</v>
      </c>
      <c r="C2838" s="7">
        <v>23.29</v>
      </c>
      <c r="D2838" s="6">
        <f t="shared" si="92"/>
        <v>-1.2864493996569955E-3</v>
      </c>
      <c r="E2838" s="6">
        <v>8.5947571981089704E-4</v>
      </c>
      <c r="F2838" s="6"/>
      <c r="G2838" s="6">
        <v>2831</v>
      </c>
      <c r="H2838" s="6">
        <f t="shared" ca="1" si="93"/>
        <v>-7.7207935253742702E-3</v>
      </c>
    </row>
    <row r="2839" spans="2:8" x14ac:dyDescent="0.3">
      <c r="B2839" s="4">
        <v>38083</v>
      </c>
      <c r="C2839" s="7">
        <v>23.32</v>
      </c>
      <c r="D2839" s="6">
        <f t="shared" si="92"/>
        <v>-0.77794705770329453</v>
      </c>
      <c r="E2839" s="6">
        <v>8.5836909871242798E-4</v>
      </c>
      <c r="F2839" s="6"/>
      <c r="G2839" s="6">
        <v>2832</v>
      </c>
      <c r="H2839" s="6">
        <f t="shared" ca="1" si="93"/>
        <v>-2.3562161345824641E-2</v>
      </c>
    </row>
    <row r="2840" spans="2:8" x14ac:dyDescent="0.3">
      <c r="B2840" s="4">
        <v>39666</v>
      </c>
      <c r="C2840" s="7">
        <v>105.02</v>
      </c>
      <c r="D2840" s="6">
        <f t="shared" si="92"/>
        <v>3.4918733960650128</v>
      </c>
      <c r="E2840" s="6">
        <v>8.5771466692070137E-4</v>
      </c>
      <c r="F2840" s="6"/>
      <c r="G2840" s="6">
        <v>2833</v>
      </c>
      <c r="H2840" s="6">
        <f t="shared" ca="1" si="93"/>
        <v>-1.584324015125228E-2</v>
      </c>
    </row>
    <row r="2841" spans="2:8" x14ac:dyDescent="0.3">
      <c r="B2841" s="4">
        <v>38096</v>
      </c>
      <c r="C2841" s="7">
        <v>23.38</v>
      </c>
      <c r="D2841" s="6">
        <f t="shared" si="92"/>
        <v>-0.86820001127459268</v>
      </c>
      <c r="E2841" s="6">
        <v>8.5616438356162557E-4</v>
      </c>
      <c r="F2841" s="6"/>
      <c r="G2841" s="6">
        <v>2834</v>
      </c>
      <c r="H2841" s="6">
        <f t="shared" ca="1" si="93"/>
        <v>9.5841622426208421E-3</v>
      </c>
    </row>
    <row r="2842" spans="2:8" x14ac:dyDescent="0.3">
      <c r="B2842" s="4">
        <v>40275</v>
      </c>
      <c r="C2842" s="7">
        <v>177.39</v>
      </c>
      <c r="D2842" s="6">
        <f t="shared" si="92"/>
        <v>-0.58548895899053632</v>
      </c>
      <c r="E2842" s="6">
        <v>8.4631008801612083E-4</v>
      </c>
      <c r="F2842" s="6"/>
      <c r="G2842" s="6">
        <v>2835</v>
      </c>
      <c r="H2842" s="6">
        <f t="shared" ca="1" si="93"/>
        <v>1.6059986860508042E-2</v>
      </c>
    </row>
    <row r="2843" spans="2:8" x14ac:dyDescent="0.3">
      <c r="B2843" s="4">
        <v>41662</v>
      </c>
      <c r="C2843" s="7">
        <v>427.95</v>
      </c>
      <c r="D2843" s="6">
        <f t="shared" si="92"/>
        <v>6.1755533199195174</v>
      </c>
      <c r="E2843" s="6">
        <v>8.4192801515473622E-4</v>
      </c>
      <c r="F2843" s="6"/>
      <c r="G2843" s="6">
        <v>2836</v>
      </c>
      <c r="H2843" s="6">
        <f t="shared" ca="1" si="93"/>
        <v>1.9844750774677501E-2</v>
      </c>
    </row>
    <row r="2844" spans="2:8" x14ac:dyDescent="0.3">
      <c r="B2844" s="4">
        <v>39092</v>
      </c>
      <c r="C2844" s="7">
        <v>59.64</v>
      </c>
      <c r="D2844" s="6">
        <f t="shared" si="92"/>
        <v>0.2445742904841402</v>
      </c>
      <c r="E2844" s="6">
        <v>8.3906695754316419E-4</v>
      </c>
      <c r="F2844" s="6"/>
      <c r="G2844" s="6">
        <v>2837</v>
      </c>
      <c r="H2844" s="6">
        <f t="shared" ca="1" si="93"/>
        <v>-8.0066229016098316E-3</v>
      </c>
    </row>
    <row r="2845" spans="2:8" x14ac:dyDescent="0.3">
      <c r="B2845" s="4">
        <v>38919</v>
      </c>
      <c r="C2845" s="7">
        <v>47.92</v>
      </c>
      <c r="D2845" s="6">
        <f t="shared" si="92"/>
        <v>-0.88891722107605642</v>
      </c>
      <c r="E2845" s="6">
        <v>8.3542188805344917E-4</v>
      </c>
      <c r="F2845" s="6"/>
      <c r="G2845" s="6">
        <v>2838</v>
      </c>
      <c r="H2845" s="6">
        <f t="shared" ca="1" si="93"/>
        <v>-9.458733759529131E-3</v>
      </c>
    </row>
    <row r="2846" spans="2:8" x14ac:dyDescent="0.3">
      <c r="B2846" s="4">
        <v>41667</v>
      </c>
      <c r="C2846" s="7">
        <v>431.39</v>
      </c>
      <c r="D2846" s="6">
        <f t="shared" si="92"/>
        <v>-0.84676726128314972</v>
      </c>
      <c r="E2846" s="6">
        <v>8.3520868617036786E-4</v>
      </c>
      <c r="F2846" s="6"/>
      <c r="G2846" s="6">
        <v>2839</v>
      </c>
      <c r="H2846" s="6">
        <f t="shared" ca="1" si="93"/>
        <v>1.4344630007011276E-2</v>
      </c>
    </row>
    <row r="2847" spans="2:8" x14ac:dyDescent="0.3">
      <c r="B2847" s="4">
        <v>45044</v>
      </c>
      <c r="C2847" s="5">
        <v>2815.26</v>
      </c>
      <c r="D2847" s="6">
        <f t="shared" si="92"/>
        <v>115.42928039702235</v>
      </c>
      <c r="E2847" s="6">
        <v>8.2831780385590195E-4</v>
      </c>
      <c r="F2847" s="6"/>
      <c r="G2847" s="6">
        <v>2840</v>
      </c>
      <c r="H2847" s="6">
        <f t="shared" ca="1" si="93"/>
        <v>9.4806647543411414E-3</v>
      </c>
    </row>
    <row r="2848" spans="2:8" x14ac:dyDescent="0.3">
      <c r="B2848" s="4">
        <v>38194</v>
      </c>
      <c r="C2848" s="7">
        <v>24.18</v>
      </c>
      <c r="D2848" s="6">
        <f t="shared" si="92"/>
        <v>-8.2644628099171795E-4</v>
      </c>
      <c r="E2848" s="6">
        <v>8.2781456953640617E-4</v>
      </c>
      <c r="F2848" s="6"/>
      <c r="G2848" s="6">
        <v>2841</v>
      </c>
      <c r="H2848" s="6">
        <f t="shared" ca="1" si="93"/>
        <v>3.2723720516346956E-2</v>
      </c>
    </row>
    <row r="2849" spans="2:8" x14ac:dyDescent="0.3">
      <c r="B2849" s="4">
        <v>38175</v>
      </c>
      <c r="C2849" s="7">
        <v>24.2</v>
      </c>
      <c r="D2849" s="6">
        <f t="shared" si="92"/>
        <v>-4.1305245766218762E-4</v>
      </c>
      <c r="E2849" s="6">
        <v>8.2712985938790623E-4</v>
      </c>
      <c r="F2849" s="6"/>
      <c r="G2849" s="6">
        <v>2842</v>
      </c>
      <c r="H2849" s="6">
        <f t="shared" ca="1" si="93"/>
        <v>1.1268328118605196E-2</v>
      </c>
    </row>
    <row r="2850" spans="2:8" x14ac:dyDescent="0.3">
      <c r="B2850" s="4">
        <v>38224</v>
      </c>
      <c r="C2850" s="7">
        <v>24.21</v>
      </c>
      <c r="D2850" s="6">
        <f t="shared" si="92"/>
        <v>-0.99155887172692725</v>
      </c>
      <c r="E2850" s="6">
        <v>8.2678792889622041E-4</v>
      </c>
      <c r="F2850" s="6"/>
      <c r="G2850" s="6">
        <v>2843</v>
      </c>
      <c r="H2850" s="6">
        <f t="shared" ca="1" si="93"/>
        <v>-1.5985829151720417E-2</v>
      </c>
    </row>
    <row r="2851" spans="2:8" x14ac:dyDescent="0.3">
      <c r="B2851" s="4">
        <v>45418</v>
      </c>
      <c r="C2851" s="5">
        <v>2868.1</v>
      </c>
      <c r="D2851" s="6">
        <f t="shared" si="92"/>
        <v>115.87449062754686</v>
      </c>
      <c r="E2851" s="6">
        <v>8.1653732343241951E-4</v>
      </c>
      <c r="F2851" s="6"/>
      <c r="G2851" s="6">
        <v>2844</v>
      </c>
      <c r="H2851" s="6">
        <f t="shared" ca="1" si="93"/>
        <v>1.9718370510605878E-3</v>
      </c>
    </row>
    <row r="2852" spans="2:8" x14ac:dyDescent="0.3">
      <c r="B2852" s="4">
        <v>38163</v>
      </c>
      <c r="C2852" s="7">
        <v>24.54</v>
      </c>
      <c r="D2852" s="6">
        <f t="shared" si="92"/>
        <v>-8.1433224755698595E-4</v>
      </c>
      <c r="E2852" s="6">
        <v>8.1566068515495811E-4</v>
      </c>
      <c r="F2852" s="6"/>
      <c r="G2852" s="6">
        <v>2845</v>
      </c>
      <c r="H2852" s="6">
        <f t="shared" ca="1" si="93"/>
        <v>-1.3789698889722077E-2</v>
      </c>
    </row>
    <row r="2853" spans="2:8" x14ac:dyDescent="0.3">
      <c r="B2853" s="4">
        <v>38177</v>
      </c>
      <c r="C2853" s="7">
        <v>24.56</v>
      </c>
      <c r="D2853" s="6">
        <f t="shared" si="92"/>
        <v>-0.89028367210185388</v>
      </c>
      <c r="E2853" s="6">
        <v>8.1499592502035751E-4</v>
      </c>
      <c r="F2853" s="6"/>
      <c r="G2853" s="6">
        <v>2846</v>
      </c>
      <c r="H2853" s="6">
        <f t="shared" ca="1" si="93"/>
        <v>-1.054114123822516E-2</v>
      </c>
    </row>
    <row r="2854" spans="2:8" x14ac:dyDescent="0.3">
      <c r="B2854" s="4">
        <v>40640</v>
      </c>
      <c r="C2854" s="7">
        <v>223.85</v>
      </c>
      <c r="D2854" s="6">
        <f t="shared" si="92"/>
        <v>-0.79779594417596311</v>
      </c>
      <c r="E2854" s="6">
        <v>8.0475700809230939E-4</v>
      </c>
      <c r="F2854" s="6"/>
      <c r="G2854" s="6">
        <v>2847</v>
      </c>
      <c r="H2854" s="6">
        <f t="shared" ca="1" si="93"/>
        <v>9.2103356974962622E-3</v>
      </c>
    </row>
    <row r="2855" spans="2:8" x14ac:dyDescent="0.3">
      <c r="B2855" s="4">
        <v>43039</v>
      </c>
      <c r="C2855" s="5">
        <v>1107.05</v>
      </c>
      <c r="D2855" s="6">
        <f t="shared" si="92"/>
        <v>1.7760224679655958</v>
      </c>
      <c r="E2855" s="6">
        <v>8.0458523179275385E-4</v>
      </c>
      <c r="F2855" s="6"/>
      <c r="G2855" s="6">
        <v>2848</v>
      </c>
      <c r="H2855" s="6">
        <f t="shared" ca="1" si="93"/>
        <v>-3.5552489428604013E-2</v>
      </c>
    </row>
    <row r="2856" spans="2:8" x14ac:dyDescent="0.3">
      <c r="B2856" s="4">
        <v>41534</v>
      </c>
      <c r="C2856" s="7">
        <v>398.79</v>
      </c>
      <c r="D2856" s="6">
        <f t="shared" si="92"/>
        <v>-0.63950534698932415</v>
      </c>
      <c r="E2856" s="6">
        <v>8.0307174944159703E-4</v>
      </c>
      <c r="F2856" s="6"/>
      <c r="G2856" s="6">
        <v>2849</v>
      </c>
      <c r="H2856" s="6">
        <f t="shared" ca="1" si="93"/>
        <v>-8.4464945454505377E-3</v>
      </c>
    </row>
    <row r="2857" spans="2:8" x14ac:dyDescent="0.3">
      <c r="B2857" s="4">
        <v>42641</v>
      </c>
      <c r="C2857" s="5">
        <v>1106.23</v>
      </c>
      <c r="D2857" s="6">
        <f t="shared" si="92"/>
        <v>-0.15626453920723654</v>
      </c>
      <c r="E2857" s="6">
        <v>7.9612792328231713E-4</v>
      </c>
      <c r="F2857" s="6"/>
      <c r="G2857" s="6">
        <v>2850</v>
      </c>
      <c r="H2857" s="6">
        <f t="shared" ca="1" si="93"/>
        <v>-9.5594666725830925E-3</v>
      </c>
    </row>
    <row r="2858" spans="2:8" x14ac:dyDescent="0.3">
      <c r="B2858" s="4">
        <v>43635</v>
      </c>
      <c r="C2858" s="5">
        <v>1311.11</v>
      </c>
      <c r="D2858" s="6">
        <f t="shared" si="92"/>
        <v>11.965882120253163</v>
      </c>
      <c r="E2858" s="6">
        <v>7.9385071026736253E-4</v>
      </c>
      <c r="F2858" s="6"/>
      <c r="G2858" s="6">
        <v>2851</v>
      </c>
      <c r="H2858" s="6">
        <f t="shared" ca="1" si="93"/>
        <v>-2.4397847223583666E-2</v>
      </c>
    </row>
    <row r="2859" spans="2:8" x14ac:dyDescent="0.3">
      <c r="B2859" s="4">
        <v>39554</v>
      </c>
      <c r="C2859" s="7">
        <v>101.12</v>
      </c>
      <c r="D2859" s="6">
        <f t="shared" si="92"/>
        <v>-0.80490816484025318</v>
      </c>
      <c r="E2859" s="6">
        <v>7.9176563737132113E-4</v>
      </c>
      <c r="F2859" s="6"/>
      <c r="G2859" s="6">
        <v>2852</v>
      </c>
      <c r="H2859" s="6">
        <f t="shared" ca="1" si="93"/>
        <v>5.2671565357290907E-3</v>
      </c>
    </row>
    <row r="2860" spans="2:8" x14ac:dyDescent="0.3">
      <c r="B2860" s="4">
        <v>41810</v>
      </c>
      <c r="C2860" s="7">
        <v>518.32000000000005</v>
      </c>
      <c r="D2860" s="6">
        <f t="shared" si="92"/>
        <v>-0.69241177133836962</v>
      </c>
      <c r="E2860" s="6">
        <v>7.9164333571485758E-4</v>
      </c>
      <c r="F2860" s="6"/>
      <c r="G2860" s="6">
        <v>2853</v>
      </c>
      <c r="H2860" s="6">
        <f t="shared" ca="1" si="93"/>
        <v>2.4838404568628097E-2</v>
      </c>
    </row>
    <row r="2861" spans="2:8" x14ac:dyDescent="0.3">
      <c r="B2861" s="4">
        <v>43783</v>
      </c>
      <c r="C2861" s="5">
        <v>1685.11</v>
      </c>
      <c r="D2861" s="6">
        <f t="shared" si="92"/>
        <v>-0.24702291850057864</v>
      </c>
      <c r="E2861" s="6">
        <v>7.8988941548178938E-4</v>
      </c>
      <c r="F2861" s="6"/>
      <c r="G2861" s="6">
        <v>2854</v>
      </c>
      <c r="H2861" s="6">
        <f t="shared" ca="1" si="93"/>
        <v>2.5222103465132314E-2</v>
      </c>
    </row>
    <row r="2862" spans="2:8" x14ac:dyDescent="0.3">
      <c r="B2862" s="4">
        <v>45679</v>
      </c>
      <c r="C2862" s="5">
        <v>2237.9299999999998</v>
      </c>
      <c r="D2862" s="6">
        <f t="shared" si="92"/>
        <v>41.546197718631177</v>
      </c>
      <c r="E2862" s="6">
        <v>7.7363384312674108E-4</v>
      </c>
      <c r="F2862" s="6"/>
      <c r="G2862" s="6">
        <v>2855</v>
      </c>
      <c r="H2862" s="6">
        <f t="shared" ca="1" si="93"/>
        <v>5.4192969792304741E-3</v>
      </c>
    </row>
    <row r="2863" spans="2:8" x14ac:dyDescent="0.3">
      <c r="B2863" s="4">
        <v>38845</v>
      </c>
      <c r="C2863" s="7">
        <v>52.6</v>
      </c>
      <c r="D2863" s="6">
        <f t="shared" si="92"/>
        <v>-0.98239854905149604</v>
      </c>
      <c r="E2863" s="6">
        <v>7.6103500761033377E-4</v>
      </c>
      <c r="F2863" s="6"/>
      <c r="G2863" s="6">
        <v>2856</v>
      </c>
      <c r="H2863" s="6">
        <f t="shared" ca="1" si="93"/>
        <v>-3.5225008857912897E-3</v>
      </c>
    </row>
    <row r="2864" spans="2:8" x14ac:dyDescent="0.3">
      <c r="B2864" s="4">
        <v>45518</v>
      </c>
      <c r="C2864" s="5">
        <v>2988.39</v>
      </c>
      <c r="D2864" s="6">
        <f t="shared" si="92"/>
        <v>0.34538832438175582</v>
      </c>
      <c r="E2864" s="6">
        <v>7.6018378363896361E-4</v>
      </c>
      <c r="F2864" s="6"/>
      <c r="G2864" s="6">
        <v>2857</v>
      </c>
      <c r="H2864" s="6">
        <f t="shared" ca="1" si="93"/>
        <v>3.1050737065086908E-3</v>
      </c>
    </row>
    <row r="2865" spans="2:8" x14ac:dyDescent="0.3">
      <c r="B2865" s="4">
        <v>45814</v>
      </c>
      <c r="C2865" s="5">
        <v>2221.21</v>
      </c>
      <c r="D2865" s="6">
        <f t="shared" si="92"/>
        <v>4.7453506117275808</v>
      </c>
      <c r="E2865" s="6">
        <v>7.5691700495142487E-4</v>
      </c>
      <c r="F2865" s="6"/>
      <c r="G2865" s="6">
        <v>2858</v>
      </c>
      <c r="H2865" s="6">
        <f t="shared" ca="1" si="93"/>
        <v>-2.3034367147028625E-2</v>
      </c>
    </row>
    <row r="2866" spans="2:8" x14ac:dyDescent="0.3">
      <c r="B2866" s="4">
        <v>41253</v>
      </c>
      <c r="C2866" s="7">
        <v>386.61</v>
      </c>
      <c r="D2866" s="6">
        <f t="shared" si="92"/>
        <v>1.6351986912957535</v>
      </c>
      <c r="E2866" s="6">
        <v>7.5067301718787654E-4</v>
      </c>
      <c r="F2866" s="6"/>
      <c r="G2866" s="6">
        <v>2859</v>
      </c>
      <c r="H2866" s="6">
        <f t="shared" ca="1" si="93"/>
        <v>1.0504104822802082E-2</v>
      </c>
    </row>
    <row r="2867" spans="2:8" x14ac:dyDescent="0.3">
      <c r="B2867" s="4">
        <v>40137</v>
      </c>
      <c r="C2867" s="7">
        <v>146.71</v>
      </c>
      <c r="D2867" s="6">
        <f t="shared" si="92"/>
        <v>-0.69684884802148983</v>
      </c>
      <c r="E2867" s="6">
        <v>7.5034106412014763E-4</v>
      </c>
      <c r="F2867" s="6"/>
      <c r="G2867" s="6">
        <v>2860</v>
      </c>
      <c r="H2867" s="6">
        <f t="shared" ca="1" si="93"/>
        <v>-1.1349778268781511E-2</v>
      </c>
    </row>
    <row r="2868" spans="2:8" x14ac:dyDescent="0.3">
      <c r="B2868" s="4">
        <v>41745</v>
      </c>
      <c r="C2868" s="7">
        <v>483.95</v>
      </c>
      <c r="D2868" s="6">
        <f t="shared" si="92"/>
        <v>-0.82306530807731826</v>
      </c>
      <c r="E2868" s="6">
        <v>7.4443226700306804E-4</v>
      </c>
      <c r="F2868" s="6"/>
      <c r="G2868" s="6">
        <v>2861</v>
      </c>
      <c r="H2868" s="6">
        <f t="shared" ca="1" si="93"/>
        <v>3.226656669581919E-2</v>
      </c>
    </row>
    <row r="2869" spans="2:8" x14ac:dyDescent="0.3">
      <c r="B2869" s="4">
        <v>44707</v>
      </c>
      <c r="C2869" s="5">
        <v>2735.19</v>
      </c>
      <c r="D2869" s="6">
        <f t="shared" si="92"/>
        <v>-5.3331625872189661E-2</v>
      </c>
      <c r="E2869" s="6">
        <v>7.3906855409651862E-4</v>
      </c>
      <c r="F2869" s="6"/>
      <c r="G2869" s="6">
        <v>2862</v>
      </c>
      <c r="H2869" s="6">
        <f t="shared" ca="1" si="93"/>
        <v>-8.2248514108378187E-3</v>
      </c>
    </row>
    <row r="2870" spans="2:8" x14ac:dyDescent="0.3">
      <c r="B2870" s="4">
        <v>45334</v>
      </c>
      <c r="C2870" s="5">
        <v>2889.28</v>
      </c>
      <c r="D2870" s="6">
        <f t="shared" si="92"/>
        <v>9.3897299435434576</v>
      </c>
      <c r="E2870" s="6">
        <v>7.2735333439562613E-4</v>
      </c>
      <c r="F2870" s="6"/>
      <c r="G2870" s="6">
        <v>2863</v>
      </c>
      <c r="H2870" s="6">
        <f t="shared" ca="1" si="93"/>
        <v>1.3101068513480351E-2</v>
      </c>
    </row>
    <row r="2871" spans="2:8" x14ac:dyDescent="0.3">
      <c r="B2871" s="4">
        <v>40700</v>
      </c>
      <c r="C2871" s="7">
        <v>278.08999999999997</v>
      </c>
      <c r="D2871" s="6">
        <f t="shared" si="92"/>
        <v>-0.73684658768310696</v>
      </c>
      <c r="E2871" s="6">
        <v>7.1970923746802204E-4</v>
      </c>
      <c r="F2871" s="6"/>
      <c r="G2871" s="6">
        <v>2864</v>
      </c>
      <c r="H2871" s="6">
        <f t="shared" ca="1" si="93"/>
        <v>3.0449767458250523E-3</v>
      </c>
    </row>
    <row r="2872" spans="2:8" x14ac:dyDescent="0.3">
      <c r="B2872" s="4">
        <v>43152</v>
      </c>
      <c r="C2872" s="5">
        <v>1056.76</v>
      </c>
      <c r="D2872" s="6">
        <f t="shared" si="92"/>
        <v>-0.2181009670521557</v>
      </c>
      <c r="E2872" s="6">
        <v>7.1022054715390954E-4</v>
      </c>
      <c r="F2872" s="6"/>
      <c r="G2872" s="6">
        <v>2865</v>
      </c>
      <c r="H2872" s="6">
        <f t="shared" ca="1" si="93"/>
        <v>-1.3115695980807975E-2</v>
      </c>
    </row>
    <row r="2873" spans="2:8" x14ac:dyDescent="0.3">
      <c r="B2873" s="4">
        <v>43308</v>
      </c>
      <c r="C2873" s="5">
        <v>1351.53</v>
      </c>
      <c r="D2873" s="6">
        <f t="shared" si="92"/>
        <v>0.83025025729917101</v>
      </c>
      <c r="E2873" s="6">
        <v>6.9599212196155358E-4</v>
      </c>
      <c r="F2873" s="6"/>
      <c r="G2873" s="6">
        <v>2866</v>
      </c>
      <c r="H2873" s="6">
        <f t="shared" ca="1" si="93"/>
        <v>2.2811450714540084E-2</v>
      </c>
    </row>
    <row r="2874" spans="2:8" x14ac:dyDescent="0.3">
      <c r="B2874" s="4">
        <v>42324</v>
      </c>
      <c r="C2874" s="7">
        <v>738.44</v>
      </c>
      <c r="D2874" s="6">
        <f t="shared" si="92"/>
        <v>2.1717206425564819</v>
      </c>
      <c r="E2874" s="6">
        <v>6.9112246419051216E-4</v>
      </c>
      <c r="F2874" s="6"/>
      <c r="G2874" s="6">
        <v>2867</v>
      </c>
      <c r="H2874" s="6">
        <f t="shared" ca="1" si="93"/>
        <v>1.3499313164106136E-2</v>
      </c>
    </row>
    <row r="2875" spans="2:8" x14ac:dyDescent="0.3">
      <c r="B2875" s="4">
        <v>40464</v>
      </c>
      <c r="C2875" s="7">
        <v>232.82</v>
      </c>
      <c r="D2875" s="6">
        <f t="shared" si="92"/>
        <v>0.44348688697377397</v>
      </c>
      <c r="E2875" s="6">
        <v>6.8769878793087163E-4</v>
      </c>
      <c r="F2875" s="6"/>
      <c r="G2875" s="6">
        <v>2868</v>
      </c>
      <c r="H2875" s="6">
        <f t="shared" ca="1" si="93"/>
        <v>-5.7860750379069448E-3</v>
      </c>
    </row>
    <row r="2876" spans="2:8" x14ac:dyDescent="0.3">
      <c r="B2876" s="4">
        <v>40228</v>
      </c>
      <c r="C2876" s="7">
        <v>161.29</v>
      </c>
      <c r="D2876" s="6">
        <f t="shared" si="92"/>
        <v>-0.80250284692715546</v>
      </c>
      <c r="E2876" s="6">
        <v>6.8246680729609885E-4</v>
      </c>
      <c r="F2876" s="6"/>
      <c r="G2876" s="6">
        <v>2869</v>
      </c>
      <c r="H2876" s="6">
        <f t="shared" ca="1" si="93"/>
        <v>-2.5139686701835667E-2</v>
      </c>
    </row>
    <row r="2877" spans="2:8" x14ac:dyDescent="0.3">
      <c r="B2877" s="4">
        <v>42480</v>
      </c>
      <c r="C2877" s="7">
        <v>816.67</v>
      </c>
      <c r="D2877" s="6">
        <f t="shared" si="92"/>
        <v>2.2256497353661429</v>
      </c>
      <c r="E2877" s="6">
        <v>6.7392050188692172E-4</v>
      </c>
      <c r="F2877" s="6"/>
      <c r="G2877" s="6">
        <v>2870</v>
      </c>
      <c r="H2877" s="6">
        <f t="shared" ca="1" si="93"/>
        <v>-3.338819829295233E-2</v>
      </c>
    </row>
    <row r="2878" spans="2:8" x14ac:dyDescent="0.3">
      <c r="B2878" s="4">
        <v>40884</v>
      </c>
      <c r="C2878" s="7">
        <v>253.18</v>
      </c>
      <c r="D2878" s="6">
        <f t="shared" si="92"/>
        <v>-0.88570628890784908</v>
      </c>
      <c r="E2878" s="6">
        <v>6.7191020117788203E-4</v>
      </c>
      <c r="F2878" s="6"/>
      <c r="G2878" s="6">
        <v>2871</v>
      </c>
      <c r="H2878" s="6">
        <f t="shared" ca="1" si="93"/>
        <v>-1.6121276694878686E-2</v>
      </c>
    </row>
    <row r="2879" spans="2:8" x14ac:dyDescent="0.3">
      <c r="B2879" s="4">
        <v>45707</v>
      </c>
      <c r="C2879" s="5">
        <v>2215.17</v>
      </c>
      <c r="D2879" s="6">
        <f t="shared" si="92"/>
        <v>-8.8294851216199427E-2</v>
      </c>
      <c r="E2879" s="6">
        <v>6.685669628538857E-4</v>
      </c>
      <c r="F2879" s="6"/>
      <c r="G2879" s="6">
        <v>2872</v>
      </c>
      <c r="H2879" s="6">
        <f t="shared" ca="1" si="93"/>
        <v>8.1372391627663066E-3</v>
      </c>
    </row>
    <row r="2880" spans="2:8" x14ac:dyDescent="0.3">
      <c r="B2880" s="4">
        <v>46076</v>
      </c>
      <c r="C2880" s="5">
        <v>2429.6999999999998</v>
      </c>
      <c r="D2880" s="6">
        <f t="shared" si="92"/>
        <v>77.554801163918526</v>
      </c>
      <c r="E2880" s="6">
        <v>6.5895144351546856E-4</v>
      </c>
      <c r="F2880" s="6"/>
      <c r="G2880" s="6">
        <v>2873</v>
      </c>
      <c r="H2880" s="6">
        <f t="shared" ca="1" si="93"/>
        <v>-1.0172666595259046E-2</v>
      </c>
    </row>
    <row r="2881" spans="2:8" x14ac:dyDescent="0.3">
      <c r="B2881" s="4">
        <v>38455</v>
      </c>
      <c r="C2881" s="7">
        <v>30.93</v>
      </c>
      <c r="D2881" s="6">
        <f t="shared" si="92"/>
        <v>-0.97656463100469759</v>
      </c>
      <c r="E2881" s="6">
        <v>6.4703979294725242E-4</v>
      </c>
      <c r="F2881" s="6"/>
      <c r="G2881" s="6">
        <v>2874</v>
      </c>
      <c r="H2881" s="6">
        <f t="shared" ca="1" si="93"/>
        <v>-5.8489615499656149E-4</v>
      </c>
    </row>
    <row r="2882" spans="2:8" x14ac:dyDescent="0.3">
      <c r="B2882" s="4">
        <v>43517</v>
      </c>
      <c r="C2882" s="5">
        <v>1319.8</v>
      </c>
      <c r="D2882" s="6">
        <f t="shared" si="92"/>
        <v>-0.56029091829833455</v>
      </c>
      <c r="E2882" s="6">
        <v>6.4445202623291938E-4</v>
      </c>
      <c r="F2882" s="6"/>
      <c r="G2882" s="6">
        <v>2875</v>
      </c>
      <c r="H2882" s="6">
        <f t="shared" ca="1" si="93"/>
        <v>-2.0260932951032033E-2</v>
      </c>
    </row>
    <row r="2883" spans="2:8" x14ac:dyDescent="0.3">
      <c r="B2883" s="4">
        <v>45579</v>
      </c>
      <c r="C2883" s="5">
        <v>3001.53</v>
      </c>
      <c r="D2883" s="6">
        <f t="shared" si="92"/>
        <v>4.3594921791300631</v>
      </c>
      <c r="E2883" s="6">
        <v>6.4341912254977035E-4</v>
      </c>
      <c r="F2883" s="6"/>
      <c r="G2883" s="6">
        <v>2876</v>
      </c>
      <c r="H2883" s="6">
        <f t="shared" ca="1" si="93"/>
        <v>1.6297866289868158E-2</v>
      </c>
    </row>
    <row r="2884" spans="2:8" x14ac:dyDescent="0.3">
      <c r="B2884" s="4">
        <v>41863</v>
      </c>
      <c r="C2884" s="7">
        <v>560.04</v>
      </c>
      <c r="D2884" s="6">
        <f t="shared" si="92"/>
        <v>16.847036328871891</v>
      </c>
      <c r="E2884" s="6">
        <v>6.4322469982849785E-4</v>
      </c>
      <c r="F2884" s="6"/>
      <c r="G2884" s="6">
        <v>2877</v>
      </c>
      <c r="H2884" s="6">
        <f t="shared" ca="1" si="93"/>
        <v>-2.0772755499904413E-2</v>
      </c>
    </row>
    <row r="2885" spans="2:8" x14ac:dyDescent="0.3">
      <c r="B2885" s="4">
        <v>38499</v>
      </c>
      <c r="C2885" s="7">
        <v>31.38</v>
      </c>
      <c r="D2885" s="6">
        <f t="shared" si="92"/>
        <v>-0.98986663222139692</v>
      </c>
      <c r="E2885" s="6">
        <v>6.3775510204080272E-4</v>
      </c>
      <c r="F2885" s="6"/>
      <c r="G2885" s="6">
        <v>2878</v>
      </c>
      <c r="H2885" s="6">
        <f t="shared" ca="1" si="93"/>
        <v>-8.9388250514749589E-3</v>
      </c>
    </row>
    <row r="2886" spans="2:8" x14ac:dyDescent="0.3">
      <c r="B2886" s="4">
        <v>45310</v>
      </c>
      <c r="C2886" s="5">
        <v>3096.7</v>
      </c>
      <c r="D2886" s="6">
        <f t="shared" si="92"/>
        <v>2.0150817373694103</v>
      </c>
      <c r="E2886" s="6">
        <v>6.3333268707550122E-4</v>
      </c>
      <c r="F2886" s="6"/>
      <c r="G2886" s="6">
        <v>2879</v>
      </c>
      <c r="H2886" s="6">
        <f t="shared" ca="1" si="93"/>
        <v>8.9773393440032712E-3</v>
      </c>
    </row>
    <row r="2887" spans="2:8" x14ac:dyDescent="0.3">
      <c r="B2887" s="4">
        <v>42852</v>
      </c>
      <c r="C2887" s="5">
        <v>1027.07</v>
      </c>
      <c r="D2887" s="6">
        <f t="shared" si="92"/>
        <v>-7.9150042587528557E-2</v>
      </c>
      <c r="E2887" s="6">
        <v>6.3326903216993392E-4</v>
      </c>
      <c r="F2887" s="6"/>
      <c r="G2887" s="6">
        <v>2880</v>
      </c>
      <c r="H2887" s="6">
        <f t="shared" ca="1" si="93"/>
        <v>-1.5345864011984159E-2</v>
      </c>
    </row>
    <row r="2888" spans="2:8" x14ac:dyDescent="0.3">
      <c r="B2888" s="4">
        <v>43112</v>
      </c>
      <c r="C2888" s="5">
        <v>1115.3499999999999</v>
      </c>
      <c r="D2888" s="6">
        <f t="shared" ref="D2888:D2951" si="94">((C2888-C2889)/C2889)</f>
        <v>-5.0933937523415665E-3</v>
      </c>
      <c r="E2888" s="6">
        <v>6.2799982057131659E-4</v>
      </c>
      <c r="F2888" s="6"/>
      <c r="G2888" s="6">
        <v>2881</v>
      </c>
      <c r="H2888" s="6">
        <f t="shared" ca="1" si="93"/>
        <v>1.8863161451461292E-2</v>
      </c>
    </row>
    <row r="2889" spans="2:8" x14ac:dyDescent="0.3">
      <c r="B2889" s="4">
        <v>42649</v>
      </c>
      <c r="C2889" s="5">
        <v>1121.06</v>
      </c>
      <c r="D2889" s="6">
        <f t="shared" si="94"/>
        <v>-0.64403448330607904</v>
      </c>
      <c r="E2889" s="6">
        <v>6.2479917169485299E-4</v>
      </c>
      <c r="F2889" s="6"/>
      <c r="G2889" s="6">
        <v>2882</v>
      </c>
      <c r="H2889" s="6">
        <f t="shared" ref="H2889:H2952" ca="1" si="95">_xlfn.NORM.INV(RAND(),N$10,N$11)</f>
        <v>1.7216029693418087E-3</v>
      </c>
    </row>
    <row r="2890" spans="2:8" x14ac:dyDescent="0.3">
      <c r="B2890" s="4">
        <v>45175</v>
      </c>
      <c r="C2890" s="5">
        <v>3149.35</v>
      </c>
      <c r="D2890" s="6">
        <f t="shared" si="94"/>
        <v>193.64462299134735</v>
      </c>
      <c r="E2890" s="6">
        <v>6.1955900108019886E-4</v>
      </c>
      <c r="F2890" s="6"/>
      <c r="G2890" s="6">
        <v>2883</v>
      </c>
      <c r="H2890" s="6">
        <f t="shared" ca="1" si="95"/>
        <v>1.9550395757050497E-2</v>
      </c>
    </row>
    <row r="2891" spans="2:8" x14ac:dyDescent="0.3">
      <c r="B2891" s="4">
        <v>37663</v>
      </c>
      <c r="C2891" s="7">
        <v>16.18</v>
      </c>
      <c r="D2891" s="6">
        <f t="shared" si="94"/>
        <v>-0.80161844041196662</v>
      </c>
      <c r="E2891" s="6">
        <v>6.1842918985763817E-4</v>
      </c>
      <c r="F2891" s="6"/>
      <c r="G2891" s="6">
        <v>2884</v>
      </c>
      <c r="H2891" s="6">
        <f t="shared" ca="1" si="95"/>
        <v>-1.5539027501385782E-2</v>
      </c>
    </row>
    <row r="2892" spans="2:8" x14ac:dyDescent="0.3">
      <c r="B2892" s="4">
        <v>39756</v>
      </c>
      <c r="C2892" s="7">
        <v>81.56</v>
      </c>
      <c r="D2892" s="6">
        <f t="shared" si="94"/>
        <v>3.9671132764920825</v>
      </c>
      <c r="E2892" s="6">
        <v>6.1342166605321004E-4</v>
      </c>
      <c r="F2892" s="6"/>
      <c r="G2892" s="6">
        <v>2885</v>
      </c>
      <c r="H2892" s="6">
        <f t="shared" ca="1" si="95"/>
        <v>-3.467087573792489E-3</v>
      </c>
    </row>
    <row r="2893" spans="2:8" x14ac:dyDescent="0.3">
      <c r="B2893" s="4">
        <v>37585</v>
      </c>
      <c r="C2893" s="7">
        <v>16.420000000000002</v>
      </c>
      <c r="D2893" s="6">
        <f t="shared" si="94"/>
        <v>-1.8237082066867834E-3</v>
      </c>
      <c r="E2893" s="6">
        <v>6.0938452163324575E-4</v>
      </c>
      <c r="F2893" s="6"/>
      <c r="G2893" s="6">
        <v>2886</v>
      </c>
      <c r="H2893" s="6">
        <f t="shared" ca="1" si="95"/>
        <v>2.1089259938802077E-2</v>
      </c>
    </row>
    <row r="2894" spans="2:8" x14ac:dyDescent="0.3">
      <c r="B2894" s="4">
        <v>37630</v>
      </c>
      <c r="C2894" s="7">
        <v>16.45</v>
      </c>
      <c r="D2894" s="6">
        <f t="shared" si="94"/>
        <v>-0.97228960312647383</v>
      </c>
      <c r="E2894" s="6">
        <v>6.0827250608260397E-4</v>
      </c>
      <c r="F2894" s="6"/>
      <c r="G2894" s="6">
        <v>2887</v>
      </c>
      <c r="H2894" s="6">
        <f t="shared" ca="1" si="95"/>
        <v>7.5299647023613662E-3</v>
      </c>
    </row>
    <row r="2895" spans="2:8" x14ac:dyDescent="0.3">
      <c r="B2895" s="4">
        <v>41954</v>
      </c>
      <c r="C2895" s="7">
        <v>593.64</v>
      </c>
      <c r="D2895" s="6">
        <f t="shared" si="94"/>
        <v>34.761445783132523</v>
      </c>
      <c r="E2895" s="6">
        <v>6.0679611650487741E-4</v>
      </c>
      <c r="F2895" s="6"/>
      <c r="G2895" s="6">
        <v>2888</v>
      </c>
      <c r="H2895" s="6">
        <f t="shared" ca="1" si="95"/>
        <v>2.4435380136843602E-2</v>
      </c>
    </row>
    <row r="2896" spans="2:8" x14ac:dyDescent="0.3">
      <c r="B2896" s="4">
        <v>37496</v>
      </c>
      <c r="C2896" s="7">
        <v>16.600000000000001</v>
      </c>
      <c r="D2896" s="6">
        <f t="shared" si="94"/>
        <v>-1.8039687312085139E-3</v>
      </c>
      <c r="E2896" s="6">
        <v>6.0277275467158305E-4</v>
      </c>
      <c r="F2896" s="6"/>
      <c r="G2896" s="6">
        <v>2889</v>
      </c>
      <c r="H2896" s="6">
        <f t="shared" ca="1" si="95"/>
        <v>-6.0790382144863793E-3</v>
      </c>
    </row>
    <row r="2897" spans="2:8" x14ac:dyDescent="0.3">
      <c r="B2897" s="4">
        <v>37641</v>
      </c>
      <c r="C2897" s="7">
        <v>16.63</v>
      </c>
      <c r="D2897" s="6">
        <f t="shared" si="94"/>
        <v>-3.5949670461355465E-3</v>
      </c>
      <c r="E2897" s="6">
        <v>6.0168471720806313E-4</v>
      </c>
      <c r="F2897" s="6"/>
      <c r="G2897" s="6">
        <v>2890</v>
      </c>
      <c r="H2897" s="6">
        <f t="shared" ca="1" si="95"/>
        <v>1.6594243158366301E-2</v>
      </c>
    </row>
    <row r="2898" spans="2:8" x14ac:dyDescent="0.3">
      <c r="B2898" s="4">
        <v>37498</v>
      </c>
      <c r="C2898" s="7">
        <v>16.690000000000001</v>
      </c>
      <c r="D2898" s="6">
        <f t="shared" si="94"/>
        <v>-1.1968880909634693E-3</v>
      </c>
      <c r="E2898" s="6">
        <v>5.9952038369313931E-4</v>
      </c>
      <c r="F2898" s="6"/>
      <c r="G2898" s="6">
        <v>2891</v>
      </c>
      <c r="H2898" s="6">
        <f t="shared" ca="1" si="95"/>
        <v>-3.7091746573645307E-2</v>
      </c>
    </row>
    <row r="2899" spans="2:8" x14ac:dyDescent="0.3">
      <c r="B2899" s="4">
        <v>37545</v>
      </c>
      <c r="C2899" s="7">
        <v>16.71</v>
      </c>
      <c r="D2899" s="6">
        <f t="shared" si="94"/>
        <v>-0.7549134643590496</v>
      </c>
      <c r="E2899" s="6">
        <v>5.9880239520967451E-4</v>
      </c>
      <c r="F2899" s="6"/>
      <c r="G2899" s="6">
        <v>2892</v>
      </c>
      <c r="H2899" s="6">
        <f t="shared" ca="1" si="95"/>
        <v>-2.902990376177008E-2</v>
      </c>
    </row>
    <row r="2900" spans="2:8" x14ac:dyDescent="0.3">
      <c r="B2900" s="4">
        <v>39220</v>
      </c>
      <c r="C2900" s="7">
        <v>68.180000000000007</v>
      </c>
      <c r="D2900" s="6">
        <f t="shared" si="94"/>
        <v>-0.95556105954739801</v>
      </c>
      <c r="E2900" s="6">
        <v>5.8702670971538383E-4</v>
      </c>
      <c r="F2900" s="6"/>
      <c r="G2900" s="6">
        <v>2893</v>
      </c>
      <c r="H2900" s="6">
        <f t="shared" ca="1" si="95"/>
        <v>8.0745168673710017E-3</v>
      </c>
    </row>
    <row r="2901" spans="2:8" x14ac:dyDescent="0.3">
      <c r="B2901" s="4">
        <v>43707</v>
      </c>
      <c r="C2901" s="5">
        <v>1534.24</v>
      </c>
      <c r="D2901" s="6">
        <f t="shared" si="94"/>
        <v>3.684702290076336</v>
      </c>
      <c r="E2901" s="6">
        <v>5.8695396976540814E-4</v>
      </c>
      <c r="F2901" s="6"/>
      <c r="G2901" s="6">
        <v>2894</v>
      </c>
      <c r="H2901" s="6">
        <f t="shared" ca="1" si="95"/>
        <v>-3.213418093479558E-2</v>
      </c>
    </row>
    <row r="2902" spans="2:8" x14ac:dyDescent="0.3">
      <c r="B2902" s="4">
        <v>41108</v>
      </c>
      <c r="C2902" s="7">
        <v>327.5</v>
      </c>
      <c r="D2902" s="6">
        <f t="shared" si="94"/>
        <v>-0.21413831165714836</v>
      </c>
      <c r="E2902" s="6">
        <v>5.8048944425773033E-4</v>
      </c>
      <c r="F2902" s="6"/>
      <c r="G2902" s="6">
        <v>2895</v>
      </c>
      <c r="H2902" s="6">
        <f t="shared" ca="1" si="95"/>
        <v>1.9557053974740359E-2</v>
      </c>
    </row>
    <row r="2903" spans="2:8" x14ac:dyDescent="0.3">
      <c r="B2903" s="4">
        <v>41389</v>
      </c>
      <c r="C2903" s="7">
        <v>416.74</v>
      </c>
      <c r="D2903" s="6">
        <f t="shared" si="94"/>
        <v>-0.48411774900349092</v>
      </c>
      <c r="E2903" s="6">
        <v>5.7623049219690059E-4</v>
      </c>
      <c r="F2903" s="6"/>
      <c r="G2903" s="6">
        <v>2896</v>
      </c>
      <c r="H2903" s="6">
        <f t="shared" ca="1" si="95"/>
        <v>1.2905300288442322E-2</v>
      </c>
    </row>
    <row r="2904" spans="2:8" x14ac:dyDescent="0.3">
      <c r="B2904" s="4">
        <v>42438</v>
      </c>
      <c r="C2904" s="7">
        <v>807.82</v>
      </c>
      <c r="D2904" s="6">
        <f t="shared" si="94"/>
        <v>-0.67793995112207917</v>
      </c>
      <c r="E2904" s="6">
        <v>5.6975822433615281E-4</v>
      </c>
      <c r="F2904" s="6"/>
      <c r="G2904" s="6">
        <v>2897</v>
      </c>
      <c r="H2904" s="6">
        <f t="shared" ca="1" si="95"/>
        <v>2.0192623801126575E-2</v>
      </c>
    </row>
    <row r="2905" spans="2:8" x14ac:dyDescent="0.3">
      <c r="B2905" s="4">
        <v>45964</v>
      </c>
      <c r="C2905" s="5">
        <v>2508.29</v>
      </c>
      <c r="D2905" s="6">
        <f t="shared" si="94"/>
        <v>0.83367936252650032</v>
      </c>
      <c r="E2905" s="6">
        <v>5.5846088180976864E-4</v>
      </c>
      <c r="F2905" s="6"/>
      <c r="G2905" s="6">
        <v>2898</v>
      </c>
      <c r="H2905" s="6">
        <f t="shared" ca="1" si="95"/>
        <v>-2.1326287100513881E-2</v>
      </c>
    </row>
    <row r="2906" spans="2:8" x14ac:dyDescent="0.3">
      <c r="B2906" s="4">
        <v>43581</v>
      </c>
      <c r="C2906" s="5">
        <v>1367.9</v>
      </c>
      <c r="D2906" s="6">
        <f t="shared" si="94"/>
        <v>3.3344412884510864E-2</v>
      </c>
      <c r="E2906" s="6">
        <v>5.4858647551475691E-4</v>
      </c>
      <c r="F2906" s="6"/>
      <c r="G2906" s="6">
        <v>2899</v>
      </c>
      <c r="H2906" s="6">
        <f t="shared" ca="1" si="95"/>
        <v>-3.6979791361129938E-3</v>
      </c>
    </row>
    <row r="2907" spans="2:8" x14ac:dyDescent="0.3">
      <c r="B2907" s="4">
        <v>43474</v>
      </c>
      <c r="C2907" s="5">
        <v>1323.76</v>
      </c>
      <c r="D2907" s="6">
        <f t="shared" si="94"/>
        <v>0.2348046714674826</v>
      </c>
      <c r="E2907" s="6">
        <v>5.3663882695290154E-4</v>
      </c>
      <c r="F2907" s="6"/>
      <c r="G2907" s="6">
        <v>2900</v>
      </c>
      <c r="H2907" s="6">
        <f t="shared" ca="1" si="95"/>
        <v>-8.0356235541885514E-3</v>
      </c>
    </row>
    <row r="2908" spans="2:8" x14ac:dyDescent="0.3">
      <c r="B2908" s="4">
        <v>43196</v>
      </c>
      <c r="C2908" s="5">
        <v>1072.04</v>
      </c>
      <c r="D2908" s="6">
        <f t="shared" si="94"/>
        <v>55.51238798102267</v>
      </c>
      <c r="E2908" s="6">
        <v>5.3197943012864225E-4</v>
      </c>
      <c r="F2908" s="6"/>
      <c r="G2908" s="6">
        <v>2901</v>
      </c>
      <c r="H2908" s="6">
        <f t="shared" ca="1" si="95"/>
        <v>-1.0453449768882754E-2</v>
      </c>
    </row>
    <row r="2909" spans="2:8" x14ac:dyDescent="0.3">
      <c r="B2909" s="4">
        <v>37792</v>
      </c>
      <c r="C2909" s="7">
        <v>18.97</v>
      </c>
      <c r="D2909" s="6">
        <f t="shared" si="94"/>
        <v>-0.99351202344837497</v>
      </c>
      <c r="E2909" s="6">
        <v>5.2742616033744775E-4</v>
      </c>
      <c r="F2909" s="6"/>
      <c r="G2909" s="6">
        <v>2902</v>
      </c>
      <c r="H2909" s="6">
        <f t="shared" ca="1" si="95"/>
        <v>4.7138456117504588E-3</v>
      </c>
    </row>
    <row r="2910" spans="2:8" x14ac:dyDescent="0.3">
      <c r="B2910" s="4">
        <v>44434</v>
      </c>
      <c r="C2910" s="5">
        <v>2923.87</v>
      </c>
      <c r="D2910" s="6">
        <f t="shared" si="94"/>
        <v>49.455047454702331</v>
      </c>
      <c r="E2910" s="6">
        <v>5.2697676169356767E-4</v>
      </c>
      <c r="F2910" s="6"/>
      <c r="G2910" s="6">
        <v>2903</v>
      </c>
      <c r="H2910" s="6">
        <f t="shared" ca="1" si="95"/>
        <v>1.6502818757068312E-3</v>
      </c>
    </row>
    <row r="2911" spans="2:8" x14ac:dyDescent="0.3">
      <c r="B2911" s="4">
        <v>39028</v>
      </c>
      <c r="C2911" s="7">
        <v>57.95</v>
      </c>
      <c r="D2911" s="6">
        <f t="shared" si="94"/>
        <v>-2.1280189157236919E-2</v>
      </c>
      <c r="E2911" s="6">
        <v>5.1795580110499198E-4</v>
      </c>
      <c r="F2911" s="6"/>
      <c r="G2911" s="6">
        <v>2904</v>
      </c>
      <c r="H2911" s="6">
        <f t="shared" ca="1" si="95"/>
        <v>2.5157354924047859E-2</v>
      </c>
    </row>
    <row r="2912" spans="2:8" x14ac:dyDescent="0.3">
      <c r="B2912" s="4">
        <v>39055</v>
      </c>
      <c r="C2912" s="7">
        <v>59.21</v>
      </c>
      <c r="D2912" s="6">
        <f t="shared" si="94"/>
        <v>-0.50105334119828093</v>
      </c>
      <c r="E2912" s="6">
        <v>5.0692801622171573E-4</v>
      </c>
      <c r="F2912" s="6"/>
      <c r="G2912" s="6">
        <v>2905</v>
      </c>
      <c r="H2912" s="6">
        <f t="shared" ca="1" si="95"/>
        <v>4.5398539506614805E-4</v>
      </c>
    </row>
    <row r="2913" spans="2:8" x14ac:dyDescent="0.3">
      <c r="B2913" s="4">
        <v>40072</v>
      </c>
      <c r="C2913" s="7">
        <v>118.67</v>
      </c>
      <c r="D2913" s="6">
        <f t="shared" si="94"/>
        <v>-0.71507803121248492</v>
      </c>
      <c r="E2913" s="6">
        <v>5.0585953966783808E-4</v>
      </c>
      <c r="F2913" s="6"/>
      <c r="G2913" s="6">
        <v>2906</v>
      </c>
      <c r="H2913" s="6">
        <f t="shared" ca="1" si="95"/>
        <v>6.3119821176451565E-3</v>
      </c>
    </row>
    <row r="2914" spans="2:8" x14ac:dyDescent="0.3">
      <c r="B2914" s="4">
        <v>41387</v>
      </c>
      <c r="C2914" s="7">
        <v>416.5</v>
      </c>
      <c r="D2914" s="6">
        <f t="shared" si="94"/>
        <v>-0.60950684417776113</v>
      </c>
      <c r="E2914" s="6">
        <v>5.0445602824948838E-4</v>
      </c>
      <c r="F2914" s="6"/>
      <c r="G2914" s="6">
        <v>2907</v>
      </c>
      <c r="H2914" s="6">
        <f t="shared" ca="1" si="95"/>
        <v>2.3593768036692123E-2</v>
      </c>
    </row>
    <row r="2915" spans="2:8" x14ac:dyDescent="0.3">
      <c r="B2915" s="4">
        <v>43088</v>
      </c>
      <c r="C2915" s="5">
        <v>1066.5999999999999</v>
      </c>
      <c r="D2915" s="6">
        <f t="shared" si="94"/>
        <v>-0.60866470497589475</v>
      </c>
      <c r="E2915" s="6">
        <v>4.8776827254988541E-4</v>
      </c>
      <c r="F2915" s="6"/>
      <c r="G2915" s="6">
        <v>2908</v>
      </c>
      <c r="H2915" s="6">
        <f t="shared" ca="1" si="95"/>
        <v>1.026522129626156E-2</v>
      </c>
    </row>
    <row r="2916" spans="2:8" x14ac:dyDescent="0.3">
      <c r="B2916" s="4">
        <v>45022</v>
      </c>
      <c r="C2916" s="5">
        <v>2725.54</v>
      </c>
      <c r="D2916" s="6">
        <f t="shared" si="94"/>
        <v>-0.10350861612443797</v>
      </c>
      <c r="E2916" s="6">
        <v>4.8086982376669568E-4</v>
      </c>
      <c r="F2916" s="6"/>
      <c r="G2916" s="6">
        <v>2909</v>
      </c>
      <c r="H2916" s="6">
        <f t="shared" ca="1" si="95"/>
        <v>1.3991988400052398E-2</v>
      </c>
    </row>
    <row r="2917" spans="2:8" x14ac:dyDescent="0.3">
      <c r="B2917" s="4">
        <v>45216</v>
      </c>
      <c r="C2917" s="5">
        <v>3040.23</v>
      </c>
      <c r="D2917" s="6">
        <f t="shared" si="94"/>
        <v>35.305588727012186</v>
      </c>
      <c r="E2917" s="6">
        <v>4.8045755354963896E-4</v>
      </c>
      <c r="F2917" s="6"/>
      <c r="G2917" s="6">
        <v>2910</v>
      </c>
      <c r="H2917" s="6">
        <f t="shared" ca="1" si="95"/>
        <v>3.6817981875872253E-3</v>
      </c>
    </row>
    <row r="2918" spans="2:8" x14ac:dyDescent="0.3">
      <c r="B2918" s="4">
        <v>39423</v>
      </c>
      <c r="C2918" s="7">
        <v>83.74</v>
      </c>
      <c r="D2918" s="6">
        <f t="shared" si="94"/>
        <v>-0.20828212158457032</v>
      </c>
      <c r="E2918" s="6">
        <v>4.7789725209070537E-4</v>
      </c>
      <c r="F2918" s="6"/>
      <c r="G2918" s="6">
        <v>2911</v>
      </c>
      <c r="H2918" s="6">
        <f t="shared" ca="1" si="95"/>
        <v>1.4205088350735088E-2</v>
      </c>
    </row>
    <row r="2919" spans="2:8" x14ac:dyDescent="0.3">
      <c r="B2919" s="4">
        <v>39609</v>
      </c>
      <c r="C2919" s="7">
        <v>105.77</v>
      </c>
      <c r="D2919" s="6">
        <f t="shared" si="94"/>
        <v>-0.54603201854156835</v>
      </c>
      <c r="E2919" s="6">
        <v>4.7294740824817592E-4</v>
      </c>
      <c r="F2919" s="6"/>
      <c r="G2919" s="6">
        <v>2912</v>
      </c>
      <c r="H2919" s="6">
        <f t="shared" ca="1" si="95"/>
        <v>-1.4282207242357148E-2</v>
      </c>
    </row>
    <row r="2920" spans="2:8" x14ac:dyDescent="0.3">
      <c r="B2920" s="4">
        <v>40452</v>
      </c>
      <c r="C2920" s="7">
        <v>232.99</v>
      </c>
      <c r="D2920" s="6">
        <f t="shared" si="94"/>
        <v>-0.78455179301289046</v>
      </c>
      <c r="E2920" s="6">
        <v>4.7234627275856081E-4</v>
      </c>
      <c r="F2920" s="6"/>
      <c r="G2920" s="6">
        <v>2913</v>
      </c>
      <c r="H2920" s="6">
        <f t="shared" ca="1" si="95"/>
        <v>4.0082617212329977E-3</v>
      </c>
    </row>
    <row r="2921" spans="2:8" x14ac:dyDescent="0.3">
      <c r="B2921" s="4">
        <v>42937</v>
      </c>
      <c r="C2921" s="5">
        <v>1081.42</v>
      </c>
      <c r="D2921" s="6">
        <f t="shared" si="94"/>
        <v>0.36556722901303179</v>
      </c>
      <c r="E2921" s="6">
        <v>4.7182466625342616E-4</v>
      </c>
      <c r="F2921" s="6"/>
      <c r="G2921" s="6">
        <v>2914</v>
      </c>
      <c r="H2921" s="6">
        <f t="shared" ca="1" si="95"/>
        <v>1.4659259726639617E-2</v>
      </c>
    </row>
    <row r="2922" spans="2:8" x14ac:dyDescent="0.3">
      <c r="B2922" s="4">
        <v>42397</v>
      </c>
      <c r="C2922" s="7">
        <v>791.92</v>
      </c>
      <c r="D2922" s="6">
        <f t="shared" si="94"/>
        <v>-0.51493620644244487</v>
      </c>
      <c r="E2922" s="6">
        <v>4.6743730655044477E-4</v>
      </c>
      <c r="F2922" s="6"/>
      <c r="G2922" s="6">
        <v>2915</v>
      </c>
      <c r="H2922" s="6">
        <f t="shared" ca="1" si="95"/>
        <v>-4.8112947628311418E-3</v>
      </c>
    </row>
    <row r="2923" spans="2:8" x14ac:dyDescent="0.3">
      <c r="B2923" s="4">
        <v>43805</v>
      </c>
      <c r="C2923" s="5">
        <v>1632.61</v>
      </c>
      <c r="D2923" s="6">
        <f t="shared" si="94"/>
        <v>-0.20861952796668909</v>
      </c>
      <c r="E2923" s="6">
        <v>4.6572908049146122E-4</v>
      </c>
      <c r="F2923" s="6"/>
      <c r="G2923" s="6">
        <v>2916</v>
      </c>
      <c r="H2923" s="6">
        <f t="shared" ca="1" si="95"/>
        <v>1.2321829877948907E-2</v>
      </c>
    </row>
    <row r="2924" spans="2:8" x14ac:dyDescent="0.3">
      <c r="B2924" s="4">
        <v>44161</v>
      </c>
      <c r="C2924" s="5">
        <v>2062.9899999999998</v>
      </c>
      <c r="D2924" s="6">
        <f t="shared" si="94"/>
        <v>4.9322233724407631</v>
      </c>
      <c r="E2924" s="6">
        <v>4.6556063684795155E-4</v>
      </c>
      <c r="F2924" s="6"/>
      <c r="G2924" s="6">
        <v>2917</v>
      </c>
      <c r="H2924" s="6">
        <f t="shared" ca="1" si="95"/>
        <v>5.1284602576029403E-5</v>
      </c>
    </row>
    <row r="2925" spans="2:8" x14ac:dyDescent="0.3">
      <c r="B2925" s="4">
        <v>41191</v>
      </c>
      <c r="C2925" s="7">
        <v>347.76</v>
      </c>
      <c r="D2925" s="6">
        <f t="shared" si="94"/>
        <v>-0.8870736768273082</v>
      </c>
      <c r="E2925" s="6">
        <v>4.6029919447631808E-4</v>
      </c>
      <c r="F2925" s="6"/>
      <c r="G2925" s="6">
        <v>2918</v>
      </c>
      <c r="H2925" s="6">
        <f t="shared" ca="1" si="95"/>
        <v>-1.077895058506699E-3</v>
      </c>
    </row>
    <row r="2926" spans="2:8" x14ac:dyDescent="0.3">
      <c r="B2926" s="4">
        <v>44594</v>
      </c>
      <c r="C2926" s="5">
        <v>3079.53</v>
      </c>
      <c r="D2926" s="6">
        <f t="shared" si="94"/>
        <v>33.129779452510249</v>
      </c>
      <c r="E2926" s="6">
        <v>4.5482159622890875E-4</v>
      </c>
      <c r="F2926" s="6"/>
      <c r="G2926" s="6">
        <v>2919</v>
      </c>
      <c r="H2926" s="6">
        <f t="shared" ca="1" si="95"/>
        <v>-3.2726623024421767E-2</v>
      </c>
    </row>
    <row r="2927" spans="2:8" x14ac:dyDescent="0.3">
      <c r="B2927" s="4">
        <v>39651</v>
      </c>
      <c r="C2927" s="7">
        <v>90.23</v>
      </c>
      <c r="D2927" s="6">
        <f t="shared" si="94"/>
        <v>-1.3556357275609434E-2</v>
      </c>
      <c r="E2927" s="6">
        <v>4.4350814946231569E-4</v>
      </c>
      <c r="F2927" s="6"/>
      <c r="G2927" s="6">
        <v>2920</v>
      </c>
      <c r="H2927" s="6">
        <f t="shared" ca="1" si="95"/>
        <v>1.8744193533948659E-3</v>
      </c>
    </row>
    <row r="2928" spans="2:8" x14ac:dyDescent="0.3">
      <c r="B2928" s="4">
        <v>39464</v>
      </c>
      <c r="C2928" s="7">
        <v>91.47</v>
      </c>
      <c r="D2928" s="6">
        <f t="shared" si="94"/>
        <v>-0.94414625657183682</v>
      </c>
      <c r="E2928" s="6">
        <v>4.3749316416922277E-4</v>
      </c>
      <c r="F2928" s="6"/>
      <c r="G2928" s="6">
        <v>2921</v>
      </c>
      <c r="H2928" s="6">
        <f t="shared" ca="1" si="95"/>
        <v>-1.8010539497392145E-3</v>
      </c>
    </row>
    <row r="2929" spans="2:8" x14ac:dyDescent="0.3">
      <c r="B2929" s="4">
        <v>43745</v>
      </c>
      <c r="C2929" s="5">
        <v>1637.67</v>
      </c>
      <c r="D2929" s="6">
        <f t="shared" si="94"/>
        <v>34.485807150595882</v>
      </c>
      <c r="E2929" s="6">
        <v>4.3373081810186952E-4</v>
      </c>
      <c r="F2929" s="6"/>
      <c r="G2929" s="6">
        <v>2922</v>
      </c>
      <c r="H2929" s="6">
        <f t="shared" ca="1" si="95"/>
        <v>1.6191050843635552E-2</v>
      </c>
    </row>
    <row r="2930" spans="2:8" x14ac:dyDescent="0.3">
      <c r="B2930" s="4">
        <v>38868</v>
      </c>
      <c r="C2930" s="7">
        <v>46.15</v>
      </c>
      <c r="D2930" s="6">
        <f t="shared" si="94"/>
        <v>0.99956672443674188</v>
      </c>
      <c r="E2930" s="6">
        <v>4.3355733795785863E-4</v>
      </c>
      <c r="F2930" s="6"/>
      <c r="G2930" s="6">
        <v>2923</v>
      </c>
      <c r="H2930" s="6">
        <f t="shared" ca="1" si="95"/>
        <v>-4.6808270030985538E-3</v>
      </c>
    </row>
    <row r="2931" spans="2:8" x14ac:dyDescent="0.3">
      <c r="B2931" s="4">
        <v>38044</v>
      </c>
      <c r="C2931" s="7">
        <v>23.08</v>
      </c>
      <c r="D2931" s="6">
        <f t="shared" si="94"/>
        <v>-0.90073545223861351</v>
      </c>
      <c r="E2931" s="6">
        <v>4.3346337234495059E-4</v>
      </c>
      <c r="F2931" s="6"/>
      <c r="G2931" s="6">
        <v>2924</v>
      </c>
      <c r="H2931" s="6">
        <f t="shared" ca="1" si="95"/>
        <v>-3.2684524232430628E-3</v>
      </c>
    </row>
    <row r="2932" spans="2:8" x14ac:dyDescent="0.3">
      <c r="B2932" s="4">
        <v>40469</v>
      </c>
      <c r="C2932" s="7">
        <v>232.51</v>
      </c>
      <c r="D2932" s="6">
        <f t="shared" si="94"/>
        <v>8.9661380197171034</v>
      </c>
      <c r="E2932" s="6">
        <v>4.3027408459186056E-4</v>
      </c>
      <c r="F2932" s="6"/>
      <c r="G2932" s="6">
        <v>2925</v>
      </c>
      <c r="H2932" s="6">
        <f t="shared" ca="1" si="95"/>
        <v>-8.9602616013456063E-4</v>
      </c>
    </row>
    <row r="2933" spans="2:8" x14ac:dyDescent="0.3">
      <c r="B2933" s="4">
        <v>37936</v>
      </c>
      <c r="C2933" s="7">
        <v>23.33</v>
      </c>
      <c r="D2933" s="6">
        <f t="shared" si="94"/>
        <v>-2.1385799828913905E-3</v>
      </c>
      <c r="E2933" s="6">
        <v>4.2881646655223028E-4</v>
      </c>
      <c r="F2933" s="6"/>
      <c r="G2933" s="6">
        <v>2926</v>
      </c>
      <c r="H2933" s="6">
        <f t="shared" ca="1" si="95"/>
        <v>3.9210799466558501E-3</v>
      </c>
    </row>
    <row r="2934" spans="2:8" x14ac:dyDescent="0.3">
      <c r="B2934" s="4">
        <v>38106</v>
      </c>
      <c r="C2934" s="7">
        <v>23.38</v>
      </c>
      <c r="D2934" s="6">
        <f t="shared" si="94"/>
        <v>-2.1340162185232913E-3</v>
      </c>
      <c r="E2934" s="6">
        <v>4.2789901583217843E-4</v>
      </c>
      <c r="F2934" s="6"/>
      <c r="G2934" s="6">
        <v>2927</v>
      </c>
      <c r="H2934" s="6">
        <f t="shared" ca="1" si="95"/>
        <v>-6.2891961078233903E-3</v>
      </c>
    </row>
    <row r="2935" spans="2:8" x14ac:dyDescent="0.3">
      <c r="B2935" s="4">
        <v>38111</v>
      </c>
      <c r="C2935" s="7">
        <v>23.43</v>
      </c>
      <c r="D2935" s="6">
        <f t="shared" si="94"/>
        <v>-0.50223072020395154</v>
      </c>
      <c r="E2935" s="6">
        <v>4.2698548249351021E-4</v>
      </c>
      <c r="F2935" s="6"/>
      <c r="G2935" s="6">
        <v>2928</v>
      </c>
      <c r="H2935" s="6">
        <f t="shared" ca="1" si="95"/>
        <v>-1.6020983888058636E-2</v>
      </c>
    </row>
    <row r="2936" spans="2:8" x14ac:dyDescent="0.3">
      <c r="B2936" s="4">
        <v>38894</v>
      </c>
      <c r="C2936" s="7">
        <v>47.07</v>
      </c>
      <c r="D2936" s="6">
        <f t="shared" si="94"/>
        <v>-0.98415722281871509</v>
      </c>
      <c r="E2936" s="6">
        <v>4.2507970244427476E-4</v>
      </c>
      <c r="F2936" s="6"/>
      <c r="G2936" s="6">
        <v>2929</v>
      </c>
      <c r="H2936" s="6">
        <f t="shared" ca="1" si="95"/>
        <v>2.0741318968093427E-2</v>
      </c>
    </row>
    <row r="2937" spans="2:8" x14ac:dyDescent="0.3">
      <c r="B2937" s="4">
        <v>44764</v>
      </c>
      <c r="C2937" s="5">
        <v>2971.07</v>
      </c>
      <c r="D2937" s="6">
        <f t="shared" si="94"/>
        <v>39.991583885209714</v>
      </c>
      <c r="E2937" s="6">
        <v>4.2426956606658956E-4</v>
      </c>
      <c r="F2937" s="6"/>
      <c r="G2937" s="6">
        <v>2930</v>
      </c>
      <c r="H2937" s="6">
        <f t="shared" ca="1" si="95"/>
        <v>-9.2402325335411723E-3</v>
      </c>
    </row>
    <row r="2938" spans="2:8" x14ac:dyDescent="0.3">
      <c r="B2938" s="4">
        <v>39290</v>
      </c>
      <c r="C2938" s="7">
        <v>72.48</v>
      </c>
      <c r="D2938" s="6">
        <f t="shared" si="94"/>
        <v>-0.97521449651026404</v>
      </c>
      <c r="E2938" s="6">
        <v>4.1407867494825583E-4</v>
      </c>
      <c r="F2938" s="6"/>
      <c r="G2938" s="6">
        <v>2931</v>
      </c>
      <c r="H2938" s="6">
        <f t="shared" ca="1" si="95"/>
        <v>-4.9276579993038595E-3</v>
      </c>
    </row>
    <row r="2939" spans="2:8" x14ac:dyDescent="0.3">
      <c r="B2939" s="4">
        <v>44761</v>
      </c>
      <c r="C2939" s="5">
        <v>2924.29</v>
      </c>
      <c r="D2939" s="6">
        <f t="shared" si="94"/>
        <v>23.193679159427482</v>
      </c>
      <c r="E2939" s="6">
        <v>4.1394693268745174E-4</v>
      </c>
      <c r="F2939" s="6"/>
      <c r="G2939" s="6">
        <v>2932</v>
      </c>
      <c r="H2939" s="6">
        <f t="shared" ca="1" si="95"/>
        <v>2.0164495928989162E-3</v>
      </c>
    </row>
    <row r="2940" spans="2:8" x14ac:dyDescent="0.3">
      <c r="B2940" s="4">
        <v>40056</v>
      </c>
      <c r="C2940" s="7">
        <v>120.87</v>
      </c>
      <c r="D2940" s="6">
        <f t="shared" si="94"/>
        <v>3.998759305210918</v>
      </c>
      <c r="E2940" s="6">
        <v>4.138387684159193E-4</v>
      </c>
      <c r="F2940" s="6"/>
      <c r="G2940" s="6">
        <v>2933</v>
      </c>
      <c r="H2940" s="6">
        <f t="shared" ca="1" si="95"/>
        <v>1.7925885899735053E-3</v>
      </c>
    </row>
    <row r="2941" spans="2:8" x14ac:dyDescent="0.3">
      <c r="B2941" s="4">
        <v>38173</v>
      </c>
      <c r="C2941" s="7">
        <v>24.18</v>
      </c>
      <c r="D2941" s="6">
        <f t="shared" si="94"/>
        <v>-0.99248223157711468</v>
      </c>
      <c r="E2941" s="6">
        <v>4.1373603640868889E-4</v>
      </c>
      <c r="F2941" s="6"/>
      <c r="G2941" s="6">
        <v>2934</v>
      </c>
      <c r="H2941" s="6">
        <f t="shared" ca="1" si="95"/>
        <v>3.9630047354258867E-2</v>
      </c>
    </row>
    <row r="2942" spans="2:8" x14ac:dyDescent="0.3">
      <c r="B2942" s="4">
        <v>45302</v>
      </c>
      <c r="C2942" s="5">
        <v>3216.38</v>
      </c>
      <c r="D2942" s="6">
        <f t="shared" si="94"/>
        <v>130.12026090501425</v>
      </c>
      <c r="E2942" s="6">
        <v>4.1056776545388385E-4</v>
      </c>
      <c r="F2942" s="6"/>
      <c r="G2942" s="6">
        <v>2935</v>
      </c>
      <c r="H2942" s="6">
        <f t="shared" ca="1" si="95"/>
        <v>-2.5749046694951007E-4</v>
      </c>
    </row>
    <row r="2943" spans="2:8" x14ac:dyDescent="0.3">
      <c r="B2943" s="4">
        <v>38035</v>
      </c>
      <c r="C2943" s="7">
        <v>24.53</v>
      </c>
      <c r="D2943" s="6">
        <f t="shared" si="94"/>
        <v>-4.0749796251010639E-4</v>
      </c>
      <c r="E2943" s="6">
        <v>4.0783034257755154E-4</v>
      </c>
      <c r="F2943" s="6"/>
      <c r="G2943" s="6">
        <v>2936</v>
      </c>
      <c r="H2943" s="6">
        <f t="shared" ca="1" si="95"/>
        <v>-1.8438037691107495E-2</v>
      </c>
    </row>
    <row r="2944" spans="2:8" x14ac:dyDescent="0.3">
      <c r="B2944" s="4">
        <v>38022</v>
      </c>
      <c r="C2944" s="7">
        <v>24.54</v>
      </c>
      <c r="D2944" s="6">
        <f t="shared" si="94"/>
        <v>-4.0733197556014512E-4</v>
      </c>
      <c r="E2944" s="6">
        <v>4.0766408479404854E-4</v>
      </c>
      <c r="F2944" s="6"/>
      <c r="G2944" s="6">
        <v>2937</v>
      </c>
      <c r="H2944" s="6">
        <f t="shared" ca="1" si="95"/>
        <v>-4.9666867799966381E-3</v>
      </c>
    </row>
    <row r="2945" spans="2:8" x14ac:dyDescent="0.3">
      <c r="B2945" s="4">
        <v>38027</v>
      </c>
      <c r="C2945" s="7">
        <v>24.55</v>
      </c>
      <c r="D2945" s="6">
        <f t="shared" si="94"/>
        <v>-0.66976055959106817</v>
      </c>
      <c r="E2945" s="6">
        <v>4.0749796251025118E-4</v>
      </c>
      <c r="F2945" s="6"/>
      <c r="G2945" s="6">
        <v>2938</v>
      </c>
      <c r="H2945" s="6">
        <f t="shared" ca="1" si="95"/>
        <v>1.056355855981192E-2</v>
      </c>
    </row>
    <row r="2946" spans="2:8" x14ac:dyDescent="0.3">
      <c r="B2946" s="4">
        <v>39793</v>
      </c>
      <c r="C2946" s="7">
        <v>74.34</v>
      </c>
      <c r="D2946" s="6">
        <f t="shared" si="94"/>
        <v>-0.97001004506158139</v>
      </c>
      <c r="E2946" s="6">
        <v>4.0371417036739516E-4</v>
      </c>
      <c r="F2946" s="6"/>
      <c r="G2946" s="6">
        <v>2939</v>
      </c>
      <c r="H2946" s="6">
        <f t="shared" ca="1" si="95"/>
        <v>5.3294871766578931E-3</v>
      </c>
    </row>
    <row r="2947" spans="2:8" x14ac:dyDescent="0.3">
      <c r="B2947" s="4">
        <v>45922</v>
      </c>
      <c r="C2947" s="5">
        <v>2478.83</v>
      </c>
      <c r="D2947" s="6">
        <f t="shared" si="94"/>
        <v>98.073940847322149</v>
      </c>
      <c r="E2947" s="6">
        <v>4.0357893802238251E-4</v>
      </c>
      <c r="F2947" s="6"/>
      <c r="G2947" s="6">
        <v>2940</v>
      </c>
      <c r="H2947" s="6">
        <f t="shared" ca="1" si="95"/>
        <v>2.5631462885519655E-2</v>
      </c>
    </row>
    <row r="2948" spans="2:8" x14ac:dyDescent="0.3">
      <c r="B2948" s="4">
        <v>38211</v>
      </c>
      <c r="C2948" s="7">
        <v>25.02</v>
      </c>
      <c r="D2948" s="6">
        <f t="shared" si="94"/>
        <v>-0.75237529691211402</v>
      </c>
      <c r="E2948" s="6">
        <v>3.9984006397433066E-4</v>
      </c>
      <c r="F2948" s="6"/>
      <c r="G2948" s="6">
        <v>2941</v>
      </c>
      <c r="H2948" s="6">
        <f t="shared" ca="1" si="95"/>
        <v>1.2946933679119674E-2</v>
      </c>
    </row>
    <row r="2949" spans="2:8" x14ac:dyDescent="0.3">
      <c r="B2949" s="4">
        <v>39553</v>
      </c>
      <c r="C2949" s="7">
        <v>101.04</v>
      </c>
      <c r="D2949" s="6">
        <f t="shared" si="94"/>
        <v>-0.43060016906170745</v>
      </c>
      <c r="E2949" s="6">
        <v>3.9603960396045797E-4</v>
      </c>
      <c r="F2949" s="6"/>
      <c r="G2949" s="6">
        <v>2942</v>
      </c>
      <c r="H2949" s="6">
        <f t="shared" ca="1" si="95"/>
        <v>4.890513808286292E-3</v>
      </c>
    </row>
    <row r="2950" spans="2:8" x14ac:dyDescent="0.3">
      <c r="B2950" s="4">
        <v>40280</v>
      </c>
      <c r="C2950" s="7">
        <v>177.45</v>
      </c>
      <c r="D2950" s="6">
        <f t="shared" si="94"/>
        <v>-0.94064542456332834</v>
      </c>
      <c r="E2950" s="6">
        <v>3.9463299131803576E-4</v>
      </c>
      <c r="F2950" s="6"/>
      <c r="G2950" s="6">
        <v>2943</v>
      </c>
      <c r="H2950" s="6">
        <f t="shared" ca="1" si="95"/>
        <v>1.3161365249109583E-2</v>
      </c>
    </row>
    <row r="2951" spans="2:8" x14ac:dyDescent="0.3">
      <c r="B2951" s="4">
        <v>44915</v>
      </c>
      <c r="C2951" s="5">
        <v>2989.66</v>
      </c>
      <c r="D2951" s="6">
        <f t="shared" si="94"/>
        <v>-1.2694428849773804E-2</v>
      </c>
      <c r="E2951" s="6">
        <v>3.8815459260493711E-4</v>
      </c>
      <c r="F2951" s="6"/>
      <c r="G2951" s="6">
        <v>2944</v>
      </c>
      <c r="H2951" s="6">
        <f t="shared" ca="1" si="95"/>
        <v>2.3215322644737482E-2</v>
      </c>
    </row>
    <row r="2952" spans="2:8" x14ac:dyDescent="0.3">
      <c r="B2952" s="4">
        <v>44529</v>
      </c>
      <c r="C2952" s="5">
        <v>3028.1</v>
      </c>
      <c r="D2952" s="6">
        <f t="shared" ref="D2952:D3015" si="96">((C2952-C2953)/C2953)</f>
        <v>55.305317962067676</v>
      </c>
      <c r="E2952" s="6">
        <v>3.7992038190260525E-4</v>
      </c>
      <c r="F2952" s="6"/>
      <c r="G2952" s="6">
        <v>2945</v>
      </c>
      <c r="H2952" s="6">
        <f t="shared" ca="1" si="95"/>
        <v>-3.7902086228538918E-2</v>
      </c>
    </row>
    <row r="2953" spans="2:8" x14ac:dyDescent="0.3">
      <c r="B2953" s="4">
        <v>38775</v>
      </c>
      <c r="C2953" s="7">
        <v>53.78</v>
      </c>
      <c r="D2953" s="6">
        <f t="shared" si="96"/>
        <v>-0.34502496650834247</v>
      </c>
      <c r="E2953" s="6">
        <v>3.7202380952386767E-4</v>
      </c>
      <c r="F2953" s="6"/>
      <c r="G2953" s="6">
        <v>2946</v>
      </c>
      <c r="H2953" s="6">
        <f t="shared" ref="H2953:H3016" ca="1" si="97">_xlfn.NORM.INV(RAND(),N$10,N$11)</f>
        <v>1.3603820026488762E-2</v>
      </c>
    </row>
    <row r="2954" spans="2:8" x14ac:dyDescent="0.3">
      <c r="B2954" s="4">
        <v>39351</v>
      </c>
      <c r="C2954" s="7">
        <v>82.11</v>
      </c>
      <c r="D2954" s="6">
        <f t="shared" si="96"/>
        <v>-0.88890542551752127</v>
      </c>
      <c r="E2954" s="6">
        <v>3.6549707602340567E-4</v>
      </c>
      <c r="F2954" s="6"/>
      <c r="G2954" s="6">
        <v>2947</v>
      </c>
      <c r="H2954" s="6">
        <f t="shared" ca="1" si="97"/>
        <v>2.5011830485162395E-2</v>
      </c>
    </row>
    <row r="2955" spans="2:8" x14ac:dyDescent="0.3">
      <c r="B2955" s="4">
        <v>42076</v>
      </c>
      <c r="C2955" s="7">
        <v>739.1</v>
      </c>
      <c r="D2955" s="6">
        <f t="shared" si="96"/>
        <v>2.3687329079307204</v>
      </c>
      <c r="E2955" s="6">
        <v>3.6544265933974231E-4</v>
      </c>
      <c r="F2955" s="6"/>
      <c r="G2955" s="6">
        <v>2948</v>
      </c>
      <c r="H2955" s="6">
        <f t="shared" ca="1" si="97"/>
        <v>-3.4150119727737729E-3</v>
      </c>
    </row>
    <row r="2956" spans="2:8" x14ac:dyDescent="0.3">
      <c r="B2956" s="4">
        <v>40611</v>
      </c>
      <c r="C2956" s="7">
        <v>219.4</v>
      </c>
      <c r="D2956" s="6">
        <f t="shared" si="96"/>
        <v>-0.78749576250665898</v>
      </c>
      <c r="E2956" s="6">
        <v>3.6476381542956642E-4</v>
      </c>
      <c r="F2956" s="6"/>
      <c r="G2956" s="6">
        <v>2949</v>
      </c>
      <c r="H2956" s="6">
        <f t="shared" ca="1" si="97"/>
        <v>2.9051942038593882E-2</v>
      </c>
    </row>
    <row r="2957" spans="2:8" x14ac:dyDescent="0.3">
      <c r="B2957" s="4">
        <v>42604</v>
      </c>
      <c r="C2957" s="5">
        <v>1032.45</v>
      </c>
      <c r="D2957" s="6">
        <f t="shared" si="96"/>
        <v>35.768162393162399</v>
      </c>
      <c r="E2957" s="6">
        <v>3.5849934113646063E-4</v>
      </c>
      <c r="F2957" s="6"/>
      <c r="G2957" s="6">
        <v>2950</v>
      </c>
      <c r="H2957" s="6">
        <f t="shared" ca="1" si="97"/>
        <v>1.1803154527603491E-3</v>
      </c>
    </row>
    <row r="2958" spans="2:8" x14ac:dyDescent="0.3">
      <c r="B2958" s="4">
        <v>38393</v>
      </c>
      <c r="C2958" s="7">
        <v>28.08</v>
      </c>
      <c r="D2958" s="6">
        <f t="shared" si="96"/>
        <v>-0.99031577204817289</v>
      </c>
      <c r="E2958" s="6">
        <v>3.5625222657634524E-4</v>
      </c>
      <c r="F2958" s="6"/>
      <c r="G2958" s="6">
        <v>2951</v>
      </c>
      <c r="H2958" s="6">
        <f t="shared" ca="1" si="97"/>
        <v>-1.5289876052714075E-2</v>
      </c>
    </row>
    <row r="2959" spans="2:8" x14ac:dyDescent="0.3">
      <c r="B2959" s="4">
        <v>45478</v>
      </c>
      <c r="C2959" s="5">
        <v>2899.56</v>
      </c>
      <c r="D2959" s="6">
        <f t="shared" si="96"/>
        <v>-0.15511278042128387</v>
      </c>
      <c r="E2959" s="6">
        <v>3.4154772870752877E-4</v>
      </c>
      <c r="F2959" s="6"/>
      <c r="G2959" s="6">
        <v>2952</v>
      </c>
      <c r="H2959" s="6">
        <f t="shared" ca="1" si="97"/>
        <v>-5.8372134578528762E-3</v>
      </c>
    </row>
    <row r="2960" spans="2:8" x14ac:dyDescent="0.3">
      <c r="B2960" s="4">
        <v>45126</v>
      </c>
      <c r="C2960" s="5">
        <v>3431.89</v>
      </c>
      <c r="D2960" s="6">
        <f t="shared" si="96"/>
        <v>5.4442587550464756</v>
      </c>
      <c r="E2960" s="6">
        <v>3.4103628392875921E-4</v>
      </c>
      <c r="F2960" s="6"/>
      <c r="G2960" s="6">
        <v>2953</v>
      </c>
      <c r="H2960" s="6">
        <f t="shared" ca="1" si="97"/>
        <v>2.9842441001279078E-2</v>
      </c>
    </row>
    <row r="2961" spans="2:8" x14ac:dyDescent="0.3">
      <c r="B2961" s="4">
        <v>41822</v>
      </c>
      <c r="C2961" s="7">
        <v>532.54999999999995</v>
      </c>
      <c r="D2961" s="6">
        <f t="shared" si="96"/>
        <v>7.7923064223212801</v>
      </c>
      <c r="E2961" s="6">
        <v>3.3811071247431292E-4</v>
      </c>
      <c r="F2961" s="6"/>
      <c r="G2961" s="6">
        <v>2954</v>
      </c>
      <c r="H2961" s="6">
        <f t="shared" ca="1" si="97"/>
        <v>-1.7464777721761594E-3</v>
      </c>
    </row>
    <row r="2962" spans="2:8" x14ac:dyDescent="0.3">
      <c r="B2962" s="4">
        <v>39140</v>
      </c>
      <c r="C2962" s="7">
        <v>60.57</v>
      </c>
      <c r="D2962" s="6">
        <f t="shared" si="96"/>
        <v>-0.96242136218684471</v>
      </c>
      <c r="E2962" s="6">
        <v>3.3030553261772301E-4</v>
      </c>
      <c r="F2962" s="6"/>
      <c r="G2962" s="6">
        <v>2955</v>
      </c>
      <c r="H2962" s="6">
        <f t="shared" ca="1" si="97"/>
        <v>-5.2467224196484277E-3</v>
      </c>
    </row>
    <row r="2963" spans="2:8" x14ac:dyDescent="0.3">
      <c r="B2963" s="4">
        <v>44013</v>
      </c>
      <c r="C2963" s="5">
        <v>1611.82</v>
      </c>
      <c r="D2963" s="6">
        <f t="shared" si="96"/>
        <v>51.280895231916965</v>
      </c>
      <c r="E2963" s="6">
        <v>3.2892899478056259E-4</v>
      </c>
      <c r="F2963" s="6"/>
      <c r="G2963" s="6">
        <v>2956</v>
      </c>
      <c r="H2963" s="6">
        <f t="shared" ca="1" si="97"/>
        <v>-3.1881165710722732E-3</v>
      </c>
    </row>
    <row r="2964" spans="2:8" x14ac:dyDescent="0.3">
      <c r="B2964" s="4">
        <v>38492</v>
      </c>
      <c r="C2964" s="7">
        <v>30.83</v>
      </c>
      <c r="D2964" s="6">
        <f t="shared" si="96"/>
        <v>-2.5881591717891246E-3</v>
      </c>
      <c r="E2964" s="6">
        <v>3.2446463335489978E-4</v>
      </c>
      <c r="F2964" s="6"/>
      <c r="G2964" s="6">
        <v>2957</v>
      </c>
      <c r="H2964" s="6">
        <f t="shared" ca="1" si="97"/>
        <v>2.3998512412492729E-3</v>
      </c>
    </row>
    <row r="2965" spans="2:8" x14ac:dyDescent="0.3">
      <c r="B2965" s="4">
        <v>38435</v>
      </c>
      <c r="C2965" s="7">
        <v>30.91</v>
      </c>
      <c r="D2965" s="6">
        <f t="shared" si="96"/>
        <v>-3.2341526520056801E-4</v>
      </c>
      <c r="E2965" s="6">
        <v>3.2362459546930625E-4</v>
      </c>
      <c r="F2965" s="6"/>
      <c r="G2965" s="6">
        <v>2958</v>
      </c>
      <c r="H2965" s="6">
        <f t="shared" ca="1" si="97"/>
        <v>2.1606518707344681E-2</v>
      </c>
    </row>
    <row r="2966" spans="2:8" x14ac:dyDescent="0.3">
      <c r="B2966" s="4">
        <v>38439</v>
      </c>
      <c r="C2966" s="7">
        <v>30.92</v>
      </c>
      <c r="D2966" s="6">
        <f t="shared" si="96"/>
        <v>-0.85739322940688123</v>
      </c>
      <c r="E2966" s="6">
        <v>3.2351989647368368E-4</v>
      </c>
      <c r="F2966" s="6"/>
      <c r="G2966" s="6">
        <v>2959</v>
      </c>
      <c r="H2966" s="6">
        <f t="shared" ca="1" si="97"/>
        <v>-2.4398914738273077E-3</v>
      </c>
    </row>
    <row r="2967" spans="2:8" x14ac:dyDescent="0.3">
      <c r="B2967" s="4">
        <v>40380</v>
      </c>
      <c r="C2967" s="7">
        <v>216.82</v>
      </c>
      <c r="D2967" s="6">
        <f t="shared" si="96"/>
        <v>5.9382399999999995</v>
      </c>
      <c r="E2967" s="6">
        <v>3.2295271049593161E-4</v>
      </c>
      <c r="F2967" s="6"/>
      <c r="G2967" s="6">
        <v>2960</v>
      </c>
      <c r="H2967" s="6">
        <f t="shared" ca="1" si="97"/>
        <v>-5.8647776636034845E-3</v>
      </c>
    </row>
    <row r="2968" spans="2:8" x14ac:dyDescent="0.3">
      <c r="B2968" s="4">
        <v>38518</v>
      </c>
      <c r="C2968" s="7">
        <v>31.25</v>
      </c>
      <c r="D2968" s="6">
        <f t="shared" si="96"/>
        <v>-0.97632970262532004</v>
      </c>
      <c r="E2968" s="6">
        <v>3.2010243277853919E-4</v>
      </c>
      <c r="F2968" s="6"/>
      <c r="G2968" s="6">
        <v>2961</v>
      </c>
      <c r="H2968" s="6">
        <f t="shared" ca="1" si="97"/>
        <v>-1.1619257619046107E-2</v>
      </c>
    </row>
    <row r="2969" spans="2:8" x14ac:dyDescent="0.3">
      <c r="B2969" s="4">
        <v>43521</v>
      </c>
      <c r="C2969" s="5">
        <v>1320.22</v>
      </c>
      <c r="D2969" s="6">
        <f t="shared" si="96"/>
        <v>-0.56548984501762434</v>
      </c>
      <c r="E2969" s="6">
        <v>3.1823003485382086E-4</v>
      </c>
      <c r="F2969" s="6"/>
      <c r="G2969" s="6">
        <v>2962</v>
      </c>
      <c r="H2969" s="6">
        <f t="shared" ca="1" si="97"/>
        <v>2.310365230377711E-2</v>
      </c>
    </row>
    <row r="2970" spans="2:8" x14ac:dyDescent="0.3">
      <c r="B2970" s="4">
        <v>44658</v>
      </c>
      <c r="C2970" s="5">
        <v>3038.41</v>
      </c>
      <c r="D2970" s="6">
        <f t="shared" si="96"/>
        <v>-3.9201487487272327E-2</v>
      </c>
      <c r="E2970" s="6">
        <v>3.1605458526067474E-4</v>
      </c>
      <c r="F2970" s="6"/>
      <c r="G2970" s="6">
        <v>2963</v>
      </c>
      <c r="H2970" s="6">
        <f t="shared" ca="1" si="97"/>
        <v>2.4288122288746512E-2</v>
      </c>
    </row>
    <row r="2971" spans="2:8" x14ac:dyDescent="0.3">
      <c r="B2971" s="4">
        <v>45271</v>
      </c>
      <c r="C2971" s="5">
        <v>3162.38</v>
      </c>
      <c r="D2971" s="6">
        <f t="shared" si="96"/>
        <v>0.82035769587216434</v>
      </c>
      <c r="E2971" s="6">
        <v>3.0998924527108815E-4</v>
      </c>
      <c r="F2971" s="6"/>
      <c r="G2971" s="6">
        <v>2964</v>
      </c>
      <c r="H2971" s="6">
        <f t="shared" ca="1" si="97"/>
        <v>1.946474720184127E-2</v>
      </c>
    </row>
    <row r="2972" spans="2:8" x14ac:dyDescent="0.3">
      <c r="B2972" s="4">
        <v>43887</v>
      </c>
      <c r="C2972" s="5">
        <v>1737.23</v>
      </c>
      <c r="D2972" s="6">
        <f t="shared" si="96"/>
        <v>-0.36763613861386135</v>
      </c>
      <c r="E2972" s="6">
        <v>3.0517648413656514E-4</v>
      </c>
      <c r="F2972" s="6"/>
      <c r="G2972" s="6">
        <v>2965</v>
      </c>
      <c r="H2972" s="6">
        <f t="shared" ca="1" si="97"/>
        <v>1.9277771660650714E-2</v>
      </c>
    </row>
    <row r="2973" spans="2:8" x14ac:dyDescent="0.3">
      <c r="B2973" s="4">
        <v>45401</v>
      </c>
      <c r="C2973" s="5">
        <v>2747.2</v>
      </c>
      <c r="D2973" s="6">
        <f t="shared" si="96"/>
        <v>80.567695961995256</v>
      </c>
      <c r="E2973" s="6">
        <v>3.0221710840124504E-4</v>
      </c>
      <c r="F2973" s="6"/>
      <c r="G2973" s="6">
        <v>2966</v>
      </c>
      <c r="H2973" s="6">
        <f t="shared" ca="1" si="97"/>
        <v>7.4727989134900684E-3</v>
      </c>
    </row>
    <row r="2974" spans="2:8" x14ac:dyDescent="0.3">
      <c r="B2974" s="4">
        <v>38546</v>
      </c>
      <c r="C2974" s="7">
        <v>33.68</v>
      </c>
      <c r="D2974" s="6">
        <f t="shared" si="96"/>
        <v>-0.92892565471542832</v>
      </c>
      <c r="E2974" s="6">
        <v>2.9700029700023789E-4</v>
      </c>
      <c r="F2974" s="6"/>
      <c r="G2974" s="6">
        <v>2967</v>
      </c>
      <c r="H2974" s="6">
        <f t="shared" ca="1" si="97"/>
        <v>2.8805588532096249E-2</v>
      </c>
    </row>
    <row r="2975" spans="2:8" x14ac:dyDescent="0.3">
      <c r="B2975" s="4">
        <v>41786</v>
      </c>
      <c r="C2975" s="7">
        <v>473.87</v>
      </c>
      <c r="D2975" s="6">
        <f t="shared" si="96"/>
        <v>3.632613158666536</v>
      </c>
      <c r="E2975" s="6">
        <v>2.9552698794669191E-4</v>
      </c>
      <c r="F2975" s="6"/>
      <c r="G2975" s="6">
        <v>2968</v>
      </c>
      <c r="H2975" s="6">
        <f t="shared" ca="1" si="97"/>
        <v>-1.0410922178766265E-2</v>
      </c>
    </row>
    <row r="2976" spans="2:8" x14ac:dyDescent="0.3">
      <c r="B2976" s="4">
        <v>39996</v>
      </c>
      <c r="C2976" s="7">
        <v>102.29</v>
      </c>
      <c r="D2976" s="6">
        <f t="shared" si="96"/>
        <v>0.49328467153284683</v>
      </c>
      <c r="E2976" s="6">
        <v>2.9336984158029664E-4</v>
      </c>
      <c r="F2976" s="6"/>
      <c r="G2976" s="6">
        <v>2969</v>
      </c>
      <c r="H2976" s="6">
        <f t="shared" ca="1" si="97"/>
        <v>2.5172373706811468E-2</v>
      </c>
    </row>
    <row r="2977" spans="2:8" x14ac:dyDescent="0.3">
      <c r="B2977" s="4">
        <v>39224</v>
      </c>
      <c r="C2977" s="7">
        <v>68.5</v>
      </c>
      <c r="D2977" s="6">
        <f t="shared" si="96"/>
        <v>-0.33636892075179226</v>
      </c>
      <c r="E2977" s="6">
        <v>2.9205607476629701E-4</v>
      </c>
      <c r="F2977" s="6"/>
      <c r="G2977" s="6">
        <v>2970</v>
      </c>
      <c r="H2977" s="6">
        <f t="shared" ca="1" si="97"/>
        <v>2.7739613998249224E-3</v>
      </c>
    </row>
    <row r="2978" spans="2:8" x14ac:dyDescent="0.3">
      <c r="B2978" s="4">
        <v>39591</v>
      </c>
      <c r="C2978" s="7">
        <v>103.22</v>
      </c>
      <c r="D2978" s="6">
        <f t="shared" si="96"/>
        <v>0.48667722886360348</v>
      </c>
      <c r="E2978" s="6">
        <v>2.9072584552767845E-4</v>
      </c>
      <c r="F2978" s="6"/>
      <c r="G2978" s="6">
        <v>2971</v>
      </c>
      <c r="H2978" s="6">
        <f t="shared" ca="1" si="97"/>
        <v>1.0989066380265812E-2</v>
      </c>
    </row>
    <row r="2979" spans="2:8" x14ac:dyDescent="0.3">
      <c r="B2979" s="4">
        <v>39266</v>
      </c>
      <c r="C2979" s="7">
        <v>69.430000000000007</v>
      </c>
      <c r="D2979" s="6">
        <f t="shared" si="96"/>
        <v>-0.9771462992343698</v>
      </c>
      <c r="E2979" s="6">
        <v>2.8814291888791576E-4</v>
      </c>
      <c r="F2979" s="6"/>
      <c r="G2979" s="6">
        <v>2972</v>
      </c>
      <c r="H2979" s="6">
        <f t="shared" ca="1" si="97"/>
        <v>3.5333724603626333E-3</v>
      </c>
    </row>
    <row r="2980" spans="2:8" x14ac:dyDescent="0.3">
      <c r="B2980" s="4">
        <v>45061</v>
      </c>
      <c r="C2980" s="5">
        <v>3038.02</v>
      </c>
      <c r="D2980" s="6">
        <f t="shared" si="96"/>
        <v>0.10287770045341837</v>
      </c>
      <c r="E2980" s="6">
        <v>2.8645275998876937E-4</v>
      </c>
      <c r="F2980" s="6"/>
      <c r="G2980" s="6">
        <v>2973</v>
      </c>
      <c r="H2980" s="6">
        <f t="shared" ca="1" si="97"/>
        <v>-1.4283452599022108E-3</v>
      </c>
    </row>
    <row r="2981" spans="2:8" x14ac:dyDescent="0.3">
      <c r="B2981" s="4">
        <v>45007</v>
      </c>
      <c r="C2981" s="5">
        <v>2754.63</v>
      </c>
      <c r="D2981" s="6">
        <f t="shared" si="96"/>
        <v>1.4772354698603407E-2</v>
      </c>
      <c r="E2981" s="6">
        <v>2.6144645249854013E-4</v>
      </c>
      <c r="F2981" s="6"/>
      <c r="G2981" s="6">
        <v>2974</v>
      </c>
      <c r="H2981" s="6">
        <f t="shared" ca="1" si="97"/>
        <v>-2.107025926434147E-2</v>
      </c>
    </row>
    <row r="2982" spans="2:8" x14ac:dyDescent="0.3">
      <c r="B2982" s="4">
        <v>45009</v>
      </c>
      <c r="C2982" s="5">
        <v>2714.53</v>
      </c>
      <c r="D2982" s="6">
        <f t="shared" si="96"/>
        <v>1.7057902973395933</v>
      </c>
      <c r="E2982" s="6">
        <v>2.5056653831283639E-4</v>
      </c>
      <c r="F2982" s="6"/>
      <c r="G2982" s="6">
        <v>2975</v>
      </c>
      <c r="H2982" s="6">
        <f t="shared" ca="1" si="97"/>
        <v>3.232978866288249E-2</v>
      </c>
    </row>
    <row r="2983" spans="2:8" x14ac:dyDescent="0.3">
      <c r="B2983" s="4">
        <v>42814</v>
      </c>
      <c r="C2983" s="5">
        <v>1003.23</v>
      </c>
      <c r="D2983" s="6">
        <f t="shared" si="96"/>
        <v>-0.59101249103124387</v>
      </c>
      <c r="E2983" s="6">
        <v>2.2931206380859241E-4</v>
      </c>
      <c r="F2983" s="6"/>
      <c r="G2983" s="6">
        <v>2976</v>
      </c>
      <c r="H2983" s="6">
        <f t="shared" ca="1" si="97"/>
        <v>-1.948023142640213E-2</v>
      </c>
    </row>
    <row r="2984" spans="2:8" x14ac:dyDescent="0.3">
      <c r="B2984" s="4">
        <v>45614</v>
      </c>
      <c r="C2984" s="5">
        <v>2452.96</v>
      </c>
      <c r="D2984" s="6">
        <f t="shared" si="96"/>
        <v>1.1716450944632328</v>
      </c>
      <c r="E2984" s="6">
        <v>2.2426918826794131E-4</v>
      </c>
      <c r="F2984" s="6"/>
      <c r="G2984" s="6">
        <v>2977</v>
      </c>
      <c r="H2984" s="6">
        <f t="shared" ca="1" si="97"/>
        <v>-2.0440171845151064E-2</v>
      </c>
    </row>
    <row r="2985" spans="2:8" x14ac:dyDescent="0.3">
      <c r="B2985" s="4">
        <v>43403</v>
      </c>
      <c r="C2985" s="5">
        <v>1129.54</v>
      </c>
      <c r="D2985" s="6">
        <f t="shared" si="96"/>
        <v>2.4219152352388744</v>
      </c>
      <c r="E2985" s="6">
        <v>2.1252103072700709E-4</v>
      </c>
      <c r="F2985" s="6"/>
      <c r="G2985" s="6">
        <v>2978</v>
      </c>
      <c r="H2985" s="6">
        <f t="shared" ca="1" si="97"/>
        <v>1.7189881523411745E-2</v>
      </c>
    </row>
    <row r="2986" spans="2:8" x14ac:dyDescent="0.3">
      <c r="B2986" s="4">
        <v>41101</v>
      </c>
      <c r="C2986" s="7">
        <v>330.09</v>
      </c>
      <c r="D2986" s="6">
        <f t="shared" si="96"/>
        <v>-0.27733870438076058</v>
      </c>
      <c r="E2986" s="6">
        <v>2.1210835706924786E-4</v>
      </c>
      <c r="F2986" s="6"/>
      <c r="G2986" s="6">
        <v>2979</v>
      </c>
      <c r="H2986" s="6">
        <f t="shared" ca="1" si="97"/>
        <v>7.1653011247240347E-3</v>
      </c>
    </row>
    <row r="2987" spans="2:8" x14ac:dyDescent="0.3">
      <c r="B2987" s="4">
        <v>41606</v>
      </c>
      <c r="C2987" s="7">
        <v>456.77</v>
      </c>
      <c r="D2987" s="6">
        <f t="shared" si="96"/>
        <v>3.4333689216732992</v>
      </c>
      <c r="E2987" s="6">
        <v>1.9707453796963956E-4</v>
      </c>
      <c r="F2987" s="6"/>
      <c r="G2987" s="6">
        <v>2980</v>
      </c>
      <c r="H2987" s="6">
        <f t="shared" ca="1" si="97"/>
        <v>2.223782862398991E-2</v>
      </c>
    </row>
    <row r="2988" spans="2:8" x14ac:dyDescent="0.3">
      <c r="B2988" s="4">
        <v>40000</v>
      </c>
      <c r="C2988" s="7">
        <v>103.03</v>
      </c>
      <c r="D2988" s="6">
        <f t="shared" si="96"/>
        <v>-0.95525745528133987</v>
      </c>
      <c r="E2988" s="6">
        <v>1.9415590719343772E-4</v>
      </c>
      <c r="F2988" s="6"/>
      <c r="G2988" s="6">
        <v>2981</v>
      </c>
      <c r="H2988" s="6">
        <f t="shared" ca="1" si="97"/>
        <v>1.6694193237519233E-2</v>
      </c>
    </row>
    <row r="2989" spans="2:8" x14ac:dyDescent="0.3">
      <c r="B2989" s="4">
        <v>45804</v>
      </c>
      <c r="C2989" s="5">
        <v>2302.73</v>
      </c>
      <c r="D2989" s="6">
        <f t="shared" si="96"/>
        <v>36.564926590538334</v>
      </c>
      <c r="E2989" s="6">
        <v>1.7373704030268944E-4</v>
      </c>
      <c r="F2989" s="6"/>
      <c r="G2989" s="6">
        <v>2982</v>
      </c>
      <c r="H2989" s="6">
        <f t="shared" ca="1" si="97"/>
        <v>7.2697103412450751E-3</v>
      </c>
    </row>
    <row r="2990" spans="2:8" x14ac:dyDescent="0.3">
      <c r="B2990" s="4">
        <v>39085</v>
      </c>
      <c r="C2990" s="7">
        <v>61.3</v>
      </c>
      <c r="D2990" s="6">
        <f t="shared" si="96"/>
        <v>-0.81196895800742308</v>
      </c>
      <c r="E2990" s="6">
        <v>1.6315875346709105E-4</v>
      </c>
      <c r="F2990" s="6"/>
      <c r="G2990" s="6">
        <v>2983</v>
      </c>
      <c r="H2990" s="6">
        <f t="shared" ca="1" si="97"/>
        <v>-1.3193471671934327E-3</v>
      </c>
    </row>
    <row r="2991" spans="2:8" x14ac:dyDescent="0.3">
      <c r="B2991" s="4">
        <v>41052</v>
      </c>
      <c r="C2991" s="7">
        <v>326.01</v>
      </c>
      <c r="D2991" s="6">
        <f t="shared" si="96"/>
        <v>-0.89105145488632598</v>
      </c>
      <c r="E2991" s="6">
        <v>1.5339305436253334E-4</v>
      </c>
      <c r="F2991" s="6"/>
      <c r="G2991" s="6">
        <v>2984</v>
      </c>
      <c r="H2991" s="6">
        <f t="shared" ca="1" si="97"/>
        <v>3.4317784104599805E-2</v>
      </c>
    </row>
    <row r="2992" spans="2:8" x14ac:dyDescent="0.3">
      <c r="B2992" s="4">
        <v>45068</v>
      </c>
      <c r="C2992" s="5">
        <v>2992.33</v>
      </c>
      <c r="D2992" s="6">
        <f t="shared" si="96"/>
        <v>1.2188582148762783</v>
      </c>
      <c r="E2992" s="6">
        <v>1.4706423030260289E-4</v>
      </c>
      <c r="F2992" s="6"/>
      <c r="G2992" s="6">
        <v>2985</v>
      </c>
      <c r="H2992" s="6">
        <f t="shared" ca="1" si="97"/>
        <v>7.6541106682413073E-3</v>
      </c>
    </row>
    <row r="2993" spans="2:8" x14ac:dyDescent="0.3">
      <c r="B2993" s="4">
        <v>43537</v>
      </c>
      <c r="C2993" s="5">
        <v>1348.59</v>
      </c>
      <c r="D2993" s="6">
        <f t="shared" si="96"/>
        <v>2.4170931941417924</v>
      </c>
      <c r="E2993" s="6">
        <v>1.3349055554307389E-4</v>
      </c>
      <c r="F2993" s="6"/>
      <c r="G2993" s="6">
        <v>2986</v>
      </c>
      <c r="H2993" s="6">
        <f t="shared" ca="1" si="97"/>
        <v>1.917299812367115E-2</v>
      </c>
    </row>
    <row r="2994" spans="2:8" x14ac:dyDescent="0.3">
      <c r="B2994" s="4">
        <v>41299</v>
      </c>
      <c r="C2994" s="7">
        <v>394.66</v>
      </c>
      <c r="D2994" s="6">
        <f t="shared" si="96"/>
        <v>3.967400881057269</v>
      </c>
      <c r="E2994" s="6">
        <v>1.2670738197210249E-4</v>
      </c>
      <c r="F2994" s="6"/>
      <c r="G2994" s="6">
        <v>2987</v>
      </c>
      <c r="H2994" s="6">
        <f t="shared" ca="1" si="97"/>
        <v>1.4927943745117595E-2</v>
      </c>
    </row>
    <row r="2995" spans="2:8" x14ac:dyDescent="0.3">
      <c r="B2995" s="4">
        <v>39339</v>
      </c>
      <c r="C2995" s="7">
        <v>79.45</v>
      </c>
      <c r="D2995" s="6">
        <f t="shared" si="96"/>
        <v>-0.97113617042919742</v>
      </c>
      <c r="E2995" s="6">
        <v>1.2588116817730509E-4</v>
      </c>
      <c r="F2995" s="6"/>
      <c r="G2995" s="6">
        <v>2988</v>
      </c>
      <c r="H2995" s="6">
        <f t="shared" ca="1" si="97"/>
        <v>2.8998760941335328E-2</v>
      </c>
    </row>
    <row r="2996" spans="2:8" x14ac:dyDescent="0.3">
      <c r="B2996" s="4">
        <v>45428</v>
      </c>
      <c r="C2996" s="5">
        <v>2752.58</v>
      </c>
      <c r="D2996" s="6">
        <f t="shared" si="96"/>
        <v>-0.13520832940614655</v>
      </c>
      <c r="E2996" s="6">
        <v>1.2353573816242244E-4</v>
      </c>
      <c r="F2996" s="6"/>
      <c r="G2996" s="6">
        <v>2989</v>
      </c>
      <c r="H2996" s="6">
        <f t="shared" ca="1" si="97"/>
        <v>-2.9343335407439896E-2</v>
      </c>
    </row>
    <row r="2997" spans="2:8" x14ac:dyDescent="0.3">
      <c r="B2997" s="4">
        <v>45166</v>
      </c>
      <c r="C2997" s="5">
        <v>3182.94</v>
      </c>
      <c r="D2997" s="6">
        <f t="shared" si="96"/>
        <v>37.005253731343281</v>
      </c>
      <c r="E2997" s="6">
        <v>1.2254324362535472E-4</v>
      </c>
      <c r="F2997" s="6"/>
      <c r="G2997" s="6">
        <v>2990</v>
      </c>
      <c r="H2997" s="6">
        <f t="shared" ca="1" si="97"/>
        <v>2.0205212130138045E-3</v>
      </c>
    </row>
    <row r="2998" spans="2:8" x14ac:dyDescent="0.3">
      <c r="B2998" s="4">
        <v>39426</v>
      </c>
      <c r="C2998" s="7">
        <v>83.75</v>
      </c>
      <c r="D2998" s="6">
        <f t="shared" si="96"/>
        <v>-0.97390567407485873</v>
      </c>
      <c r="E2998" s="6">
        <v>1.1941724385007304E-4</v>
      </c>
      <c r="F2998" s="6"/>
      <c r="G2998" s="6">
        <v>2991</v>
      </c>
      <c r="H2998" s="6">
        <f t="shared" ca="1" si="97"/>
        <v>1.4021893454832334E-2</v>
      </c>
    </row>
    <row r="2999" spans="2:8" x14ac:dyDescent="0.3">
      <c r="B2999" s="4">
        <v>44447</v>
      </c>
      <c r="C2999" s="5">
        <v>3209.51</v>
      </c>
      <c r="D2999" s="6">
        <f t="shared" si="96"/>
        <v>29.009443665264143</v>
      </c>
      <c r="E2999" s="6">
        <v>1.0594639735512469E-4</v>
      </c>
      <c r="F2999" s="6"/>
      <c r="G2999" s="6">
        <v>2992</v>
      </c>
      <c r="H2999" s="6">
        <f t="shared" ca="1" si="97"/>
        <v>1.3310015073154574E-2</v>
      </c>
    </row>
    <row r="3000" spans="2:8" x14ac:dyDescent="0.3">
      <c r="B3000" s="4">
        <v>39619</v>
      </c>
      <c r="C3000" s="7">
        <v>106.95</v>
      </c>
      <c r="D3000" s="6">
        <f t="shared" si="96"/>
        <v>-0.53110614231224518</v>
      </c>
      <c r="E3000" s="6">
        <v>9.3510379652189234E-5</v>
      </c>
      <c r="F3000" s="6"/>
      <c r="G3000" s="6">
        <v>2993</v>
      </c>
      <c r="H3000" s="6">
        <f t="shared" ca="1" si="97"/>
        <v>2.8001924700483759E-2</v>
      </c>
    </row>
    <row r="3001" spans="2:8" x14ac:dyDescent="0.3">
      <c r="B3001" s="4">
        <v>40570</v>
      </c>
      <c r="C3001" s="7">
        <v>228.09</v>
      </c>
      <c r="D3001" s="6">
        <f t="shared" si="96"/>
        <v>-0.50049274029301627</v>
      </c>
      <c r="E3001" s="6">
        <v>8.7692375148025749E-5</v>
      </c>
      <c r="F3001" s="6"/>
      <c r="G3001" s="6">
        <v>2994</v>
      </c>
      <c r="H3001" s="6">
        <f t="shared" ca="1" si="97"/>
        <v>-2.6052244514205198E-2</v>
      </c>
    </row>
    <row r="3002" spans="2:8" x14ac:dyDescent="0.3">
      <c r="B3002" s="4">
        <v>41618</v>
      </c>
      <c r="C3002" s="7">
        <v>456.63</v>
      </c>
      <c r="D3002" s="6">
        <f t="shared" si="96"/>
        <v>-0.57199497600479909</v>
      </c>
      <c r="E3002" s="6">
        <v>8.7605948443944163E-5</v>
      </c>
      <c r="F3002" s="6"/>
      <c r="G3002" s="6">
        <v>2995</v>
      </c>
      <c r="H3002" s="6">
        <f t="shared" ca="1" si="97"/>
        <v>9.7607045091947144E-3</v>
      </c>
    </row>
    <row r="3003" spans="2:8" x14ac:dyDescent="0.3">
      <c r="B3003" s="4">
        <v>43091</v>
      </c>
      <c r="C3003" s="5">
        <v>1066.8800000000001</v>
      </c>
      <c r="D3003" s="6">
        <f t="shared" si="96"/>
        <v>-0.66627774945181439</v>
      </c>
      <c r="E3003" s="6">
        <v>8.436524526865224E-5</v>
      </c>
      <c r="F3003" s="6"/>
      <c r="G3003" s="6">
        <v>2996</v>
      </c>
      <c r="H3003" s="6">
        <f t="shared" ca="1" si="97"/>
        <v>-3.8661779991009757E-3</v>
      </c>
    </row>
    <row r="3004" spans="2:8" x14ac:dyDescent="0.3">
      <c r="B3004" s="4">
        <v>44482</v>
      </c>
      <c r="C3004" s="5">
        <v>3196.91</v>
      </c>
      <c r="D3004" s="6">
        <f t="shared" si="96"/>
        <v>3.6341431594816336</v>
      </c>
      <c r="E3004" s="6">
        <v>7.5078128177066049E-5</v>
      </c>
      <c r="F3004" s="6"/>
      <c r="G3004" s="6">
        <v>2997</v>
      </c>
      <c r="H3004" s="6">
        <f t="shared" ca="1" si="97"/>
        <v>3.2824157546538717E-2</v>
      </c>
    </row>
    <row r="3005" spans="2:8" x14ac:dyDescent="0.3">
      <c r="B3005" s="4">
        <v>42181</v>
      </c>
      <c r="C3005" s="7">
        <v>689.86</v>
      </c>
      <c r="D3005" s="6">
        <f t="shared" si="96"/>
        <v>-0.75430586224090035</v>
      </c>
      <c r="E3005" s="6">
        <v>7.2483727403296875E-5</v>
      </c>
      <c r="F3005" s="6"/>
      <c r="G3005" s="6">
        <v>2998</v>
      </c>
      <c r="H3005" s="6">
        <f t="shared" ca="1" si="97"/>
        <v>-5.2967471418064122E-3</v>
      </c>
    </row>
    <row r="3006" spans="2:8" x14ac:dyDescent="0.3">
      <c r="B3006" s="4">
        <v>46014</v>
      </c>
      <c r="C3006" s="5">
        <v>2807.8</v>
      </c>
      <c r="D3006" s="6">
        <f t="shared" si="96"/>
        <v>11.978644725894425</v>
      </c>
      <c r="E3006" s="6">
        <v>7.1235218692218568E-5</v>
      </c>
      <c r="F3006" s="6"/>
      <c r="G3006" s="6">
        <v>2999</v>
      </c>
      <c r="H3006" s="6">
        <f t="shared" ca="1" si="97"/>
        <v>-3.073387328902516E-2</v>
      </c>
    </row>
    <row r="3007" spans="2:8" x14ac:dyDescent="0.3">
      <c r="B3007" s="4">
        <v>40378</v>
      </c>
      <c r="C3007" s="7">
        <v>216.34</v>
      </c>
      <c r="D3007" s="6">
        <f t="shared" si="96"/>
        <v>-0.91294865604377906</v>
      </c>
      <c r="E3007" s="6">
        <v>4.6225673739152703E-5</v>
      </c>
      <c r="F3007" s="6"/>
      <c r="G3007" s="6">
        <v>3000</v>
      </c>
      <c r="H3007" s="6">
        <f t="shared" ca="1" si="97"/>
        <v>1.7992627410138459E-2</v>
      </c>
    </row>
    <row r="3008" spans="2:8" x14ac:dyDescent="0.3">
      <c r="B3008" s="4">
        <v>46139</v>
      </c>
      <c r="C3008" s="5">
        <v>2485.1999999999998</v>
      </c>
      <c r="D3008" s="6">
        <f t="shared" si="96"/>
        <v>0.97975002190693927</v>
      </c>
      <c r="E3008" s="6">
        <v>4.0239829383086818E-5</v>
      </c>
      <c r="F3008" s="6"/>
      <c r="G3008" s="6">
        <v>3001</v>
      </c>
      <c r="H3008" s="6">
        <f t="shared" ca="1" si="97"/>
        <v>1.498965389869783E-2</v>
      </c>
    </row>
    <row r="3009" spans="2:8" x14ac:dyDescent="0.3">
      <c r="B3009" s="4">
        <v>43439</v>
      </c>
      <c r="C3009" s="5">
        <v>1255.31</v>
      </c>
      <c r="D3009" s="6">
        <f t="shared" si="96"/>
        <v>-0.55388961938945946</v>
      </c>
      <c r="E3009" s="6">
        <v>3.983238532252643E-5</v>
      </c>
      <c r="F3009" s="6"/>
      <c r="G3009" s="6">
        <v>3002</v>
      </c>
      <c r="H3009" s="6">
        <f t="shared" ca="1" si="97"/>
        <v>-1.4559258149339399E-2</v>
      </c>
    </row>
    <row r="3010" spans="2:8" x14ac:dyDescent="0.3">
      <c r="B3010" s="4">
        <v>46037</v>
      </c>
      <c r="C3010" s="5">
        <v>2813.9</v>
      </c>
      <c r="D3010" s="6">
        <f t="shared" si="96"/>
        <v>0.28147443108073039</v>
      </c>
      <c r="E3010" s="6">
        <v>0</v>
      </c>
      <c r="F3010" s="6"/>
      <c r="G3010" s="6">
        <v>3003</v>
      </c>
      <c r="H3010" s="6">
        <f t="shared" ca="1" si="97"/>
        <v>-4.4215715482437586E-3</v>
      </c>
    </row>
    <row r="3011" spans="2:8" x14ac:dyDescent="0.3">
      <c r="B3011" s="4">
        <v>45734</v>
      </c>
      <c r="C3011" s="5">
        <v>2195.83</v>
      </c>
      <c r="D3011" s="6">
        <f t="shared" si="96"/>
        <v>-0.2072529694212788</v>
      </c>
      <c r="E3011" s="6">
        <v>0</v>
      </c>
      <c r="F3011" s="6"/>
      <c r="G3011" s="6">
        <v>3004</v>
      </c>
      <c r="H3011" s="6">
        <f t="shared" ca="1" si="97"/>
        <v>1.4061364196669236E-2</v>
      </c>
    </row>
    <row r="3012" spans="2:8" x14ac:dyDescent="0.3">
      <c r="B3012" s="4">
        <v>45355</v>
      </c>
      <c r="C3012" s="5">
        <v>2769.9</v>
      </c>
      <c r="D3012" s="6">
        <f t="shared" si="96"/>
        <v>-0.10055916715915801</v>
      </c>
      <c r="E3012" s="6">
        <v>0</v>
      </c>
      <c r="F3012" s="6"/>
      <c r="G3012" s="6">
        <v>3005</v>
      </c>
      <c r="H3012" s="6">
        <f t="shared" ca="1" si="97"/>
        <v>-1.2706278493449564E-3</v>
      </c>
    </row>
    <row r="3013" spans="2:8" x14ac:dyDescent="0.3">
      <c r="B3013" s="4">
        <v>45259</v>
      </c>
      <c r="C3013" s="5">
        <v>3079.58</v>
      </c>
      <c r="D3013" s="6">
        <f t="shared" si="96"/>
        <v>0.787626544069843</v>
      </c>
      <c r="E3013" s="6">
        <v>0</v>
      </c>
      <c r="F3013" s="6"/>
      <c r="G3013" s="6">
        <v>3006</v>
      </c>
      <c r="H3013" s="6">
        <f t="shared" ca="1" si="97"/>
        <v>9.8888965072507721E-3</v>
      </c>
    </row>
    <row r="3014" spans="2:8" x14ac:dyDescent="0.3">
      <c r="B3014" s="4">
        <v>44057</v>
      </c>
      <c r="C3014" s="5">
        <v>1722.72</v>
      </c>
      <c r="D3014" s="6">
        <f t="shared" si="96"/>
        <v>0.305288680103046</v>
      </c>
      <c r="E3014" s="6">
        <v>0</v>
      </c>
      <c r="F3014" s="6"/>
      <c r="G3014" s="6">
        <v>3007</v>
      </c>
      <c r="H3014" s="6">
        <f t="shared" ca="1" si="97"/>
        <v>1.4992297230556442E-2</v>
      </c>
    </row>
    <row r="3015" spans="2:8" x14ac:dyDescent="0.3">
      <c r="B3015" s="4">
        <v>43518</v>
      </c>
      <c r="C3015" s="5">
        <v>1319.8</v>
      </c>
      <c r="D3015" s="6">
        <f t="shared" si="96"/>
        <v>0.21402224205016862</v>
      </c>
      <c r="E3015" s="6">
        <v>0</v>
      </c>
      <c r="F3015" s="6"/>
      <c r="G3015" s="6">
        <v>3008</v>
      </c>
      <c r="H3015" s="6">
        <f t="shared" ca="1" si="97"/>
        <v>-9.0165411914661913E-3</v>
      </c>
    </row>
    <row r="3016" spans="2:8" x14ac:dyDescent="0.3">
      <c r="B3016" s="4">
        <v>43063</v>
      </c>
      <c r="C3016" s="5">
        <v>1087.1300000000001</v>
      </c>
      <c r="D3016" s="6">
        <f t="shared" ref="D3016:D3079" si="98">((C3016-C3017)/C3017)</f>
        <v>0.84034737269772486</v>
      </c>
      <c r="E3016" s="6">
        <v>0</v>
      </c>
      <c r="F3016" s="6"/>
      <c r="G3016" s="6">
        <v>3009</v>
      </c>
      <c r="H3016" s="6">
        <f t="shared" ca="1" si="97"/>
        <v>1.5620194553329152E-2</v>
      </c>
    </row>
    <row r="3017" spans="2:8" x14ac:dyDescent="0.3">
      <c r="B3017" s="4">
        <v>41927</v>
      </c>
      <c r="C3017" s="7">
        <v>590.72</v>
      </c>
      <c r="D3017" s="6">
        <f t="shared" si="98"/>
        <v>0.2328241088571667</v>
      </c>
      <c r="E3017" s="6">
        <v>0</v>
      </c>
      <c r="F3017" s="6"/>
      <c r="G3017" s="6">
        <v>3010</v>
      </c>
      <c r="H3017" s="6">
        <f t="shared" ref="H3017:H3080" ca="1" si="99">_xlfn.NORM.INV(RAND(),N$10,N$11)</f>
        <v>-6.1298619889026476E-4</v>
      </c>
    </row>
    <row r="3018" spans="2:8" x14ac:dyDescent="0.3">
      <c r="B3018" s="4">
        <v>41753</v>
      </c>
      <c r="C3018" s="7">
        <v>479.16</v>
      </c>
      <c r="D3018" s="6">
        <f t="shared" si="98"/>
        <v>3.1059125964010286</v>
      </c>
      <c r="E3018" s="6">
        <v>0</v>
      </c>
      <c r="F3018" s="6"/>
      <c r="G3018" s="6">
        <v>3011</v>
      </c>
      <c r="H3018" s="6">
        <f t="shared" ca="1" si="99"/>
        <v>-1.3912183913602825E-2</v>
      </c>
    </row>
    <row r="3019" spans="2:8" x14ac:dyDescent="0.3">
      <c r="B3019" s="4">
        <v>40059</v>
      </c>
      <c r="C3019" s="7">
        <v>116.7</v>
      </c>
      <c r="D3019" s="6">
        <f t="shared" si="98"/>
        <v>0.5290880503144656</v>
      </c>
      <c r="E3019" s="6">
        <v>0</v>
      </c>
      <c r="F3019" s="6"/>
      <c r="G3019" s="6">
        <v>3012</v>
      </c>
      <c r="H3019" s="6">
        <f t="shared" ca="1" si="99"/>
        <v>-2.2386627451325376E-2</v>
      </c>
    </row>
    <row r="3020" spans="2:8" x14ac:dyDescent="0.3">
      <c r="B3020" s="4">
        <v>39779</v>
      </c>
      <c r="C3020" s="7">
        <v>76.319999999999993</v>
      </c>
      <c r="D3020" s="6">
        <f t="shared" si="98"/>
        <v>-0.14496975128837117</v>
      </c>
      <c r="E3020" s="6">
        <v>0</v>
      </c>
      <c r="F3020" s="6"/>
      <c r="G3020" s="6">
        <v>3013</v>
      </c>
      <c r="H3020" s="6">
        <f t="shared" ca="1" si="99"/>
        <v>-1.6843787052675314E-2</v>
      </c>
    </row>
    <row r="3021" spans="2:8" x14ac:dyDescent="0.3">
      <c r="B3021" s="4">
        <v>39643</v>
      </c>
      <c r="C3021" s="7">
        <v>89.26</v>
      </c>
      <c r="D3021" s="6">
        <f t="shared" si="98"/>
        <v>-8.0741503604531306E-2</v>
      </c>
      <c r="E3021" s="6">
        <v>0</v>
      </c>
      <c r="F3021" s="6"/>
      <c r="G3021" s="6">
        <v>3014</v>
      </c>
      <c r="H3021" s="6">
        <f t="shared" ca="1" si="99"/>
        <v>6.9247801357851576E-3</v>
      </c>
    </row>
    <row r="3022" spans="2:8" x14ac:dyDescent="0.3">
      <c r="B3022" s="4">
        <v>39493</v>
      </c>
      <c r="C3022" s="7">
        <v>97.1</v>
      </c>
      <c r="D3022" s="6">
        <f t="shared" si="98"/>
        <v>0.147889821491902</v>
      </c>
      <c r="E3022" s="6">
        <v>0</v>
      </c>
      <c r="F3022" s="6"/>
      <c r="G3022" s="6">
        <v>3015</v>
      </c>
      <c r="H3022" s="6">
        <f t="shared" ca="1" si="99"/>
        <v>1.8290571047481496E-3</v>
      </c>
    </row>
    <row r="3023" spans="2:8" x14ac:dyDescent="0.3">
      <c r="B3023" s="4">
        <v>39406</v>
      </c>
      <c r="C3023" s="7">
        <v>84.59</v>
      </c>
      <c r="D3023" s="6">
        <f t="shared" si="98"/>
        <v>0.58556701030927838</v>
      </c>
      <c r="E3023" s="6">
        <v>0</v>
      </c>
      <c r="F3023" s="6"/>
      <c r="G3023" s="6">
        <v>3016</v>
      </c>
      <c r="H3023" s="6">
        <f t="shared" ca="1" si="99"/>
        <v>-2.0584139044950408E-3</v>
      </c>
    </row>
    <row r="3024" spans="2:8" x14ac:dyDescent="0.3">
      <c r="B3024" s="4">
        <v>38946</v>
      </c>
      <c r="C3024" s="7">
        <v>53.35</v>
      </c>
      <c r="D3024" s="6">
        <f t="shared" si="98"/>
        <v>5.2475833497731383E-2</v>
      </c>
      <c r="E3024" s="6">
        <v>0</v>
      </c>
      <c r="F3024" s="6"/>
      <c r="G3024" s="6">
        <v>3017</v>
      </c>
      <c r="H3024" s="6">
        <f t="shared" ca="1" si="99"/>
        <v>7.5119601572828168E-3</v>
      </c>
    </row>
    <row r="3025" spans="2:8" x14ac:dyDescent="0.3">
      <c r="B3025" s="4">
        <v>38933</v>
      </c>
      <c r="C3025" s="7">
        <v>50.69</v>
      </c>
      <c r="D3025" s="6">
        <f t="shared" si="98"/>
        <v>8.0579833724152658E-2</v>
      </c>
      <c r="E3025" s="6">
        <v>0</v>
      </c>
      <c r="F3025" s="6"/>
      <c r="G3025" s="6">
        <v>3018</v>
      </c>
      <c r="H3025" s="6">
        <f t="shared" ca="1" si="99"/>
        <v>-1.9598871943488092E-3</v>
      </c>
    </row>
    <row r="3026" spans="2:8" x14ac:dyDescent="0.3">
      <c r="B3026" s="4">
        <v>38875</v>
      </c>
      <c r="C3026" s="7">
        <v>46.91</v>
      </c>
      <c r="D3026" s="6">
        <f t="shared" si="98"/>
        <v>0</v>
      </c>
      <c r="E3026" s="6">
        <v>0</v>
      </c>
      <c r="F3026" s="6"/>
      <c r="G3026" s="6">
        <v>3019</v>
      </c>
      <c r="H3026" s="6">
        <f t="shared" ca="1" si="99"/>
        <v>1.7117317754978507E-2</v>
      </c>
    </row>
    <row r="3027" spans="2:8" x14ac:dyDescent="0.3">
      <c r="B3027" s="4">
        <v>38874</v>
      </c>
      <c r="C3027" s="7">
        <v>46.91</v>
      </c>
      <c r="D3027" s="6">
        <f t="shared" si="98"/>
        <v>1.6468039003250227E-2</v>
      </c>
      <c r="E3027" s="6">
        <v>0</v>
      </c>
      <c r="F3027" s="6"/>
      <c r="G3027" s="6">
        <v>3020</v>
      </c>
      <c r="H3027" s="6">
        <f t="shared" ca="1" si="99"/>
        <v>-6.4927098751611425E-3</v>
      </c>
    </row>
    <row r="3028" spans="2:8" x14ac:dyDescent="0.3">
      <c r="B3028" s="4">
        <v>38869</v>
      </c>
      <c r="C3028" s="7">
        <v>46.15</v>
      </c>
      <c r="D3028" s="6">
        <f t="shared" si="98"/>
        <v>0.1480099502487561</v>
      </c>
      <c r="E3028" s="6">
        <v>0</v>
      </c>
      <c r="F3028" s="6"/>
      <c r="G3028" s="6">
        <v>3021</v>
      </c>
      <c r="H3028" s="6">
        <f t="shared" ca="1" si="99"/>
        <v>1.0096111818372158E-2</v>
      </c>
    </row>
    <row r="3029" spans="2:8" x14ac:dyDescent="0.3">
      <c r="B3029" s="4">
        <v>38660</v>
      </c>
      <c r="C3029" s="7">
        <v>40.200000000000003</v>
      </c>
      <c r="D3029" s="6">
        <f t="shared" si="98"/>
        <v>4.7488127968009211E-3</v>
      </c>
      <c r="E3029" s="6">
        <v>0</v>
      </c>
      <c r="F3029" s="6"/>
      <c r="G3029" s="6">
        <v>3022</v>
      </c>
      <c r="H3029" s="6">
        <f t="shared" ca="1" si="99"/>
        <v>-1.1939200729233119E-2</v>
      </c>
    </row>
    <row r="3030" spans="2:8" x14ac:dyDescent="0.3">
      <c r="B3030" s="4">
        <v>38609</v>
      </c>
      <c r="C3030" s="7">
        <v>40.01</v>
      </c>
      <c r="D3030" s="6">
        <f t="shared" si="98"/>
        <v>8.8707482993197223E-2</v>
      </c>
      <c r="E3030" s="6">
        <v>0</v>
      </c>
      <c r="F3030" s="6"/>
      <c r="G3030" s="6">
        <v>3023</v>
      </c>
      <c r="H3030" s="6">
        <f t="shared" ca="1" si="99"/>
        <v>-4.8689246528462954E-3</v>
      </c>
    </row>
    <row r="3031" spans="2:8" x14ac:dyDescent="0.3">
      <c r="B3031" s="4">
        <v>38561</v>
      </c>
      <c r="C3031" s="7">
        <v>36.75</v>
      </c>
      <c r="D3031" s="6">
        <f t="shared" si="98"/>
        <v>0.18932038834951462</v>
      </c>
      <c r="E3031" s="6">
        <v>0</v>
      </c>
      <c r="F3031" s="6"/>
      <c r="G3031" s="6">
        <v>3024</v>
      </c>
      <c r="H3031" s="6">
        <f t="shared" ca="1" si="99"/>
        <v>2.8948176730226198E-2</v>
      </c>
    </row>
    <row r="3032" spans="2:8" x14ac:dyDescent="0.3">
      <c r="B3032" s="4">
        <v>38463</v>
      </c>
      <c r="C3032" s="7">
        <v>30.9</v>
      </c>
      <c r="D3032" s="6">
        <f t="shared" si="98"/>
        <v>-3.2351989647368368E-4</v>
      </c>
      <c r="E3032" s="6">
        <v>0</v>
      </c>
      <c r="F3032" s="6"/>
      <c r="G3032" s="6">
        <v>3025</v>
      </c>
      <c r="H3032" s="6">
        <f t="shared" ca="1" si="99"/>
        <v>-8.2680360409451703E-3</v>
      </c>
    </row>
    <row r="3033" spans="2:8" x14ac:dyDescent="0.3">
      <c r="B3033" s="4">
        <v>38454</v>
      </c>
      <c r="C3033" s="7">
        <v>30.91</v>
      </c>
      <c r="D3033" s="6">
        <f t="shared" si="98"/>
        <v>3.2362459546930625E-4</v>
      </c>
      <c r="E3033" s="6">
        <v>0</v>
      </c>
      <c r="F3033" s="6"/>
      <c r="G3033" s="6">
        <v>3026</v>
      </c>
      <c r="H3033" s="6">
        <f t="shared" ca="1" si="99"/>
        <v>8.4866749196355305E-3</v>
      </c>
    </row>
    <row r="3034" spans="2:8" x14ac:dyDescent="0.3">
      <c r="B3034" s="4">
        <v>38449</v>
      </c>
      <c r="C3034" s="7">
        <v>30.9</v>
      </c>
      <c r="D3034" s="6">
        <f t="shared" si="98"/>
        <v>0</v>
      </c>
      <c r="E3034" s="6">
        <v>0</v>
      </c>
      <c r="F3034" s="6"/>
      <c r="G3034" s="6">
        <v>3027</v>
      </c>
      <c r="H3034" s="6">
        <f t="shared" ca="1" si="99"/>
        <v>1.089864721320858E-2</v>
      </c>
    </row>
    <row r="3035" spans="2:8" x14ac:dyDescent="0.3">
      <c r="B3035" s="4">
        <v>38448</v>
      </c>
      <c r="C3035" s="7">
        <v>30.9</v>
      </c>
      <c r="D3035" s="6">
        <f t="shared" si="98"/>
        <v>0</v>
      </c>
      <c r="E3035" s="6">
        <v>0</v>
      </c>
      <c r="F3035" s="6"/>
      <c r="G3035" s="6">
        <v>3028</v>
      </c>
      <c r="H3035" s="6">
        <f t="shared" ca="1" si="99"/>
        <v>1.0382669207871658E-2</v>
      </c>
    </row>
    <row r="3036" spans="2:8" x14ac:dyDescent="0.3">
      <c r="B3036" s="4">
        <v>38447</v>
      </c>
      <c r="C3036" s="7">
        <v>30.9</v>
      </c>
      <c r="D3036" s="6">
        <f t="shared" si="98"/>
        <v>0.10003559985760052</v>
      </c>
      <c r="E3036" s="6">
        <v>0</v>
      </c>
      <c r="F3036" s="6"/>
      <c r="G3036" s="6">
        <v>3029</v>
      </c>
      <c r="H3036" s="6">
        <f t="shared" ca="1" si="99"/>
        <v>-1.463625066671629E-2</v>
      </c>
    </row>
    <row r="3037" spans="2:8" x14ac:dyDescent="0.3">
      <c r="B3037" s="4">
        <v>38411</v>
      </c>
      <c r="C3037" s="7">
        <v>28.09</v>
      </c>
      <c r="D3037" s="6">
        <f t="shared" si="98"/>
        <v>-1.2653778558875201E-2</v>
      </c>
      <c r="E3037" s="6">
        <v>0</v>
      </c>
      <c r="F3037" s="6"/>
      <c r="G3037" s="6">
        <v>3030</v>
      </c>
      <c r="H3037" s="6">
        <f t="shared" ca="1" si="99"/>
        <v>-9.2851209061639278E-3</v>
      </c>
    </row>
    <row r="3038" spans="2:8" x14ac:dyDescent="0.3">
      <c r="B3038" s="4">
        <v>38400</v>
      </c>
      <c r="C3038" s="7">
        <v>28.45</v>
      </c>
      <c r="D3038" s="6">
        <f t="shared" si="98"/>
        <v>0.11089418196017181</v>
      </c>
      <c r="E3038" s="6">
        <v>0</v>
      </c>
      <c r="F3038" s="6"/>
      <c r="G3038" s="6">
        <v>3031</v>
      </c>
      <c r="H3038" s="6">
        <f t="shared" ca="1" si="99"/>
        <v>-1.5919632718195253E-2</v>
      </c>
    </row>
    <row r="3039" spans="2:8" x14ac:dyDescent="0.3">
      <c r="B3039" s="4">
        <v>38351</v>
      </c>
      <c r="C3039" s="7">
        <v>25.61</v>
      </c>
      <c r="D3039" s="6">
        <f t="shared" si="98"/>
        <v>0</v>
      </c>
      <c r="E3039" s="6">
        <v>0</v>
      </c>
      <c r="F3039" s="6"/>
      <c r="G3039" s="6">
        <v>3032</v>
      </c>
      <c r="H3039" s="6">
        <f t="shared" ca="1" si="99"/>
        <v>-7.4894826459890179E-3</v>
      </c>
    </row>
    <row r="3040" spans="2:8" x14ac:dyDescent="0.3">
      <c r="B3040" s="4">
        <v>38341</v>
      </c>
      <c r="C3040" s="7">
        <v>25.61</v>
      </c>
      <c r="D3040" s="6">
        <f t="shared" si="98"/>
        <v>-1.5594541910331052E-3</v>
      </c>
      <c r="E3040" s="6">
        <v>0</v>
      </c>
      <c r="F3040" s="6"/>
      <c r="G3040" s="6">
        <v>3033</v>
      </c>
      <c r="H3040" s="6">
        <f t="shared" ca="1" si="99"/>
        <v>-7.7839214193720918E-3</v>
      </c>
    </row>
    <row r="3041" spans="2:8" x14ac:dyDescent="0.3">
      <c r="B3041" s="4">
        <v>38337</v>
      </c>
      <c r="C3041" s="7">
        <v>25.65</v>
      </c>
      <c r="D3041" s="6">
        <f t="shared" si="98"/>
        <v>0.11764705882352938</v>
      </c>
      <c r="E3041" s="6">
        <v>0</v>
      </c>
      <c r="F3041" s="6"/>
      <c r="G3041" s="6">
        <v>3034</v>
      </c>
      <c r="H3041" s="6">
        <f t="shared" ca="1" si="99"/>
        <v>1.1157344193591904E-2</v>
      </c>
    </row>
    <row r="3042" spans="2:8" x14ac:dyDescent="0.3">
      <c r="B3042" s="4">
        <v>38317</v>
      </c>
      <c r="C3042" s="7">
        <v>22.95</v>
      </c>
      <c r="D3042" s="6">
        <f t="shared" si="98"/>
        <v>-1.4598540145985396E-2</v>
      </c>
      <c r="E3042" s="6">
        <v>0</v>
      </c>
      <c r="F3042" s="6"/>
      <c r="G3042" s="6">
        <v>3035</v>
      </c>
      <c r="H3042" s="6">
        <f t="shared" ca="1" si="99"/>
        <v>1.2358512648577633E-2</v>
      </c>
    </row>
    <row r="3043" spans="2:8" x14ac:dyDescent="0.3">
      <c r="B3043" s="4">
        <v>38307</v>
      </c>
      <c r="C3043" s="7">
        <v>23.29</v>
      </c>
      <c r="D3043" s="6">
        <f t="shared" si="98"/>
        <v>0</v>
      </c>
      <c r="E3043" s="6">
        <v>0</v>
      </c>
      <c r="F3043" s="6"/>
      <c r="G3043" s="6">
        <v>3036</v>
      </c>
      <c r="H3043" s="6">
        <f t="shared" ca="1" si="99"/>
        <v>8.8674217252608812E-3</v>
      </c>
    </row>
    <row r="3044" spans="2:8" x14ac:dyDescent="0.3">
      <c r="B3044" s="4">
        <v>38306</v>
      </c>
      <c r="C3044" s="7">
        <v>23.29</v>
      </c>
      <c r="D3044" s="6">
        <f t="shared" si="98"/>
        <v>8.2251082251081267E-3</v>
      </c>
      <c r="E3044" s="6">
        <v>0</v>
      </c>
      <c r="F3044" s="6"/>
      <c r="G3044" s="6">
        <v>3037</v>
      </c>
      <c r="H3044" s="6">
        <f t="shared" ca="1" si="99"/>
        <v>9.2212755346217801E-3</v>
      </c>
    </row>
    <row r="3045" spans="2:8" x14ac:dyDescent="0.3">
      <c r="B3045" s="4">
        <v>38282</v>
      </c>
      <c r="C3045" s="7">
        <v>23.1</v>
      </c>
      <c r="D3045" s="6">
        <f t="shared" si="98"/>
        <v>-4.387417218543041E-2</v>
      </c>
      <c r="E3045" s="6">
        <v>0</v>
      </c>
      <c r="F3045" s="6"/>
      <c r="G3045" s="6">
        <v>3038</v>
      </c>
      <c r="H3045" s="6">
        <f t="shared" ca="1" si="99"/>
        <v>1.4787388188368547E-2</v>
      </c>
    </row>
    <row r="3046" spans="2:8" x14ac:dyDescent="0.3">
      <c r="B3046" s="4">
        <v>38191</v>
      </c>
      <c r="C3046" s="7">
        <v>24.16</v>
      </c>
      <c r="D3046" s="6">
        <f t="shared" si="98"/>
        <v>0</v>
      </c>
      <c r="E3046" s="6">
        <v>0</v>
      </c>
      <c r="F3046" s="6"/>
      <c r="G3046" s="6">
        <v>3039</v>
      </c>
      <c r="H3046" s="6">
        <f t="shared" ca="1" si="99"/>
        <v>1.7137756936745373E-2</v>
      </c>
    </row>
    <row r="3047" spans="2:8" x14ac:dyDescent="0.3">
      <c r="B3047" s="4">
        <v>38190</v>
      </c>
      <c r="C3047" s="7">
        <v>24.16</v>
      </c>
      <c r="D3047" s="6">
        <f t="shared" si="98"/>
        <v>-4.1373603640883585E-4</v>
      </c>
      <c r="E3047" s="6">
        <v>0</v>
      </c>
      <c r="F3047" s="6"/>
      <c r="G3047" s="6">
        <v>3040</v>
      </c>
      <c r="H3047" s="6">
        <f t="shared" ca="1" si="99"/>
        <v>2.3656636770891182E-2</v>
      </c>
    </row>
    <row r="3048" spans="2:8" x14ac:dyDescent="0.3">
      <c r="B3048" s="4">
        <v>38187</v>
      </c>
      <c r="C3048" s="7">
        <v>24.17</v>
      </c>
      <c r="D3048" s="6">
        <f t="shared" si="98"/>
        <v>-4.1356492969387966E-4</v>
      </c>
      <c r="E3048" s="6">
        <v>0</v>
      </c>
      <c r="F3048" s="6"/>
      <c r="G3048" s="6">
        <v>3041</v>
      </c>
      <c r="H3048" s="6">
        <f t="shared" ca="1" si="99"/>
        <v>1.046187031234065E-2</v>
      </c>
    </row>
    <row r="3049" spans="2:8" x14ac:dyDescent="0.3">
      <c r="B3049" s="4">
        <v>38174</v>
      </c>
      <c r="C3049" s="7">
        <v>24.18</v>
      </c>
      <c r="D3049" s="6">
        <f t="shared" si="98"/>
        <v>3.6878216123499119E-2</v>
      </c>
      <c r="E3049" s="6">
        <v>0</v>
      </c>
      <c r="F3049" s="6"/>
      <c r="G3049" s="6">
        <v>3042</v>
      </c>
      <c r="H3049" s="6">
        <f t="shared" ca="1" si="99"/>
        <v>-6.486360688037502E-4</v>
      </c>
    </row>
    <row r="3050" spans="2:8" x14ac:dyDescent="0.3">
      <c r="B3050" s="4">
        <v>38091</v>
      </c>
      <c r="C3050" s="7">
        <v>23.32</v>
      </c>
      <c r="D3050" s="6">
        <f t="shared" si="98"/>
        <v>8.5836909871242798E-4</v>
      </c>
      <c r="E3050" s="6">
        <v>0</v>
      </c>
      <c r="F3050" s="6"/>
      <c r="G3050" s="6">
        <v>3043</v>
      </c>
      <c r="H3050" s="6">
        <f t="shared" ca="1" si="99"/>
        <v>2.0327665703524116E-2</v>
      </c>
    </row>
    <row r="3051" spans="2:8" x14ac:dyDescent="0.3">
      <c r="B3051" s="4">
        <v>38086</v>
      </c>
      <c r="C3051" s="7">
        <v>23.3</v>
      </c>
      <c r="D3051" s="6">
        <f t="shared" si="98"/>
        <v>-6.3965884861406641E-3</v>
      </c>
      <c r="E3051" s="6">
        <v>0</v>
      </c>
      <c r="F3051" s="6"/>
      <c r="G3051" s="6">
        <v>3044</v>
      </c>
      <c r="H3051" s="6">
        <f t="shared" ca="1" si="99"/>
        <v>1.2105540544079059E-2</v>
      </c>
    </row>
    <row r="3052" spans="2:8" x14ac:dyDescent="0.3">
      <c r="B3052" s="4">
        <v>38048</v>
      </c>
      <c r="C3052" s="7">
        <v>23.45</v>
      </c>
      <c r="D3052" s="6">
        <f t="shared" si="98"/>
        <v>-4.4027721157766077E-2</v>
      </c>
      <c r="E3052" s="6">
        <v>0</v>
      </c>
      <c r="F3052" s="6"/>
      <c r="G3052" s="6">
        <v>3045</v>
      </c>
      <c r="H3052" s="6">
        <f t="shared" ca="1" si="99"/>
        <v>3.4802245681881956E-2</v>
      </c>
    </row>
    <row r="3053" spans="2:8" x14ac:dyDescent="0.3">
      <c r="B3053" s="4">
        <v>38036</v>
      </c>
      <c r="C3053" s="7">
        <v>24.53</v>
      </c>
      <c r="D3053" s="6">
        <f t="shared" si="98"/>
        <v>-4.0749796251010639E-4</v>
      </c>
      <c r="E3053" s="6">
        <v>0</v>
      </c>
      <c r="F3053" s="6"/>
      <c r="G3053" s="6">
        <v>3046</v>
      </c>
      <c r="H3053" s="6">
        <f t="shared" ca="1" si="99"/>
        <v>-1.4879994472504635E-2</v>
      </c>
    </row>
    <row r="3054" spans="2:8" x14ac:dyDescent="0.3">
      <c r="B3054" s="4">
        <v>38026</v>
      </c>
      <c r="C3054" s="7">
        <v>24.54</v>
      </c>
      <c r="D3054" s="6">
        <f t="shared" si="98"/>
        <v>0</v>
      </c>
      <c r="E3054" s="6">
        <v>0</v>
      </c>
      <c r="F3054" s="6"/>
      <c r="G3054" s="6">
        <v>3047</v>
      </c>
      <c r="H3054" s="6">
        <f t="shared" ca="1" si="99"/>
        <v>1.1039795427688145E-2</v>
      </c>
    </row>
    <row r="3055" spans="2:8" x14ac:dyDescent="0.3">
      <c r="B3055" s="4">
        <v>38023</v>
      </c>
      <c r="C3055" s="7">
        <v>24.54</v>
      </c>
      <c r="D3055" s="6">
        <f t="shared" si="98"/>
        <v>4.0766408479404854E-4</v>
      </c>
      <c r="E3055" s="6">
        <v>0</v>
      </c>
      <c r="F3055" s="6"/>
      <c r="G3055" s="6">
        <v>3048</v>
      </c>
      <c r="H3055" s="6">
        <f t="shared" ca="1" si="99"/>
        <v>1.4798204278176687E-2</v>
      </c>
    </row>
    <row r="3056" spans="2:8" x14ac:dyDescent="0.3">
      <c r="B3056" s="4">
        <v>38021</v>
      </c>
      <c r="C3056" s="7">
        <v>24.53</v>
      </c>
      <c r="D3056" s="6">
        <f t="shared" si="98"/>
        <v>-7.6860841423947307E-3</v>
      </c>
      <c r="E3056" s="6">
        <v>0</v>
      </c>
      <c r="F3056" s="6"/>
      <c r="G3056" s="6">
        <v>3049</v>
      </c>
      <c r="H3056" s="6">
        <f t="shared" ca="1" si="99"/>
        <v>2.5209536995592186E-2</v>
      </c>
    </row>
    <row r="3057" spans="2:8" x14ac:dyDescent="0.3">
      <c r="B3057" s="4">
        <v>38019</v>
      </c>
      <c r="C3057" s="7">
        <v>24.72</v>
      </c>
      <c r="D3057" s="6">
        <f t="shared" si="98"/>
        <v>-5.7208237986270026E-2</v>
      </c>
      <c r="E3057" s="6">
        <v>0</v>
      </c>
      <c r="F3057" s="6"/>
      <c r="G3057" s="6">
        <v>3050</v>
      </c>
      <c r="H3057" s="6">
        <f t="shared" ca="1" si="99"/>
        <v>-6.5825874651407211E-3</v>
      </c>
    </row>
    <row r="3058" spans="2:8" x14ac:dyDescent="0.3">
      <c r="B3058" s="4">
        <v>38012</v>
      </c>
      <c r="C3058" s="7">
        <v>26.22</v>
      </c>
      <c r="D3058" s="6">
        <f t="shared" si="98"/>
        <v>5.7258064516128956E-2</v>
      </c>
      <c r="E3058" s="6">
        <v>0</v>
      </c>
      <c r="F3058" s="6"/>
      <c r="G3058" s="6">
        <v>3051</v>
      </c>
      <c r="H3058" s="6">
        <f t="shared" ca="1" si="99"/>
        <v>-2.2707479888678713E-2</v>
      </c>
    </row>
    <row r="3059" spans="2:8" x14ac:dyDescent="0.3">
      <c r="B3059" s="4">
        <v>37980</v>
      </c>
      <c r="C3059" s="7">
        <v>24.8</v>
      </c>
      <c r="D3059" s="6">
        <f t="shared" si="98"/>
        <v>5.397365065873351E-2</v>
      </c>
      <c r="E3059" s="6">
        <v>0</v>
      </c>
      <c r="F3059" s="6"/>
      <c r="G3059" s="6">
        <v>3052</v>
      </c>
      <c r="H3059" s="6">
        <f t="shared" ca="1" si="99"/>
        <v>-4.8952529534700695E-2</v>
      </c>
    </row>
    <row r="3060" spans="2:8" x14ac:dyDescent="0.3">
      <c r="B3060" s="4">
        <v>37951</v>
      </c>
      <c r="C3060" s="7">
        <v>23.53</v>
      </c>
      <c r="D3060" s="6">
        <f t="shared" si="98"/>
        <v>0</v>
      </c>
      <c r="E3060" s="6">
        <v>0</v>
      </c>
      <c r="F3060" s="6"/>
      <c r="G3060" s="6">
        <v>3053</v>
      </c>
      <c r="H3060" s="6">
        <f t="shared" ca="1" si="99"/>
        <v>-1.88513932999918E-2</v>
      </c>
    </row>
    <row r="3061" spans="2:8" x14ac:dyDescent="0.3">
      <c r="B3061" s="4">
        <v>37950</v>
      </c>
      <c r="C3061" s="7">
        <v>23.53</v>
      </c>
      <c r="D3061" s="6">
        <f t="shared" si="98"/>
        <v>1.7028522775650362E-3</v>
      </c>
      <c r="E3061" s="6">
        <v>0</v>
      </c>
      <c r="F3061" s="6"/>
      <c r="G3061" s="6">
        <v>3054</v>
      </c>
      <c r="H3061" s="6">
        <f t="shared" ca="1" si="99"/>
        <v>5.7829879119450835E-3</v>
      </c>
    </row>
    <row r="3062" spans="2:8" x14ac:dyDescent="0.3">
      <c r="B3062" s="4">
        <v>37942</v>
      </c>
      <c r="C3062" s="7">
        <v>23.49</v>
      </c>
      <c r="D3062" s="6">
        <f t="shared" si="98"/>
        <v>0</v>
      </c>
      <c r="E3062" s="6">
        <v>0</v>
      </c>
      <c r="F3062" s="6"/>
      <c r="G3062" s="6">
        <v>3055</v>
      </c>
      <c r="H3062" s="6">
        <f t="shared" ca="1" si="99"/>
        <v>-1.5693761101544556E-3</v>
      </c>
    </row>
    <row r="3063" spans="2:8" x14ac:dyDescent="0.3">
      <c r="B3063" s="4">
        <v>37939</v>
      </c>
      <c r="C3063" s="7">
        <v>23.49</v>
      </c>
      <c r="D3063" s="6">
        <f t="shared" si="98"/>
        <v>2.0860495436766487E-2</v>
      </c>
      <c r="E3063" s="6">
        <v>0</v>
      </c>
      <c r="F3063" s="6"/>
      <c r="G3063" s="6">
        <v>3056</v>
      </c>
      <c r="H3063" s="6">
        <f t="shared" ca="1" si="99"/>
        <v>-4.1388126872574874E-4</v>
      </c>
    </row>
    <row r="3064" spans="2:8" x14ac:dyDescent="0.3">
      <c r="B3064" s="4">
        <v>37896</v>
      </c>
      <c r="C3064" s="7">
        <v>23.01</v>
      </c>
      <c r="D3064" s="6">
        <f t="shared" si="98"/>
        <v>0</v>
      </c>
      <c r="E3064" s="6">
        <v>0</v>
      </c>
      <c r="F3064" s="6"/>
      <c r="G3064" s="6">
        <v>3057</v>
      </c>
      <c r="H3064" s="6">
        <f t="shared" ca="1" si="99"/>
        <v>-2.5753446382475061E-2</v>
      </c>
    </row>
    <row r="3065" spans="2:8" x14ac:dyDescent="0.3">
      <c r="B3065" s="4">
        <v>37895</v>
      </c>
      <c r="C3065" s="7">
        <v>23.01</v>
      </c>
      <c r="D3065" s="6">
        <f t="shared" si="98"/>
        <v>4.0235081374321906E-2</v>
      </c>
      <c r="E3065" s="6">
        <v>0</v>
      </c>
      <c r="F3065" s="6"/>
      <c r="G3065" s="6">
        <v>3058</v>
      </c>
      <c r="H3065" s="6">
        <f t="shared" ca="1" si="99"/>
        <v>-2.9950034154430309E-2</v>
      </c>
    </row>
    <row r="3066" spans="2:8" x14ac:dyDescent="0.3">
      <c r="B3066" s="4">
        <v>37848</v>
      </c>
      <c r="C3066" s="7">
        <v>22.12</v>
      </c>
      <c r="D3066" s="6">
        <f t="shared" si="98"/>
        <v>0.16543730242360383</v>
      </c>
      <c r="E3066" s="6">
        <v>0</v>
      </c>
      <c r="F3066" s="6"/>
      <c r="G3066" s="6">
        <v>3059</v>
      </c>
      <c r="H3066" s="6">
        <f t="shared" ca="1" si="99"/>
        <v>6.6479232640151119E-3</v>
      </c>
    </row>
    <row r="3067" spans="2:8" x14ac:dyDescent="0.3">
      <c r="B3067" s="4">
        <v>37777</v>
      </c>
      <c r="C3067" s="7">
        <v>18.98</v>
      </c>
      <c r="D3067" s="6">
        <f t="shared" si="98"/>
        <v>1.1188066062866322E-2</v>
      </c>
      <c r="E3067" s="6">
        <v>0</v>
      </c>
      <c r="F3067" s="6"/>
      <c r="G3067" s="6">
        <v>3060</v>
      </c>
      <c r="H3067" s="6">
        <f t="shared" ca="1" si="99"/>
        <v>-4.1905699143506246E-2</v>
      </c>
    </row>
    <row r="3068" spans="2:8" x14ac:dyDescent="0.3">
      <c r="B3068" s="4">
        <v>37774</v>
      </c>
      <c r="C3068" s="7">
        <v>18.77</v>
      </c>
      <c r="D3068" s="6">
        <f t="shared" si="98"/>
        <v>0.14034021871202906</v>
      </c>
      <c r="E3068" s="6">
        <v>0</v>
      </c>
      <c r="F3068" s="6"/>
      <c r="G3068" s="6">
        <v>3061</v>
      </c>
      <c r="H3068" s="6">
        <f t="shared" ca="1" si="99"/>
        <v>1.524702254756076E-2</v>
      </c>
    </row>
    <row r="3069" spans="2:8" x14ac:dyDescent="0.3">
      <c r="B3069" s="4">
        <v>37742</v>
      </c>
      <c r="C3069" s="7">
        <v>16.46</v>
      </c>
      <c r="D3069" s="6">
        <f t="shared" si="98"/>
        <v>9.8159509202454063E-3</v>
      </c>
      <c r="E3069" s="6">
        <v>0</v>
      </c>
      <c r="F3069" s="6"/>
      <c r="G3069" s="6">
        <v>3062</v>
      </c>
      <c r="H3069" s="6">
        <f t="shared" ca="1" si="99"/>
        <v>2.6935185483957711E-2</v>
      </c>
    </row>
    <row r="3070" spans="2:8" x14ac:dyDescent="0.3">
      <c r="B3070" s="4">
        <v>37729</v>
      </c>
      <c r="C3070" s="7">
        <v>16.3</v>
      </c>
      <c r="D3070" s="6">
        <f t="shared" si="98"/>
        <v>-7.9123554473523438E-3</v>
      </c>
      <c r="E3070" s="6">
        <v>0</v>
      </c>
      <c r="F3070" s="6"/>
      <c r="G3070" s="6">
        <v>3063</v>
      </c>
      <c r="H3070" s="6">
        <f t="shared" ca="1" si="99"/>
        <v>1.5853817356898198E-2</v>
      </c>
    </row>
    <row r="3071" spans="2:8" x14ac:dyDescent="0.3">
      <c r="B3071" s="4">
        <v>37698</v>
      </c>
      <c r="C3071" s="7">
        <v>16.43</v>
      </c>
      <c r="D3071" s="6">
        <f t="shared" si="98"/>
        <v>-4.8455481526348786E-3</v>
      </c>
      <c r="E3071" s="6">
        <v>0</v>
      </c>
      <c r="F3071" s="6"/>
      <c r="G3071" s="6">
        <v>3064</v>
      </c>
      <c r="H3071" s="6">
        <f t="shared" ca="1" si="99"/>
        <v>-2.2031560813759645E-3</v>
      </c>
    </row>
    <row r="3072" spans="2:8" x14ac:dyDescent="0.3">
      <c r="B3072" s="4">
        <v>37694</v>
      </c>
      <c r="C3072" s="7">
        <v>16.510000000000002</v>
      </c>
      <c r="D3072" s="6">
        <f t="shared" si="98"/>
        <v>1.7252002464571849E-2</v>
      </c>
      <c r="E3072" s="6">
        <v>0</v>
      </c>
      <c r="F3072" s="6"/>
      <c r="G3072" s="6">
        <v>3065</v>
      </c>
      <c r="H3072" s="6">
        <f t="shared" ca="1" si="99"/>
        <v>6.9462095371618645E-3</v>
      </c>
    </row>
    <row r="3073" spans="2:8" x14ac:dyDescent="0.3">
      <c r="B3073" s="4">
        <v>37665</v>
      </c>
      <c r="C3073" s="7">
        <v>16.23</v>
      </c>
      <c r="D3073" s="6">
        <f t="shared" si="98"/>
        <v>-1.0365853658536473E-2</v>
      </c>
      <c r="E3073" s="6">
        <v>0</v>
      </c>
      <c r="F3073" s="6"/>
      <c r="G3073" s="6">
        <v>3066</v>
      </c>
      <c r="H3073" s="6">
        <f t="shared" ca="1" si="99"/>
        <v>-5.7273347370018846E-3</v>
      </c>
    </row>
    <row r="3074" spans="2:8" x14ac:dyDescent="0.3">
      <c r="B3074" s="4">
        <v>37658</v>
      </c>
      <c r="C3074" s="7">
        <v>16.399999999999999</v>
      </c>
      <c r="D3074" s="6">
        <f t="shared" si="98"/>
        <v>-1.3830426939266413E-2</v>
      </c>
      <c r="E3074" s="6">
        <v>0</v>
      </c>
      <c r="F3074" s="6"/>
      <c r="G3074" s="6">
        <v>3067</v>
      </c>
      <c r="H3074" s="6">
        <f t="shared" ca="1" si="99"/>
        <v>-9.1161757713519951E-3</v>
      </c>
    </row>
    <row r="3075" spans="2:8" x14ac:dyDescent="0.3">
      <c r="B3075" s="4">
        <v>37642</v>
      </c>
      <c r="C3075" s="7">
        <v>16.63</v>
      </c>
      <c r="D3075" s="6">
        <f t="shared" si="98"/>
        <v>2.9084158415841513E-2</v>
      </c>
      <c r="E3075" s="6">
        <v>0</v>
      </c>
      <c r="F3075" s="6"/>
      <c r="G3075" s="6">
        <v>3068</v>
      </c>
      <c r="H3075" s="6">
        <f t="shared" ca="1" si="99"/>
        <v>4.4350690715875543E-3</v>
      </c>
    </row>
    <row r="3076" spans="2:8" x14ac:dyDescent="0.3">
      <c r="B3076" s="4">
        <v>37622</v>
      </c>
      <c r="C3076" s="7">
        <v>16.16</v>
      </c>
      <c r="D3076" s="6">
        <f t="shared" si="98"/>
        <v>8.1097941359949462E-3</v>
      </c>
      <c r="E3076" s="6">
        <v>0</v>
      </c>
      <c r="F3076" s="6"/>
      <c r="G3076" s="6">
        <v>3069</v>
      </c>
      <c r="H3076" s="6">
        <f t="shared" ca="1" si="99"/>
        <v>-1.3654356977653634E-3</v>
      </c>
    </row>
    <row r="3077" spans="2:8" x14ac:dyDescent="0.3">
      <c r="B3077" s="4">
        <v>37615</v>
      </c>
      <c r="C3077" s="7">
        <v>16.03</v>
      </c>
      <c r="D3077" s="6">
        <f t="shared" si="98"/>
        <v>-2.8484848484848415E-2</v>
      </c>
      <c r="E3077" s="6">
        <v>0</v>
      </c>
      <c r="F3077" s="6"/>
      <c r="G3077" s="6">
        <v>3070</v>
      </c>
      <c r="H3077" s="6">
        <f t="shared" ca="1" si="99"/>
        <v>-3.2132736885988125E-2</v>
      </c>
    </row>
    <row r="3078" spans="2:8" x14ac:dyDescent="0.3">
      <c r="B3078" s="4">
        <v>37609</v>
      </c>
      <c r="C3078" s="7">
        <v>16.5</v>
      </c>
      <c r="D3078" s="6">
        <f t="shared" si="98"/>
        <v>6.097560975609843E-3</v>
      </c>
      <c r="E3078" s="6">
        <v>0</v>
      </c>
      <c r="F3078" s="6"/>
      <c r="G3078" s="6">
        <v>3071</v>
      </c>
      <c r="H3078" s="6">
        <f t="shared" ca="1" si="99"/>
        <v>2.5845443631502848E-3</v>
      </c>
    </row>
    <row r="3079" spans="2:8" x14ac:dyDescent="0.3">
      <c r="B3079" s="4">
        <v>37601</v>
      </c>
      <c r="C3079" s="7">
        <v>16.399999999999999</v>
      </c>
      <c r="D3079" s="6">
        <f t="shared" si="98"/>
        <v>-1.2180267965897153E-3</v>
      </c>
      <c r="E3079" s="6">
        <v>0</v>
      </c>
      <c r="F3079" s="6"/>
      <c r="G3079" s="6">
        <v>3072</v>
      </c>
      <c r="H3079" s="6">
        <f t="shared" ca="1" si="99"/>
        <v>7.4156421599869665E-3</v>
      </c>
    </row>
    <row r="3080" spans="2:8" x14ac:dyDescent="0.3">
      <c r="B3080" s="4">
        <v>37596</v>
      </c>
      <c r="C3080" s="7">
        <v>16.420000000000002</v>
      </c>
      <c r="D3080" s="6">
        <f t="shared" ref="D3080:D3143" si="100">((C3080-C3081)/C3081)</f>
        <v>-6.0864272671929461E-4</v>
      </c>
      <c r="E3080" s="6">
        <v>0</v>
      </c>
      <c r="F3080" s="6"/>
      <c r="G3080" s="6">
        <v>3073</v>
      </c>
      <c r="H3080" s="6">
        <f t="shared" ca="1" si="99"/>
        <v>3.8253991375135694E-2</v>
      </c>
    </row>
    <row r="3081" spans="2:8" x14ac:dyDescent="0.3">
      <c r="B3081" s="4">
        <v>37588</v>
      </c>
      <c r="C3081" s="7">
        <v>16.43</v>
      </c>
      <c r="D3081" s="6">
        <f t="shared" si="100"/>
        <v>2.1131137352392783E-2</v>
      </c>
      <c r="E3081" s="6">
        <v>0</v>
      </c>
      <c r="F3081" s="6"/>
      <c r="G3081" s="6">
        <v>3074</v>
      </c>
      <c r="H3081" s="6">
        <f t="shared" ref="H3081:H3144" ca="1" si="101">_xlfn.NORM.INV(RAND(),N$10,N$11)</f>
        <v>6.2195494069810838E-3</v>
      </c>
    </row>
    <row r="3082" spans="2:8" x14ac:dyDescent="0.3">
      <c r="B3082" s="4">
        <v>37579</v>
      </c>
      <c r="C3082" s="7">
        <v>16.09</v>
      </c>
      <c r="D3082" s="6">
        <f t="shared" si="100"/>
        <v>-3.7679425837320514E-2</v>
      </c>
      <c r="E3082" s="6">
        <v>0</v>
      </c>
      <c r="F3082" s="6"/>
      <c r="G3082" s="6">
        <v>3075</v>
      </c>
      <c r="H3082" s="6">
        <f t="shared" ca="1" si="101"/>
        <v>9.1776527362756894E-3</v>
      </c>
    </row>
    <row r="3083" spans="2:8" x14ac:dyDescent="0.3">
      <c r="B3083" s="4">
        <v>37566</v>
      </c>
      <c r="C3083" s="7">
        <v>16.72</v>
      </c>
      <c r="D3083" s="6">
        <f t="shared" si="100"/>
        <v>-1.1820330969267306E-2</v>
      </c>
      <c r="E3083" s="6">
        <v>0</v>
      </c>
      <c r="F3083" s="6"/>
      <c r="G3083" s="6">
        <v>3076</v>
      </c>
      <c r="H3083" s="6">
        <f t="shared" ca="1" si="101"/>
        <v>6.1834423823251159E-3</v>
      </c>
    </row>
    <row r="3084" spans="2:8" x14ac:dyDescent="0.3">
      <c r="B3084" s="4">
        <v>37552</v>
      </c>
      <c r="C3084" s="7">
        <v>16.920000000000002</v>
      </c>
      <c r="D3084" s="6">
        <f t="shared" si="100"/>
        <v>0</v>
      </c>
      <c r="E3084" s="6">
        <v>0</v>
      </c>
      <c r="F3084" s="6"/>
      <c r="G3084" s="6">
        <v>3077</v>
      </c>
      <c r="H3084" s="6">
        <f t="shared" ca="1" si="101"/>
        <v>-7.6049512904361894E-3</v>
      </c>
    </row>
    <row r="3085" spans="2:8" x14ac:dyDescent="0.3">
      <c r="B3085" s="4">
        <v>37551</v>
      </c>
      <c r="C3085" s="7">
        <v>16.920000000000002</v>
      </c>
      <c r="D3085" s="6">
        <f t="shared" si="100"/>
        <v>1.3173652694610924E-2</v>
      </c>
      <c r="E3085" s="6">
        <v>0</v>
      </c>
      <c r="F3085" s="6"/>
      <c r="G3085" s="6">
        <v>3078</v>
      </c>
      <c r="H3085" s="6">
        <f t="shared" ca="1" si="101"/>
        <v>1.949031383249953E-2</v>
      </c>
    </row>
    <row r="3086" spans="2:8" x14ac:dyDescent="0.3">
      <c r="B3086" s="4">
        <v>37544</v>
      </c>
      <c r="C3086" s="7">
        <v>16.7</v>
      </c>
      <c r="D3086" s="6">
        <f t="shared" si="100"/>
        <v>1.1990407673860657E-3</v>
      </c>
      <c r="E3086" s="6">
        <v>0</v>
      </c>
      <c r="F3086" s="6"/>
      <c r="G3086" s="6">
        <v>3079</v>
      </c>
      <c r="H3086" s="6">
        <f t="shared" ca="1" si="101"/>
        <v>6.9511205433344042E-3</v>
      </c>
    </row>
    <row r="3087" spans="2:8" x14ac:dyDescent="0.3">
      <c r="B3087" s="4">
        <v>37531</v>
      </c>
      <c r="C3087" s="7">
        <v>16.68</v>
      </c>
      <c r="D3087" s="6">
        <f t="shared" si="100"/>
        <v>-8.3234244946492602E-3</v>
      </c>
      <c r="E3087" s="6">
        <v>0</v>
      </c>
      <c r="F3087" s="6"/>
      <c r="G3087" s="6">
        <v>3080</v>
      </c>
      <c r="H3087" s="6">
        <f t="shared" ca="1" si="101"/>
        <v>-2.4110153296894418E-2</v>
      </c>
    </row>
    <row r="3088" spans="2:8" x14ac:dyDescent="0.3">
      <c r="B3088" s="4">
        <v>37516</v>
      </c>
      <c r="C3088" s="7">
        <v>16.82</v>
      </c>
      <c r="D3088" s="6">
        <f t="shared" si="100"/>
        <v>-1.7804154302671297E-3</v>
      </c>
      <c r="E3088" s="6">
        <v>0</v>
      </c>
      <c r="F3088" s="6"/>
      <c r="G3088" s="6">
        <v>3081</v>
      </c>
      <c r="H3088" s="6">
        <f t="shared" ca="1" si="101"/>
        <v>-6.7402443096720448E-4</v>
      </c>
    </row>
    <row r="3089" spans="2:8" x14ac:dyDescent="0.3">
      <c r="B3089" s="4">
        <v>37509</v>
      </c>
      <c r="C3089" s="7">
        <v>16.850000000000001</v>
      </c>
      <c r="D3089" s="6">
        <f t="shared" si="100"/>
        <v>9.586578789694435E-3</v>
      </c>
      <c r="E3089" s="6">
        <v>0</v>
      </c>
      <c r="F3089" s="6"/>
      <c r="G3089" s="6">
        <v>3082</v>
      </c>
      <c r="H3089" s="6">
        <f t="shared" ca="1" si="101"/>
        <v>2.462672100542207E-2</v>
      </c>
    </row>
    <row r="3090" spans="2:8" x14ac:dyDescent="0.3">
      <c r="B3090" s="4">
        <v>37501</v>
      </c>
      <c r="C3090" s="7">
        <v>16.690000000000001</v>
      </c>
      <c r="D3090" s="6">
        <f t="shared" si="100"/>
        <v>1.7062766605728284E-2</v>
      </c>
      <c r="E3090" s="6">
        <v>0</v>
      </c>
      <c r="F3090" s="6"/>
      <c r="G3090" s="6">
        <v>3083</v>
      </c>
      <c r="H3090" s="6">
        <f t="shared" ca="1" si="101"/>
        <v>2.5510333393078365E-3</v>
      </c>
    </row>
    <row r="3091" spans="2:8" x14ac:dyDescent="0.3">
      <c r="B3091" s="4">
        <v>37483</v>
      </c>
      <c r="C3091" s="7">
        <v>16.41</v>
      </c>
      <c r="D3091" s="6">
        <f t="shared" si="100"/>
        <v>-4.8514251061248211E-3</v>
      </c>
      <c r="E3091" s="6">
        <v>0</v>
      </c>
      <c r="F3091" s="6"/>
      <c r="G3091" s="6">
        <v>3084</v>
      </c>
      <c r="H3091" s="6">
        <f t="shared" ca="1" si="101"/>
        <v>9.6375650693678715E-3</v>
      </c>
    </row>
    <row r="3092" spans="2:8" x14ac:dyDescent="0.3">
      <c r="B3092" s="4">
        <v>37477</v>
      </c>
      <c r="C3092" s="7">
        <v>16.489999999999998</v>
      </c>
      <c r="D3092" s="6">
        <f t="shared" si="100"/>
        <v>-0.99429281427592464</v>
      </c>
      <c r="E3092" s="6">
        <v>0</v>
      </c>
      <c r="F3092" s="6"/>
      <c r="G3092" s="6">
        <v>3085</v>
      </c>
      <c r="H3092" s="6">
        <f t="shared" ca="1" si="101"/>
        <v>3.0819198671588329E-2</v>
      </c>
    </row>
    <row r="3093" spans="2:8" x14ac:dyDescent="0.3">
      <c r="B3093" s="4">
        <v>45476</v>
      </c>
      <c r="C3093" s="5">
        <v>2889.34</v>
      </c>
      <c r="D3093" s="6">
        <f t="shared" si="100"/>
        <v>0.18090341354956857</v>
      </c>
      <c r="E3093" s="6">
        <v>-1.384380040007324E-5</v>
      </c>
      <c r="F3093" s="6"/>
      <c r="G3093" s="6">
        <v>3086</v>
      </c>
      <c r="H3093" s="6">
        <f t="shared" ca="1" si="101"/>
        <v>-2.203457609408125E-2</v>
      </c>
    </row>
    <row r="3094" spans="2:8" x14ac:dyDescent="0.3">
      <c r="B3094" s="4">
        <v>44328</v>
      </c>
      <c r="C3094" s="5">
        <v>2446.7199999999998</v>
      </c>
      <c r="D3094" s="6">
        <f t="shared" si="100"/>
        <v>4.9231141667473608</v>
      </c>
      <c r="E3094" s="6">
        <v>-2.0435104239541068E-5</v>
      </c>
      <c r="F3094" s="6"/>
      <c r="G3094" s="6">
        <v>3087</v>
      </c>
      <c r="H3094" s="6">
        <f t="shared" ca="1" si="101"/>
        <v>1.4812898170396376E-2</v>
      </c>
    </row>
    <row r="3095" spans="2:8" x14ac:dyDescent="0.3">
      <c r="B3095" s="4">
        <v>41443</v>
      </c>
      <c r="C3095" s="7">
        <v>413.08</v>
      </c>
      <c r="D3095" s="6">
        <f t="shared" si="100"/>
        <v>-0.84721677700928355</v>
      </c>
      <c r="E3095" s="6">
        <v>-2.4207799753058426E-5</v>
      </c>
      <c r="F3095" s="6"/>
      <c r="G3095" s="6">
        <v>3088</v>
      </c>
      <c r="H3095" s="6">
        <f t="shared" ca="1" si="101"/>
        <v>2.4296591238910679E-2</v>
      </c>
    </row>
    <row r="3096" spans="2:8" x14ac:dyDescent="0.3">
      <c r="B3096" s="4">
        <v>46045</v>
      </c>
      <c r="C3096" s="5">
        <v>2703.7</v>
      </c>
      <c r="D3096" s="6">
        <f t="shared" si="100"/>
        <v>1.0088416672858307</v>
      </c>
      <c r="E3096" s="6">
        <v>-3.6984984096591384E-5</v>
      </c>
      <c r="F3096" s="6"/>
      <c r="G3096" s="6">
        <v>3089</v>
      </c>
      <c r="H3096" s="6">
        <f t="shared" ca="1" si="101"/>
        <v>-6.8069673488453386E-3</v>
      </c>
    </row>
    <row r="3097" spans="2:8" x14ac:dyDescent="0.3">
      <c r="B3097" s="4">
        <v>43628</v>
      </c>
      <c r="C3097" s="5">
        <v>1345.9</v>
      </c>
      <c r="D3097" s="6">
        <f t="shared" si="100"/>
        <v>4.701033547949848</v>
      </c>
      <c r="E3097" s="6">
        <v>-3.7148482484456722E-5</v>
      </c>
      <c r="F3097" s="6"/>
      <c r="G3097" s="6">
        <v>3090</v>
      </c>
      <c r="H3097" s="6">
        <f t="shared" ca="1" si="101"/>
        <v>-1.8408784442702046E-2</v>
      </c>
    </row>
    <row r="3098" spans="2:8" x14ac:dyDescent="0.3">
      <c r="B3098" s="4">
        <v>40903</v>
      </c>
      <c r="C3098" s="7">
        <v>236.08</v>
      </c>
      <c r="D3098" s="6">
        <f t="shared" si="100"/>
        <v>-0.73999713653234067</v>
      </c>
      <c r="E3098" s="6">
        <v>-4.2356728366262464E-5</v>
      </c>
      <c r="F3098" s="6"/>
      <c r="G3098" s="6">
        <v>3091</v>
      </c>
      <c r="H3098" s="6">
        <f t="shared" ca="1" si="101"/>
        <v>2.2256679958886038E-2</v>
      </c>
    </row>
    <row r="3099" spans="2:8" x14ac:dyDescent="0.3">
      <c r="B3099" s="4">
        <v>42521</v>
      </c>
      <c r="C3099" s="7">
        <v>907.99</v>
      </c>
      <c r="D3099" s="6">
        <f t="shared" si="100"/>
        <v>0.28144008354855549</v>
      </c>
      <c r="E3099" s="6">
        <v>-5.5063653583492501E-5</v>
      </c>
      <c r="F3099" s="6"/>
      <c r="G3099" s="6">
        <v>3092</v>
      </c>
      <c r="H3099" s="6">
        <f t="shared" ca="1" si="101"/>
        <v>-1.1279115587130197E-3</v>
      </c>
    </row>
    <row r="3100" spans="2:8" x14ac:dyDescent="0.3">
      <c r="B3100" s="4">
        <v>42009</v>
      </c>
      <c r="C3100" s="7">
        <v>708.57</v>
      </c>
      <c r="D3100" s="6">
        <f t="shared" si="100"/>
        <v>-0.76400037303242041</v>
      </c>
      <c r="E3100" s="6">
        <v>-5.6448540099580334E-5</v>
      </c>
      <c r="F3100" s="6"/>
      <c r="G3100" s="6">
        <v>3093</v>
      </c>
      <c r="H3100" s="6">
        <f t="shared" ca="1" si="101"/>
        <v>1.8691310185780182E-2</v>
      </c>
    </row>
    <row r="3101" spans="2:8" x14ac:dyDescent="0.3">
      <c r="B3101" s="4">
        <v>44886</v>
      </c>
      <c r="C3101" s="5">
        <v>3002.42</v>
      </c>
      <c r="D3101" s="6">
        <f t="shared" si="100"/>
        <v>6.6277120065037352</v>
      </c>
      <c r="E3101" s="6">
        <v>-6.3278281228682567E-5</v>
      </c>
      <c r="F3101" s="6"/>
      <c r="G3101" s="6">
        <v>3094</v>
      </c>
      <c r="H3101" s="6">
        <f t="shared" ca="1" si="101"/>
        <v>-1.9576676512169044E-2</v>
      </c>
    </row>
    <row r="3102" spans="2:8" x14ac:dyDescent="0.3">
      <c r="B3102" s="4">
        <v>41282</v>
      </c>
      <c r="C3102" s="7">
        <v>393.62</v>
      </c>
      <c r="D3102" s="6">
        <f t="shared" si="100"/>
        <v>-0.87155783682539478</v>
      </c>
      <c r="E3102" s="6">
        <v>-7.620983106813849E-5</v>
      </c>
      <c r="F3102" s="6"/>
      <c r="G3102" s="6">
        <v>3095</v>
      </c>
      <c r="H3102" s="6">
        <f t="shared" ca="1" si="101"/>
        <v>3.7557035726874669E-4</v>
      </c>
    </row>
    <row r="3103" spans="2:8" x14ac:dyDescent="0.3">
      <c r="B3103" s="4">
        <v>45252</v>
      </c>
      <c r="C3103" s="5">
        <v>3064.57</v>
      </c>
      <c r="D3103" s="6">
        <f t="shared" si="100"/>
        <v>25.001781774987272</v>
      </c>
      <c r="E3103" s="6">
        <v>-7.8308280121698159E-5</v>
      </c>
      <c r="F3103" s="6"/>
      <c r="G3103" s="6">
        <v>3096</v>
      </c>
      <c r="H3103" s="6">
        <f t="shared" ca="1" si="101"/>
        <v>2.0783224984741406E-2</v>
      </c>
    </row>
    <row r="3104" spans="2:8" x14ac:dyDescent="0.3">
      <c r="B3104" s="4">
        <v>40080</v>
      </c>
      <c r="C3104" s="7">
        <v>117.86</v>
      </c>
      <c r="D3104" s="6">
        <f t="shared" si="100"/>
        <v>-0.94960986767566635</v>
      </c>
      <c r="E3104" s="6">
        <v>-8.4839229659838095E-5</v>
      </c>
      <c r="F3104" s="6"/>
      <c r="G3104" s="6">
        <v>3097</v>
      </c>
      <c r="H3104" s="6">
        <f t="shared" ca="1" si="101"/>
        <v>-1.5096629664015244E-2</v>
      </c>
    </row>
    <row r="3105" spans="2:8" x14ac:dyDescent="0.3">
      <c r="B3105" s="4">
        <v>45929</v>
      </c>
      <c r="C3105" s="5">
        <v>2338.9499999999998</v>
      </c>
      <c r="D3105" s="6">
        <f t="shared" si="100"/>
        <v>1.1896590462281635</v>
      </c>
      <c r="E3105" s="6">
        <v>-8.5501143577911991E-5</v>
      </c>
      <c r="F3105" s="6"/>
      <c r="G3105" s="6">
        <v>3098</v>
      </c>
      <c r="H3105" s="6">
        <f t="shared" ca="1" si="101"/>
        <v>-9.2034958787711573E-3</v>
      </c>
    </row>
    <row r="3106" spans="2:8" x14ac:dyDescent="0.3">
      <c r="B3106" s="4">
        <v>42900</v>
      </c>
      <c r="C3106" s="5">
        <v>1068.18</v>
      </c>
      <c r="D3106" s="6">
        <f t="shared" si="100"/>
        <v>-0.65127029832912187</v>
      </c>
      <c r="E3106" s="6">
        <v>-9.360841726879569E-5</v>
      </c>
      <c r="F3106" s="6"/>
      <c r="G3106" s="6">
        <v>3099</v>
      </c>
      <c r="H3106" s="6">
        <f t="shared" ca="1" si="101"/>
        <v>-1.5945723071384467E-3</v>
      </c>
    </row>
    <row r="3107" spans="2:8" x14ac:dyDescent="0.3">
      <c r="B3107" s="4">
        <v>45511</v>
      </c>
      <c r="C3107" s="5">
        <v>3063.06</v>
      </c>
      <c r="D3107" s="6">
        <f t="shared" si="100"/>
        <v>30.600742804085421</v>
      </c>
      <c r="E3107" s="6">
        <v>-9.4667602461345792E-5</v>
      </c>
      <c r="F3107" s="6"/>
      <c r="G3107" s="6">
        <v>3100</v>
      </c>
      <c r="H3107" s="6">
        <f t="shared" ca="1" si="101"/>
        <v>1.3595666056420172E-3</v>
      </c>
    </row>
    <row r="3108" spans="2:8" x14ac:dyDescent="0.3">
      <c r="B3108" s="4">
        <v>39490</v>
      </c>
      <c r="C3108" s="7">
        <v>96.93</v>
      </c>
      <c r="D3108" s="6">
        <f t="shared" si="100"/>
        <v>-0.87941180129632612</v>
      </c>
      <c r="E3108" s="6">
        <v>-1.0315659170611621E-4</v>
      </c>
      <c r="F3108" s="6"/>
      <c r="G3108" s="6">
        <v>3101</v>
      </c>
      <c r="H3108" s="6">
        <f t="shared" ca="1" si="101"/>
        <v>-8.5082005058092578E-3</v>
      </c>
    </row>
    <row r="3109" spans="2:8" x14ac:dyDescent="0.3">
      <c r="B3109" s="4">
        <v>42431</v>
      </c>
      <c r="C3109" s="7">
        <v>803.81</v>
      </c>
      <c r="D3109" s="6">
        <f t="shared" si="100"/>
        <v>-0.38736328646011969</v>
      </c>
      <c r="E3109" s="6">
        <v>-1.1195422316212443E-4</v>
      </c>
      <c r="F3109" s="6"/>
      <c r="G3109" s="6">
        <v>3102</v>
      </c>
      <c r="H3109" s="6">
        <f t="shared" ca="1" si="101"/>
        <v>9.0906848907690192E-3</v>
      </c>
    </row>
    <row r="3110" spans="2:8" x14ac:dyDescent="0.3">
      <c r="B3110" s="4">
        <v>43482</v>
      </c>
      <c r="C3110" s="5">
        <v>1312.05</v>
      </c>
      <c r="D3110" s="6">
        <f t="shared" si="100"/>
        <v>6.5827891117147317</v>
      </c>
      <c r="E3110" s="6">
        <v>-1.1431184270697374E-4</v>
      </c>
      <c r="F3110" s="6"/>
      <c r="G3110" s="6">
        <v>3103</v>
      </c>
      <c r="H3110" s="6">
        <f t="shared" ca="1" si="101"/>
        <v>1.9196179028855901E-3</v>
      </c>
    </row>
    <row r="3111" spans="2:8" x14ac:dyDescent="0.3">
      <c r="B3111" s="4">
        <v>40256</v>
      </c>
      <c r="C3111" s="7">
        <v>173.03</v>
      </c>
      <c r="D3111" s="6">
        <f t="shared" si="100"/>
        <v>-0.85671698644429906</v>
      </c>
      <c r="E3111" s="6">
        <v>-1.1557353366085079E-4</v>
      </c>
      <c r="F3111" s="6"/>
      <c r="G3111" s="6">
        <v>3104</v>
      </c>
      <c r="H3111" s="6">
        <f t="shared" ca="1" si="101"/>
        <v>1.6330458475219425E-2</v>
      </c>
    </row>
    <row r="3112" spans="2:8" x14ac:dyDescent="0.3">
      <c r="B3112" s="4">
        <v>43269</v>
      </c>
      <c r="C3112" s="5">
        <v>1207.6099999999999</v>
      </c>
      <c r="D3112" s="6">
        <f t="shared" si="100"/>
        <v>1.8126470245720272</v>
      </c>
      <c r="E3112" s="6">
        <v>-1.1591802939358315E-4</v>
      </c>
      <c r="F3112" s="6"/>
      <c r="G3112" s="6">
        <v>3105</v>
      </c>
      <c r="H3112" s="6">
        <f t="shared" ca="1" si="101"/>
        <v>1.9630577948273161E-2</v>
      </c>
    </row>
    <row r="3113" spans="2:8" x14ac:dyDescent="0.3">
      <c r="B3113" s="4">
        <v>41704</v>
      </c>
      <c r="C3113" s="7">
        <v>429.35</v>
      </c>
      <c r="D3113" s="6">
        <f t="shared" si="100"/>
        <v>3.3886422061230326E-3</v>
      </c>
      <c r="E3113" s="6">
        <v>-1.1644154634362955E-4</v>
      </c>
      <c r="F3113" s="6"/>
      <c r="G3113" s="6">
        <v>3106</v>
      </c>
      <c r="H3113" s="6">
        <f t="shared" ca="1" si="101"/>
        <v>3.1161903745464542E-2</v>
      </c>
    </row>
    <row r="3114" spans="2:8" x14ac:dyDescent="0.3">
      <c r="B3114" s="4">
        <v>41701</v>
      </c>
      <c r="C3114" s="7">
        <v>427.9</v>
      </c>
      <c r="D3114" s="6">
        <f t="shared" si="100"/>
        <v>4.0831551437396048</v>
      </c>
      <c r="E3114" s="6">
        <v>-1.1683607898121595E-4</v>
      </c>
      <c r="F3114" s="6"/>
      <c r="G3114" s="6">
        <v>3107</v>
      </c>
      <c r="H3114" s="6">
        <f t="shared" ca="1" si="101"/>
        <v>6.9023135979072925E-5</v>
      </c>
    </row>
    <row r="3115" spans="2:8" x14ac:dyDescent="0.3">
      <c r="B3115" s="4">
        <v>39402</v>
      </c>
      <c r="C3115" s="7">
        <v>84.18</v>
      </c>
      <c r="D3115" s="6">
        <f t="shared" si="100"/>
        <v>-0.62644774794763702</v>
      </c>
      <c r="E3115" s="6">
        <v>-1.1877895236953208E-4</v>
      </c>
      <c r="F3115" s="6"/>
      <c r="G3115" s="6">
        <v>3108</v>
      </c>
      <c r="H3115" s="6">
        <f t="shared" ca="1" si="101"/>
        <v>-1.1012815913720114E-2</v>
      </c>
    </row>
    <row r="3116" spans="2:8" x14ac:dyDescent="0.3">
      <c r="B3116" s="4">
        <v>40653</v>
      </c>
      <c r="C3116" s="7">
        <v>225.35</v>
      </c>
      <c r="D3116" s="6">
        <f t="shared" si="100"/>
        <v>2.2461826562950158</v>
      </c>
      <c r="E3116" s="6">
        <v>-1.3310852781968737E-4</v>
      </c>
      <c r="F3116" s="6"/>
      <c r="G3116" s="6">
        <v>3109</v>
      </c>
      <c r="H3116" s="6">
        <f t="shared" ca="1" si="101"/>
        <v>8.6312648464830586E-3</v>
      </c>
    </row>
    <row r="3117" spans="2:8" x14ac:dyDescent="0.3">
      <c r="B3117" s="4">
        <v>39267</v>
      </c>
      <c r="C3117" s="7">
        <v>69.42</v>
      </c>
      <c r="D3117" s="6">
        <f t="shared" si="100"/>
        <v>-0.97873441917884585</v>
      </c>
      <c r="E3117" s="6">
        <v>-1.4402995823138579E-4</v>
      </c>
      <c r="F3117" s="6"/>
      <c r="G3117" s="6">
        <v>3110</v>
      </c>
      <c r="H3117" s="6">
        <f t="shared" ca="1" si="101"/>
        <v>4.8540143324262318E-3</v>
      </c>
    </row>
    <row r="3118" spans="2:8" x14ac:dyDescent="0.3">
      <c r="B3118" s="4">
        <v>45117</v>
      </c>
      <c r="C3118" s="5">
        <v>3264.43</v>
      </c>
      <c r="D3118" s="6">
        <f t="shared" si="100"/>
        <v>12.476571853197374</v>
      </c>
      <c r="E3118" s="6">
        <v>-1.6232970694899786E-4</v>
      </c>
      <c r="F3118" s="6"/>
      <c r="G3118" s="6">
        <v>3111</v>
      </c>
      <c r="H3118" s="6">
        <f t="shared" ca="1" si="101"/>
        <v>2.163822074882157E-3</v>
      </c>
    </row>
    <row r="3119" spans="2:8" x14ac:dyDescent="0.3">
      <c r="B3119" s="4">
        <v>40928</v>
      </c>
      <c r="C3119" s="7">
        <v>242.23</v>
      </c>
      <c r="D3119" s="6">
        <f t="shared" si="100"/>
        <v>3.0479612299465235</v>
      </c>
      <c r="E3119" s="6">
        <v>-1.6510504808692973E-4</v>
      </c>
      <c r="F3119" s="6"/>
      <c r="G3119" s="6">
        <v>3112</v>
      </c>
      <c r="H3119" s="6">
        <f t="shared" ca="1" si="101"/>
        <v>9.4607527581568891E-3</v>
      </c>
    </row>
    <row r="3120" spans="2:8" x14ac:dyDescent="0.3">
      <c r="B3120" s="4">
        <v>39164</v>
      </c>
      <c r="C3120" s="7">
        <v>59.84</v>
      </c>
      <c r="D3120" s="6">
        <f t="shared" si="100"/>
        <v>-0.88775931275087216</v>
      </c>
      <c r="E3120" s="6">
        <v>-1.6708437761066015E-4</v>
      </c>
      <c r="F3120" s="6"/>
      <c r="G3120" s="6">
        <v>3113</v>
      </c>
      <c r="H3120" s="6">
        <f t="shared" ca="1" si="101"/>
        <v>4.5362297633804996E-3</v>
      </c>
    </row>
    <row r="3121" spans="2:8" x14ac:dyDescent="0.3">
      <c r="B3121" s="4">
        <v>41817</v>
      </c>
      <c r="C3121" s="7">
        <v>533.14</v>
      </c>
      <c r="D3121" s="6">
        <f t="shared" si="100"/>
        <v>0.53161538682524645</v>
      </c>
      <c r="E3121" s="6">
        <v>-1.6878270164850408E-4</v>
      </c>
      <c r="F3121" s="6"/>
      <c r="G3121" s="6">
        <v>3114</v>
      </c>
      <c r="H3121" s="6">
        <f t="shared" ca="1" si="101"/>
        <v>-1.2429754483821288E-2</v>
      </c>
    </row>
    <row r="3122" spans="2:8" x14ac:dyDescent="0.3">
      <c r="B3122" s="4">
        <v>41193</v>
      </c>
      <c r="C3122" s="7">
        <v>348.09</v>
      </c>
      <c r="D3122" s="6">
        <f t="shared" si="100"/>
        <v>-0.56718682001865095</v>
      </c>
      <c r="E3122" s="6">
        <v>-1.7233950883240636E-4</v>
      </c>
      <c r="F3122" s="6"/>
      <c r="G3122" s="6">
        <v>3115</v>
      </c>
      <c r="H3122" s="6">
        <f t="shared" ca="1" si="101"/>
        <v>6.9837264736005138E-3</v>
      </c>
    </row>
    <row r="3123" spans="2:8" x14ac:dyDescent="0.3">
      <c r="B3123" s="4">
        <v>42725</v>
      </c>
      <c r="C3123" s="7">
        <v>804.25</v>
      </c>
      <c r="D3123" s="6">
        <f t="shared" si="100"/>
        <v>14.07497656982193</v>
      </c>
      <c r="E3123" s="6">
        <v>-1.7404492845508567E-4</v>
      </c>
      <c r="F3123" s="6"/>
      <c r="G3123" s="6">
        <v>3116</v>
      </c>
      <c r="H3123" s="6">
        <f t="shared" ca="1" si="101"/>
        <v>2.5628090252432921E-2</v>
      </c>
    </row>
    <row r="3124" spans="2:8" x14ac:dyDescent="0.3">
      <c r="B3124" s="4">
        <v>38945</v>
      </c>
      <c r="C3124" s="7">
        <v>53.35</v>
      </c>
      <c r="D3124" s="6">
        <f t="shared" si="100"/>
        <v>-0.87190876350540214</v>
      </c>
      <c r="E3124" s="6">
        <v>-1.8740629685153694E-4</v>
      </c>
      <c r="F3124" s="6"/>
      <c r="G3124" s="6">
        <v>3117</v>
      </c>
      <c r="H3124" s="6">
        <f t="shared" ca="1" si="101"/>
        <v>-1.2125124560274815E-2</v>
      </c>
    </row>
    <row r="3125" spans="2:8" x14ac:dyDescent="0.3">
      <c r="B3125" s="4">
        <v>41382</v>
      </c>
      <c r="C3125" s="7">
        <v>416.5</v>
      </c>
      <c r="D3125" s="6">
        <f t="shared" si="100"/>
        <v>-9.5587596629896604E-2</v>
      </c>
      <c r="E3125" s="6">
        <v>-1.9203994430837796E-4</v>
      </c>
      <c r="F3125" s="6"/>
      <c r="G3125" s="6">
        <v>3118</v>
      </c>
      <c r="H3125" s="6">
        <f t="shared" ca="1" si="101"/>
        <v>6.0919211507421099E-3</v>
      </c>
    </row>
    <row r="3126" spans="2:8" x14ac:dyDescent="0.3">
      <c r="B3126" s="4">
        <v>41794</v>
      </c>
      <c r="C3126" s="7">
        <v>460.52</v>
      </c>
      <c r="D3126" s="6">
        <f t="shared" si="100"/>
        <v>2.0065939805444932</v>
      </c>
      <c r="E3126" s="6">
        <v>-1.953930657172702E-4</v>
      </c>
      <c r="F3126" s="6"/>
      <c r="G3126" s="6">
        <v>3119</v>
      </c>
      <c r="H3126" s="6">
        <f t="shared" ca="1" si="101"/>
        <v>3.0161879858087853E-2</v>
      </c>
    </row>
    <row r="3127" spans="2:8" x14ac:dyDescent="0.3">
      <c r="B3127" s="4">
        <v>40177</v>
      </c>
      <c r="C3127" s="7">
        <v>153.16999999999999</v>
      </c>
      <c r="D3127" s="6">
        <f t="shared" si="100"/>
        <v>-0.66460103354646571</v>
      </c>
      <c r="E3127" s="6">
        <v>-1.9582245430810143E-4</v>
      </c>
      <c r="F3127" s="6"/>
      <c r="G3127" s="6">
        <v>3120</v>
      </c>
      <c r="H3127" s="6">
        <f t="shared" ca="1" si="101"/>
        <v>-2.7776656524074479E-2</v>
      </c>
    </row>
    <row r="3128" spans="2:8" x14ac:dyDescent="0.3">
      <c r="B3128" s="4">
        <v>41614</v>
      </c>
      <c r="C3128" s="7">
        <v>456.68</v>
      </c>
      <c r="D3128" s="6">
        <f t="shared" si="100"/>
        <v>1.9711338399884326E-4</v>
      </c>
      <c r="E3128" s="6">
        <v>-1.9703570724867E-4</v>
      </c>
      <c r="F3128" s="6"/>
      <c r="G3128" s="6">
        <v>3121</v>
      </c>
      <c r="H3128" s="6">
        <f t="shared" ca="1" si="101"/>
        <v>1.1377138667416183E-2</v>
      </c>
    </row>
    <row r="3129" spans="2:8" x14ac:dyDescent="0.3">
      <c r="B3129" s="4">
        <v>41617</v>
      </c>
      <c r="C3129" s="7">
        <v>456.59</v>
      </c>
      <c r="D3129" s="6">
        <f t="shared" si="100"/>
        <v>2.0959452129102254</v>
      </c>
      <c r="E3129" s="6">
        <v>-1.9707453796976402E-4</v>
      </c>
      <c r="F3129" s="6"/>
      <c r="G3129" s="6">
        <v>3122</v>
      </c>
      <c r="H3129" s="6">
        <f t="shared" ca="1" si="101"/>
        <v>-1.571984660065813E-2</v>
      </c>
    </row>
    <row r="3130" spans="2:8" x14ac:dyDescent="0.3">
      <c r="B3130" s="4">
        <v>40141</v>
      </c>
      <c r="C3130" s="7">
        <v>147.47999999999999</v>
      </c>
      <c r="D3130" s="6">
        <f t="shared" si="100"/>
        <v>-0.9512862182409132</v>
      </c>
      <c r="E3130" s="6">
        <v>-2.0337604230222451E-4</v>
      </c>
      <c r="F3130" s="6"/>
      <c r="G3130" s="6">
        <v>3123</v>
      </c>
      <c r="H3130" s="6">
        <f t="shared" ca="1" si="101"/>
        <v>-1.0617946831917406E-2</v>
      </c>
    </row>
    <row r="3131" spans="2:8" x14ac:dyDescent="0.3">
      <c r="B3131" s="4">
        <v>44530</v>
      </c>
      <c r="C3131" s="5">
        <v>3027.48</v>
      </c>
      <c r="D3131" s="6">
        <f t="shared" si="100"/>
        <v>11.463894606834087</v>
      </c>
      <c r="E3131" s="6">
        <v>-2.0474885241567018E-4</v>
      </c>
      <c r="F3131" s="6"/>
      <c r="G3131" s="6">
        <v>3124</v>
      </c>
      <c r="H3131" s="6">
        <f t="shared" ca="1" si="101"/>
        <v>-4.1879416243124995E-2</v>
      </c>
    </row>
    <row r="3132" spans="2:8" x14ac:dyDescent="0.3">
      <c r="B3132" s="4">
        <v>40449</v>
      </c>
      <c r="C3132" s="7">
        <v>242.9</v>
      </c>
      <c r="D3132" s="6">
        <f t="shared" si="100"/>
        <v>0.66907166907166915</v>
      </c>
      <c r="E3132" s="6">
        <v>-2.0580366330513665E-4</v>
      </c>
      <c r="F3132" s="6"/>
      <c r="G3132" s="6">
        <v>3125</v>
      </c>
      <c r="H3132" s="6">
        <f t="shared" ca="1" si="101"/>
        <v>-4.7752844050036412E-3</v>
      </c>
    </row>
    <row r="3133" spans="2:8" x14ac:dyDescent="0.3">
      <c r="B3133" s="4">
        <v>40135</v>
      </c>
      <c r="C3133" s="7">
        <v>145.53</v>
      </c>
      <c r="D3133" s="6">
        <f t="shared" si="100"/>
        <v>-0.49163377231285149</v>
      </c>
      <c r="E3133" s="6">
        <v>-2.0610057708162364E-4</v>
      </c>
      <c r="F3133" s="6"/>
      <c r="G3133" s="6">
        <v>3126</v>
      </c>
      <c r="H3133" s="6">
        <f t="shared" ca="1" si="101"/>
        <v>-1.571497936198591E-2</v>
      </c>
    </row>
    <row r="3134" spans="2:8" x14ac:dyDescent="0.3">
      <c r="B3134" s="4">
        <v>40730</v>
      </c>
      <c r="C3134" s="7">
        <v>286.27</v>
      </c>
      <c r="D3134" s="6">
        <f t="shared" si="100"/>
        <v>-0.78210700177346804</v>
      </c>
      <c r="E3134" s="6">
        <v>-2.0954842314812377E-4</v>
      </c>
      <c r="F3134" s="6"/>
      <c r="G3134" s="6">
        <v>3127</v>
      </c>
      <c r="H3134" s="6">
        <f t="shared" ca="1" si="101"/>
        <v>9.4243235428339012E-3</v>
      </c>
    </row>
    <row r="3135" spans="2:8" x14ac:dyDescent="0.3">
      <c r="B3135" s="4">
        <v>43328</v>
      </c>
      <c r="C3135" s="5">
        <v>1313.81</v>
      </c>
      <c r="D3135" s="6">
        <f t="shared" si="100"/>
        <v>3.6863206705903333</v>
      </c>
      <c r="E3135" s="6">
        <v>-2.130752079385527E-4</v>
      </c>
      <c r="F3135" s="6"/>
      <c r="G3135" s="6">
        <v>3128</v>
      </c>
      <c r="H3135" s="6">
        <f t="shared" ca="1" si="101"/>
        <v>1.0453913581703199E-3</v>
      </c>
    </row>
    <row r="3136" spans="2:8" x14ac:dyDescent="0.3">
      <c r="B3136" s="4">
        <v>40827</v>
      </c>
      <c r="C3136" s="7">
        <v>280.35000000000002</v>
      </c>
      <c r="D3136" s="6">
        <f t="shared" si="100"/>
        <v>0.20497721997764989</v>
      </c>
      <c r="E3136" s="6">
        <v>-2.1397239756072275E-4</v>
      </c>
      <c r="F3136" s="6"/>
      <c r="G3136" s="6">
        <v>3129</v>
      </c>
      <c r="H3136" s="6">
        <f t="shared" ca="1" si="101"/>
        <v>2.4425157842920861E-2</v>
      </c>
    </row>
    <row r="3137" spans="2:8" x14ac:dyDescent="0.3">
      <c r="B3137" s="4">
        <v>40463</v>
      </c>
      <c r="C3137" s="7">
        <v>232.66</v>
      </c>
      <c r="D3137" s="6">
        <f t="shared" si="100"/>
        <v>-0.90513585804220897</v>
      </c>
      <c r="E3137" s="6">
        <v>-2.1485969661815723E-4</v>
      </c>
      <c r="F3137" s="6"/>
      <c r="G3137" s="6">
        <v>3130</v>
      </c>
      <c r="H3137" s="6">
        <f t="shared" ca="1" si="101"/>
        <v>-1.7228928913968149E-2</v>
      </c>
    </row>
    <row r="3138" spans="2:8" x14ac:dyDescent="0.3">
      <c r="B3138" s="4">
        <v>45628</v>
      </c>
      <c r="C3138" s="5">
        <v>2452.56</v>
      </c>
      <c r="D3138" s="6">
        <f t="shared" si="100"/>
        <v>-0.24373961227378277</v>
      </c>
      <c r="E3138" s="6">
        <v>-2.2012963189432295E-4</v>
      </c>
      <c r="F3138" s="6"/>
      <c r="G3138" s="6">
        <v>3131</v>
      </c>
      <c r="H3138" s="6">
        <f t="shared" ca="1" si="101"/>
        <v>1.5934214519698738E-2</v>
      </c>
    </row>
    <row r="3139" spans="2:8" x14ac:dyDescent="0.3">
      <c r="B3139" s="4">
        <v>44559</v>
      </c>
      <c r="C3139" s="5">
        <v>3243.01</v>
      </c>
      <c r="D3139" s="6">
        <f t="shared" si="100"/>
        <v>1.9567588980026925E-2</v>
      </c>
      <c r="E3139" s="6">
        <v>-2.2196668649973947E-4</v>
      </c>
      <c r="F3139" s="6"/>
      <c r="G3139" s="6">
        <v>3132</v>
      </c>
      <c r="H3139" s="6">
        <f t="shared" ca="1" si="101"/>
        <v>6.0064297491884541E-3</v>
      </c>
    </row>
    <row r="3140" spans="2:8" x14ac:dyDescent="0.3">
      <c r="B3140" s="4">
        <v>45267</v>
      </c>
      <c r="C3140" s="5">
        <v>3180.77</v>
      </c>
      <c r="D3140" s="6">
        <f t="shared" si="100"/>
        <v>0.95550760188617778</v>
      </c>
      <c r="E3140" s="6">
        <v>-2.2945151658023517E-4</v>
      </c>
      <c r="F3140" s="6"/>
      <c r="G3140" s="6">
        <v>3133</v>
      </c>
      <c r="H3140" s="6">
        <f t="shared" ca="1" si="101"/>
        <v>5.440767956016254E-3</v>
      </c>
    </row>
    <row r="3141" spans="2:8" x14ac:dyDescent="0.3">
      <c r="B3141" s="4">
        <v>43795</v>
      </c>
      <c r="C3141" s="5">
        <v>1626.57</v>
      </c>
      <c r="D3141" s="6">
        <f t="shared" si="100"/>
        <v>8.5260322108345523</v>
      </c>
      <c r="E3141" s="6">
        <v>-2.3356587479646525E-4</v>
      </c>
      <c r="F3141" s="6"/>
      <c r="G3141" s="6">
        <v>3134</v>
      </c>
      <c r="H3141" s="6">
        <f t="shared" ca="1" si="101"/>
        <v>-5.646351683797704E-2</v>
      </c>
    </row>
    <row r="3142" spans="2:8" x14ac:dyDescent="0.3">
      <c r="B3142" s="4">
        <v>40260</v>
      </c>
      <c r="C3142" s="7">
        <v>170.75</v>
      </c>
      <c r="D3142" s="6">
        <f t="shared" si="100"/>
        <v>-0.93930680012654044</v>
      </c>
      <c r="E3142" s="6">
        <v>-2.342057497511098E-4</v>
      </c>
      <c r="F3142" s="6"/>
      <c r="G3142" s="6">
        <v>3135</v>
      </c>
      <c r="H3142" s="6">
        <f t="shared" ca="1" si="101"/>
        <v>7.2085986240319842E-3</v>
      </c>
    </row>
    <row r="3143" spans="2:8" x14ac:dyDescent="0.3">
      <c r="B3143" s="4">
        <v>45363</v>
      </c>
      <c r="C3143" s="5">
        <v>2813.33</v>
      </c>
      <c r="D3143" s="6">
        <f t="shared" si="100"/>
        <v>1.4937773680571558</v>
      </c>
      <c r="E3143" s="6">
        <v>-2.4164803963038192E-4</v>
      </c>
      <c r="F3143" s="6"/>
      <c r="G3143" s="6">
        <v>3136</v>
      </c>
      <c r="H3143" s="6">
        <f t="shared" ca="1" si="101"/>
        <v>-2.5160670147159746E-2</v>
      </c>
    </row>
    <row r="3144" spans="2:8" x14ac:dyDescent="0.3">
      <c r="B3144" s="4">
        <v>42984</v>
      </c>
      <c r="C3144" s="5">
        <v>1128.1400000000001</v>
      </c>
      <c r="D3144" s="6">
        <f t="shared" ref="D3144:D3207" si="102">((C3144-C3145)/C3145)</f>
        <v>-0.64525238041331767</v>
      </c>
      <c r="E3144" s="6">
        <v>-2.4813455982699054E-4</v>
      </c>
      <c r="F3144" s="6"/>
      <c r="G3144" s="6">
        <v>3137</v>
      </c>
      <c r="H3144" s="6">
        <f t="shared" ca="1" si="101"/>
        <v>8.8282615633895854E-3</v>
      </c>
    </row>
    <row r="3145" spans="2:8" x14ac:dyDescent="0.3">
      <c r="B3145" s="4">
        <v>44480</v>
      </c>
      <c r="C3145" s="5">
        <v>3180.12</v>
      </c>
      <c r="D3145" s="6">
        <f t="shared" si="102"/>
        <v>1.9420765836193576</v>
      </c>
      <c r="E3145" s="6">
        <v>-2.5778543449425759E-4</v>
      </c>
      <c r="F3145" s="6"/>
      <c r="G3145" s="6">
        <v>3138</v>
      </c>
      <c r="H3145" s="6">
        <f t="shared" ref="H3145:H3208" ca="1" si="103">_xlfn.NORM.INV(RAND(),N$10,N$11)</f>
        <v>2.2011021135090021E-2</v>
      </c>
    </row>
    <row r="3146" spans="2:8" x14ac:dyDescent="0.3">
      <c r="B3146" s="4">
        <v>42936</v>
      </c>
      <c r="C3146" s="5">
        <v>1080.9100000000001</v>
      </c>
      <c r="D3146" s="6">
        <f t="shared" si="102"/>
        <v>2.113399389365747</v>
      </c>
      <c r="E3146" s="6">
        <v>-2.589739083787056E-4</v>
      </c>
      <c r="F3146" s="6"/>
      <c r="G3146" s="6">
        <v>3139</v>
      </c>
      <c r="H3146" s="6">
        <f t="shared" ca="1" si="103"/>
        <v>2.7765248169099574E-2</v>
      </c>
    </row>
    <row r="3147" spans="2:8" x14ac:dyDescent="0.3">
      <c r="B3147" s="4">
        <v>41080</v>
      </c>
      <c r="C3147" s="7">
        <v>347.18</v>
      </c>
      <c r="D3147" s="6">
        <f t="shared" si="102"/>
        <v>-0.85810681020283897</v>
      </c>
      <c r="E3147" s="6">
        <v>-2.5916433898688336E-4</v>
      </c>
      <c r="F3147" s="6"/>
      <c r="G3147" s="6">
        <v>3140</v>
      </c>
      <c r="H3147" s="6">
        <f t="shared" ca="1" si="103"/>
        <v>9.8105322842492928E-3</v>
      </c>
    </row>
    <row r="3148" spans="2:8" x14ac:dyDescent="0.3">
      <c r="B3148" s="4">
        <v>44327</v>
      </c>
      <c r="C3148" s="5">
        <v>2446.77</v>
      </c>
      <c r="D3148" s="6">
        <f t="shared" si="102"/>
        <v>22.644858909934285</v>
      </c>
      <c r="E3148" s="6">
        <v>-2.7375543424969467E-4</v>
      </c>
      <c r="F3148" s="6"/>
      <c r="G3148" s="6">
        <v>3141</v>
      </c>
      <c r="H3148" s="6">
        <f t="shared" ca="1" si="103"/>
        <v>-1.5077188699258936E-2</v>
      </c>
    </row>
    <row r="3149" spans="2:8" x14ac:dyDescent="0.3">
      <c r="B3149" s="4">
        <v>39695</v>
      </c>
      <c r="C3149" s="7">
        <v>103.48</v>
      </c>
      <c r="D3149" s="6">
        <f t="shared" si="102"/>
        <v>-0.86789731020131999</v>
      </c>
      <c r="E3149" s="6">
        <v>-2.8982706984833479E-4</v>
      </c>
      <c r="F3149" s="6"/>
      <c r="G3149" s="6">
        <v>3142</v>
      </c>
      <c r="H3149" s="6">
        <f t="shared" ca="1" si="103"/>
        <v>2.7287172926850987E-2</v>
      </c>
    </row>
    <row r="3150" spans="2:8" x14ac:dyDescent="0.3">
      <c r="B3150" s="4">
        <v>42242</v>
      </c>
      <c r="C3150" s="7">
        <v>783.33</v>
      </c>
      <c r="D3150" s="6">
        <f t="shared" si="102"/>
        <v>10.660166716284609</v>
      </c>
      <c r="E3150" s="6">
        <v>-2.935320843329222E-4</v>
      </c>
      <c r="F3150" s="6"/>
      <c r="G3150" s="6">
        <v>3143</v>
      </c>
      <c r="H3150" s="6">
        <f t="shared" ca="1" si="103"/>
        <v>-2.8434447535046359E-2</v>
      </c>
    </row>
    <row r="3151" spans="2:8" x14ac:dyDescent="0.3">
      <c r="B3151" s="4">
        <v>39904</v>
      </c>
      <c r="C3151" s="7">
        <v>67.180000000000007</v>
      </c>
      <c r="D3151" s="6">
        <f t="shared" si="102"/>
        <v>-0.97725410529879808</v>
      </c>
      <c r="E3151" s="6">
        <v>-2.9761904761898839E-4</v>
      </c>
      <c r="F3151" s="6"/>
      <c r="G3151" s="6">
        <v>3144</v>
      </c>
      <c r="H3151" s="6">
        <f t="shared" ca="1" si="103"/>
        <v>6.7845253743441516E-3</v>
      </c>
    </row>
    <row r="3152" spans="2:8" x14ac:dyDescent="0.3">
      <c r="B3152" s="4">
        <v>45994</v>
      </c>
      <c r="C3152" s="5">
        <v>2953.5</v>
      </c>
      <c r="D3152" s="6">
        <f t="shared" si="102"/>
        <v>1.7319649612890695</v>
      </c>
      <c r="E3152" s="6">
        <v>-3.0463038180344261E-4</v>
      </c>
      <c r="F3152" s="6"/>
      <c r="G3152" s="6">
        <v>3145</v>
      </c>
      <c r="H3152" s="6">
        <f t="shared" ca="1" si="103"/>
        <v>2.0415427827434503E-2</v>
      </c>
    </row>
    <row r="3153" spans="2:8" x14ac:dyDescent="0.3">
      <c r="B3153" s="4">
        <v>42940</v>
      </c>
      <c r="C3153" s="5">
        <v>1081.0899999999999</v>
      </c>
      <c r="D3153" s="6">
        <f t="shared" si="102"/>
        <v>0.24670187739286861</v>
      </c>
      <c r="E3153" s="6">
        <v>-3.051543341163975E-4</v>
      </c>
      <c r="F3153" s="6"/>
      <c r="G3153" s="6">
        <v>3146</v>
      </c>
      <c r="H3153" s="6">
        <f t="shared" ca="1" si="103"/>
        <v>-8.3439483198011252E-3</v>
      </c>
    </row>
    <row r="3154" spans="2:8" x14ac:dyDescent="0.3">
      <c r="B3154" s="4">
        <v>42748</v>
      </c>
      <c r="C3154" s="7">
        <v>867.16</v>
      </c>
      <c r="D3154" s="6">
        <f t="shared" si="102"/>
        <v>-0.65281659126396285</v>
      </c>
      <c r="E3154" s="6">
        <v>-3.1126430951198576E-4</v>
      </c>
      <c r="F3154" s="6"/>
      <c r="G3154" s="6">
        <v>3147</v>
      </c>
      <c r="H3154" s="6">
        <f t="shared" ca="1" si="103"/>
        <v>-8.1906090575310335E-3</v>
      </c>
    </row>
    <row r="3155" spans="2:8" x14ac:dyDescent="0.3">
      <c r="B3155" s="4">
        <v>45954</v>
      </c>
      <c r="C3155" s="5">
        <v>2497.6999999999998</v>
      </c>
      <c r="D3155" s="6">
        <f t="shared" si="102"/>
        <v>25.987574284170716</v>
      </c>
      <c r="E3155" s="6">
        <v>-3.2019211526923428E-4</v>
      </c>
      <c r="F3155" s="6"/>
      <c r="G3155" s="6">
        <v>3148</v>
      </c>
      <c r="H3155" s="6">
        <f t="shared" ca="1" si="103"/>
        <v>7.9490549556211435E-3</v>
      </c>
    </row>
    <row r="3156" spans="2:8" x14ac:dyDescent="0.3">
      <c r="B3156" s="4">
        <v>39447</v>
      </c>
      <c r="C3156" s="7">
        <v>92.55</v>
      </c>
      <c r="D3156" s="6">
        <f t="shared" si="102"/>
        <v>-0.78378188954303329</v>
      </c>
      <c r="E3156" s="6">
        <v>-3.2404406999353143E-4</v>
      </c>
      <c r="F3156" s="6"/>
      <c r="G3156" s="6">
        <v>3149</v>
      </c>
      <c r="H3156" s="6">
        <f t="shared" ca="1" si="103"/>
        <v>-1.2509648735845261E-2</v>
      </c>
    </row>
    <row r="3157" spans="2:8" x14ac:dyDescent="0.3">
      <c r="B3157" s="4">
        <v>41688</v>
      </c>
      <c r="C3157" s="7">
        <v>428.04</v>
      </c>
      <c r="D3157" s="6">
        <f t="shared" si="102"/>
        <v>9.5263683119674564E-2</v>
      </c>
      <c r="E3157" s="6">
        <v>-3.2696529496937355E-4</v>
      </c>
      <c r="F3157" s="6"/>
      <c r="G3157" s="6">
        <v>3150</v>
      </c>
      <c r="H3157" s="6">
        <f t="shared" ca="1" si="103"/>
        <v>1.4583443117412373E-2</v>
      </c>
    </row>
    <row r="3158" spans="2:8" x14ac:dyDescent="0.3">
      <c r="B3158" s="4">
        <v>41284</v>
      </c>
      <c r="C3158" s="7">
        <v>390.81</v>
      </c>
      <c r="D3158" s="6">
        <f t="shared" si="102"/>
        <v>-0.2605857645589737</v>
      </c>
      <c r="E3158" s="6">
        <v>-3.3253184631911663E-4</v>
      </c>
      <c r="F3158" s="6"/>
      <c r="G3158" s="6">
        <v>3151</v>
      </c>
      <c r="H3158" s="6">
        <f t="shared" ca="1" si="103"/>
        <v>2.8633942284336817E-3</v>
      </c>
    </row>
    <row r="3159" spans="2:8" x14ac:dyDescent="0.3">
      <c r="B3159" s="4">
        <v>41837</v>
      </c>
      <c r="C3159" s="7">
        <v>528.54</v>
      </c>
      <c r="D3159" s="6">
        <f t="shared" si="102"/>
        <v>-0.35043260249729624</v>
      </c>
      <c r="E3159" s="6">
        <v>-3.4044484793475498E-4</v>
      </c>
      <c r="F3159" s="6"/>
      <c r="G3159" s="6">
        <v>3152</v>
      </c>
      <c r="H3159" s="6">
        <f t="shared" ca="1" si="103"/>
        <v>-1.5027911870308232E-3</v>
      </c>
    </row>
    <row r="3160" spans="2:8" x14ac:dyDescent="0.3">
      <c r="B3160" s="4">
        <v>42732</v>
      </c>
      <c r="C3160" s="7">
        <v>813.68</v>
      </c>
      <c r="D3160" s="6">
        <f t="shared" si="102"/>
        <v>13.038647342995167</v>
      </c>
      <c r="E3160" s="6">
        <v>-3.4399724802212196E-4</v>
      </c>
      <c r="F3160" s="6"/>
      <c r="G3160" s="6">
        <v>3153</v>
      </c>
      <c r="H3160" s="6">
        <f t="shared" ca="1" si="103"/>
        <v>-1.2918387586086721E-2</v>
      </c>
    </row>
    <row r="3161" spans="2:8" x14ac:dyDescent="0.3">
      <c r="B3161" s="4">
        <v>39034</v>
      </c>
      <c r="C3161" s="7">
        <v>57.96</v>
      </c>
      <c r="D3161" s="6">
        <f t="shared" si="102"/>
        <v>-0.98174971031286207</v>
      </c>
      <c r="E3161" s="6">
        <v>-3.4494653328727187E-4</v>
      </c>
      <c r="F3161" s="6"/>
      <c r="G3161" s="6">
        <v>3154</v>
      </c>
      <c r="H3161" s="6">
        <f t="shared" ca="1" si="103"/>
        <v>1.0872998870247069E-2</v>
      </c>
    </row>
    <row r="3162" spans="2:8" x14ac:dyDescent="0.3">
      <c r="B3162" s="4">
        <v>44441</v>
      </c>
      <c r="C3162" s="5">
        <v>3175.84</v>
      </c>
      <c r="D3162" s="6">
        <f t="shared" si="102"/>
        <v>1.3936447640151346</v>
      </c>
      <c r="E3162" s="6">
        <v>-3.4939171217667029E-4</v>
      </c>
      <c r="F3162" s="6"/>
      <c r="G3162" s="6">
        <v>3155</v>
      </c>
      <c r="H3162" s="6">
        <f t="shared" ca="1" si="103"/>
        <v>-1.6378803092243471E-2</v>
      </c>
    </row>
    <row r="3163" spans="2:8" x14ac:dyDescent="0.3">
      <c r="B3163" s="4">
        <v>43524</v>
      </c>
      <c r="C3163" s="5">
        <v>1326.78</v>
      </c>
      <c r="D3163" s="6">
        <f t="shared" si="102"/>
        <v>5.0495166879445561</v>
      </c>
      <c r="E3163" s="6">
        <v>-3.6164730346730721E-4</v>
      </c>
      <c r="F3163" s="6"/>
      <c r="G3163" s="6">
        <v>3156</v>
      </c>
      <c r="H3163" s="6">
        <f t="shared" ca="1" si="103"/>
        <v>1.4117600379925117E-3</v>
      </c>
    </row>
    <row r="3164" spans="2:8" x14ac:dyDescent="0.3">
      <c r="B3164" s="4">
        <v>40612</v>
      </c>
      <c r="C3164" s="7">
        <v>219.32</v>
      </c>
      <c r="D3164" s="6">
        <f t="shared" si="102"/>
        <v>3.0065765436609424</v>
      </c>
      <c r="E3164" s="6">
        <v>-3.6463081130361214E-4</v>
      </c>
      <c r="F3164" s="6"/>
      <c r="G3164" s="6">
        <v>3157</v>
      </c>
      <c r="H3164" s="6">
        <f t="shared" ca="1" si="103"/>
        <v>2.4613958812173709E-2</v>
      </c>
    </row>
    <row r="3165" spans="2:8" x14ac:dyDescent="0.3">
      <c r="B3165" s="4">
        <v>38988</v>
      </c>
      <c r="C3165" s="7">
        <v>54.74</v>
      </c>
      <c r="D3165" s="6">
        <f t="shared" si="102"/>
        <v>-0.98191578982143746</v>
      </c>
      <c r="E3165" s="6">
        <v>-3.6523009495975206E-4</v>
      </c>
      <c r="F3165" s="6"/>
      <c r="G3165" s="6">
        <v>3158</v>
      </c>
      <c r="H3165" s="6">
        <f t="shared" ca="1" si="103"/>
        <v>-3.1559838900391971E-3</v>
      </c>
    </row>
    <row r="3166" spans="2:8" x14ac:dyDescent="0.3">
      <c r="B3166" s="4">
        <v>44526</v>
      </c>
      <c r="C3166" s="5">
        <v>3026.95</v>
      </c>
      <c r="D3166" s="6">
        <f t="shared" si="102"/>
        <v>1.7384538833853531</v>
      </c>
      <c r="E3166" s="6">
        <v>-3.6657133610302551E-4</v>
      </c>
      <c r="F3166" s="6"/>
      <c r="G3166" s="6">
        <v>3159</v>
      </c>
      <c r="H3166" s="6">
        <f t="shared" ca="1" si="103"/>
        <v>1.3739531935672842E-2</v>
      </c>
    </row>
    <row r="3167" spans="2:8" x14ac:dyDescent="0.3">
      <c r="B3167" s="4">
        <v>42647</v>
      </c>
      <c r="C3167" s="5">
        <v>1105.3499999999999</v>
      </c>
      <c r="D3167" s="6">
        <f t="shared" si="102"/>
        <v>0.87729279891304346</v>
      </c>
      <c r="E3167" s="6">
        <v>-3.7078570395029833E-4</v>
      </c>
      <c r="F3167" s="6"/>
      <c r="G3167" s="6">
        <v>3160</v>
      </c>
      <c r="H3167" s="6">
        <f t="shared" ca="1" si="103"/>
        <v>-2.5612601557090031E-3</v>
      </c>
    </row>
    <row r="3168" spans="2:8" x14ac:dyDescent="0.3">
      <c r="B3168" s="4">
        <v>41934</v>
      </c>
      <c r="C3168" s="7">
        <v>588.79999999999995</v>
      </c>
      <c r="D3168" s="6">
        <f t="shared" si="102"/>
        <v>-0.73783221796258947</v>
      </c>
      <c r="E3168" s="6">
        <v>-3.7350174866732419E-4</v>
      </c>
      <c r="F3168" s="6"/>
      <c r="G3168" s="6">
        <v>3161</v>
      </c>
      <c r="H3168" s="6">
        <f t="shared" ca="1" si="103"/>
        <v>-4.3233452989095485E-2</v>
      </c>
    </row>
    <row r="3169" spans="2:8" x14ac:dyDescent="0.3">
      <c r="B3169" s="4">
        <v>45698</v>
      </c>
      <c r="C3169" s="5">
        <v>2245.89</v>
      </c>
      <c r="D3169" s="6">
        <f t="shared" si="102"/>
        <v>41.359298377970575</v>
      </c>
      <c r="E3169" s="6">
        <v>-3.7387670080523495E-4</v>
      </c>
      <c r="F3169" s="6"/>
      <c r="G3169" s="6">
        <v>3162</v>
      </c>
      <c r="H3169" s="6">
        <f t="shared" ca="1" si="103"/>
        <v>-2.4295149918730451E-2</v>
      </c>
    </row>
    <row r="3170" spans="2:8" x14ac:dyDescent="0.3">
      <c r="B3170" s="4">
        <v>38790</v>
      </c>
      <c r="C3170" s="7">
        <v>53.02</v>
      </c>
      <c r="D3170" s="6">
        <f t="shared" si="102"/>
        <v>5.5544495321521128E-2</v>
      </c>
      <c r="E3170" s="6">
        <v>-3.7707390648559618E-4</v>
      </c>
      <c r="F3170" s="6"/>
      <c r="G3170" s="6">
        <v>3163</v>
      </c>
      <c r="H3170" s="6">
        <f t="shared" ca="1" si="103"/>
        <v>2.0600973194211069E-2</v>
      </c>
    </row>
    <row r="3171" spans="2:8" x14ac:dyDescent="0.3">
      <c r="B3171" s="4">
        <v>38834</v>
      </c>
      <c r="C3171" s="7">
        <v>50.23</v>
      </c>
      <c r="D3171" s="6">
        <f t="shared" si="102"/>
        <v>-0.90869762791965825</v>
      </c>
      <c r="E3171" s="6">
        <v>-3.9800995024881844E-4</v>
      </c>
      <c r="F3171" s="6"/>
      <c r="G3171" s="6">
        <v>3164</v>
      </c>
      <c r="H3171" s="6">
        <f t="shared" ca="1" si="103"/>
        <v>-1.5915924791650717E-3</v>
      </c>
    </row>
    <row r="3172" spans="2:8" x14ac:dyDescent="0.3">
      <c r="B3172" s="4">
        <v>41843</v>
      </c>
      <c r="C3172" s="7">
        <v>550.15</v>
      </c>
      <c r="D3172" s="6">
        <f t="shared" si="102"/>
        <v>21.014805922368947</v>
      </c>
      <c r="E3172" s="6">
        <v>-3.9973108999405362E-4</v>
      </c>
      <c r="F3172" s="6"/>
      <c r="G3172" s="6">
        <v>3165</v>
      </c>
      <c r="H3172" s="6">
        <f t="shared" ca="1" si="103"/>
        <v>1.2140725986960785E-2</v>
      </c>
    </row>
    <row r="3173" spans="2:8" x14ac:dyDescent="0.3">
      <c r="B3173" s="4">
        <v>38215</v>
      </c>
      <c r="C3173" s="7">
        <v>24.99</v>
      </c>
      <c r="D3173" s="6">
        <f t="shared" si="102"/>
        <v>1.6032064128256173E-3</v>
      </c>
      <c r="E3173" s="6">
        <v>-4.0000000000006252E-4</v>
      </c>
      <c r="F3173" s="6"/>
      <c r="G3173" s="6">
        <v>3166</v>
      </c>
      <c r="H3173" s="6">
        <f t="shared" ca="1" si="103"/>
        <v>-9.1859007876595854E-3</v>
      </c>
    </row>
    <row r="3174" spans="2:8" x14ac:dyDescent="0.3">
      <c r="B3174" s="4">
        <v>38209</v>
      </c>
      <c r="C3174" s="7">
        <v>24.95</v>
      </c>
      <c r="D3174" s="6">
        <f t="shared" si="102"/>
        <v>0</v>
      </c>
      <c r="E3174" s="6">
        <v>-4.0064102564108824E-4</v>
      </c>
      <c r="F3174" s="6"/>
      <c r="G3174" s="6">
        <v>3167</v>
      </c>
      <c r="H3174" s="6">
        <f t="shared" ca="1" si="103"/>
        <v>1.2168935969968202E-2</v>
      </c>
    </row>
    <row r="3175" spans="2:8" x14ac:dyDescent="0.3">
      <c r="B3175" s="4">
        <v>38202</v>
      </c>
      <c r="C3175" s="7">
        <v>24.95</v>
      </c>
      <c r="D3175" s="6">
        <f t="shared" si="102"/>
        <v>4.0096230954282316E-4</v>
      </c>
      <c r="E3175" s="6">
        <v>-4.0064102564108824E-4</v>
      </c>
      <c r="F3175" s="6"/>
      <c r="G3175" s="6">
        <v>3168</v>
      </c>
      <c r="H3175" s="6">
        <f t="shared" ca="1" si="103"/>
        <v>2.1591815740754236E-2</v>
      </c>
    </row>
    <row r="3176" spans="2:8" x14ac:dyDescent="0.3">
      <c r="B3176" s="4">
        <v>38203</v>
      </c>
      <c r="C3176" s="7">
        <v>24.94</v>
      </c>
      <c r="D3176" s="6">
        <f t="shared" si="102"/>
        <v>9.3079724807770305E-3</v>
      </c>
      <c r="E3176" s="6">
        <v>-4.0080160320633308E-4</v>
      </c>
      <c r="F3176" s="6"/>
      <c r="G3176" s="6">
        <v>3169</v>
      </c>
      <c r="H3176" s="6">
        <f t="shared" ca="1" si="103"/>
        <v>1.0924579710923662E-2</v>
      </c>
    </row>
    <row r="3177" spans="2:8" x14ac:dyDescent="0.3">
      <c r="B3177" s="4">
        <v>38264</v>
      </c>
      <c r="C3177" s="7">
        <v>24.71</v>
      </c>
      <c r="D3177" s="6">
        <f t="shared" si="102"/>
        <v>1.1461318051575978E-2</v>
      </c>
      <c r="E3177" s="6">
        <v>-4.045307443364891E-4</v>
      </c>
      <c r="F3177" s="6"/>
      <c r="G3177" s="6">
        <v>3170</v>
      </c>
      <c r="H3177" s="6">
        <f t="shared" ca="1" si="103"/>
        <v>-1.0034822078928638E-2</v>
      </c>
    </row>
    <row r="3178" spans="2:8" x14ac:dyDescent="0.3">
      <c r="B3178" s="4">
        <v>38246</v>
      </c>
      <c r="C3178" s="7">
        <v>24.43</v>
      </c>
      <c r="D3178" s="6">
        <f t="shared" si="102"/>
        <v>-0.99206119670229331</v>
      </c>
      <c r="E3178" s="6">
        <v>-4.0916530278238799E-4</v>
      </c>
      <c r="F3178" s="6"/>
      <c r="G3178" s="6">
        <v>3171</v>
      </c>
      <c r="H3178" s="6">
        <f t="shared" ca="1" si="103"/>
        <v>6.7892771244255747E-3</v>
      </c>
    </row>
    <row r="3179" spans="2:8" x14ac:dyDescent="0.3">
      <c r="B3179" s="4">
        <v>45209</v>
      </c>
      <c r="C3179" s="5">
        <v>3077.29</v>
      </c>
      <c r="D3179" s="6">
        <f t="shared" si="102"/>
        <v>126.31857674803474</v>
      </c>
      <c r="E3179" s="6">
        <v>-4.1253053375603588E-4</v>
      </c>
      <c r="F3179" s="6"/>
      <c r="G3179" s="6">
        <v>3172</v>
      </c>
      <c r="H3179" s="6">
        <f t="shared" ca="1" si="103"/>
        <v>1.8559668598581793E-2</v>
      </c>
    </row>
    <row r="3180" spans="2:8" x14ac:dyDescent="0.3">
      <c r="B3180" s="4">
        <v>38061</v>
      </c>
      <c r="C3180" s="7">
        <v>24.17</v>
      </c>
      <c r="D3180" s="6">
        <f t="shared" si="102"/>
        <v>-0.99033787457226008</v>
      </c>
      <c r="E3180" s="6">
        <v>-4.1356492969387966E-4</v>
      </c>
      <c r="F3180" s="6"/>
      <c r="G3180" s="6">
        <v>3173</v>
      </c>
      <c r="H3180" s="6">
        <f t="shared" ca="1" si="103"/>
        <v>5.8597349864467699E-3</v>
      </c>
    </row>
    <row r="3181" spans="2:8" x14ac:dyDescent="0.3">
      <c r="B3181" s="4">
        <v>44315</v>
      </c>
      <c r="C3181" s="5">
        <v>2501.52</v>
      </c>
      <c r="D3181" s="6">
        <f t="shared" si="102"/>
        <v>105.53833049403748</v>
      </c>
      <c r="E3181" s="6">
        <v>-4.1956868339354417E-4</v>
      </c>
      <c r="F3181" s="6"/>
      <c r="G3181" s="6">
        <v>3174</v>
      </c>
      <c r="H3181" s="6">
        <f t="shared" ca="1" si="103"/>
        <v>4.279204803480152E-4</v>
      </c>
    </row>
    <row r="3182" spans="2:8" x14ac:dyDescent="0.3">
      <c r="B3182" s="4">
        <v>37943</v>
      </c>
      <c r="C3182" s="7">
        <v>23.48</v>
      </c>
      <c r="D3182" s="6">
        <f t="shared" si="102"/>
        <v>7.2930072930073664E-3</v>
      </c>
      <c r="E3182" s="6">
        <v>-4.2571306939114564E-4</v>
      </c>
      <c r="F3182" s="6"/>
      <c r="G3182" s="6">
        <v>3175</v>
      </c>
      <c r="H3182" s="6">
        <f t="shared" ca="1" si="103"/>
        <v>-3.0164221288964954E-3</v>
      </c>
    </row>
    <row r="3183" spans="2:8" x14ac:dyDescent="0.3">
      <c r="B3183" s="4">
        <v>38092</v>
      </c>
      <c r="C3183" s="7">
        <v>23.31</v>
      </c>
      <c r="D3183" s="6">
        <f t="shared" si="102"/>
        <v>0</v>
      </c>
      <c r="E3183" s="6">
        <v>-4.2881646655238266E-4</v>
      </c>
      <c r="F3183" s="6"/>
      <c r="G3183" s="6">
        <v>3176</v>
      </c>
      <c r="H3183" s="6">
        <f t="shared" ca="1" si="103"/>
        <v>-1.5470608913527467E-2</v>
      </c>
    </row>
    <row r="3184" spans="2:8" x14ac:dyDescent="0.3">
      <c r="B3184" s="4">
        <v>38084</v>
      </c>
      <c r="C3184" s="7">
        <v>23.31</v>
      </c>
      <c r="D3184" s="6">
        <f t="shared" si="102"/>
        <v>4.2918454935613777E-4</v>
      </c>
      <c r="E3184" s="6">
        <v>-4.2881646655238266E-4</v>
      </c>
      <c r="F3184" s="6"/>
      <c r="G3184" s="6">
        <v>3177</v>
      </c>
      <c r="H3184" s="6">
        <f t="shared" ca="1" si="103"/>
        <v>-1.3876653047796979E-2</v>
      </c>
    </row>
    <row r="3185" spans="2:8" x14ac:dyDescent="0.3">
      <c r="B3185" s="4">
        <v>38085</v>
      </c>
      <c r="C3185" s="7">
        <v>23.3</v>
      </c>
      <c r="D3185" s="6">
        <f t="shared" si="102"/>
        <v>1.0407632263660104E-2</v>
      </c>
      <c r="E3185" s="6">
        <v>-4.2900042900034368E-4</v>
      </c>
      <c r="F3185" s="6"/>
      <c r="G3185" s="6">
        <v>3178</v>
      </c>
      <c r="H3185" s="6">
        <f t="shared" ca="1" si="103"/>
        <v>-3.1861084080903228E-3</v>
      </c>
    </row>
    <row r="3186" spans="2:8" x14ac:dyDescent="0.3">
      <c r="B3186" s="4">
        <v>37860</v>
      </c>
      <c r="C3186" s="7">
        <v>23.06</v>
      </c>
      <c r="D3186" s="6">
        <f t="shared" si="102"/>
        <v>2.6086956521738573E-3</v>
      </c>
      <c r="E3186" s="6">
        <v>-4.334633723451046E-4</v>
      </c>
      <c r="F3186" s="6"/>
      <c r="G3186" s="6">
        <v>3179</v>
      </c>
      <c r="H3186" s="6">
        <f t="shared" ca="1" si="103"/>
        <v>-1.1512871337937025E-2</v>
      </c>
    </row>
    <row r="3187" spans="2:8" x14ac:dyDescent="0.3">
      <c r="B3187" s="4">
        <v>38287</v>
      </c>
      <c r="C3187" s="7">
        <v>23</v>
      </c>
      <c r="D3187" s="6">
        <f t="shared" si="102"/>
        <v>-0.98025835801038586</v>
      </c>
      <c r="E3187" s="6">
        <v>-4.3459365493270588E-4</v>
      </c>
      <c r="F3187" s="6"/>
      <c r="G3187" s="6">
        <v>3180</v>
      </c>
      <c r="H3187" s="6">
        <f t="shared" ca="1" si="103"/>
        <v>-7.9210538311121001E-3</v>
      </c>
    </row>
    <row r="3188" spans="2:8" x14ac:dyDescent="0.3">
      <c r="B3188" s="4">
        <v>42993</v>
      </c>
      <c r="C3188" s="5">
        <v>1165.05</v>
      </c>
      <c r="D3188" s="6">
        <f t="shared" si="102"/>
        <v>24.560552874067575</v>
      </c>
      <c r="E3188" s="6">
        <v>-4.3755791207659062E-4</v>
      </c>
      <c r="F3188" s="6"/>
      <c r="G3188" s="6">
        <v>3181</v>
      </c>
      <c r="H3188" s="6">
        <f t="shared" ca="1" si="103"/>
        <v>5.7505149290535459E-3</v>
      </c>
    </row>
    <row r="3189" spans="2:8" x14ac:dyDescent="0.3">
      <c r="B3189" s="4">
        <v>38714</v>
      </c>
      <c r="C3189" s="7">
        <v>45.58</v>
      </c>
      <c r="D3189" s="6">
        <f t="shared" si="102"/>
        <v>-0.97204812775195326</v>
      </c>
      <c r="E3189" s="6">
        <v>-4.3859649122813871E-4</v>
      </c>
      <c r="F3189" s="6"/>
      <c r="G3189" s="6">
        <v>3182</v>
      </c>
      <c r="H3189" s="6">
        <f t="shared" ca="1" si="103"/>
        <v>3.9948146328999748E-3</v>
      </c>
    </row>
    <row r="3190" spans="2:8" x14ac:dyDescent="0.3">
      <c r="B3190" s="4">
        <v>43797</v>
      </c>
      <c r="C3190" s="5">
        <v>1630.66</v>
      </c>
      <c r="D3190" s="6">
        <f t="shared" si="102"/>
        <v>11.203712019158807</v>
      </c>
      <c r="E3190" s="6">
        <v>-4.4134413809169366E-4</v>
      </c>
      <c r="F3190" s="6"/>
      <c r="G3190" s="6">
        <v>3183</v>
      </c>
      <c r="H3190" s="6">
        <f t="shared" ca="1" si="103"/>
        <v>-1.2348731026214721E-2</v>
      </c>
    </row>
    <row r="3191" spans="2:8" x14ac:dyDescent="0.3">
      <c r="B3191" s="4">
        <v>40099</v>
      </c>
      <c r="C3191" s="7">
        <v>133.62</v>
      </c>
      <c r="D3191" s="6">
        <f t="shared" si="102"/>
        <v>-0.94489692400955094</v>
      </c>
      <c r="E3191" s="6">
        <v>-4.4883303411132758E-4</v>
      </c>
      <c r="F3191" s="6"/>
      <c r="G3191" s="6">
        <v>3184</v>
      </c>
      <c r="H3191" s="6">
        <f t="shared" ca="1" si="103"/>
        <v>1.7517013100809178E-2</v>
      </c>
    </row>
    <row r="3192" spans="2:8" x14ac:dyDescent="0.3">
      <c r="B3192" s="4">
        <v>45776</v>
      </c>
      <c r="C3192" s="5">
        <v>2424.91</v>
      </c>
      <c r="D3192" s="6">
        <f t="shared" si="102"/>
        <v>3.1031320326909082</v>
      </c>
      <c r="E3192" s="6">
        <v>-4.4929925803798248E-4</v>
      </c>
      <c r="F3192" s="6"/>
      <c r="G3192" s="6">
        <v>3185</v>
      </c>
      <c r="H3192" s="6">
        <f t="shared" ca="1" si="103"/>
        <v>1.7963993430162875E-2</v>
      </c>
    </row>
    <row r="3193" spans="2:8" x14ac:dyDescent="0.3">
      <c r="B3193" s="4">
        <v>41941</v>
      </c>
      <c r="C3193" s="7">
        <v>590.99</v>
      </c>
      <c r="D3193" s="6">
        <f t="shared" si="102"/>
        <v>-0.75298223615464999</v>
      </c>
      <c r="E3193" s="6">
        <v>-4.566518959509891E-4</v>
      </c>
      <c r="F3193" s="6"/>
      <c r="G3193" s="6">
        <v>3186</v>
      </c>
      <c r="H3193" s="6">
        <f t="shared" ca="1" si="103"/>
        <v>-1.5880395510866969E-2</v>
      </c>
    </row>
    <row r="3194" spans="2:8" x14ac:dyDescent="0.3">
      <c r="B3194" s="4">
        <v>46064</v>
      </c>
      <c r="C3194" s="5">
        <v>2392.5</v>
      </c>
      <c r="D3194" s="6">
        <f t="shared" si="102"/>
        <v>110.48648648648648</v>
      </c>
      <c r="E3194" s="6">
        <v>-4.5955882352937381E-4</v>
      </c>
      <c r="F3194" s="6"/>
      <c r="G3194" s="6">
        <v>3187</v>
      </c>
      <c r="H3194" s="6">
        <f t="shared" ca="1" si="103"/>
        <v>-1.5988816191727512E-2</v>
      </c>
    </row>
    <row r="3195" spans="2:8" x14ac:dyDescent="0.3">
      <c r="B3195" s="4">
        <v>37924</v>
      </c>
      <c r="C3195" s="7">
        <v>21.46</v>
      </c>
      <c r="D3195" s="6">
        <f t="shared" si="102"/>
        <v>-0.79199379664631198</v>
      </c>
      <c r="E3195" s="6">
        <v>-4.6576618537484915E-4</v>
      </c>
      <c r="F3195" s="6"/>
      <c r="G3195" s="6">
        <v>3188</v>
      </c>
      <c r="H3195" s="6">
        <f t="shared" ca="1" si="103"/>
        <v>-2.1694618631599169E-3</v>
      </c>
    </row>
    <row r="3196" spans="2:8" x14ac:dyDescent="0.3">
      <c r="B3196" s="4">
        <v>39594</v>
      </c>
      <c r="C3196" s="7">
        <v>103.17</v>
      </c>
      <c r="D3196" s="6">
        <f t="shared" si="102"/>
        <v>-0.64224287398571323</v>
      </c>
      <c r="E3196" s="6">
        <v>-4.8440224762640147E-4</v>
      </c>
      <c r="F3196" s="6"/>
      <c r="G3196" s="6">
        <v>3189</v>
      </c>
      <c r="H3196" s="6">
        <f t="shared" ca="1" si="103"/>
        <v>1.7948775554775604E-2</v>
      </c>
    </row>
    <row r="3197" spans="2:8" x14ac:dyDescent="0.3">
      <c r="B3197" s="4">
        <v>40781</v>
      </c>
      <c r="C3197" s="7">
        <v>288.38</v>
      </c>
      <c r="D3197" s="6">
        <f t="shared" si="102"/>
        <v>13.23395853899309</v>
      </c>
      <c r="E3197" s="6">
        <v>-4.8523499237483142E-4</v>
      </c>
      <c r="F3197" s="6"/>
      <c r="G3197" s="6">
        <v>3190</v>
      </c>
      <c r="H3197" s="6">
        <f t="shared" ca="1" si="103"/>
        <v>2.9407335795630556E-3</v>
      </c>
    </row>
    <row r="3198" spans="2:8" x14ac:dyDescent="0.3">
      <c r="B3198" s="4">
        <v>37817</v>
      </c>
      <c r="C3198" s="7">
        <v>20.260000000000002</v>
      </c>
      <c r="D3198" s="6">
        <f t="shared" si="102"/>
        <v>-0.92222648752399239</v>
      </c>
      <c r="E3198" s="6">
        <v>-4.933399111987178E-4</v>
      </c>
      <c r="F3198" s="6"/>
      <c r="G3198" s="6">
        <v>3191</v>
      </c>
      <c r="H3198" s="6">
        <f t="shared" ca="1" si="103"/>
        <v>1.1592233773528636E-2</v>
      </c>
    </row>
    <row r="3199" spans="2:8" x14ac:dyDescent="0.3">
      <c r="B3199" s="4">
        <v>40876</v>
      </c>
      <c r="C3199" s="7">
        <v>260.5</v>
      </c>
      <c r="D3199" s="6">
        <f t="shared" si="102"/>
        <v>0.18188829907898918</v>
      </c>
      <c r="E3199" s="6">
        <v>-4.987913900932182E-4</v>
      </c>
      <c r="F3199" s="6"/>
      <c r="G3199" s="6">
        <v>3192</v>
      </c>
      <c r="H3199" s="6">
        <f t="shared" ca="1" si="103"/>
        <v>-1.3058403438090635E-2</v>
      </c>
    </row>
    <row r="3200" spans="2:8" x14ac:dyDescent="0.3">
      <c r="B3200" s="4">
        <v>40382</v>
      </c>
      <c r="C3200" s="7">
        <v>220.41</v>
      </c>
      <c r="D3200" s="6">
        <f t="shared" si="102"/>
        <v>-0.47053736577866395</v>
      </c>
      <c r="E3200" s="6">
        <v>-4.9882096861968823E-4</v>
      </c>
      <c r="F3200" s="6"/>
      <c r="G3200" s="6">
        <v>3193</v>
      </c>
      <c r="H3200" s="6">
        <f t="shared" ca="1" si="103"/>
        <v>-6.5720655406841886E-3</v>
      </c>
    </row>
    <row r="3201" spans="2:8" x14ac:dyDescent="0.3">
      <c r="B3201" s="4">
        <v>41386</v>
      </c>
      <c r="C3201" s="7">
        <v>416.29</v>
      </c>
      <c r="D3201" s="6">
        <f t="shared" si="102"/>
        <v>0.51422231922013673</v>
      </c>
      <c r="E3201" s="6">
        <v>-5.0420168067221978E-4</v>
      </c>
      <c r="F3201" s="6"/>
      <c r="G3201" s="6">
        <v>3194</v>
      </c>
      <c r="H3201" s="6">
        <f t="shared" ca="1" si="103"/>
        <v>8.4913230726334794E-3</v>
      </c>
    </row>
    <row r="3202" spans="2:8" x14ac:dyDescent="0.3">
      <c r="B3202" s="4">
        <v>40746</v>
      </c>
      <c r="C3202" s="7">
        <v>274.92</v>
      </c>
      <c r="D3202" s="6">
        <f t="shared" si="102"/>
        <v>-0.78711805609329266</v>
      </c>
      <c r="E3202" s="6">
        <v>-5.0897985893981804E-4</v>
      </c>
      <c r="F3202" s="6"/>
      <c r="G3202" s="6">
        <v>3195</v>
      </c>
      <c r="H3202" s="6">
        <f t="shared" ca="1" si="103"/>
        <v>-1.2456573142668161E-2</v>
      </c>
    </row>
    <row r="3203" spans="2:8" x14ac:dyDescent="0.3">
      <c r="B3203" s="4">
        <v>43608</v>
      </c>
      <c r="C3203" s="5">
        <v>1291.42</v>
      </c>
      <c r="D3203" s="6">
        <f t="shared" si="102"/>
        <v>12.258932238193017</v>
      </c>
      <c r="E3203" s="6">
        <v>-5.1080428456431071E-4</v>
      </c>
      <c r="F3203" s="6"/>
      <c r="G3203" s="6">
        <v>3196</v>
      </c>
      <c r="H3203" s="6">
        <f t="shared" ca="1" si="103"/>
        <v>-1.6984814269897897E-2</v>
      </c>
    </row>
    <row r="3204" spans="2:8" x14ac:dyDescent="0.3">
      <c r="B3204" s="4">
        <v>39533</v>
      </c>
      <c r="C3204" s="7">
        <v>97.4</v>
      </c>
      <c r="D3204" s="6">
        <f t="shared" si="102"/>
        <v>-0.9671625990769116</v>
      </c>
      <c r="E3204" s="6">
        <v>-5.1308363263208984E-4</v>
      </c>
      <c r="F3204" s="6"/>
      <c r="G3204" s="6">
        <v>3197</v>
      </c>
      <c r="H3204" s="6">
        <f t="shared" ca="1" si="103"/>
        <v>1.9965143746938321E-2</v>
      </c>
    </row>
    <row r="3205" spans="2:8" x14ac:dyDescent="0.3">
      <c r="B3205" s="4">
        <v>44651</v>
      </c>
      <c r="C3205" s="5">
        <v>2966.13</v>
      </c>
      <c r="D3205" s="6">
        <f t="shared" si="102"/>
        <v>1.7501089425617731</v>
      </c>
      <c r="E3205" s="6">
        <v>-5.1892562178408098E-4</v>
      </c>
      <c r="F3205" s="6"/>
      <c r="G3205" s="6">
        <v>3198</v>
      </c>
      <c r="H3205" s="6">
        <f t="shared" ca="1" si="103"/>
        <v>-2.0556415617158416E-2</v>
      </c>
    </row>
    <row r="3206" spans="2:8" x14ac:dyDescent="0.3">
      <c r="B3206" s="4">
        <v>43125</v>
      </c>
      <c r="C3206" s="5">
        <v>1078.55</v>
      </c>
      <c r="D3206" s="6">
        <f t="shared" si="102"/>
        <v>-0.66724976244246181</v>
      </c>
      <c r="E3206" s="6">
        <v>-5.1894616860185291E-4</v>
      </c>
      <c r="F3206" s="6"/>
      <c r="G3206" s="6">
        <v>3199</v>
      </c>
      <c r="H3206" s="6">
        <f t="shared" ca="1" si="103"/>
        <v>-9.5089879716584707E-3</v>
      </c>
    </row>
    <row r="3207" spans="2:8" x14ac:dyDescent="0.3">
      <c r="B3207" s="4">
        <v>44560</v>
      </c>
      <c r="C3207" s="5">
        <v>3241.32</v>
      </c>
      <c r="D3207" s="6">
        <f t="shared" si="102"/>
        <v>3.2641653401391868</v>
      </c>
      <c r="E3207" s="6">
        <v>-5.2112081060497943E-4</v>
      </c>
      <c r="F3207" s="6"/>
      <c r="G3207" s="6">
        <v>3200</v>
      </c>
      <c r="H3207" s="6">
        <f t="shared" ca="1" si="103"/>
        <v>7.2738312901443408E-4</v>
      </c>
    </row>
    <row r="3208" spans="2:8" x14ac:dyDescent="0.3">
      <c r="B3208" s="4">
        <v>42080</v>
      </c>
      <c r="C3208" s="7">
        <v>760.13</v>
      </c>
      <c r="D3208" s="6">
        <f t="shared" ref="D3208:D3271" si="104">((C3208-C3209)/C3209)</f>
        <v>40.333877107123435</v>
      </c>
      <c r="E3208" s="6">
        <v>-5.390906461198204E-4</v>
      </c>
      <c r="F3208" s="6"/>
      <c r="G3208" s="6">
        <v>3201</v>
      </c>
      <c r="H3208" s="6">
        <f t="shared" ca="1" si="103"/>
        <v>-1.8149598027873807E-2</v>
      </c>
    </row>
    <row r="3209" spans="2:8" x14ac:dyDescent="0.3">
      <c r="B3209" s="4">
        <v>37760</v>
      </c>
      <c r="C3209" s="7">
        <v>18.39</v>
      </c>
      <c r="D3209" s="6">
        <f t="shared" si="104"/>
        <v>-0.94426090382808481</v>
      </c>
      <c r="E3209" s="6">
        <v>-5.4347826086945713E-4</v>
      </c>
      <c r="F3209" s="6"/>
      <c r="G3209" s="6">
        <v>3202</v>
      </c>
      <c r="H3209" s="6">
        <f t="shared" ref="H3209:H3272" ca="1" si="105">_xlfn.NORM.INV(RAND(),N$10,N$11)</f>
        <v>3.7338020513448559E-3</v>
      </c>
    </row>
    <row r="3210" spans="2:8" x14ac:dyDescent="0.3">
      <c r="B3210" s="4">
        <v>41143</v>
      </c>
      <c r="C3210" s="7">
        <v>329.93</v>
      </c>
      <c r="D3210" s="6">
        <f t="shared" si="104"/>
        <v>0.17371042333689071</v>
      </c>
      <c r="E3210" s="6">
        <v>-5.4527278785861328E-4</v>
      </c>
      <c r="F3210" s="6"/>
      <c r="G3210" s="6">
        <v>3203</v>
      </c>
      <c r="H3210" s="6">
        <f t="shared" ca="1" si="105"/>
        <v>1.3338033436323544E-2</v>
      </c>
    </row>
    <row r="3211" spans="2:8" x14ac:dyDescent="0.3">
      <c r="B3211" s="4">
        <v>40702</v>
      </c>
      <c r="C3211" s="7">
        <v>281.10000000000002</v>
      </c>
      <c r="D3211" s="6">
        <f t="shared" si="104"/>
        <v>-0.76890255432146459</v>
      </c>
      <c r="E3211" s="6">
        <v>-5.6886866244744427E-4</v>
      </c>
      <c r="F3211" s="6"/>
      <c r="G3211" s="6">
        <v>3204</v>
      </c>
      <c r="H3211" s="6">
        <f t="shared" ca="1" si="105"/>
        <v>3.3494710181136726E-3</v>
      </c>
    </row>
    <row r="3212" spans="2:8" x14ac:dyDescent="0.3">
      <c r="B3212" s="4">
        <v>43362</v>
      </c>
      <c r="C3212" s="5">
        <v>1216.3699999999999</v>
      </c>
      <c r="D3212" s="6">
        <f t="shared" si="104"/>
        <v>16.524420112375736</v>
      </c>
      <c r="E3212" s="6">
        <v>-5.7515179899270011E-4</v>
      </c>
      <c r="F3212" s="6"/>
      <c r="G3212" s="6">
        <v>3205</v>
      </c>
      <c r="H3212" s="6">
        <f t="shared" ca="1" si="105"/>
        <v>-1.3439106724865931E-4</v>
      </c>
    </row>
    <row r="3213" spans="2:8" x14ac:dyDescent="0.3">
      <c r="B3213" s="4">
        <v>39261</v>
      </c>
      <c r="C3213" s="7">
        <v>69.41</v>
      </c>
      <c r="D3213" s="6">
        <f t="shared" si="104"/>
        <v>-0.68703219406619176</v>
      </c>
      <c r="E3213" s="6">
        <v>-5.7595392368619516E-4</v>
      </c>
      <c r="F3213" s="6"/>
      <c r="G3213" s="6">
        <v>3206</v>
      </c>
      <c r="H3213" s="6">
        <f t="shared" ca="1" si="105"/>
        <v>-1.3317160363904845E-2</v>
      </c>
    </row>
    <row r="3214" spans="2:8" x14ac:dyDescent="0.3">
      <c r="B3214" s="4">
        <v>40616</v>
      </c>
      <c r="C3214" s="7">
        <v>221.78</v>
      </c>
      <c r="D3214" s="6">
        <f t="shared" si="104"/>
        <v>12.224806201550388</v>
      </c>
      <c r="E3214" s="6">
        <v>-5.8582308142938783E-4</v>
      </c>
      <c r="F3214" s="6"/>
      <c r="G3214" s="6">
        <v>3207</v>
      </c>
      <c r="H3214" s="6">
        <f t="shared" ca="1" si="105"/>
        <v>7.3103376740907399E-3</v>
      </c>
    </row>
    <row r="3215" spans="2:8" x14ac:dyDescent="0.3">
      <c r="B3215" s="4">
        <v>37539</v>
      </c>
      <c r="C3215" s="7">
        <v>16.77</v>
      </c>
      <c r="D3215" s="6">
        <f t="shared" si="104"/>
        <v>-0.98453608247422686</v>
      </c>
      <c r="E3215" s="6">
        <v>-5.9594755661511098E-4</v>
      </c>
      <c r="F3215" s="6"/>
      <c r="G3215" s="6">
        <v>3208</v>
      </c>
      <c r="H3215" s="6">
        <f t="shared" ca="1" si="105"/>
        <v>-6.3011553699661546E-4</v>
      </c>
    </row>
    <row r="3216" spans="2:8" x14ac:dyDescent="0.3">
      <c r="B3216" s="4">
        <v>43200</v>
      </c>
      <c r="C3216" s="5">
        <v>1084.46</v>
      </c>
      <c r="D3216" s="6">
        <f t="shared" si="104"/>
        <v>9.8870595321754848</v>
      </c>
      <c r="E3216" s="6">
        <v>-5.9901761111764117E-4</v>
      </c>
      <c r="F3216" s="6"/>
      <c r="G3216" s="6">
        <v>3209</v>
      </c>
      <c r="H3216" s="6">
        <f t="shared" ca="1" si="105"/>
        <v>7.9009554480132423E-3</v>
      </c>
    </row>
    <row r="3217" spans="2:8" x14ac:dyDescent="0.3">
      <c r="B3217" s="4">
        <v>39545</v>
      </c>
      <c r="C3217" s="7">
        <v>99.61</v>
      </c>
      <c r="D3217" s="6">
        <f t="shared" si="104"/>
        <v>-0.96639735523807913</v>
      </c>
      <c r="E3217" s="6">
        <v>-6.0198655563361366E-4</v>
      </c>
      <c r="F3217" s="6"/>
      <c r="G3217" s="6">
        <v>3210</v>
      </c>
      <c r="H3217" s="6">
        <f t="shared" ca="1" si="105"/>
        <v>1.1633686291484171E-2</v>
      </c>
    </row>
    <row r="3218" spans="2:8" x14ac:dyDescent="0.3">
      <c r="B3218" s="4">
        <v>44921</v>
      </c>
      <c r="C3218" s="5">
        <v>2964.35</v>
      </c>
      <c r="D3218" s="6">
        <f t="shared" si="104"/>
        <v>6.8165541609534852</v>
      </c>
      <c r="E3218" s="6">
        <v>-6.0347792079941062E-4</v>
      </c>
      <c r="F3218" s="6"/>
      <c r="G3218" s="6">
        <v>3211</v>
      </c>
      <c r="H3218" s="6">
        <f t="shared" ca="1" si="105"/>
        <v>5.4743899546649301E-4</v>
      </c>
    </row>
    <row r="3219" spans="2:8" x14ac:dyDescent="0.3">
      <c r="B3219" s="4">
        <v>41509</v>
      </c>
      <c r="C3219" s="7">
        <v>379.24</v>
      </c>
      <c r="D3219" s="6">
        <f t="shared" si="104"/>
        <v>22.068126520681265</v>
      </c>
      <c r="E3219" s="6">
        <v>-6.0610851977763245E-4</v>
      </c>
      <c r="F3219" s="6"/>
      <c r="G3219" s="6">
        <v>3212</v>
      </c>
      <c r="H3219" s="6">
        <f t="shared" ca="1" si="105"/>
        <v>2.5908543061434086E-2</v>
      </c>
    </row>
    <row r="3220" spans="2:8" x14ac:dyDescent="0.3">
      <c r="B3220" s="4">
        <v>37629</v>
      </c>
      <c r="C3220" s="7">
        <v>16.440000000000001</v>
      </c>
      <c r="D3220" s="6">
        <f t="shared" si="104"/>
        <v>3.6630036630038022E-3</v>
      </c>
      <c r="E3220" s="6">
        <v>-6.0790273556218907E-4</v>
      </c>
      <c r="F3220" s="6"/>
      <c r="G3220" s="6">
        <v>3213</v>
      </c>
      <c r="H3220" s="6">
        <f t="shared" ca="1" si="105"/>
        <v>2.3309236448473908E-2</v>
      </c>
    </row>
    <row r="3221" spans="2:8" x14ac:dyDescent="0.3">
      <c r="B3221" s="4">
        <v>37714</v>
      </c>
      <c r="C3221" s="7">
        <v>16.38</v>
      </c>
      <c r="D3221" s="6">
        <f t="shared" si="104"/>
        <v>7.9999999999999395E-3</v>
      </c>
      <c r="E3221" s="6">
        <v>-6.1012812690674578E-4</v>
      </c>
      <c r="F3221" s="6"/>
      <c r="G3221" s="6">
        <v>3214</v>
      </c>
      <c r="H3221" s="6">
        <f t="shared" ca="1" si="105"/>
        <v>1.6239306868273663E-2</v>
      </c>
    </row>
    <row r="3222" spans="2:8" x14ac:dyDescent="0.3">
      <c r="B3222" s="4">
        <v>37720</v>
      </c>
      <c r="C3222" s="7">
        <v>16.25</v>
      </c>
      <c r="D3222" s="6">
        <f t="shared" si="104"/>
        <v>3.7059913526867644E-3</v>
      </c>
      <c r="E3222" s="6">
        <v>-6.1500615006159669E-4</v>
      </c>
      <c r="F3222" s="6"/>
      <c r="G3222" s="6">
        <v>3215</v>
      </c>
      <c r="H3222" s="6">
        <f t="shared" ca="1" si="105"/>
        <v>-5.5305127923314752E-3</v>
      </c>
    </row>
    <row r="3223" spans="2:8" x14ac:dyDescent="0.3">
      <c r="B3223" s="4">
        <v>37474</v>
      </c>
      <c r="C3223" s="7">
        <v>16.190000000000001</v>
      </c>
      <c r="D3223" s="6">
        <f t="shared" si="104"/>
        <v>1.236858379715496E-3</v>
      </c>
      <c r="E3223" s="6">
        <v>-6.1728395061716121E-4</v>
      </c>
      <c r="F3223" s="6"/>
      <c r="G3223" s="6">
        <v>3216</v>
      </c>
      <c r="H3223" s="6">
        <f t="shared" ca="1" si="105"/>
        <v>1.3141783875463582E-2</v>
      </c>
    </row>
    <row r="3224" spans="2:8" x14ac:dyDescent="0.3">
      <c r="B3224" s="4">
        <v>37620</v>
      </c>
      <c r="C3224" s="7">
        <v>16.170000000000002</v>
      </c>
      <c r="D3224" s="6">
        <f t="shared" si="104"/>
        <v>6.1881188118821553E-4</v>
      </c>
      <c r="E3224" s="6">
        <v>-6.1804697156971631E-4</v>
      </c>
      <c r="F3224" s="6"/>
      <c r="G3224" s="6">
        <v>3217</v>
      </c>
      <c r="H3224" s="6">
        <f t="shared" ca="1" si="105"/>
        <v>5.9257888544339693E-3</v>
      </c>
    </row>
    <row r="3225" spans="2:8" x14ac:dyDescent="0.3">
      <c r="B3225" s="4">
        <v>37621</v>
      </c>
      <c r="C3225" s="7">
        <v>16.16</v>
      </c>
      <c r="D3225" s="6">
        <f t="shared" si="104"/>
        <v>-0.92853036132855693</v>
      </c>
      <c r="E3225" s="6">
        <v>-6.1842918985785793E-4</v>
      </c>
      <c r="F3225" s="6"/>
      <c r="G3225" s="6">
        <v>3218</v>
      </c>
      <c r="H3225" s="6">
        <f t="shared" ca="1" si="105"/>
        <v>-6.1949873467959998E-3</v>
      </c>
    </row>
    <row r="3226" spans="2:8" x14ac:dyDescent="0.3">
      <c r="B3226" s="4">
        <v>40574</v>
      </c>
      <c r="C3226" s="7">
        <v>226.11</v>
      </c>
      <c r="D3226" s="6">
        <f t="shared" si="104"/>
        <v>-0.92132567849686842</v>
      </c>
      <c r="E3226" s="6">
        <v>-6.1878453038668004E-4</v>
      </c>
      <c r="F3226" s="6"/>
      <c r="G3226" s="6">
        <v>3219</v>
      </c>
      <c r="H3226" s="6">
        <f t="shared" ca="1" si="105"/>
        <v>-2.3139692358360157E-2</v>
      </c>
    </row>
    <row r="3227" spans="2:8" x14ac:dyDescent="0.3">
      <c r="B3227" s="4">
        <v>45987</v>
      </c>
      <c r="C3227" s="5">
        <v>2874</v>
      </c>
      <c r="D3227" s="6">
        <f t="shared" si="104"/>
        <v>179.1880877742947</v>
      </c>
      <c r="E3227" s="6">
        <v>-6.259127894847283E-4</v>
      </c>
      <c r="F3227" s="6"/>
      <c r="G3227" s="6">
        <v>3220</v>
      </c>
      <c r="H3227" s="6">
        <f t="shared" ca="1" si="105"/>
        <v>-4.8574880270220704E-3</v>
      </c>
    </row>
    <row r="3228" spans="2:8" x14ac:dyDescent="0.3">
      <c r="B3228" s="4">
        <v>37470</v>
      </c>
      <c r="C3228" s="7">
        <v>15.95</v>
      </c>
      <c r="D3228" s="6">
        <f t="shared" si="104"/>
        <v>-0.74261739551395833</v>
      </c>
      <c r="E3228" s="6">
        <v>-6.2656641604019812E-4</v>
      </c>
      <c r="F3228" s="6"/>
      <c r="G3228" s="6">
        <v>3221</v>
      </c>
      <c r="H3228" s="6">
        <f t="shared" ca="1" si="105"/>
        <v>-1.8623238992825451E-2</v>
      </c>
    </row>
    <row r="3229" spans="2:8" x14ac:dyDescent="0.3">
      <c r="B3229" s="4">
        <v>39087</v>
      </c>
      <c r="C3229" s="7">
        <v>61.97</v>
      </c>
      <c r="D3229" s="6">
        <f t="shared" si="104"/>
        <v>1.008101101749838</v>
      </c>
      <c r="E3229" s="6">
        <v>-6.4505724883081998E-4</v>
      </c>
      <c r="F3229" s="6"/>
      <c r="G3229" s="6">
        <v>3222</v>
      </c>
      <c r="H3229" s="6">
        <f t="shared" ca="1" si="105"/>
        <v>-1.6125254715409293E-2</v>
      </c>
    </row>
    <row r="3230" spans="2:8" x14ac:dyDescent="0.3">
      <c r="B3230" s="4">
        <v>38509</v>
      </c>
      <c r="C3230" s="7">
        <v>30.86</v>
      </c>
      <c r="D3230" s="6">
        <f t="shared" si="104"/>
        <v>-0.8883017228898219</v>
      </c>
      <c r="E3230" s="6">
        <v>-6.4766839378236967E-4</v>
      </c>
      <c r="F3230" s="6"/>
      <c r="G3230" s="6">
        <v>3223</v>
      </c>
      <c r="H3230" s="6">
        <f t="shared" ca="1" si="105"/>
        <v>-2.0936538064501745E-2</v>
      </c>
    </row>
    <row r="3231" spans="2:8" x14ac:dyDescent="0.3">
      <c r="B3231" s="4">
        <v>40801</v>
      </c>
      <c r="C3231" s="7">
        <v>276.27999999999997</v>
      </c>
      <c r="D3231" s="6">
        <f t="shared" si="104"/>
        <v>-0.63900067945434591</v>
      </c>
      <c r="E3231" s="6">
        <v>-6.5108876510166689E-4</v>
      </c>
      <c r="F3231" s="6"/>
      <c r="G3231" s="6">
        <v>3224</v>
      </c>
      <c r="H3231" s="6">
        <f t="shared" ca="1" si="105"/>
        <v>2.8038733658575642E-2</v>
      </c>
    </row>
    <row r="3232" spans="2:8" x14ac:dyDescent="0.3">
      <c r="B3232" s="4">
        <v>42310</v>
      </c>
      <c r="C3232" s="7">
        <v>765.32</v>
      </c>
      <c r="D3232" s="6">
        <f t="shared" si="104"/>
        <v>4.0214552850862813</v>
      </c>
      <c r="E3232" s="6">
        <v>-6.5289493614687519E-4</v>
      </c>
      <c r="F3232" s="6"/>
      <c r="G3232" s="6">
        <v>3225</v>
      </c>
      <c r="H3232" s="6">
        <f t="shared" ca="1" si="105"/>
        <v>-5.2157276206053526E-3</v>
      </c>
    </row>
    <row r="3233" spans="2:8" x14ac:dyDescent="0.3">
      <c r="B3233" s="4">
        <v>40171</v>
      </c>
      <c r="C3233" s="7">
        <v>152.41</v>
      </c>
      <c r="D3233" s="6">
        <f t="shared" si="104"/>
        <v>4.0922151687270292</v>
      </c>
      <c r="E3233" s="6">
        <v>-6.5569470854366478E-4</v>
      </c>
      <c r="F3233" s="6"/>
      <c r="G3233" s="6">
        <v>3226</v>
      </c>
      <c r="H3233" s="6">
        <f t="shared" ca="1" si="105"/>
        <v>-3.3762952250922185E-2</v>
      </c>
    </row>
    <row r="3234" spans="2:8" x14ac:dyDescent="0.3">
      <c r="B3234" s="4">
        <v>38481</v>
      </c>
      <c r="C3234" s="7">
        <v>29.93</v>
      </c>
      <c r="D3234" s="6">
        <f t="shared" si="104"/>
        <v>-0.97289194819309843</v>
      </c>
      <c r="E3234" s="6">
        <v>-6.677796327211878E-4</v>
      </c>
      <c r="F3234" s="6"/>
      <c r="G3234" s="6">
        <v>3227</v>
      </c>
      <c r="H3234" s="6">
        <f t="shared" ca="1" si="105"/>
        <v>1.1992990821018503E-2</v>
      </c>
    </row>
    <row r="3235" spans="2:8" x14ac:dyDescent="0.3">
      <c r="B3235" s="4">
        <v>42636</v>
      </c>
      <c r="C3235" s="5">
        <v>1104.0999999999999</v>
      </c>
      <c r="D3235" s="6">
        <f t="shared" si="104"/>
        <v>0.23429325224701508</v>
      </c>
      <c r="E3235" s="6">
        <v>-6.6978023967272104E-4</v>
      </c>
      <c r="F3235" s="6"/>
      <c r="G3235" s="6">
        <v>3228</v>
      </c>
      <c r="H3235" s="6">
        <f t="shared" ca="1" si="105"/>
        <v>3.1376899238706344E-3</v>
      </c>
    </row>
    <row r="3236" spans="2:8" x14ac:dyDescent="0.3">
      <c r="B3236" s="4">
        <v>42754</v>
      </c>
      <c r="C3236" s="7">
        <v>894.52</v>
      </c>
      <c r="D3236" s="6">
        <f t="shared" si="104"/>
        <v>14.079568442346593</v>
      </c>
      <c r="E3236" s="6">
        <v>-6.7030118866746662E-4</v>
      </c>
      <c r="F3236" s="6"/>
      <c r="G3236" s="6">
        <v>3229</v>
      </c>
      <c r="H3236" s="6">
        <f t="shared" ca="1" si="105"/>
        <v>3.9573532609099666E-3</v>
      </c>
    </row>
    <row r="3237" spans="2:8" x14ac:dyDescent="0.3">
      <c r="B3237" s="4">
        <v>39077</v>
      </c>
      <c r="C3237" s="7">
        <v>59.32</v>
      </c>
      <c r="D3237" s="6">
        <f t="shared" si="104"/>
        <v>-0.4983085250338295</v>
      </c>
      <c r="E3237" s="6">
        <v>-6.7385444743933872E-4</v>
      </c>
      <c r="F3237" s="6"/>
      <c r="G3237" s="6">
        <v>3230</v>
      </c>
      <c r="H3237" s="6">
        <f t="shared" ca="1" si="105"/>
        <v>9.1639676071719484E-3</v>
      </c>
    </row>
    <row r="3238" spans="2:8" x14ac:dyDescent="0.3">
      <c r="B3238" s="4">
        <v>40052</v>
      </c>
      <c r="C3238" s="7">
        <v>118.24</v>
      </c>
      <c r="D3238" s="6">
        <f t="shared" si="104"/>
        <v>-0.89039165701042877</v>
      </c>
      <c r="E3238" s="6">
        <v>-6.7613252197429264E-4</v>
      </c>
      <c r="F3238" s="6"/>
      <c r="G3238" s="6">
        <v>3231</v>
      </c>
      <c r="H3238" s="6">
        <f t="shared" ca="1" si="105"/>
        <v>9.6423146152175131E-3</v>
      </c>
    </row>
    <row r="3239" spans="2:8" x14ac:dyDescent="0.3">
      <c r="B3239" s="4">
        <v>43013</v>
      </c>
      <c r="C3239" s="5">
        <v>1078.75</v>
      </c>
      <c r="D3239" s="6">
        <f t="shared" si="104"/>
        <v>-0.62107241336916241</v>
      </c>
      <c r="E3239" s="6">
        <v>-6.9476609541454376E-4</v>
      </c>
      <c r="F3239" s="6"/>
      <c r="G3239" s="6">
        <v>3232</v>
      </c>
      <c r="H3239" s="6">
        <f t="shared" ca="1" si="105"/>
        <v>-6.1313247896631973E-3</v>
      </c>
    </row>
    <row r="3240" spans="2:8" x14ac:dyDescent="0.3">
      <c r="B3240" s="4">
        <v>44756</v>
      </c>
      <c r="C3240" s="5">
        <v>2846.85</v>
      </c>
      <c r="D3240" s="6">
        <f t="shared" si="104"/>
        <v>13.300030138637732</v>
      </c>
      <c r="E3240" s="6">
        <v>-6.95022166994878E-4</v>
      </c>
      <c r="F3240" s="6"/>
      <c r="G3240" s="6">
        <v>3233</v>
      </c>
      <c r="H3240" s="6">
        <f t="shared" ca="1" si="105"/>
        <v>-1.9228679048355856E-3</v>
      </c>
    </row>
    <row r="3241" spans="2:8" x14ac:dyDescent="0.3">
      <c r="B3241" s="4">
        <v>40344</v>
      </c>
      <c r="C3241" s="7">
        <v>199.08</v>
      </c>
      <c r="D3241" s="6">
        <f t="shared" si="104"/>
        <v>-0.93720963239816435</v>
      </c>
      <c r="E3241" s="6">
        <v>-7.0274068868580639E-4</v>
      </c>
      <c r="F3241" s="6"/>
      <c r="G3241" s="6">
        <v>3234</v>
      </c>
      <c r="H3241" s="6">
        <f t="shared" ca="1" si="105"/>
        <v>-2.1304830611787343E-2</v>
      </c>
    </row>
    <row r="3242" spans="2:8" x14ac:dyDescent="0.3">
      <c r="B3242" s="4">
        <v>45274</v>
      </c>
      <c r="C3242" s="5">
        <v>3170.55</v>
      </c>
      <c r="D3242" s="6">
        <f t="shared" si="104"/>
        <v>11.645780153158904</v>
      </c>
      <c r="E3242" s="6">
        <v>-7.0915279878971255E-4</v>
      </c>
      <c r="F3242" s="6"/>
      <c r="G3242" s="6">
        <v>3235</v>
      </c>
      <c r="H3242" s="6">
        <f t="shared" ca="1" si="105"/>
        <v>6.8808799641300079E-3</v>
      </c>
    </row>
    <row r="3243" spans="2:8" x14ac:dyDescent="0.3">
      <c r="B3243" s="4">
        <v>40889</v>
      </c>
      <c r="C3243" s="7">
        <v>250.72</v>
      </c>
      <c r="D3243" s="6">
        <f t="shared" si="104"/>
        <v>0.1307955980515966</v>
      </c>
      <c r="E3243" s="6">
        <v>-7.1741729772820573E-4</v>
      </c>
      <c r="F3243" s="6"/>
      <c r="G3243" s="6">
        <v>3236</v>
      </c>
      <c r="H3243" s="6">
        <f t="shared" ca="1" si="105"/>
        <v>3.4933720264771675E-3</v>
      </c>
    </row>
    <row r="3244" spans="2:8" x14ac:dyDescent="0.3">
      <c r="B3244" s="4">
        <v>40630</v>
      </c>
      <c r="C3244" s="7">
        <v>221.72</v>
      </c>
      <c r="D3244" s="6">
        <f t="shared" si="104"/>
        <v>-0.92513455655427179</v>
      </c>
      <c r="E3244" s="6">
        <v>-7.2111051018567058E-4</v>
      </c>
      <c r="F3244" s="6"/>
      <c r="G3244" s="6">
        <v>3237</v>
      </c>
      <c r="H3244" s="6">
        <f t="shared" ca="1" si="105"/>
        <v>2.1432254499445011E-2</v>
      </c>
    </row>
    <row r="3245" spans="2:8" x14ac:dyDescent="0.3">
      <c r="B3245" s="4">
        <v>44879</v>
      </c>
      <c r="C3245" s="5">
        <v>2961.58</v>
      </c>
      <c r="D3245" s="6">
        <f t="shared" si="104"/>
        <v>53.311021456079217</v>
      </c>
      <c r="E3245" s="6">
        <v>-7.2206551226157423E-4</v>
      </c>
      <c r="F3245" s="6"/>
      <c r="G3245" s="6">
        <v>3238</v>
      </c>
      <c r="H3245" s="6">
        <f t="shared" ca="1" si="105"/>
        <v>2.1461669164183798E-2</v>
      </c>
    </row>
    <row r="3246" spans="2:8" x14ac:dyDescent="0.3">
      <c r="B3246" s="4">
        <v>39003</v>
      </c>
      <c r="C3246" s="7">
        <v>54.53</v>
      </c>
      <c r="D3246" s="6">
        <f t="shared" si="104"/>
        <v>0</v>
      </c>
      <c r="E3246" s="6">
        <v>-7.3300348176652281E-4</v>
      </c>
      <c r="F3246" s="6"/>
      <c r="G3246" s="6">
        <v>3239</v>
      </c>
      <c r="H3246" s="6">
        <f t="shared" ca="1" si="105"/>
        <v>-3.421442455444796E-2</v>
      </c>
    </row>
    <row r="3247" spans="2:8" x14ac:dyDescent="0.3">
      <c r="B3247" s="4">
        <v>38764</v>
      </c>
      <c r="C3247" s="7">
        <v>54.53</v>
      </c>
      <c r="D3247" s="6">
        <f t="shared" si="104"/>
        <v>-0.957722127461622</v>
      </c>
      <c r="E3247" s="6">
        <v>-7.3300348176652281E-4</v>
      </c>
      <c r="F3247" s="6"/>
      <c r="G3247" s="6">
        <v>3240</v>
      </c>
      <c r="H3247" s="6">
        <f t="shared" ca="1" si="105"/>
        <v>1.0783334838546637E-3</v>
      </c>
    </row>
    <row r="3248" spans="2:8" x14ac:dyDescent="0.3">
      <c r="B3248" s="4">
        <v>43651</v>
      </c>
      <c r="C3248" s="5">
        <v>1289.8</v>
      </c>
      <c r="D3248" s="6">
        <f t="shared" si="104"/>
        <v>0.20481252452033552</v>
      </c>
      <c r="E3248" s="6">
        <v>-7.3600619794696534E-4</v>
      </c>
      <c r="F3248" s="6"/>
      <c r="G3248" s="6">
        <v>3241</v>
      </c>
      <c r="H3248" s="6">
        <f t="shared" ca="1" si="105"/>
        <v>1.2173705060817153E-2</v>
      </c>
    </row>
    <row r="3249" spans="2:8" x14ac:dyDescent="0.3">
      <c r="B3249" s="4">
        <v>43103</v>
      </c>
      <c r="C3249" s="5">
        <v>1070.54</v>
      </c>
      <c r="D3249" s="6">
        <f t="shared" si="104"/>
        <v>14.848112509252406</v>
      </c>
      <c r="E3249" s="6">
        <v>-7.3740117424132964E-4</v>
      </c>
      <c r="F3249" s="6"/>
      <c r="G3249" s="6">
        <v>3242</v>
      </c>
      <c r="H3249" s="6">
        <f t="shared" ca="1" si="105"/>
        <v>2.4679085163123681E-2</v>
      </c>
    </row>
    <row r="3250" spans="2:8" x14ac:dyDescent="0.3">
      <c r="B3250" s="4">
        <v>39869</v>
      </c>
      <c r="C3250" s="7">
        <v>67.55</v>
      </c>
      <c r="D3250" s="6">
        <f t="shared" si="104"/>
        <v>-0.97662128207435495</v>
      </c>
      <c r="E3250" s="6">
        <v>-7.3964497041415921E-4</v>
      </c>
      <c r="F3250" s="6"/>
      <c r="G3250" s="6">
        <v>3243</v>
      </c>
      <c r="H3250" s="6">
        <f t="shared" ca="1" si="105"/>
        <v>-2.3973389846428331E-3</v>
      </c>
    </row>
    <row r="3251" spans="2:8" x14ac:dyDescent="0.3">
      <c r="B3251" s="4">
        <v>45475</v>
      </c>
      <c r="C3251" s="5">
        <v>2889.38</v>
      </c>
      <c r="D3251" s="6">
        <f t="shared" si="104"/>
        <v>6.0804254067829842</v>
      </c>
      <c r="E3251" s="6">
        <v>-7.5391830015626043E-4</v>
      </c>
      <c r="F3251" s="6"/>
      <c r="G3251" s="6">
        <v>3244</v>
      </c>
      <c r="H3251" s="6">
        <f t="shared" ca="1" si="105"/>
        <v>1.9395604789461496E-2</v>
      </c>
    </row>
    <row r="3252" spans="2:8" x14ac:dyDescent="0.3">
      <c r="B3252" s="4">
        <v>41325</v>
      </c>
      <c r="C3252" s="7">
        <v>408.08</v>
      </c>
      <c r="D3252" s="6">
        <f t="shared" si="104"/>
        <v>-0.61015313774754731</v>
      </c>
      <c r="E3252" s="6">
        <v>-7.5907833198658704E-4</v>
      </c>
      <c r="F3252" s="6"/>
      <c r="G3252" s="6">
        <v>3245</v>
      </c>
      <c r="H3252" s="6">
        <f t="shared" ca="1" si="105"/>
        <v>-2.1634150142817374E-2</v>
      </c>
    </row>
    <row r="3253" spans="2:8" x14ac:dyDescent="0.3">
      <c r="B3253" s="4">
        <v>43082</v>
      </c>
      <c r="C3253" s="5">
        <v>1046.77</v>
      </c>
      <c r="D3253" s="6">
        <f t="shared" si="104"/>
        <v>25.964708912931478</v>
      </c>
      <c r="E3253" s="6">
        <v>-7.6367211737636109E-4</v>
      </c>
      <c r="F3253" s="6"/>
      <c r="G3253" s="6">
        <v>3246</v>
      </c>
      <c r="H3253" s="6">
        <f t="shared" ca="1" si="105"/>
        <v>7.4818731560531322E-3</v>
      </c>
    </row>
    <row r="3254" spans="2:8" x14ac:dyDescent="0.3">
      <c r="B3254" s="4">
        <v>38595</v>
      </c>
      <c r="C3254" s="7">
        <v>38.82</v>
      </c>
      <c r="D3254" s="6">
        <f t="shared" si="104"/>
        <v>0.51581413510347529</v>
      </c>
      <c r="E3254" s="6">
        <v>-7.7220077220080147E-4</v>
      </c>
      <c r="F3254" s="6"/>
      <c r="G3254" s="6">
        <v>3247</v>
      </c>
      <c r="H3254" s="6">
        <f t="shared" ca="1" si="105"/>
        <v>6.0754229475379661E-3</v>
      </c>
    </row>
    <row r="3255" spans="2:8" x14ac:dyDescent="0.3">
      <c r="B3255" s="4">
        <v>38331</v>
      </c>
      <c r="C3255" s="7">
        <v>25.61</v>
      </c>
      <c r="D3255" s="6">
        <f t="shared" si="104"/>
        <v>-0.99194694606560674</v>
      </c>
      <c r="E3255" s="6">
        <v>-7.8033554428402557E-4</v>
      </c>
      <c r="F3255" s="6"/>
      <c r="G3255" s="6">
        <v>3248</v>
      </c>
      <c r="H3255" s="6">
        <f t="shared" ca="1" si="105"/>
        <v>1.5048557007667942E-2</v>
      </c>
    </row>
    <row r="3256" spans="2:8" x14ac:dyDescent="0.3">
      <c r="B3256" s="4">
        <v>45181</v>
      </c>
      <c r="C3256" s="5">
        <v>3180.16</v>
      </c>
      <c r="D3256" s="6">
        <f t="shared" si="104"/>
        <v>12.849061533771719</v>
      </c>
      <c r="E3256" s="6">
        <v>-7.8236689551167626E-4</v>
      </c>
      <c r="F3256" s="6"/>
      <c r="G3256" s="6">
        <v>3249</v>
      </c>
      <c r="H3256" s="6">
        <f t="shared" ca="1" si="105"/>
        <v>-1.9689660092585451E-2</v>
      </c>
    </row>
    <row r="3257" spans="2:8" x14ac:dyDescent="0.3">
      <c r="B3257" s="4">
        <v>40910</v>
      </c>
      <c r="C3257" s="7">
        <v>229.63</v>
      </c>
      <c r="D3257" s="6">
        <f t="shared" si="104"/>
        <v>-0.78808796522734192</v>
      </c>
      <c r="E3257" s="6">
        <v>-7.8325573299685316E-4</v>
      </c>
      <c r="F3257" s="6"/>
      <c r="G3257" s="6">
        <v>3250</v>
      </c>
      <c r="H3257" s="6">
        <f t="shared" ca="1" si="105"/>
        <v>1.0514207400824439E-2</v>
      </c>
    </row>
    <row r="3258" spans="2:8" x14ac:dyDescent="0.3">
      <c r="B3258" s="4">
        <v>43201</v>
      </c>
      <c r="C3258" s="5">
        <v>1083.6099999999999</v>
      </c>
      <c r="D3258" s="6">
        <f t="shared" si="104"/>
        <v>-0.66534692604408274</v>
      </c>
      <c r="E3258" s="6">
        <v>-7.8380023237384171E-4</v>
      </c>
      <c r="F3258" s="6"/>
      <c r="G3258" s="6">
        <v>3251</v>
      </c>
      <c r="H3258" s="6">
        <f t="shared" ca="1" si="105"/>
        <v>-2.0962283453459296E-2</v>
      </c>
    </row>
    <row r="3259" spans="2:8" x14ac:dyDescent="0.3">
      <c r="B3259" s="4">
        <v>45098</v>
      </c>
      <c r="C3259" s="5">
        <v>3238.01</v>
      </c>
      <c r="D3259" s="6">
        <f t="shared" si="104"/>
        <v>2.0224207293737693</v>
      </c>
      <c r="E3259" s="6">
        <v>-7.8381756183362804E-4</v>
      </c>
      <c r="F3259" s="6"/>
      <c r="G3259" s="6">
        <v>3252</v>
      </c>
      <c r="H3259" s="6">
        <f t="shared" ca="1" si="105"/>
        <v>1.6169150628459069E-3</v>
      </c>
    </row>
    <row r="3260" spans="2:8" x14ac:dyDescent="0.3">
      <c r="B3260" s="4">
        <v>43102</v>
      </c>
      <c r="C3260" s="5">
        <v>1071.33</v>
      </c>
      <c r="D3260" s="6">
        <f t="shared" si="104"/>
        <v>6.1109119872560731</v>
      </c>
      <c r="E3260" s="6">
        <v>-7.9277733216450254E-4</v>
      </c>
      <c r="F3260" s="6"/>
      <c r="G3260" s="6">
        <v>3253</v>
      </c>
      <c r="H3260" s="6">
        <f t="shared" ca="1" si="105"/>
        <v>-1.2376851208031977E-2</v>
      </c>
    </row>
    <row r="3261" spans="2:8" x14ac:dyDescent="0.3">
      <c r="B3261" s="4">
        <v>40169</v>
      </c>
      <c r="C3261" s="7">
        <v>150.66</v>
      </c>
      <c r="D3261" s="6">
        <f t="shared" si="104"/>
        <v>5.0215827338129495</v>
      </c>
      <c r="E3261" s="6">
        <v>-7.9586152009553351E-4</v>
      </c>
      <c r="F3261" s="6"/>
      <c r="G3261" s="6">
        <v>3254</v>
      </c>
      <c r="H3261" s="6">
        <f t="shared" ca="1" si="105"/>
        <v>8.7467801003022483E-3</v>
      </c>
    </row>
    <row r="3262" spans="2:8" x14ac:dyDescent="0.3">
      <c r="B3262" s="4">
        <v>38365</v>
      </c>
      <c r="C3262" s="7">
        <v>25.02</v>
      </c>
      <c r="D3262" s="6">
        <f t="shared" si="104"/>
        <v>7.9999999999998291E-4</v>
      </c>
      <c r="E3262" s="6">
        <v>-7.9872204472841756E-4</v>
      </c>
      <c r="F3262" s="6"/>
      <c r="G3262" s="6">
        <v>3255</v>
      </c>
      <c r="H3262" s="6">
        <f t="shared" ca="1" si="105"/>
        <v>8.9536057232193732E-3</v>
      </c>
    </row>
    <row r="3263" spans="2:8" x14ac:dyDescent="0.3">
      <c r="B3263" s="4">
        <v>38212</v>
      </c>
      <c r="C3263" s="7">
        <v>25</v>
      </c>
      <c r="D3263" s="6">
        <f t="shared" si="104"/>
        <v>1.2014417300761368E-3</v>
      </c>
      <c r="E3263" s="6">
        <v>-7.9936051159071038E-4</v>
      </c>
      <c r="F3263" s="6"/>
      <c r="G3263" s="6">
        <v>3256</v>
      </c>
      <c r="H3263" s="6">
        <f t="shared" ca="1" si="105"/>
        <v>6.5017555530446783E-3</v>
      </c>
    </row>
    <row r="3264" spans="2:8" x14ac:dyDescent="0.3">
      <c r="B3264" s="4">
        <v>38216</v>
      </c>
      <c r="C3264" s="7">
        <v>24.97</v>
      </c>
      <c r="D3264" s="6">
        <f t="shared" si="104"/>
        <v>4.0209087253718478E-3</v>
      </c>
      <c r="E3264" s="6">
        <v>-8.0032012805120352E-4</v>
      </c>
      <c r="F3264" s="6"/>
      <c r="G3264" s="6">
        <v>3257</v>
      </c>
      <c r="H3264" s="6">
        <f t="shared" ca="1" si="105"/>
        <v>-6.3753689582600314E-3</v>
      </c>
    </row>
    <row r="3265" spans="2:8" x14ac:dyDescent="0.3">
      <c r="B3265" s="4">
        <v>38238</v>
      </c>
      <c r="C3265" s="7">
        <v>24.87</v>
      </c>
      <c r="D3265" s="6">
        <f t="shared" si="104"/>
        <v>-0.97323475284925576</v>
      </c>
      <c r="E3265" s="6">
        <v>-8.0353555644835568E-4</v>
      </c>
      <c r="F3265" s="6"/>
      <c r="G3265" s="6">
        <v>3258</v>
      </c>
      <c r="H3265" s="6">
        <f t="shared" ca="1" si="105"/>
        <v>3.0394764701227647E-2</v>
      </c>
    </row>
    <row r="3266" spans="2:8" x14ac:dyDescent="0.3">
      <c r="B3266" s="4">
        <v>42552</v>
      </c>
      <c r="C3266" s="7">
        <v>929.19</v>
      </c>
      <c r="D3266" s="6">
        <f t="shared" si="104"/>
        <v>1.0955076451220063</v>
      </c>
      <c r="E3266" s="6">
        <v>-8.0650364539647712E-4</v>
      </c>
      <c r="F3266" s="6"/>
      <c r="G3266" s="6">
        <v>3259</v>
      </c>
      <c r="H3266" s="6">
        <f t="shared" ca="1" si="105"/>
        <v>-1.1756280732870916E-3</v>
      </c>
    </row>
    <row r="3267" spans="2:8" x14ac:dyDescent="0.3">
      <c r="B3267" s="4">
        <v>41648</v>
      </c>
      <c r="C3267" s="7">
        <v>443.42</v>
      </c>
      <c r="D3267" s="6">
        <f t="shared" si="104"/>
        <v>17.076640847941295</v>
      </c>
      <c r="E3267" s="6">
        <v>-8.112127630807085E-4</v>
      </c>
      <c r="F3267" s="6"/>
      <c r="G3267" s="6">
        <v>3260</v>
      </c>
      <c r="H3267" s="6">
        <f t="shared" ca="1" si="105"/>
        <v>-1.8271667989819204E-2</v>
      </c>
    </row>
    <row r="3268" spans="2:8" x14ac:dyDescent="0.3">
      <c r="B3268" s="4">
        <v>38030</v>
      </c>
      <c r="C3268" s="7">
        <v>24.53</v>
      </c>
      <c r="D3268" s="6">
        <f t="shared" si="104"/>
        <v>4.0783034257755154E-4</v>
      </c>
      <c r="E3268" s="6">
        <v>-8.1466395112014551E-4</v>
      </c>
      <c r="F3268" s="6"/>
      <c r="G3268" s="6">
        <v>3261</v>
      </c>
      <c r="H3268" s="6">
        <f t="shared" ca="1" si="105"/>
        <v>1.1042123554536001E-2</v>
      </c>
    </row>
    <row r="3269" spans="2:8" x14ac:dyDescent="0.3">
      <c r="B3269" s="4">
        <v>38166</v>
      </c>
      <c r="C3269" s="7">
        <v>24.52</v>
      </c>
      <c r="D3269" s="6">
        <f t="shared" si="104"/>
        <v>-0.99210262719698017</v>
      </c>
      <c r="E3269" s="6">
        <v>-8.1499592502035751E-4</v>
      </c>
      <c r="F3269" s="6"/>
      <c r="G3269" s="6">
        <v>3262</v>
      </c>
      <c r="H3269" s="6">
        <f t="shared" ca="1" si="105"/>
        <v>1.4742065814140341E-2</v>
      </c>
    </row>
    <row r="3270" spans="2:8" x14ac:dyDescent="0.3">
      <c r="B3270" s="4">
        <v>45160</v>
      </c>
      <c r="C3270" s="5">
        <v>3104.83</v>
      </c>
      <c r="D3270" s="6">
        <f t="shared" si="104"/>
        <v>1.8953513311885113</v>
      </c>
      <c r="E3270" s="6">
        <v>-8.1741150876785313E-4</v>
      </c>
      <c r="F3270" s="6"/>
      <c r="G3270" s="6">
        <v>3263</v>
      </c>
      <c r="H3270" s="6">
        <f t="shared" ca="1" si="105"/>
        <v>2.3616245495265316E-3</v>
      </c>
    </row>
    <row r="3271" spans="2:8" x14ac:dyDescent="0.3">
      <c r="B3271" s="4">
        <v>42614</v>
      </c>
      <c r="C3271" s="5">
        <v>1072.3499999999999</v>
      </c>
      <c r="D3271" s="6">
        <f t="shared" si="104"/>
        <v>1.4485671880351636</v>
      </c>
      <c r="E3271" s="6">
        <v>-8.1995471613736958E-4</v>
      </c>
      <c r="F3271" s="6"/>
      <c r="G3271" s="6">
        <v>3264</v>
      </c>
      <c r="H3271" s="6">
        <f t="shared" ca="1" si="105"/>
        <v>8.3724175166599128E-3</v>
      </c>
    </row>
    <row r="3272" spans="2:8" x14ac:dyDescent="0.3">
      <c r="B3272" s="4">
        <v>41676</v>
      </c>
      <c r="C3272" s="7">
        <v>437.95</v>
      </c>
      <c r="D3272" s="6">
        <f t="shared" ref="D3272:D3335" si="106">((C3272-C3273)/C3273)</f>
        <v>17.000411015207565</v>
      </c>
      <c r="E3272" s="6">
        <v>-8.2133649699987136E-4</v>
      </c>
      <c r="F3272" s="6"/>
      <c r="G3272" s="6">
        <v>3265</v>
      </c>
      <c r="H3272" s="6">
        <f t="shared" ca="1" si="105"/>
        <v>-1.2532810572352164E-2</v>
      </c>
    </row>
    <row r="3273" spans="2:8" x14ac:dyDescent="0.3">
      <c r="B3273" s="4">
        <v>38253</v>
      </c>
      <c r="C3273" s="7">
        <v>24.33</v>
      </c>
      <c r="D3273" s="6">
        <f t="shared" si="106"/>
        <v>-0.97458450417323894</v>
      </c>
      <c r="E3273" s="6">
        <v>-8.2135523613975875E-4</v>
      </c>
      <c r="F3273" s="6"/>
      <c r="G3273" s="6">
        <v>3266</v>
      </c>
      <c r="H3273" s="6">
        <f t="shared" ref="H3273:H3336" ca="1" si="107">_xlfn.NORM.INV(RAND(),N$10,N$11)</f>
        <v>-1.6665865867777158E-2</v>
      </c>
    </row>
    <row r="3274" spans="2:8" x14ac:dyDescent="0.3">
      <c r="B3274" s="4">
        <v>42804</v>
      </c>
      <c r="C3274" s="7">
        <v>957.29</v>
      </c>
      <c r="D3274" s="6">
        <f t="shared" si="106"/>
        <v>38.721576763485473</v>
      </c>
      <c r="E3274" s="6">
        <v>-8.2456579826327371E-4</v>
      </c>
      <c r="F3274" s="6"/>
      <c r="G3274" s="6">
        <v>3267</v>
      </c>
      <c r="H3274" s="6">
        <f t="shared" ca="1" si="107"/>
        <v>-2.6816544895610916E-3</v>
      </c>
    </row>
    <row r="3275" spans="2:8" x14ac:dyDescent="0.3">
      <c r="B3275" s="4">
        <v>38065</v>
      </c>
      <c r="C3275" s="7">
        <v>24.1</v>
      </c>
      <c r="D3275" s="6">
        <f t="shared" si="106"/>
        <v>-0.49497066219614411</v>
      </c>
      <c r="E3275" s="6">
        <v>-8.291873963515577E-4</v>
      </c>
      <c r="F3275" s="6"/>
      <c r="G3275" s="6">
        <v>3268</v>
      </c>
      <c r="H3275" s="6">
        <f t="shared" ca="1" si="107"/>
        <v>1.8264965385018383E-2</v>
      </c>
    </row>
    <row r="3276" spans="2:8" x14ac:dyDescent="0.3">
      <c r="B3276" s="4">
        <v>38722</v>
      </c>
      <c r="C3276" s="7">
        <v>47.72</v>
      </c>
      <c r="D3276" s="6">
        <f t="shared" si="106"/>
        <v>-0.94585824663315898</v>
      </c>
      <c r="E3276" s="6">
        <v>-8.3752093802343282E-4</v>
      </c>
      <c r="F3276" s="6"/>
      <c r="G3276" s="6">
        <v>3269</v>
      </c>
      <c r="H3276" s="6">
        <f t="shared" ca="1" si="107"/>
        <v>-2.3071700746264473E-3</v>
      </c>
    </row>
    <row r="3277" spans="2:8" x14ac:dyDescent="0.3">
      <c r="B3277" s="4">
        <v>42510</v>
      </c>
      <c r="C3277" s="7">
        <v>881.39</v>
      </c>
      <c r="D3277" s="6">
        <f t="shared" si="106"/>
        <v>11.431452750352609</v>
      </c>
      <c r="E3277" s="6">
        <v>-8.3887862333217227E-4</v>
      </c>
      <c r="F3277" s="6"/>
      <c r="G3277" s="6">
        <v>3270</v>
      </c>
      <c r="H3277" s="6">
        <f t="shared" ca="1" si="107"/>
        <v>3.2345240708663717E-3</v>
      </c>
    </row>
    <row r="3278" spans="2:8" x14ac:dyDescent="0.3">
      <c r="B3278" s="4">
        <v>39253</v>
      </c>
      <c r="C3278" s="7">
        <v>70.900000000000006</v>
      </c>
      <c r="D3278" s="6">
        <f t="shared" si="106"/>
        <v>-0.94219700304912835</v>
      </c>
      <c r="E3278" s="6">
        <v>-8.455467869220415E-4</v>
      </c>
      <c r="F3278" s="6"/>
      <c r="G3278" s="6">
        <v>3271</v>
      </c>
      <c r="H3278" s="6">
        <f t="shared" ca="1" si="107"/>
        <v>1.6846791131566816E-2</v>
      </c>
    </row>
    <row r="3279" spans="2:8" x14ac:dyDescent="0.3">
      <c r="B3279" s="4">
        <v>43238</v>
      </c>
      <c r="C3279" s="5">
        <v>1226.58</v>
      </c>
      <c r="D3279" s="6">
        <f t="shared" si="106"/>
        <v>0.51002720703197135</v>
      </c>
      <c r="E3279" s="6">
        <v>-8.4716769032759621E-4</v>
      </c>
      <c r="F3279" s="6"/>
      <c r="G3279" s="6">
        <v>3272</v>
      </c>
      <c r="H3279" s="6">
        <f t="shared" ca="1" si="107"/>
        <v>-1.0604137184821746E-2</v>
      </c>
    </row>
    <row r="3280" spans="2:8" x14ac:dyDescent="0.3">
      <c r="B3280" s="4">
        <v>42366</v>
      </c>
      <c r="C3280" s="7">
        <v>812.29</v>
      </c>
      <c r="D3280" s="6">
        <f t="shared" si="106"/>
        <v>-0.6542166674470975</v>
      </c>
      <c r="E3280" s="6">
        <v>-8.4872936603613196E-4</v>
      </c>
      <c r="F3280" s="6"/>
      <c r="G3280" s="6">
        <v>3273</v>
      </c>
      <c r="H3280" s="6">
        <f t="shared" ca="1" si="107"/>
        <v>1.9030106218674278E-2</v>
      </c>
    </row>
    <row r="3281" spans="2:8" x14ac:dyDescent="0.3">
      <c r="B3281" s="4">
        <v>45937</v>
      </c>
      <c r="C3281" s="5">
        <v>2349.13</v>
      </c>
      <c r="D3281" s="6">
        <f t="shared" si="106"/>
        <v>-0.16387975341334582</v>
      </c>
      <c r="E3281" s="6">
        <v>-8.5065479152577695E-4</v>
      </c>
      <c r="F3281" s="6"/>
      <c r="G3281" s="6">
        <v>3274</v>
      </c>
      <c r="H3281" s="6">
        <f t="shared" ca="1" si="107"/>
        <v>1.3628508219407229E-2</v>
      </c>
    </row>
    <row r="3282" spans="2:8" x14ac:dyDescent="0.3">
      <c r="B3282" s="4">
        <v>45439</v>
      </c>
      <c r="C3282" s="5">
        <v>2809.56</v>
      </c>
      <c r="D3282" s="6">
        <f t="shared" si="106"/>
        <v>2.487320796872091</v>
      </c>
      <c r="E3282" s="6">
        <v>-8.534972047966866E-4</v>
      </c>
      <c r="F3282" s="6"/>
      <c r="G3282" s="6">
        <v>3275</v>
      </c>
      <c r="H3282" s="6">
        <f t="shared" ca="1" si="107"/>
        <v>2.8093906777855036E-2</v>
      </c>
    </row>
    <row r="3283" spans="2:8" x14ac:dyDescent="0.3">
      <c r="B3283" s="4">
        <v>42380</v>
      </c>
      <c r="C3283" s="7">
        <v>805.65</v>
      </c>
      <c r="D3283" s="6">
        <f t="shared" si="106"/>
        <v>33.606958762886599</v>
      </c>
      <c r="E3283" s="6">
        <v>-8.5571843143097764E-4</v>
      </c>
      <c r="F3283" s="6"/>
      <c r="G3283" s="6">
        <v>3276</v>
      </c>
      <c r="H3283" s="6">
        <f t="shared" ca="1" si="107"/>
        <v>4.2371493294079375E-2</v>
      </c>
    </row>
    <row r="3284" spans="2:8" x14ac:dyDescent="0.3">
      <c r="B3284" s="4">
        <v>38089</v>
      </c>
      <c r="C3284" s="7">
        <v>23.28</v>
      </c>
      <c r="D3284" s="6">
        <f t="shared" si="106"/>
        <v>4.7475183426844807E-3</v>
      </c>
      <c r="E3284" s="6">
        <v>-8.5836909871242798E-4</v>
      </c>
      <c r="F3284" s="6"/>
      <c r="G3284" s="6">
        <v>3277</v>
      </c>
      <c r="H3284" s="6">
        <f t="shared" ca="1" si="107"/>
        <v>1.1172747248383401E-2</v>
      </c>
    </row>
    <row r="3285" spans="2:8" x14ac:dyDescent="0.3">
      <c r="B3285" s="4">
        <v>38280</v>
      </c>
      <c r="C3285" s="7">
        <v>23.17</v>
      </c>
      <c r="D3285" s="6">
        <f t="shared" si="106"/>
        <v>4.3177892918832308E-4</v>
      </c>
      <c r="E3285" s="6">
        <v>-8.6244070720136151E-4</v>
      </c>
      <c r="F3285" s="6"/>
      <c r="G3285" s="6">
        <v>3278</v>
      </c>
      <c r="H3285" s="6">
        <f t="shared" ca="1" si="107"/>
        <v>-2.895948587909176E-3</v>
      </c>
    </row>
    <row r="3286" spans="2:8" x14ac:dyDescent="0.3">
      <c r="B3286" s="4">
        <v>37874</v>
      </c>
      <c r="C3286" s="7">
        <v>23.16</v>
      </c>
      <c r="D3286" s="6">
        <f t="shared" si="106"/>
        <v>-0.99178219262171474</v>
      </c>
      <c r="E3286" s="6">
        <v>-8.6281276962897212E-4</v>
      </c>
      <c r="F3286" s="6"/>
      <c r="G3286" s="6">
        <v>3279</v>
      </c>
      <c r="H3286" s="6">
        <f t="shared" ca="1" si="107"/>
        <v>1.3229636483019575E-2</v>
      </c>
    </row>
    <row r="3287" spans="2:8" x14ac:dyDescent="0.3">
      <c r="B3287" s="4">
        <v>45443</v>
      </c>
      <c r="C3287" s="5">
        <v>2818.27</v>
      </c>
      <c r="D3287" s="6">
        <f t="shared" si="106"/>
        <v>1.6381379413636874</v>
      </c>
      <c r="E3287" s="6">
        <v>-8.6503043559956697E-4</v>
      </c>
      <c r="F3287" s="6"/>
      <c r="G3287" s="6">
        <v>3280</v>
      </c>
      <c r="H3287" s="6">
        <f t="shared" ca="1" si="107"/>
        <v>1.2655631994859678E-2</v>
      </c>
    </row>
    <row r="3288" spans="2:8" x14ac:dyDescent="0.3">
      <c r="B3288" s="4">
        <v>42899</v>
      </c>
      <c r="C3288" s="5">
        <v>1068.28</v>
      </c>
      <c r="D3288" s="6">
        <f t="shared" si="106"/>
        <v>3.2577919489836589</v>
      </c>
      <c r="E3288" s="6">
        <v>-8.6980106807836035E-4</v>
      </c>
      <c r="F3288" s="6"/>
      <c r="G3288" s="6">
        <v>3281</v>
      </c>
      <c r="H3288" s="6">
        <f t="shared" ca="1" si="107"/>
        <v>9.9557888464156981E-3</v>
      </c>
    </row>
    <row r="3289" spans="2:8" x14ac:dyDescent="0.3">
      <c r="B3289" s="4">
        <v>40886</v>
      </c>
      <c r="C3289" s="7">
        <v>250.9</v>
      </c>
      <c r="D3289" s="6">
        <f t="shared" si="106"/>
        <v>-0.8995797478487092</v>
      </c>
      <c r="E3289" s="6">
        <v>-8.7607518317935193E-4</v>
      </c>
      <c r="F3289" s="6"/>
      <c r="G3289" s="6">
        <v>3282</v>
      </c>
      <c r="H3289" s="6">
        <f t="shared" ca="1" si="107"/>
        <v>-1.2703825086023459E-2</v>
      </c>
    </row>
    <row r="3290" spans="2:8" x14ac:dyDescent="0.3">
      <c r="B3290" s="4">
        <v>45953</v>
      </c>
      <c r="C3290" s="5">
        <v>2498.5</v>
      </c>
      <c r="D3290" s="6">
        <f t="shared" si="106"/>
        <v>5.012513536277222</v>
      </c>
      <c r="E3290" s="6">
        <v>-8.7975366897261498E-4</v>
      </c>
      <c r="F3290" s="6"/>
      <c r="G3290" s="6">
        <v>3283</v>
      </c>
      <c r="H3290" s="6">
        <f t="shared" ca="1" si="107"/>
        <v>-7.0526094680524003E-3</v>
      </c>
    </row>
    <row r="3291" spans="2:8" x14ac:dyDescent="0.3">
      <c r="B3291" s="4">
        <v>41310</v>
      </c>
      <c r="C3291" s="7">
        <v>415.55</v>
      </c>
      <c r="D3291" s="6">
        <f t="shared" si="106"/>
        <v>-0.68341218506921431</v>
      </c>
      <c r="E3291" s="6">
        <v>-8.8959415272168811E-4</v>
      </c>
      <c r="F3291" s="6"/>
      <c r="G3291" s="6">
        <v>3284</v>
      </c>
      <c r="H3291" s="6">
        <f t="shared" ca="1" si="107"/>
        <v>-2.2028544386977138E-2</v>
      </c>
    </row>
    <row r="3292" spans="2:8" x14ac:dyDescent="0.3">
      <c r="B3292" s="4">
        <v>43336</v>
      </c>
      <c r="C3292" s="5">
        <v>1312.59</v>
      </c>
      <c r="D3292" s="6">
        <f t="shared" si="106"/>
        <v>2.0388951913504498</v>
      </c>
      <c r="E3292" s="6">
        <v>-8.9057362075270431E-4</v>
      </c>
      <c r="F3292" s="6"/>
      <c r="G3292" s="6">
        <v>3285</v>
      </c>
      <c r="H3292" s="6">
        <f t="shared" ca="1" si="107"/>
        <v>6.8536866060282652E-3</v>
      </c>
    </row>
    <row r="3293" spans="2:8" x14ac:dyDescent="0.3">
      <c r="B3293" s="4">
        <v>41422</v>
      </c>
      <c r="C3293" s="7">
        <v>431.93</v>
      </c>
      <c r="D3293" s="6">
        <f t="shared" si="106"/>
        <v>2.5841838851547592</v>
      </c>
      <c r="E3293" s="6">
        <v>-9.0210954848257393E-4</v>
      </c>
      <c r="F3293" s="6"/>
      <c r="G3293" s="6">
        <v>3286</v>
      </c>
      <c r="H3293" s="6">
        <f t="shared" ca="1" si="107"/>
        <v>-2.2014936481406247E-2</v>
      </c>
    </row>
    <row r="3294" spans="2:8" x14ac:dyDescent="0.3">
      <c r="B3294" s="4">
        <v>40024</v>
      </c>
      <c r="C3294" s="7">
        <v>120.51</v>
      </c>
      <c r="D3294" s="6">
        <f t="shared" si="106"/>
        <v>-0.71692661843465189</v>
      </c>
      <c r="E3294" s="6">
        <v>-9.1195489968495629E-4</v>
      </c>
      <c r="F3294" s="6"/>
      <c r="G3294" s="6">
        <v>3287</v>
      </c>
      <c r="H3294" s="6">
        <f t="shared" ca="1" si="107"/>
        <v>5.2314027610209318E-4</v>
      </c>
    </row>
    <row r="3295" spans="2:8" x14ac:dyDescent="0.3">
      <c r="B3295" s="4">
        <v>41345</v>
      </c>
      <c r="C3295" s="7">
        <v>425.72</v>
      </c>
      <c r="D3295" s="6">
        <f t="shared" si="106"/>
        <v>-0.73563182701682261</v>
      </c>
      <c r="E3295" s="6">
        <v>-9.1525662387643178E-4</v>
      </c>
      <c r="F3295" s="6"/>
      <c r="G3295" s="6">
        <v>3288</v>
      </c>
      <c r="H3295" s="6">
        <f t="shared" ca="1" si="107"/>
        <v>-1.4915371368274604E-2</v>
      </c>
    </row>
    <row r="3296" spans="2:8" x14ac:dyDescent="0.3">
      <c r="B3296" s="4">
        <v>44014</v>
      </c>
      <c r="C3296" s="5">
        <v>1610.33</v>
      </c>
      <c r="D3296" s="6">
        <f t="shared" si="106"/>
        <v>0.32337036915288786</v>
      </c>
      <c r="E3296" s="6">
        <v>-9.2442084103684598E-4</v>
      </c>
      <c r="F3296" s="6"/>
      <c r="G3296" s="6">
        <v>3289</v>
      </c>
      <c r="H3296" s="6">
        <f t="shared" ca="1" si="107"/>
        <v>1.1789206417467561E-2</v>
      </c>
    </row>
    <row r="3297" spans="2:8" x14ac:dyDescent="0.3">
      <c r="B3297" s="4">
        <v>43284</v>
      </c>
      <c r="C3297" s="5">
        <v>1216.8399999999999</v>
      </c>
      <c r="D3297" s="6">
        <f t="shared" si="106"/>
        <v>3.3634668483522785</v>
      </c>
      <c r="E3297" s="6">
        <v>-9.2777326206729973E-4</v>
      </c>
      <c r="F3297" s="6"/>
      <c r="G3297" s="6">
        <v>3290</v>
      </c>
      <c r="H3297" s="6">
        <f t="shared" ca="1" si="107"/>
        <v>2.625033556321919E-2</v>
      </c>
    </row>
    <row r="3298" spans="2:8" x14ac:dyDescent="0.3">
      <c r="B3298" s="4">
        <v>40735</v>
      </c>
      <c r="C3298" s="7">
        <v>278.87</v>
      </c>
      <c r="D3298" s="6">
        <f t="shared" si="106"/>
        <v>-0.64762891547996615</v>
      </c>
      <c r="E3298" s="6">
        <v>-9.3146562533583241E-4</v>
      </c>
      <c r="F3298" s="6"/>
      <c r="G3298" s="6">
        <v>3291</v>
      </c>
      <c r="H3298" s="6">
        <f t="shared" ca="1" si="107"/>
        <v>-3.580372662343346E-3</v>
      </c>
    </row>
    <row r="3299" spans="2:8" x14ac:dyDescent="0.3">
      <c r="B3299" s="4">
        <v>42349</v>
      </c>
      <c r="C3299" s="7">
        <v>791.41</v>
      </c>
      <c r="D3299" s="6">
        <f t="shared" si="106"/>
        <v>13.831521739130434</v>
      </c>
      <c r="E3299" s="6">
        <v>-9.3416650886828144E-4</v>
      </c>
      <c r="F3299" s="6"/>
      <c r="G3299" s="6">
        <v>3292</v>
      </c>
      <c r="H3299" s="6">
        <f t="shared" ca="1" si="107"/>
        <v>-2.0803615974770959E-2</v>
      </c>
    </row>
    <row r="3300" spans="2:8" x14ac:dyDescent="0.3">
      <c r="B3300" s="4">
        <v>38943</v>
      </c>
      <c r="C3300" s="7">
        <v>53.36</v>
      </c>
      <c r="D3300" s="6">
        <f t="shared" si="106"/>
        <v>-0.98173309643870688</v>
      </c>
      <c r="E3300" s="6">
        <v>-9.3615427822499829E-4</v>
      </c>
      <c r="F3300" s="6"/>
      <c r="G3300" s="6">
        <v>3293</v>
      </c>
      <c r="H3300" s="6">
        <f t="shared" ca="1" si="107"/>
        <v>-2.3042364317848306E-2</v>
      </c>
    </row>
    <row r="3301" spans="2:8" x14ac:dyDescent="0.3">
      <c r="B3301" s="4">
        <v>44435</v>
      </c>
      <c r="C3301" s="5">
        <v>2921.13</v>
      </c>
      <c r="D3301" s="6">
        <f t="shared" si="106"/>
        <v>5.374533551554828</v>
      </c>
      <c r="E3301" s="6">
        <v>-9.3711416718246087E-4</v>
      </c>
      <c r="F3301" s="6"/>
      <c r="G3301" s="6">
        <v>3294</v>
      </c>
      <c r="H3301" s="6">
        <f t="shared" ca="1" si="107"/>
        <v>5.3434712468594259E-3</v>
      </c>
    </row>
    <row r="3302" spans="2:8" x14ac:dyDescent="0.3">
      <c r="B3302" s="4">
        <v>41481</v>
      </c>
      <c r="C3302" s="7">
        <v>458.25</v>
      </c>
      <c r="D3302" s="6">
        <f t="shared" si="106"/>
        <v>-0.41859727473419772</v>
      </c>
      <c r="E3302" s="6">
        <v>-9.3747274788525076E-4</v>
      </c>
      <c r="F3302" s="6"/>
      <c r="G3302" s="6">
        <v>3295</v>
      </c>
      <c r="H3302" s="6">
        <f t="shared" ca="1" si="107"/>
        <v>-2.0482812579141352E-3</v>
      </c>
    </row>
    <row r="3303" spans="2:8" x14ac:dyDescent="0.3">
      <c r="B3303" s="4">
        <v>42412</v>
      </c>
      <c r="C3303" s="7">
        <v>788.18</v>
      </c>
      <c r="D3303" s="6">
        <f t="shared" si="106"/>
        <v>4.3490329148286389</v>
      </c>
      <c r="E3303" s="6">
        <v>-9.3799117781271756E-4</v>
      </c>
      <c r="F3303" s="6"/>
      <c r="G3303" s="6">
        <v>3296</v>
      </c>
      <c r="H3303" s="6">
        <f t="shared" ca="1" si="107"/>
        <v>-1.1118367000330137E-2</v>
      </c>
    </row>
    <row r="3304" spans="2:8" x14ac:dyDescent="0.3">
      <c r="B3304" s="4">
        <v>40157</v>
      </c>
      <c r="C3304" s="7">
        <v>147.35</v>
      </c>
      <c r="D3304" s="6">
        <f t="shared" si="106"/>
        <v>-0.43463914361355177</v>
      </c>
      <c r="E3304" s="6">
        <v>-9.4921689606084999E-4</v>
      </c>
      <c r="F3304" s="6"/>
      <c r="G3304" s="6">
        <v>3297</v>
      </c>
      <c r="H3304" s="6">
        <f t="shared" ca="1" si="107"/>
        <v>-5.9348945702826766E-3</v>
      </c>
    </row>
    <row r="3305" spans="2:8" x14ac:dyDescent="0.3">
      <c r="B3305" s="4">
        <v>40875</v>
      </c>
      <c r="C3305" s="7">
        <v>260.63</v>
      </c>
      <c r="D3305" s="6">
        <f t="shared" si="106"/>
        <v>-0.41840537344074263</v>
      </c>
      <c r="E3305" s="6">
        <v>-9.5829500153327206E-4</v>
      </c>
      <c r="F3305" s="6"/>
      <c r="G3305" s="6">
        <v>3298</v>
      </c>
      <c r="H3305" s="6">
        <f t="shared" ca="1" si="107"/>
        <v>-7.4153496867491748E-3</v>
      </c>
    </row>
    <row r="3306" spans="2:8" x14ac:dyDescent="0.3">
      <c r="B3306" s="4">
        <v>41351</v>
      </c>
      <c r="C3306" s="7">
        <v>448.13</v>
      </c>
      <c r="D3306" s="6">
        <f t="shared" si="106"/>
        <v>1.0552650889745001</v>
      </c>
      <c r="E3306" s="6">
        <v>-9.5862314963440082E-4</v>
      </c>
      <c r="F3306" s="6"/>
      <c r="G3306" s="6">
        <v>3299</v>
      </c>
      <c r="H3306" s="6">
        <f t="shared" ca="1" si="107"/>
        <v>-1.9229869842984349E-2</v>
      </c>
    </row>
    <row r="3307" spans="2:8" x14ac:dyDescent="0.3">
      <c r="B3307" s="4">
        <v>40576</v>
      </c>
      <c r="C3307" s="7">
        <v>218.04</v>
      </c>
      <c r="D3307" s="6">
        <f t="shared" si="106"/>
        <v>-0.91647769061044371</v>
      </c>
      <c r="E3307" s="6">
        <v>-9.6219931271481309E-4</v>
      </c>
      <c r="F3307" s="6"/>
      <c r="G3307" s="6">
        <v>3300</v>
      </c>
      <c r="H3307" s="6">
        <f t="shared" ca="1" si="107"/>
        <v>2.5551221110432024E-3</v>
      </c>
    </row>
    <row r="3308" spans="2:8" x14ac:dyDescent="0.3">
      <c r="B3308" s="4">
        <v>44742</v>
      </c>
      <c r="C3308" s="5">
        <v>2610.56</v>
      </c>
      <c r="D3308" s="6">
        <f t="shared" si="106"/>
        <v>-7.181408975516794E-2</v>
      </c>
      <c r="E3308" s="6">
        <v>-9.6437920002448527E-4</v>
      </c>
      <c r="F3308" s="6"/>
      <c r="G3308" s="6">
        <v>3301</v>
      </c>
      <c r="H3308" s="6">
        <f t="shared" ca="1" si="107"/>
        <v>1.777024380393024E-2</v>
      </c>
    </row>
    <row r="3309" spans="2:8" x14ac:dyDescent="0.3">
      <c r="B3309" s="4">
        <v>45048</v>
      </c>
      <c r="C3309" s="5">
        <v>2812.54</v>
      </c>
      <c r="D3309" s="6">
        <f t="shared" si="106"/>
        <v>1.3213819970616882</v>
      </c>
      <c r="E3309" s="6">
        <v>-9.6616298317038366E-4</v>
      </c>
      <c r="F3309" s="6"/>
      <c r="G3309" s="6">
        <v>3302</v>
      </c>
      <c r="H3309" s="6">
        <f t="shared" ca="1" si="107"/>
        <v>-3.4399048947747569E-2</v>
      </c>
    </row>
    <row r="3310" spans="2:8" x14ac:dyDescent="0.3">
      <c r="B3310" s="4">
        <v>43245</v>
      </c>
      <c r="C3310" s="5">
        <v>1211.58</v>
      </c>
      <c r="D3310" s="6">
        <f t="shared" si="106"/>
        <v>13.815113719735876</v>
      </c>
      <c r="E3310" s="6">
        <v>-9.7298723572682448E-4</v>
      </c>
      <c r="F3310" s="6"/>
      <c r="G3310" s="6">
        <v>3303</v>
      </c>
      <c r="H3310" s="6">
        <f t="shared" ca="1" si="107"/>
        <v>-2.0845175481326951E-2</v>
      </c>
    </row>
    <row r="3311" spans="2:8" x14ac:dyDescent="0.3">
      <c r="B3311" s="4">
        <v>39763</v>
      </c>
      <c r="C3311" s="7">
        <v>81.78</v>
      </c>
      <c r="D3311" s="6">
        <f t="shared" si="106"/>
        <v>-0.92581438174115771</v>
      </c>
      <c r="E3311" s="6">
        <v>-9.7727827999020641E-4</v>
      </c>
      <c r="F3311" s="6"/>
      <c r="G3311" s="6">
        <v>3304</v>
      </c>
      <c r="H3311" s="6">
        <f t="shared" ca="1" si="107"/>
        <v>-2.4699338238920933E-2</v>
      </c>
    </row>
    <row r="3312" spans="2:8" x14ac:dyDescent="0.3">
      <c r="B3312" s="4">
        <v>43027</v>
      </c>
      <c r="C3312" s="5">
        <v>1102.3699999999999</v>
      </c>
      <c r="D3312" s="6">
        <f t="shared" si="106"/>
        <v>-0.6334901504446846</v>
      </c>
      <c r="E3312" s="6">
        <v>-9.7874847070565456E-4</v>
      </c>
      <c r="F3312" s="6"/>
      <c r="G3312" s="6">
        <v>3305</v>
      </c>
      <c r="H3312" s="6">
        <f t="shared" ca="1" si="107"/>
        <v>8.8128952976955315E-4</v>
      </c>
    </row>
    <row r="3313" spans="2:8" x14ac:dyDescent="0.3">
      <c r="B3313" s="4">
        <v>44888</v>
      </c>
      <c r="C3313" s="5">
        <v>3007.75</v>
      </c>
      <c r="D3313" s="6">
        <f t="shared" si="106"/>
        <v>-8.2894002640557907E-2</v>
      </c>
      <c r="E3313" s="6">
        <v>-9.8315679690173948E-4</v>
      </c>
      <c r="F3313" s="6"/>
      <c r="G3313" s="6">
        <v>3306</v>
      </c>
      <c r="H3313" s="6">
        <f t="shared" ca="1" si="107"/>
        <v>-7.5841195765684547E-3</v>
      </c>
    </row>
    <row r="3314" spans="2:8" x14ac:dyDescent="0.3">
      <c r="B3314" s="4">
        <v>45110</v>
      </c>
      <c r="C3314" s="5">
        <v>3279.61</v>
      </c>
      <c r="D3314" s="6">
        <f t="shared" si="106"/>
        <v>1.7193887281199993</v>
      </c>
      <c r="E3314" s="6">
        <v>-9.9607661565454171E-4</v>
      </c>
      <c r="F3314" s="6"/>
      <c r="G3314" s="6">
        <v>3307</v>
      </c>
      <c r="H3314" s="6">
        <f t="shared" ca="1" si="107"/>
        <v>-1.8487149502610788E-2</v>
      </c>
    </row>
    <row r="3315" spans="2:8" x14ac:dyDescent="0.3">
      <c r="B3315" s="4">
        <v>43264</v>
      </c>
      <c r="C3315" s="5">
        <v>1206.01</v>
      </c>
      <c r="D3315" s="6">
        <f t="shared" si="106"/>
        <v>-0.61818815000079153</v>
      </c>
      <c r="E3315" s="6">
        <v>-1.0023028114179986E-3</v>
      </c>
      <c r="F3315" s="6"/>
      <c r="G3315" s="6">
        <v>3308</v>
      </c>
      <c r="H3315" s="6">
        <f t="shared" ca="1" si="107"/>
        <v>-1.1347463442037575E-2</v>
      </c>
    </row>
    <row r="3316" spans="2:8" x14ac:dyDescent="0.3">
      <c r="B3316" s="4">
        <v>44543</v>
      </c>
      <c r="C3316" s="5">
        <v>3158.65</v>
      </c>
      <c r="D3316" s="6">
        <f t="shared" si="106"/>
        <v>157.80593262946203</v>
      </c>
      <c r="E3316" s="6">
        <v>-1.0025871175462463E-3</v>
      </c>
      <c r="F3316" s="6"/>
      <c r="G3316" s="6">
        <v>3309</v>
      </c>
      <c r="H3316" s="6">
        <f t="shared" ca="1" si="107"/>
        <v>3.5317967129804513E-2</v>
      </c>
    </row>
    <row r="3317" spans="2:8" x14ac:dyDescent="0.3">
      <c r="B3317" s="4">
        <v>37827</v>
      </c>
      <c r="C3317" s="7">
        <v>19.89</v>
      </c>
      <c r="D3317" s="6">
        <f t="shared" si="106"/>
        <v>-0.74914869466515321</v>
      </c>
      <c r="E3317" s="6">
        <v>-1.0045203415368948E-3</v>
      </c>
      <c r="F3317" s="6"/>
      <c r="G3317" s="6">
        <v>3310</v>
      </c>
      <c r="H3317" s="6">
        <f t="shared" ca="1" si="107"/>
        <v>1.0694164991171318E-2</v>
      </c>
    </row>
    <row r="3318" spans="2:8" x14ac:dyDescent="0.3">
      <c r="B3318" s="4">
        <v>39834</v>
      </c>
      <c r="C3318" s="7">
        <v>79.290000000000006</v>
      </c>
      <c r="D3318" s="6">
        <f t="shared" si="106"/>
        <v>-0.97504013599017847</v>
      </c>
      <c r="E3318" s="6">
        <v>-1.0079375078744903E-3</v>
      </c>
      <c r="F3318" s="6"/>
      <c r="G3318" s="6">
        <v>3311</v>
      </c>
      <c r="H3318" s="6">
        <f t="shared" ca="1" si="107"/>
        <v>3.3632132393946077E-3</v>
      </c>
    </row>
    <row r="3319" spans="2:8" x14ac:dyDescent="0.3">
      <c r="B3319" s="4">
        <v>44546</v>
      </c>
      <c r="C3319" s="5">
        <v>3176.7</v>
      </c>
      <c r="D3319" s="6">
        <f t="shared" si="106"/>
        <v>28.402998889300257</v>
      </c>
      <c r="E3319" s="6">
        <v>-1.0157456296207837E-3</v>
      </c>
      <c r="F3319" s="6"/>
      <c r="G3319" s="6">
        <v>3312</v>
      </c>
      <c r="H3319" s="6">
        <f t="shared" ca="1" si="107"/>
        <v>-6.7448769082134744E-3</v>
      </c>
    </row>
    <row r="3320" spans="2:8" x14ac:dyDescent="0.3">
      <c r="B3320" s="4">
        <v>39574</v>
      </c>
      <c r="C3320" s="7">
        <v>108.04</v>
      </c>
      <c r="D3320" s="6">
        <f t="shared" si="106"/>
        <v>0.5733216834134266</v>
      </c>
      <c r="E3320" s="6">
        <v>-1.0171058714747983E-3</v>
      </c>
      <c r="F3320" s="6"/>
      <c r="G3320" s="6">
        <v>3313</v>
      </c>
      <c r="H3320" s="6">
        <f t="shared" ca="1" si="107"/>
        <v>-1.3126100443909675E-2</v>
      </c>
    </row>
    <row r="3321" spans="2:8" x14ac:dyDescent="0.3">
      <c r="B3321" s="4">
        <v>39856</v>
      </c>
      <c r="C3321" s="7">
        <v>68.67</v>
      </c>
      <c r="D3321" s="6">
        <f t="shared" si="106"/>
        <v>-0.97228086463358021</v>
      </c>
      <c r="E3321" s="6">
        <v>-1.0183299389001045E-3</v>
      </c>
      <c r="F3321" s="6"/>
      <c r="G3321" s="6">
        <v>3314</v>
      </c>
      <c r="H3321" s="6">
        <f t="shared" ca="1" si="107"/>
        <v>1.9383223034242784E-2</v>
      </c>
    </row>
    <row r="3322" spans="2:8" x14ac:dyDescent="0.3">
      <c r="B3322" s="4">
        <v>44214</v>
      </c>
      <c r="C3322" s="5">
        <v>2477.35</v>
      </c>
      <c r="D3322" s="6">
        <f t="shared" si="106"/>
        <v>0.50011505110691268</v>
      </c>
      <c r="E3322" s="6">
        <v>-1.040351945417785E-3</v>
      </c>
      <c r="F3322" s="6"/>
      <c r="G3322" s="6">
        <v>3315</v>
      </c>
      <c r="H3322" s="6">
        <f t="shared" ca="1" si="107"/>
        <v>-8.2775550598940453E-3</v>
      </c>
    </row>
    <row r="3323" spans="2:8" x14ac:dyDescent="0.3">
      <c r="B3323" s="4">
        <v>43802</v>
      </c>
      <c r="C3323" s="5">
        <v>1651.44</v>
      </c>
      <c r="D3323" s="6">
        <f t="shared" si="106"/>
        <v>33.686830497794581</v>
      </c>
      <c r="E3323" s="6">
        <v>-1.0404316581577265E-3</v>
      </c>
      <c r="F3323" s="6"/>
      <c r="G3323" s="6">
        <v>3316</v>
      </c>
      <c r="H3323" s="6">
        <f t="shared" ca="1" si="107"/>
        <v>1.8818464468462626E-2</v>
      </c>
    </row>
    <row r="3324" spans="2:8" x14ac:dyDescent="0.3">
      <c r="B3324" s="4">
        <v>38896</v>
      </c>
      <c r="C3324" s="7">
        <v>47.61</v>
      </c>
      <c r="D3324" s="6">
        <f t="shared" si="106"/>
        <v>-0.98271241830065359</v>
      </c>
      <c r="E3324" s="6">
        <v>-1.0490977759126554E-3</v>
      </c>
      <c r="F3324" s="6"/>
      <c r="G3324" s="6">
        <v>3317</v>
      </c>
      <c r="H3324" s="6">
        <f t="shared" ca="1" si="107"/>
        <v>-1.734369458075171E-2</v>
      </c>
    </row>
    <row r="3325" spans="2:8" x14ac:dyDescent="0.3">
      <c r="B3325" s="4">
        <v>46041</v>
      </c>
      <c r="C3325" s="5">
        <v>2754</v>
      </c>
      <c r="D3325" s="6">
        <f t="shared" si="106"/>
        <v>-0.11378555798687087</v>
      </c>
      <c r="E3325" s="6">
        <v>-1.0519061264464039E-3</v>
      </c>
      <c r="F3325" s="6"/>
      <c r="G3325" s="6">
        <v>3318</v>
      </c>
      <c r="H3325" s="6">
        <f t="shared" ca="1" si="107"/>
        <v>2.1632543450760738E-2</v>
      </c>
    </row>
    <row r="3326" spans="2:8" x14ac:dyDescent="0.3">
      <c r="B3326" s="4">
        <v>44518</v>
      </c>
      <c r="C3326" s="5">
        <v>3107.6</v>
      </c>
      <c r="D3326" s="6">
        <f t="shared" si="106"/>
        <v>46.027845036319611</v>
      </c>
      <c r="E3326" s="6">
        <v>-1.0543640384714937E-3</v>
      </c>
      <c r="F3326" s="6"/>
      <c r="G3326" s="6">
        <v>3319</v>
      </c>
      <c r="H3326" s="6">
        <f t="shared" ca="1" si="107"/>
        <v>1.1972268152306538E-3</v>
      </c>
    </row>
    <row r="3327" spans="2:8" x14ac:dyDescent="0.3">
      <c r="B3327" s="4">
        <v>39104</v>
      </c>
      <c r="C3327" s="7">
        <v>66.08</v>
      </c>
      <c r="D3327" s="6">
        <f t="shared" si="106"/>
        <v>-0.97707442139628153</v>
      </c>
      <c r="E3327" s="6">
        <v>-1.0582010582011697E-3</v>
      </c>
      <c r="F3327" s="6"/>
      <c r="G3327" s="6">
        <v>3320</v>
      </c>
      <c r="H3327" s="6">
        <f t="shared" ca="1" si="107"/>
        <v>-3.9254162376386268E-3</v>
      </c>
    </row>
    <row r="3328" spans="2:8" x14ac:dyDescent="0.3">
      <c r="B3328" s="4">
        <v>45461</v>
      </c>
      <c r="C3328" s="5">
        <v>2882.37</v>
      </c>
      <c r="D3328" s="6">
        <f t="shared" si="106"/>
        <v>42.811673506611939</v>
      </c>
      <c r="E3328" s="6">
        <v>-1.0605005146546427E-3</v>
      </c>
      <c r="F3328" s="6"/>
      <c r="G3328" s="6">
        <v>3321</v>
      </c>
      <c r="H3328" s="6">
        <f t="shared" ca="1" si="107"/>
        <v>-1.3050775888436797E-3</v>
      </c>
    </row>
    <row r="3329" spans="2:8" x14ac:dyDescent="0.3">
      <c r="B3329" s="4">
        <v>39114</v>
      </c>
      <c r="C3329" s="7">
        <v>65.790000000000006</v>
      </c>
      <c r="D3329" s="6">
        <f t="shared" si="106"/>
        <v>-0.90516756756756767</v>
      </c>
      <c r="E3329" s="6">
        <v>-1.0628606134223076E-3</v>
      </c>
      <c r="F3329" s="6"/>
      <c r="G3329" s="6">
        <v>3322</v>
      </c>
      <c r="H3329" s="6">
        <f t="shared" ca="1" si="107"/>
        <v>1.1210186848699503E-2</v>
      </c>
    </row>
    <row r="3330" spans="2:8" x14ac:dyDescent="0.3">
      <c r="B3330" s="4">
        <v>42160</v>
      </c>
      <c r="C3330" s="7">
        <v>693.75</v>
      </c>
      <c r="D3330" s="6">
        <f t="shared" si="106"/>
        <v>-0.77906824920146112</v>
      </c>
      <c r="E3330" s="6">
        <v>-1.0655301012253728E-3</v>
      </c>
      <c r="F3330" s="6"/>
      <c r="G3330" s="6">
        <v>3323</v>
      </c>
      <c r="H3330" s="6">
        <f t="shared" ca="1" si="107"/>
        <v>9.4343714186671274E-3</v>
      </c>
    </row>
    <row r="3331" spans="2:8" x14ac:dyDescent="0.3">
      <c r="B3331" s="4">
        <v>45079</v>
      </c>
      <c r="C3331" s="5">
        <v>3140.11</v>
      </c>
      <c r="D3331" s="6">
        <f t="shared" si="106"/>
        <v>-4.5576676413196057E-2</v>
      </c>
      <c r="E3331" s="6">
        <v>-1.0657046693770269E-3</v>
      </c>
      <c r="F3331" s="6"/>
      <c r="G3331" s="6">
        <v>3324</v>
      </c>
      <c r="H3331" s="6">
        <f t="shared" ca="1" si="107"/>
        <v>3.9378193804895812E-4</v>
      </c>
    </row>
    <row r="3332" spans="2:8" x14ac:dyDescent="0.3">
      <c r="B3332" s="4">
        <v>45134</v>
      </c>
      <c r="C3332" s="5">
        <v>3290.06</v>
      </c>
      <c r="D3332" s="6">
        <f t="shared" si="106"/>
        <v>174.84500267236771</v>
      </c>
      <c r="E3332" s="6">
        <v>-1.0657128890535857E-3</v>
      </c>
      <c r="F3332" s="6"/>
      <c r="G3332" s="6">
        <v>3325</v>
      </c>
      <c r="H3332" s="6">
        <f t="shared" ca="1" si="107"/>
        <v>2.0343089837715978E-2</v>
      </c>
    </row>
    <row r="3333" spans="2:8" x14ac:dyDescent="0.3">
      <c r="B3333" s="4">
        <v>37785</v>
      </c>
      <c r="C3333" s="7">
        <v>18.71</v>
      </c>
      <c r="D3333" s="6">
        <f t="shared" si="106"/>
        <v>-0.95724503553392293</v>
      </c>
      <c r="E3333" s="6">
        <v>-1.0678056593699718E-3</v>
      </c>
      <c r="F3333" s="6"/>
      <c r="G3333" s="6">
        <v>3326</v>
      </c>
      <c r="H3333" s="6">
        <f t="shared" ca="1" si="107"/>
        <v>9.8188067173759306E-3</v>
      </c>
    </row>
    <row r="3334" spans="2:8" x14ac:dyDescent="0.3">
      <c r="B3334" s="4">
        <v>41367</v>
      </c>
      <c r="C3334" s="7">
        <v>437.61</v>
      </c>
      <c r="D3334" s="6">
        <f t="shared" si="106"/>
        <v>4.488909051837351E-2</v>
      </c>
      <c r="E3334" s="6">
        <v>-1.0728634039444175E-3</v>
      </c>
      <c r="F3334" s="6"/>
      <c r="G3334" s="6">
        <v>3327</v>
      </c>
      <c r="H3334" s="6">
        <f t="shared" ca="1" si="107"/>
        <v>5.0723680878849309E-3</v>
      </c>
    </row>
    <row r="3335" spans="2:8" x14ac:dyDescent="0.3">
      <c r="B3335" s="4">
        <v>41430</v>
      </c>
      <c r="C3335" s="7">
        <v>418.81</v>
      </c>
      <c r="D3335" s="6">
        <f t="shared" si="106"/>
        <v>14.011111111111113</v>
      </c>
      <c r="E3335" s="6">
        <v>-1.073319658445806E-3</v>
      </c>
      <c r="F3335" s="6"/>
      <c r="G3335" s="6">
        <v>3328</v>
      </c>
      <c r="H3335" s="6">
        <f t="shared" ca="1" si="107"/>
        <v>-7.9291789733598617E-3</v>
      </c>
    </row>
    <row r="3336" spans="2:8" x14ac:dyDescent="0.3">
      <c r="B3336" s="4">
        <v>38418</v>
      </c>
      <c r="C3336" s="7">
        <v>27.9</v>
      </c>
      <c r="D3336" s="6">
        <f t="shared" ref="D3336:D3399" si="108">((C3336-C3337)/C3337)</f>
        <v>-0.9892792093512961</v>
      </c>
      <c r="E3336" s="6">
        <v>-1.074113856068784E-3</v>
      </c>
      <c r="F3336" s="6"/>
      <c r="G3336" s="6">
        <v>3329</v>
      </c>
      <c r="H3336" s="6">
        <f t="shared" ca="1" si="107"/>
        <v>-7.6340603925613617E-3</v>
      </c>
    </row>
    <row r="3337" spans="2:8" x14ac:dyDescent="0.3">
      <c r="B3337" s="4">
        <v>44721</v>
      </c>
      <c r="C3337" s="5">
        <v>2602.42</v>
      </c>
      <c r="D3337" s="6">
        <f t="shared" si="108"/>
        <v>2.23370362086533</v>
      </c>
      <c r="E3337" s="6">
        <v>-1.078599586216935E-3</v>
      </c>
      <c r="F3337" s="6"/>
      <c r="G3337" s="6">
        <v>3330</v>
      </c>
      <c r="H3337" s="6">
        <f t="shared" ref="H3337:H3400" ca="1" si="109">_xlfn.NORM.INV(RAND(),N$10,N$11)</f>
        <v>1.5460291130610641E-2</v>
      </c>
    </row>
    <row r="3338" spans="2:8" x14ac:dyDescent="0.3">
      <c r="B3338" s="4">
        <v>42381</v>
      </c>
      <c r="C3338" s="7">
        <v>804.78</v>
      </c>
      <c r="D3338" s="6">
        <f t="shared" si="108"/>
        <v>-8.1709616593337465E-3</v>
      </c>
      <c r="E3338" s="6">
        <v>-1.0798733941537945E-3</v>
      </c>
      <c r="F3338" s="6"/>
      <c r="G3338" s="6">
        <v>3331</v>
      </c>
      <c r="H3338" s="6">
        <f t="shared" ca="1" si="109"/>
        <v>-1.1433453123842693E-2</v>
      </c>
    </row>
    <row r="3339" spans="2:8" x14ac:dyDescent="0.3">
      <c r="B3339" s="4">
        <v>42367</v>
      </c>
      <c r="C3339" s="7">
        <v>811.41</v>
      </c>
      <c r="D3339" s="6">
        <f t="shared" si="108"/>
        <v>21.115290269828293</v>
      </c>
      <c r="E3339" s="6">
        <v>-1.0833569291755353E-3</v>
      </c>
      <c r="F3339" s="6"/>
      <c r="G3339" s="6">
        <v>3332</v>
      </c>
      <c r="H3339" s="6">
        <f t="shared" ca="1" si="109"/>
        <v>-7.7878730628954985E-3</v>
      </c>
    </row>
    <row r="3340" spans="2:8" x14ac:dyDescent="0.3">
      <c r="B3340" s="4">
        <v>38554</v>
      </c>
      <c r="C3340" s="7">
        <v>36.69</v>
      </c>
      <c r="D3340" s="6">
        <f t="shared" si="108"/>
        <v>-0.9716681724465448</v>
      </c>
      <c r="E3340" s="6">
        <v>-1.0890280424720705E-3</v>
      </c>
      <c r="F3340" s="6"/>
      <c r="G3340" s="6">
        <v>3333</v>
      </c>
      <c r="H3340" s="6">
        <f t="shared" ca="1" si="109"/>
        <v>1.7215091206365647E-3</v>
      </c>
    </row>
    <row r="3341" spans="2:8" x14ac:dyDescent="0.3">
      <c r="B3341" s="4">
        <v>43466</v>
      </c>
      <c r="C3341" s="5">
        <v>1295.01</v>
      </c>
      <c r="D3341" s="6">
        <f t="shared" si="108"/>
        <v>14.887743835112255</v>
      </c>
      <c r="E3341" s="6">
        <v>-1.0953155974484335E-3</v>
      </c>
      <c r="F3341" s="6"/>
      <c r="G3341" s="6">
        <v>3334</v>
      </c>
      <c r="H3341" s="6">
        <f t="shared" ca="1" si="109"/>
        <v>-4.6217321494028312E-3</v>
      </c>
    </row>
    <row r="3342" spans="2:8" x14ac:dyDescent="0.3">
      <c r="B3342" s="4">
        <v>39755</v>
      </c>
      <c r="C3342" s="7">
        <v>81.510000000000005</v>
      </c>
      <c r="D3342" s="6">
        <f t="shared" si="108"/>
        <v>-0.18080402010050245</v>
      </c>
      <c r="E3342" s="6">
        <v>-1.1029411764704559E-3</v>
      </c>
      <c r="F3342" s="6"/>
      <c r="G3342" s="6">
        <v>3335</v>
      </c>
      <c r="H3342" s="6">
        <f t="shared" ca="1" si="109"/>
        <v>5.2247456749369998E-3</v>
      </c>
    </row>
    <row r="3343" spans="2:8" x14ac:dyDescent="0.3">
      <c r="B3343" s="4">
        <v>39546</v>
      </c>
      <c r="C3343" s="7">
        <v>99.5</v>
      </c>
      <c r="D3343" s="6">
        <f t="shared" si="108"/>
        <v>-0.6450231894398859</v>
      </c>
      <c r="E3343" s="6">
        <v>-1.1043067965063691E-3</v>
      </c>
      <c r="F3343" s="6"/>
      <c r="G3343" s="6">
        <v>3336</v>
      </c>
      <c r="H3343" s="6">
        <f t="shared" ca="1" si="109"/>
        <v>1.1300799358886237E-2</v>
      </c>
    </row>
    <row r="3344" spans="2:8" x14ac:dyDescent="0.3">
      <c r="B3344" s="4">
        <v>40829</v>
      </c>
      <c r="C3344" s="7">
        <v>280.3</v>
      </c>
      <c r="D3344" s="6">
        <f t="shared" si="108"/>
        <v>-0.62061637995208641</v>
      </c>
      <c r="E3344" s="6">
        <v>-1.1047361106161658E-3</v>
      </c>
      <c r="F3344" s="6"/>
      <c r="G3344" s="6">
        <v>3337</v>
      </c>
      <c r="H3344" s="6">
        <f t="shared" ca="1" si="109"/>
        <v>3.3466841961695918E-3</v>
      </c>
    </row>
    <row r="3345" spans="2:8" x14ac:dyDescent="0.3">
      <c r="B3345" s="4">
        <v>42075</v>
      </c>
      <c r="C3345" s="7">
        <v>738.83</v>
      </c>
      <c r="D3345" s="6">
        <f t="shared" si="108"/>
        <v>15.469683459652252</v>
      </c>
      <c r="E3345" s="6">
        <v>-1.108632461299177E-3</v>
      </c>
      <c r="F3345" s="6"/>
      <c r="G3345" s="6">
        <v>3338</v>
      </c>
      <c r="H3345" s="6">
        <f t="shared" ca="1" si="109"/>
        <v>-1.1275623661717544E-2</v>
      </c>
    </row>
    <row r="3346" spans="2:8" x14ac:dyDescent="0.3">
      <c r="B3346" s="4">
        <v>38712</v>
      </c>
      <c r="C3346" s="7">
        <v>44.86</v>
      </c>
      <c r="D3346" s="6">
        <f t="shared" si="108"/>
        <v>-0.96178485024022908</v>
      </c>
      <c r="E3346" s="6">
        <v>-1.1133377866844169E-3</v>
      </c>
      <c r="F3346" s="6"/>
      <c r="G3346" s="6">
        <v>3339</v>
      </c>
      <c r="H3346" s="6">
        <f t="shared" ca="1" si="109"/>
        <v>7.6295822587386332E-3</v>
      </c>
    </row>
    <row r="3347" spans="2:8" x14ac:dyDescent="0.3">
      <c r="B3347" s="4">
        <v>42991</v>
      </c>
      <c r="C3347" s="5">
        <v>1173.8800000000001</v>
      </c>
      <c r="D3347" s="6">
        <f t="shared" si="108"/>
        <v>1.6277757879656161</v>
      </c>
      <c r="E3347" s="6">
        <v>-1.1147133654982985E-3</v>
      </c>
      <c r="F3347" s="6"/>
      <c r="G3347" s="6">
        <v>3340</v>
      </c>
      <c r="H3347" s="6">
        <f t="shared" ca="1" si="109"/>
        <v>-2.1593804822855812E-2</v>
      </c>
    </row>
    <row r="3348" spans="2:8" x14ac:dyDescent="0.3">
      <c r="B3348" s="4">
        <v>41711</v>
      </c>
      <c r="C3348" s="7">
        <v>446.72</v>
      </c>
      <c r="D3348" s="6">
        <f t="shared" si="108"/>
        <v>7.381238273921201</v>
      </c>
      <c r="E3348" s="6">
        <v>-1.1180179777290817E-3</v>
      </c>
      <c r="F3348" s="6"/>
      <c r="G3348" s="6">
        <v>3341</v>
      </c>
      <c r="H3348" s="6">
        <f t="shared" ca="1" si="109"/>
        <v>-1.4329932669910062E-2</v>
      </c>
    </row>
    <row r="3349" spans="2:8" x14ac:dyDescent="0.3">
      <c r="B3349" s="4">
        <v>38796</v>
      </c>
      <c r="C3349" s="7">
        <v>53.3</v>
      </c>
      <c r="D3349" s="6">
        <f t="shared" si="108"/>
        <v>-0.9833675551866391</v>
      </c>
      <c r="E3349" s="6">
        <v>-1.1244377811094879E-3</v>
      </c>
      <c r="F3349" s="6"/>
      <c r="G3349" s="6">
        <v>3342</v>
      </c>
      <c r="H3349" s="6">
        <f t="shared" ca="1" si="109"/>
        <v>-1.4453563377838945E-2</v>
      </c>
    </row>
    <row r="3350" spans="2:8" x14ac:dyDescent="0.3">
      <c r="B3350" s="4">
        <v>45560</v>
      </c>
      <c r="C3350" s="5">
        <v>3204.58</v>
      </c>
      <c r="D3350" s="6">
        <f t="shared" si="108"/>
        <v>12.98402862628731</v>
      </c>
      <c r="E3350" s="6">
        <v>-1.1252450758839493E-3</v>
      </c>
      <c r="F3350" s="6"/>
      <c r="G3350" s="6">
        <v>3343</v>
      </c>
      <c r="H3350" s="6">
        <f t="shared" ca="1" si="109"/>
        <v>9.3259665394588957E-3</v>
      </c>
    </row>
    <row r="3351" spans="2:8" x14ac:dyDescent="0.3">
      <c r="B3351" s="4">
        <v>40476</v>
      </c>
      <c r="C3351" s="7">
        <v>229.16</v>
      </c>
      <c r="D3351" s="6">
        <f t="shared" si="108"/>
        <v>-0.90625485784413995</v>
      </c>
      <c r="E3351" s="6">
        <v>-1.1332926510330002E-3</v>
      </c>
      <c r="F3351" s="6"/>
      <c r="G3351" s="6">
        <v>3344</v>
      </c>
      <c r="H3351" s="6">
        <f t="shared" ca="1" si="109"/>
        <v>6.9154739551741794E-3</v>
      </c>
    </row>
    <row r="3352" spans="2:8" x14ac:dyDescent="0.3">
      <c r="B3352" s="4">
        <v>46142</v>
      </c>
      <c r="C3352" s="5">
        <v>2444.5</v>
      </c>
      <c r="D3352" s="6">
        <f t="shared" si="108"/>
        <v>55.015123739688363</v>
      </c>
      <c r="E3352" s="6">
        <v>-1.1441180076002867E-3</v>
      </c>
      <c r="F3352" s="6"/>
      <c r="G3352" s="6">
        <v>3345</v>
      </c>
      <c r="H3352" s="6">
        <f t="shared" ca="1" si="109"/>
        <v>4.96761655980221E-3</v>
      </c>
    </row>
    <row r="3353" spans="2:8" x14ac:dyDescent="0.3">
      <c r="B3353" s="4">
        <v>38698</v>
      </c>
      <c r="C3353" s="7">
        <v>43.64</v>
      </c>
      <c r="D3353" s="6">
        <f t="shared" si="108"/>
        <v>-0.2792733278282411</v>
      </c>
      <c r="E3353" s="6">
        <v>-1.1444266422521666E-3</v>
      </c>
      <c r="F3353" s="6"/>
      <c r="G3353" s="6">
        <v>3346</v>
      </c>
      <c r="H3353" s="6">
        <f t="shared" ca="1" si="109"/>
        <v>1.2218603114194549E-2</v>
      </c>
    </row>
    <row r="3354" spans="2:8" x14ac:dyDescent="0.3">
      <c r="B3354" s="4">
        <v>39139</v>
      </c>
      <c r="C3354" s="7">
        <v>60.55</v>
      </c>
      <c r="D3354" s="6">
        <f t="shared" si="108"/>
        <v>-0.58533077660594446</v>
      </c>
      <c r="E3354" s="6">
        <v>-1.1547344110854551E-3</v>
      </c>
      <c r="F3354" s="6"/>
      <c r="G3354" s="6">
        <v>3347</v>
      </c>
      <c r="H3354" s="6">
        <f t="shared" ca="1" si="109"/>
        <v>1.7142390382166799E-2</v>
      </c>
    </row>
    <row r="3355" spans="2:8" x14ac:dyDescent="0.3">
      <c r="B3355" s="4">
        <v>40122</v>
      </c>
      <c r="C3355" s="7">
        <v>146.02000000000001</v>
      </c>
      <c r="D3355" s="6">
        <f t="shared" si="108"/>
        <v>-0.56353310416978031</v>
      </c>
      <c r="E3355" s="6">
        <v>-1.1628702373622513E-3</v>
      </c>
      <c r="F3355" s="6"/>
      <c r="G3355" s="6">
        <v>3348</v>
      </c>
      <c r="H3355" s="6">
        <f t="shared" ca="1" si="109"/>
        <v>2.0971163488417377E-2</v>
      </c>
    </row>
    <row r="3356" spans="2:8" x14ac:dyDescent="0.3">
      <c r="B3356" s="4">
        <v>41128</v>
      </c>
      <c r="C3356" s="7">
        <v>334.55</v>
      </c>
      <c r="D3356" s="6">
        <f t="shared" si="108"/>
        <v>12.063256540413901</v>
      </c>
      <c r="E3356" s="6">
        <v>-1.1643876515196345E-3</v>
      </c>
      <c r="F3356" s="6"/>
      <c r="G3356" s="6">
        <v>3349</v>
      </c>
      <c r="H3356" s="6">
        <f t="shared" ca="1" si="109"/>
        <v>-1.7284559186366007E-2</v>
      </c>
    </row>
    <row r="3357" spans="2:8" x14ac:dyDescent="0.3">
      <c r="B3357" s="4">
        <v>38350</v>
      </c>
      <c r="C3357" s="7">
        <v>25.61</v>
      </c>
      <c r="D3357" s="6">
        <f t="shared" si="108"/>
        <v>0.51002358490566024</v>
      </c>
      <c r="E3357" s="6">
        <v>-1.1700468018721192E-3</v>
      </c>
      <c r="F3357" s="6"/>
      <c r="G3357" s="6">
        <v>3350</v>
      </c>
      <c r="H3357" s="6">
        <f t="shared" ca="1" si="109"/>
        <v>1.8289171739544609E-2</v>
      </c>
    </row>
    <row r="3358" spans="2:8" x14ac:dyDescent="0.3">
      <c r="B3358" s="4">
        <v>37536</v>
      </c>
      <c r="C3358" s="7">
        <v>16.96</v>
      </c>
      <c r="D3358" s="6">
        <f t="shared" si="108"/>
        <v>-0.9941025106057445</v>
      </c>
      <c r="E3358" s="6">
        <v>-1.177856301531188E-3</v>
      </c>
      <c r="F3358" s="6"/>
      <c r="G3358" s="6">
        <v>3351</v>
      </c>
      <c r="H3358" s="6">
        <f t="shared" ca="1" si="109"/>
        <v>5.0792945259394368E-3</v>
      </c>
    </row>
    <row r="3359" spans="2:8" x14ac:dyDescent="0.3">
      <c r="B3359" s="4">
        <v>45986</v>
      </c>
      <c r="C3359" s="5">
        <v>2875.8</v>
      </c>
      <c r="D3359" s="6">
        <f t="shared" si="108"/>
        <v>1.3349924083110729</v>
      </c>
      <c r="E3359" s="6">
        <v>-1.1808835787717549E-3</v>
      </c>
      <c r="F3359" s="6"/>
      <c r="G3359" s="6">
        <v>3352</v>
      </c>
      <c r="H3359" s="6">
        <f t="shared" ca="1" si="109"/>
        <v>3.524599956477123E-2</v>
      </c>
    </row>
    <row r="3360" spans="2:8" x14ac:dyDescent="0.3">
      <c r="B3360" s="4">
        <v>43601</v>
      </c>
      <c r="C3360" s="5">
        <v>1231.6099999999999</v>
      </c>
      <c r="D3360" s="6">
        <f t="shared" si="108"/>
        <v>72.049228944246735</v>
      </c>
      <c r="E3360" s="6">
        <v>-1.1840365915966138E-3</v>
      </c>
      <c r="F3360" s="6"/>
      <c r="G3360" s="6">
        <v>3353</v>
      </c>
      <c r="H3360" s="6">
        <f t="shared" ca="1" si="109"/>
        <v>-2.2582075448745482E-3</v>
      </c>
    </row>
    <row r="3361" spans="2:8" x14ac:dyDescent="0.3">
      <c r="B3361" s="4">
        <v>37554</v>
      </c>
      <c r="C3361" s="7">
        <v>16.86</v>
      </c>
      <c r="D3361" s="6">
        <f t="shared" si="108"/>
        <v>-0.98056327311713909</v>
      </c>
      <c r="E3361" s="6">
        <v>-1.1848341232227235E-3</v>
      </c>
      <c r="F3361" s="6"/>
      <c r="G3361" s="6">
        <v>3354</v>
      </c>
      <c r="H3361" s="6">
        <f t="shared" ca="1" si="109"/>
        <v>3.0202515869188987E-2</v>
      </c>
    </row>
    <row r="3362" spans="2:8" x14ac:dyDescent="0.3">
      <c r="B3362" s="4">
        <v>42747</v>
      </c>
      <c r="C3362" s="7">
        <v>867.43</v>
      </c>
      <c r="D3362" s="6">
        <f t="shared" si="108"/>
        <v>50.571343638525555</v>
      </c>
      <c r="E3362" s="6">
        <v>-1.1860074154251047E-3</v>
      </c>
      <c r="F3362" s="6"/>
      <c r="G3362" s="6">
        <v>3355</v>
      </c>
      <c r="H3362" s="6">
        <f t="shared" ca="1" si="109"/>
        <v>2.7433922331907116E-2</v>
      </c>
    </row>
    <row r="3363" spans="2:8" x14ac:dyDescent="0.3">
      <c r="B3363" s="4">
        <v>37707</v>
      </c>
      <c r="C3363" s="7">
        <v>16.82</v>
      </c>
      <c r="D3363" s="6">
        <f t="shared" si="108"/>
        <v>-0.99474767283185361</v>
      </c>
      <c r="E3363" s="6">
        <v>-1.1876484560569818E-3</v>
      </c>
      <c r="F3363" s="6"/>
      <c r="G3363" s="6">
        <v>3356</v>
      </c>
      <c r="H3363" s="6">
        <f t="shared" ca="1" si="109"/>
        <v>-2.4627008868256849E-4</v>
      </c>
    </row>
    <row r="3364" spans="2:8" x14ac:dyDescent="0.3">
      <c r="B3364" s="4">
        <v>45306</v>
      </c>
      <c r="C3364" s="5">
        <v>3202.39</v>
      </c>
      <c r="D3364" s="6">
        <f t="shared" si="108"/>
        <v>46.647522690075881</v>
      </c>
      <c r="E3364" s="6">
        <v>-1.1883226249142116E-3</v>
      </c>
      <c r="F3364" s="6"/>
      <c r="G3364" s="6">
        <v>3357</v>
      </c>
      <c r="H3364" s="6">
        <f t="shared" ca="1" si="109"/>
        <v>4.3114216419817136E-3</v>
      </c>
    </row>
    <row r="3365" spans="2:8" x14ac:dyDescent="0.3">
      <c r="B3365" s="4">
        <v>39871</v>
      </c>
      <c r="C3365" s="7">
        <v>67.209999999999994</v>
      </c>
      <c r="D3365" s="6">
        <f t="shared" si="108"/>
        <v>1.005669949268875</v>
      </c>
      <c r="E3365" s="6">
        <v>-1.1888839352060113E-3</v>
      </c>
      <c r="F3365" s="6"/>
      <c r="G3365" s="6">
        <v>3358</v>
      </c>
      <c r="H3365" s="6">
        <f t="shared" ca="1" si="109"/>
        <v>-3.4244873244138494E-3</v>
      </c>
    </row>
    <row r="3366" spans="2:8" x14ac:dyDescent="0.3">
      <c r="B3366" s="4">
        <v>38548</v>
      </c>
      <c r="C3366" s="7">
        <v>33.51</v>
      </c>
      <c r="D3366" s="6">
        <f t="shared" si="108"/>
        <v>0.34362469927826772</v>
      </c>
      <c r="E3366" s="6">
        <v>-1.1922503725782161E-3</v>
      </c>
      <c r="F3366" s="6"/>
      <c r="G3366" s="6">
        <v>3359</v>
      </c>
      <c r="H3366" s="6">
        <f t="shared" ca="1" si="109"/>
        <v>3.1146822145058085E-2</v>
      </c>
    </row>
    <row r="3367" spans="2:8" x14ac:dyDescent="0.3">
      <c r="B3367" s="4">
        <v>38217</v>
      </c>
      <c r="C3367" s="7">
        <v>24.94</v>
      </c>
      <c r="D3367" s="6">
        <f t="shared" si="108"/>
        <v>-0.9907660409493132</v>
      </c>
      <c r="E3367" s="6">
        <v>-1.2014417300759946E-3</v>
      </c>
      <c r="F3367" s="6"/>
      <c r="G3367" s="6">
        <v>3360</v>
      </c>
      <c r="H3367" s="6">
        <f t="shared" ca="1" si="109"/>
        <v>-1.9321237848052786E-2</v>
      </c>
    </row>
    <row r="3368" spans="2:8" x14ac:dyDescent="0.3">
      <c r="B3368" s="4">
        <v>44949</v>
      </c>
      <c r="C3368" s="5">
        <v>2700.9</v>
      </c>
      <c r="D3368" s="6">
        <f t="shared" si="108"/>
        <v>108.03916027452564</v>
      </c>
      <c r="E3368" s="6">
        <v>-1.2018564058946435E-3</v>
      </c>
      <c r="F3368" s="6"/>
      <c r="G3368" s="6">
        <v>3361</v>
      </c>
      <c r="H3368" s="6">
        <f t="shared" ca="1" si="109"/>
        <v>9.1035058496282979E-3</v>
      </c>
    </row>
    <row r="3369" spans="2:8" x14ac:dyDescent="0.3">
      <c r="B3369" s="4">
        <v>38236</v>
      </c>
      <c r="C3369" s="7">
        <v>24.77</v>
      </c>
      <c r="D3369" s="6">
        <f t="shared" si="108"/>
        <v>-0.57033824804856892</v>
      </c>
      <c r="E3369" s="6">
        <v>-1.2096774193548845E-3</v>
      </c>
      <c r="F3369" s="6"/>
      <c r="G3369" s="6">
        <v>3362</v>
      </c>
      <c r="H3369" s="6">
        <f t="shared" ca="1" si="109"/>
        <v>6.7629182379927155E-3</v>
      </c>
    </row>
    <row r="3370" spans="2:8" x14ac:dyDescent="0.3">
      <c r="B3370" s="4">
        <v>39154</v>
      </c>
      <c r="C3370" s="7">
        <v>57.65</v>
      </c>
      <c r="D3370" s="6">
        <f t="shared" si="108"/>
        <v>-0.98084240259200794</v>
      </c>
      <c r="E3370" s="6">
        <v>-1.2127512127512177E-3</v>
      </c>
      <c r="F3370" s="6"/>
      <c r="G3370" s="6">
        <v>3363</v>
      </c>
      <c r="H3370" s="6">
        <f t="shared" ca="1" si="109"/>
        <v>1.7018495547748005E-2</v>
      </c>
    </row>
    <row r="3371" spans="2:8" x14ac:dyDescent="0.3">
      <c r="B3371" s="4">
        <v>45240</v>
      </c>
      <c r="C3371" s="5">
        <v>3009.25</v>
      </c>
      <c r="D3371" s="6">
        <f t="shared" si="108"/>
        <v>11.705835162979225</v>
      </c>
      <c r="E3371" s="6">
        <v>-1.2180874367723248E-3</v>
      </c>
      <c r="F3371" s="6"/>
      <c r="G3371" s="6">
        <v>3364</v>
      </c>
      <c r="H3371" s="6">
        <f t="shared" ca="1" si="109"/>
        <v>-2.8547723865893996E-3</v>
      </c>
    </row>
    <row r="3372" spans="2:8" x14ac:dyDescent="0.3">
      <c r="B3372" s="4">
        <v>40913</v>
      </c>
      <c r="C3372" s="7">
        <v>236.84</v>
      </c>
      <c r="D3372" s="6">
        <f t="shared" si="108"/>
        <v>2.9218716917213537E-3</v>
      </c>
      <c r="E3372" s="6">
        <v>-1.2229578712098514E-3</v>
      </c>
      <c r="F3372" s="6"/>
      <c r="G3372" s="6">
        <v>3365</v>
      </c>
      <c r="H3372" s="6">
        <f t="shared" ca="1" si="109"/>
        <v>-2.7889045283230763E-2</v>
      </c>
    </row>
    <row r="3373" spans="2:8" x14ac:dyDescent="0.3">
      <c r="B3373" s="4">
        <v>40458</v>
      </c>
      <c r="C3373" s="7">
        <v>236.15</v>
      </c>
      <c r="D3373" s="6">
        <f t="shared" si="108"/>
        <v>7.4532465759657801E-2</v>
      </c>
      <c r="E3373" s="6">
        <v>-1.2265268144137711E-3</v>
      </c>
      <c r="F3373" s="6"/>
      <c r="G3373" s="6">
        <v>3366</v>
      </c>
      <c r="H3373" s="6">
        <f t="shared" ca="1" si="109"/>
        <v>1.0861725721414224E-2</v>
      </c>
    </row>
    <row r="3374" spans="2:8" x14ac:dyDescent="0.3">
      <c r="B3374" s="4">
        <v>40609</v>
      </c>
      <c r="C3374" s="7">
        <v>219.77</v>
      </c>
      <c r="D3374" s="6">
        <f t="shared" si="108"/>
        <v>-0.3687128371585327</v>
      </c>
      <c r="E3374" s="6">
        <v>-1.227049627340401E-3</v>
      </c>
      <c r="F3374" s="6"/>
      <c r="G3374" s="6">
        <v>3367</v>
      </c>
      <c r="H3374" s="6">
        <f t="shared" ca="1" si="109"/>
        <v>1.5678907661775703E-2</v>
      </c>
    </row>
    <row r="3375" spans="2:8" x14ac:dyDescent="0.3">
      <c r="B3375" s="4">
        <v>41172</v>
      </c>
      <c r="C3375" s="7">
        <v>348.13</v>
      </c>
      <c r="D3375" s="6">
        <f t="shared" si="108"/>
        <v>-0.85269763092533113</v>
      </c>
      <c r="E3375" s="6">
        <v>-1.2336470048198496E-3</v>
      </c>
      <c r="F3375" s="6"/>
      <c r="G3375" s="6">
        <v>3368</v>
      </c>
      <c r="H3375" s="6">
        <f t="shared" ca="1" si="109"/>
        <v>1.3322240201554448E-2</v>
      </c>
    </row>
    <row r="3376" spans="2:8" x14ac:dyDescent="0.3">
      <c r="B3376" s="4">
        <v>45636</v>
      </c>
      <c r="C3376" s="5">
        <v>2363.37</v>
      </c>
      <c r="D3376" s="6">
        <f t="shared" si="108"/>
        <v>57.878176382660691</v>
      </c>
      <c r="E3376" s="6">
        <v>-1.2339992139594356E-3</v>
      </c>
      <c r="F3376" s="6"/>
      <c r="G3376" s="6">
        <v>3369</v>
      </c>
      <c r="H3376" s="6">
        <f t="shared" ca="1" si="109"/>
        <v>8.4416690843132889E-4</v>
      </c>
    </row>
    <row r="3377" spans="2:8" x14ac:dyDescent="0.3">
      <c r="B3377" s="4">
        <v>38638</v>
      </c>
      <c r="C3377" s="7">
        <v>40.14</v>
      </c>
      <c r="D3377" s="6">
        <f t="shared" si="108"/>
        <v>0.66694352159468451</v>
      </c>
      <c r="E3377" s="6">
        <v>-1.2440905697934104E-3</v>
      </c>
      <c r="F3377" s="6"/>
      <c r="G3377" s="6">
        <v>3370</v>
      </c>
      <c r="H3377" s="6">
        <f t="shared" ca="1" si="109"/>
        <v>1.2273146920751892E-2</v>
      </c>
    </row>
    <row r="3378" spans="2:8" x14ac:dyDescent="0.3">
      <c r="B3378" s="4">
        <v>38063</v>
      </c>
      <c r="C3378" s="7">
        <v>24.08</v>
      </c>
      <c r="D3378" s="6">
        <f t="shared" si="108"/>
        <v>-0.49198312236286923</v>
      </c>
      <c r="E3378" s="6">
        <v>-1.2442969722107481E-3</v>
      </c>
      <c r="F3378" s="6"/>
      <c r="G3378" s="6">
        <v>3371</v>
      </c>
      <c r="H3378" s="6">
        <f t="shared" ca="1" si="109"/>
        <v>9.3506576644075013E-3</v>
      </c>
    </row>
    <row r="3379" spans="2:8" x14ac:dyDescent="0.3">
      <c r="B3379" s="4">
        <v>38733</v>
      </c>
      <c r="C3379" s="7">
        <v>47.4</v>
      </c>
      <c r="D3379" s="6">
        <f t="shared" si="108"/>
        <v>1.000844238075137</v>
      </c>
      <c r="E3379" s="6">
        <v>-1.2642225031606041E-3</v>
      </c>
      <c r="F3379" s="6"/>
      <c r="G3379" s="6">
        <v>3372</v>
      </c>
      <c r="H3379" s="6">
        <f t="shared" ca="1" si="109"/>
        <v>5.9506357423117096E-3</v>
      </c>
    </row>
    <row r="3380" spans="2:8" x14ac:dyDescent="0.3">
      <c r="B3380" s="4">
        <v>37956</v>
      </c>
      <c r="C3380" s="7">
        <v>23.69</v>
      </c>
      <c r="D3380" s="6">
        <f t="shared" si="108"/>
        <v>-0.98992399399437714</v>
      </c>
      <c r="E3380" s="6">
        <v>-1.2647554806069809E-3</v>
      </c>
      <c r="F3380" s="6"/>
      <c r="G3380" s="6">
        <v>3373</v>
      </c>
      <c r="H3380" s="6">
        <f t="shared" ca="1" si="109"/>
        <v>1.3426125776545774E-2</v>
      </c>
    </row>
    <row r="3381" spans="2:8" x14ac:dyDescent="0.3">
      <c r="B3381" s="4">
        <v>45936</v>
      </c>
      <c r="C3381" s="5">
        <v>2351.13</v>
      </c>
      <c r="D3381" s="6">
        <f t="shared" si="108"/>
        <v>4.1514680105170907</v>
      </c>
      <c r="E3381" s="6">
        <v>-1.274356131564527E-3</v>
      </c>
      <c r="F3381" s="6"/>
      <c r="G3381" s="6">
        <v>3374</v>
      </c>
      <c r="H3381" s="6">
        <f t="shared" ca="1" si="109"/>
        <v>6.1969550089703129E-4</v>
      </c>
    </row>
    <row r="3382" spans="2:8" x14ac:dyDescent="0.3">
      <c r="B3382" s="4">
        <v>41611</v>
      </c>
      <c r="C3382" s="7">
        <v>456.4</v>
      </c>
      <c r="D3382" s="6">
        <f t="shared" si="108"/>
        <v>13.770226537216828</v>
      </c>
      <c r="E3382" s="6">
        <v>-1.2910566970831569E-3</v>
      </c>
      <c r="F3382" s="6"/>
      <c r="G3382" s="6">
        <v>3375</v>
      </c>
      <c r="H3382" s="6">
        <f t="shared" ca="1" si="109"/>
        <v>-1.3213065802413836E-2</v>
      </c>
    </row>
    <row r="3383" spans="2:8" x14ac:dyDescent="0.3">
      <c r="B3383" s="4">
        <v>38434</v>
      </c>
      <c r="C3383" s="7">
        <v>30.9</v>
      </c>
      <c r="D3383" s="6">
        <f t="shared" si="108"/>
        <v>-0.98641776152402383</v>
      </c>
      <c r="E3383" s="6">
        <v>-1.2928248222366741E-3</v>
      </c>
      <c r="F3383" s="6"/>
      <c r="G3383" s="6">
        <v>3376</v>
      </c>
      <c r="H3383" s="6">
        <f t="shared" ca="1" si="109"/>
        <v>-1.8305316055171311E-2</v>
      </c>
    </row>
    <row r="3384" spans="2:8" x14ac:dyDescent="0.3">
      <c r="B3384" s="4">
        <v>45786</v>
      </c>
      <c r="C3384" s="5">
        <v>2275.0300000000002</v>
      </c>
      <c r="D3384" s="6">
        <f t="shared" si="108"/>
        <v>58.369258872651358</v>
      </c>
      <c r="E3384" s="6">
        <v>-1.2993911298994209E-3</v>
      </c>
      <c r="F3384" s="6"/>
      <c r="G3384" s="6">
        <v>3377</v>
      </c>
      <c r="H3384" s="6">
        <f t="shared" ca="1" si="109"/>
        <v>1.3317370148683529E-2</v>
      </c>
    </row>
    <row r="3385" spans="2:8" x14ac:dyDescent="0.3">
      <c r="B3385" s="4">
        <v>38597</v>
      </c>
      <c r="C3385" s="7">
        <v>38.32</v>
      </c>
      <c r="D3385" s="6">
        <f t="shared" si="108"/>
        <v>-0.98771692512837606</v>
      </c>
      <c r="E3385" s="6">
        <v>-1.3031013812873902E-3</v>
      </c>
      <c r="F3385" s="6"/>
      <c r="G3385" s="6">
        <v>3378</v>
      </c>
      <c r="H3385" s="6">
        <f t="shared" ca="1" si="109"/>
        <v>-2.925011512769706E-3</v>
      </c>
    </row>
    <row r="3386" spans="2:8" x14ac:dyDescent="0.3">
      <c r="B3386" s="4">
        <v>44550</v>
      </c>
      <c r="C3386" s="5">
        <v>3119.74</v>
      </c>
      <c r="D3386" s="6">
        <f t="shared" si="108"/>
        <v>136.3125</v>
      </c>
      <c r="E3386" s="6">
        <v>-1.3092901982502715E-3</v>
      </c>
      <c r="F3386" s="6"/>
      <c r="G3386" s="6">
        <v>3379</v>
      </c>
      <c r="H3386" s="6">
        <f t="shared" ca="1" si="109"/>
        <v>6.9079246468004623E-3</v>
      </c>
    </row>
    <row r="3387" spans="2:8" x14ac:dyDescent="0.3">
      <c r="B3387" s="4">
        <v>38147</v>
      </c>
      <c r="C3387" s="7">
        <v>22.72</v>
      </c>
      <c r="D3387" s="6">
        <f t="shared" si="108"/>
        <v>-0.94732937685459939</v>
      </c>
      <c r="E3387" s="6">
        <v>-1.3186813186813686E-3</v>
      </c>
      <c r="F3387" s="6"/>
      <c r="G3387" s="6">
        <v>3380</v>
      </c>
      <c r="H3387" s="6">
        <f t="shared" ca="1" si="109"/>
        <v>-1.9162225060467592E-4</v>
      </c>
    </row>
    <row r="3388" spans="2:8" x14ac:dyDescent="0.3">
      <c r="B3388" s="4">
        <v>41423</v>
      </c>
      <c r="C3388" s="7">
        <v>431.36</v>
      </c>
      <c r="D3388" s="6">
        <f t="shared" si="108"/>
        <v>-0.26762763374590398</v>
      </c>
      <c r="E3388" s="6">
        <v>-1.319658277961691E-3</v>
      </c>
      <c r="F3388" s="6"/>
      <c r="G3388" s="6">
        <v>3381</v>
      </c>
      <c r="H3388" s="6">
        <f t="shared" ca="1" si="109"/>
        <v>-1.1017900655587139E-2</v>
      </c>
    </row>
    <row r="3389" spans="2:8" x14ac:dyDescent="0.3">
      <c r="B3389" s="4">
        <v>41899</v>
      </c>
      <c r="C3389" s="7">
        <v>588.99</v>
      </c>
      <c r="D3389" s="6">
        <f t="shared" si="108"/>
        <v>-0.78656147967226298</v>
      </c>
      <c r="E3389" s="6">
        <v>-1.3225494684368021E-3</v>
      </c>
      <c r="F3389" s="6"/>
      <c r="G3389" s="6">
        <v>3382</v>
      </c>
      <c r="H3389" s="6">
        <f t="shared" ca="1" si="109"/>
        <v>4.5988460788098009E-3</v>
      </c>
    </row>
    <row r="3390" spans="2:8" x14ac:dyDescent="0.3">
      <c r="B3390" s="4">
        <v>45372</v>
      </c>
      <c r="C3390" s="5">
        <v>2759.53</v>
      </c>
      <c r="D3390" s="6">
        <f t="shared" si="108"/>
        <v>5.6951257976077834</v>
      </c>
      <c r="E3390" s="6">
        <v>-1.328170237405768E-3</v>
      </c>
      <c r="F3390" s="6"/>
      <c r="G3390" s="6">
        <v>3383</v>
      </c>
      <c r="H3390" s="6">
        <f t="shared" ca="1" si="109"/>
        <v>-2.7967578429462361E-2</v>
      </c>
    </row>
    <row r="3391" spans="2:8" x14ac:dyDescent="0.3">
      <c r="B3391" s="4">
        <v>41459</v>
      </c>
      <c r="C3391" s="7">
        <v>412.17</v>
      </c>
      <c r="D3391" s="6">
        <f t="shared" si="108"/>
        <v>-0.74409233711241629</v>
      </c>
      <c r="E3391" s="6">
        <v>-1.3326226012793452E-3</v>
      </c>
      <c r="F3391" s="6"/>
      <c r="G3391" s="6">
        <v>3384</v>
      </c>
      <c r="H3391" s="6">
        <f t="shared" ca="1" si="109"/>
        <v>-2.013479837086214E-3</v>
      </c>
    </row>
    <row r="3392" spans="2:8" x14ac:dyDescent="0.3">
      <c r="B3392" s="4">
        <v>44008</v>
      </c>
      <c r="C3392" s="5">
        <v>1610.62</v>
      </c>
      <c r="D3392" s="6">
        <f t="shared" si="108"/>
        <v>29.83116385911179</v>
      </c>
      <c r="E3392" s="6">
        <v>-1.3331101148955468E-3</v>
      </c>
      <c r="F3392" s="6"/>
      <c r="G3392" s="6">
        <v>3385</v>
      </c>
      <c r="H3392" s="6">
        <f t="shared" ca="1" si="109"/>
        <v>1.414119655670816E-3</v>
      </c>
    </row>
    <row r="3393" spans="2:8" x14ac:dyDescent="0.3">
      <c r="B3393" s="4">
        <v>38817</v>
      </c>
      <c r="C3393" s="7">
        <v>52.24</v>
      </c>
      <c r="D3393" s="6">
        <f t="shared" si="108"/>
        <v>4.8086170417387959E-3</v>
      </c>
      <c r="E3393" s="6">
        <v>-1.3381762569298467E-3</v>
      </c>
      <c r="F3393" s="6"/>
      <c r="G3393" s="6">
        <v>3386</v>
      </c>
      <c r="H3393" s="6">
        <f t="shared" ca="1" si="109"/>
        <v>-5.5914044798284603E-3</v>
      </c>
    </row>
    <row r="3394" spans="2:8" x14ac:dyDescent="0.3">
      <c r="B3394" s="4">
        <v>38959</v>
      </c>
      <c r="C3394" s="7">
        <v>51.99</v>
      </c>
      <c r="D3394" s="6">
        <f t="shared" si="108"/>
        <v>-0.9839260207394217</v>
      </c>
      <c r="E3394" s="6">
        <v>-1.3446023818670819E-3</v>
      </c>
      <c r="F3394" s="6"/>
      <c r="G3394" s="6">
        <v>3387</v>
      </c>
      <c r="H3394" s="6">
        <f t="shared" ca="1" si="109"/>
        <v>2.1116539005423506E-2</v>
      </c>
    </row>
    <row r="3395" spans="2:8" x14ac:dyDescent="0.3">
      <c r="B3395" s="4">
        <v>44453</v>
      </c>
      <c r="C3395" s="5">
        <v>3234.42</v>
      </c>
      <c r="D3395" s="6">
        <f t="shared" si="108"/>
        <v>30.478540145985402</v>
      </c>
      <c r="E3395" s="6">
        <v>-1.3523527232308598E-3</v>
      </c>
      <c r="F3395" s="6"/>
      <c r="G3395" s="6">
        <v>3388</v>
      </c>
      <c r="H3395" s="6">
        <f t="shared" ca="1" si="109"/>
        <v>2.4017223900348706E-2</v>
      </c>
    </row>
    <row r="3396" spans="2:8" x14ac:dyDescent="0.3">
      <c r="B3396" s="4">
        <v>39703</v>
      </c>
      <c r="C3396" s="7">
        <v>102.75</v>
      </c>
      <c r="D3396" s="6">
        <f t="shared" si="108"/>
        <v>8.7668030391587198E-4</v>
      </c>
      <c r="E3396" s="6">
        <v>-1.3606764505782931E-3</v>
      </c>
      <c r="F3396" s="6"/>
      <c r="G3396" s="6">
        <v>3389</v>
      </c>
      <c r="H3396" s="6">
        <f t="shared" ca="1" si="109"/>
        <v>-1.2309456045760945E-2</v>
      </c>
    </row>
    <row r="3397" spans="2:8" x14ac:dyDescent="0.3">
      <c r="B3397" s="4">
        <v>40011</v>
      </c>
      <c r="C3397" s="7">
        <v>102.66</v>
      </c>
      <c r="D3397" s="6">
        <f t="shared" si="108"/>
        <v>1.8018558951965065</v>
      </c>
      <c r="E3397" s="6">
        <v>-1.3618677042801612E-3</v>
      </c>
      <c r="F3397" s="6"/>
      <c r="G3397" s="6">
        <v>3390</v>
      </c>
      <c r="H3397" s="6">
        <f t="shared" ca="1" si="109"/>
        <v>-6.8027500377347856E-3</v>
      </c>
    </row>
    <row r="3398" spans="2:8" x14ac:dyDescent="0.3">
      <c r="B3398" s="4">
        <v>38555</v>
      </c>
      <c r="C3398" s="7">
        <v>36.64</v>
      </c>
      <c r="D3398" s="6">
        <f t="shared" si="108"/>
        <v>-0.98570202138453134</v>
      </c>
      <c r="E3398" s="6">
        <v>-1.3627691469064367E-3</v>
      </c>
      <c r="F3398" s="6"/>
      <c r="G3398" s="6">
        <v>3391</v>
      </c>
      <c r="H3398" s="6">
        <f t="shared" ca="1" si="109"/>
        <v>1.4922382246762206E-2</v>
      </c>
    </row>
    <row r="3399" spans="2:8" x14ac:dyDescent="0.3">
      <c r="B3399" s="4">
        <v>45890</v>
      </c>
      <c r="C3399" s="5">
        <v>2562.6</v>
      </c>
      <c r="D3399" s="6">
        <f t="shared" si="108"/>
        <v>0.7157548692059964</v>
      </c>
      <c r="E3399" s="6">
        <v>-1.363937492693192E-3</v>
      </c>
      <c r="F3399" s="6"/>
      <c r="G3399" s="6">
        <v>3392</v>
      </c>
      <c r="H3399" s="6">
        <f t="shared" ca="1" si="109"/>
        <v>-5.7198746342935645E-5</v>
      </c>
    </row>
    <row r="3400" spans="2:8" x14ac:dyDescent="0.3">
      <c r="B3400" s="4">
        <v>43690</v>
      </c>
      <c r="C3400" s="5">
        <v>1493.57</v>
      </c>
      <c r="D3400" s="6">
        <f t="shared" ref="D3400:D3463" si="110">((C3400-C3401)/C3401)</f>
        <v>0.57196383652763305</v>
      </c>
      <c r="E3400" s="6">
        <v>-1.3639919497729781E-3</v>
      </c>
      <c r="F3400" s="6"/>
      <c r="G3400" s="6">
        <v>3393</v>
      </c>
      <c r="H3400" s="6">
        <f t="shared" ca="1" si="109"/>
        <v>3.9591456413544654E-2</v>
      </c>
    </row>
    <row r="3401" spans="2:8" x14ac:dyDescent="0.3">
      <c r="B3401" s="4">
        <v>42802</v>
      </c>
      <c r="C3401" s="7">
        <v>950.13</v>
      </c>
      <c r="D3401" s="6">
        <f t="shared" si="110"/>
        <v>4.1649308220229359E-2</v>
      </c>
      <c r="E3401" s="6">
        <v>-1.3663643147682485E-3</v>
      </c>
      <c r="F3401" s="6"/>
      <c r="G3401" s="6">
        <v>3394</v>
      </c>
      <c r="H3401" s="6">
        <f t="shared" ref="H3401:H3464" ca="1" si="111">_xlfn.NORM.INV(RAND(),N$10,N$11)</f>
        <v>1.4103035864944172E-2</v>
      </c>
    </row>
    <row r="3402" spans="2:8" x14ac:dyDescent="0.3">
      <c r="B3402" s="4">
        <v>42544</v>
      </c>
      <c r="C3402" s="7">
        <v>912.14</v>
      </c>
      <c r="D3402" s="6">
        <f t="shared" si="110"/>
        <v>-0.5954746234766104</v>
      </c>
      <c r="E3402" s="6">
        <v>-1.3685282300003284E-3</v>
      </c>
      <c r="F3402" s="6"/>
      <c r="G3402" s="6">
        <v>3395</v>
      </c>
      <c r="H3402" s="6">
        <f t="shared" ca="1" si="111"/>
        <v>-1.188334510566604E-2</v>
      </c>
    </row>
    <row r="3403" spans="2:8" x14ac:dyDescent="0.3">
      <c r="B3403" s="4">
        <v>45649</v>
      </c>
      <c r="C3403" s="5">
        <v>2254.84</v>
      </c>
      <c r="D3403" s="6">
        <f t="shared" si="110"/>
        <v>27.535054416603394</v>
      </c>
      <c r="E3403" s="6">
        <v>-1.3817782423071669E-3</v>
      </c>
      <c r="F3403" s="6"/>
      <c r="G3403" s="6">
        <v>3396</v>
      </c>
      <c r="H3403" s="6">
        <f t="shared" ca="1" si="111"/>
        <v>-1.1986438433040163E-3</v>
      </c>
    </row>
    <row r="3404" spans="2:8" x14ac:dyDescent="0.3">
      <c r="B3404" s="4">
        <v>39363</v>
      </c>
      <c r="C3404" s="7">
        <v>79.02</v>
      </c>
      <c r="D3404" s="6">
        <f t="shared" si="110"/>
        <v>-0.35181691411697152</v>
      </c>
      <c r="E3404" s="6">
        <v>-1.3901175281182793E-3</v>
      </c>
      <c r="F3404" s="6"/>
      <c r="G3404" s="6">
        <v>3397</v>
      </c>
      <c r="H3404" s="6">
        <f t="shared" ca="1" si="111"/>
        <v>-2.2942709594240378E-2</v>
      </c>
    </row>
    <row r="3405" spans="2:8" x14ac:dyDescent="0.3">
      <c r="B3405" s="4">
        <v>40029</v>
      </c>
      <c r="C3405" s="7">
        <v>121.91</v>
      </c>
      <c r="D3405" s="6">
        <f t="shared" si="110"/>
        <v>-0.95263773363532889</v>
      </c>
      <c r="E3405" s="6">
        <v>-1.3925294888597782E-3</v>
      </c>
      <c r="F3405" s="6"/>
      <c r="G3405" s="6">
        <v>3398</v>
      </c>
      <c r="H3405" s="6">
        <f t="shared" ca="1" si="111"/>
        <v>4.8185912224393583E-3</v>
      </c>
    </row>
    <row r="3406" spans="2:8" x14ac:dyDescent="0.3">
      <c r="B3406" s="4">
        <v>44728</v>
      </c>
      <c r="C3406" s="5">
        <v>2573.9899999999998</v>
      </c>
      <c r="D3406" s="6">
        <f t="shared" si="110"/>
        <v>1.0124232829052813</v>
      </c>
      <c r="E3406" s="6">
        <v>-1.3927792735822537E-3</v>
      </c>
      <c r="F3406" s="6"/>
      <c r="G3406" s="6">
        <v>3399</v>
      </c>
      <c r="H3406" s="6">
        <f t="shared" ca="1" si="111"/>
        <v>1.8792572102198091E-2</v>
      </c>
    </row>
    <row r="3407" spans="2:8" x14ac:dyDescent="0.3">
      <c r="B3407" s="4">
        <v>43293</v>
      </c>
      <c r="C3407" s="5">
        <v>1279.05</v>
      </c>
      <c r="D3407" s="6">
        <f t="shared" si="110"/>
        <v>-0.61442692334359283</v>
      </c>
      <c r="E3407" s="6">
        <v>-1.3975203772523999E-3</v>
      </c>
      <c r="F3407" s="6"/>
      <c r="G3407" s="6">
        <v>3400</v>
      </c>
      <c r="H3407" s="6">
        <f t="shared" ca="1" si="111"/>
        <v>-1.2950218001439282E-2</v>
      </c>
    </row>
    <row r="3408" spans="2:8" x14ac:dyDescent="0.3">
      <c r="B3408" s="4">
        <v>45293</v>
      </c>
      <c r="C3408" s="5">
        <v>3317.27</v>
      </c>
      <c r="D3408" s="6">
        <f t="shared" si="110"/>
        <v>11.24853228962818</v>
      </c>
      <c r="E3408" s="6">
        <v>-1.3997928908583261E-3</v>
      </c>
      <c r="F3408" s="6"/>
      <c r="G3408" s="6">
        <v>3401</v>
      </c>
      <c r="H3408" s="6">
        <f t="shared" ca="1" si="111"/>
        <v>-8.8387414564316535E-3</v>
      </c>
    </row>
    <row r="3409" spans="2:8" x14ac:dyDescent="0.3">
      <c r="B3409" s="4">
        <v>40709</v>
      </c>
      <c r="C3409" s="7">
        <v>270.83</v>
      </c>
      <c r="D3409" s="6">
        <f t="shared" si="110"/>
        <v>-0.22114859229862258</v>
      </c>
      <c r="E3409" s="6">
        <v>-1.4011282769809206E-3</v>
      </c>
      <c r="F3409" s="6"/>
      <c r="G3409" s="6">
        <v>3402</v>
      </c>
      <c r="H3409" s="6">
        <f t="shared" ca="1" si="111"/>
        <v>-1.2725871541713845E-2</v>
      </c>
    </row>
    <row r="3410" spans="2:8" x14ac:dyDescent="0.3">
      <c r="B3410" s="4">
        <v>41082</v>
      </c>
      <c r="C3410" s="7">
        <v>347.73</v>
      </c>
      <c r="D3410" s="6">
        <f t="shared" si="110"/>
        <v>11.330851063829789</v>
      </c>
      <c r="E3410" s="6">
        <v>-1.4071563953822557E-3</v>
      </c>
      <c r="F3410" s="6"/>
      <c r="G3410" s="6">
        <v>3403</v>
      </c>
      <c r="H3410" s="6">
        <f t="shared" ca="1" si="111"/>
        <v>3.7547232201121779E-2</v>
      </c>
    </row>
    <row r="3411" spans="2:8" x14ac:dyDescent="0.3">
      <c r="B3411" s="4">
        <v>38407</v>
      </c>
      <c r="C3411" s="7">
        <v>28.2</v>
      </c>
      <c r="D3411" s="6">
        <f t="shared" si="110"/>
        <v>-0.93638475941257415</v>
      </c>
      <c r="E3411" s="6">
        <v>-1.4164305949008198E-3</v>
      </c>
      <c r="F3411" s="6"/>
      <c r="G3411" s="6">
        <v>3404</v>
      </c>
      <c r="H3411" s="6">
        <f t="shared" ca="1" si="111"/>
        <v>8.7084583666879162E-4</v>
      </c>
    </row>
    <row r="3412" spans="2:8" x14ac:dyDescent="0.3">
      <c r="B3412" s="4">
        <v>41646</v>
      </c>
      <c r="C3412" s="7">
        <v>443.29</v>
      </c>
      <c r="D3412" s="6">
        <f t="shared" si="110"/>
        <v>-0.73969899999412803</v>
      </c>
      <c r="E3412" s="6">
        <v>-1.419174626058739E-3</v>
      </c>
      <c r="F3412" s="6"/>
      <c r="G3412" s="6">
        <v>3405</v>
      </c>
      <c r="H3412" s="6">
        <f t="shared" ca="1" si="111"/>
        <v>-1.0142507044847683E-2</v>
      </c>
    </row>
    <row r="3413" spans="2:8" x14ac:dyDescent="0.3">
      <c r="B3413" s="4">
        <v>43832</v>
      </c>
      <c r="C3413" s="5">
        <v>1702.99</v>
      </c>
      <c r="D3413" s="6">
        <f t="shared" si="110"/>
        <v>5.7533410001189678</v>
      </c>
      <c r="E3413" s="6">
        <v>-1.4248689472388407E-3</v>
      </c>
      <c r="F3413" s="6"/>
      <c r="G3413" s="6">
        <v>3406</v>
      </c>
      <c r="H3413" s="6">
        <f t="shared" ca="1" si="111"/>
        <v>3.2299922170011812E-2</v>
      </c>
    </row>
    <row r="3414" spans="2:8" x14ac:dyDescent="0.3">
      <c r="B3414" s="4">
        <v>40546</v>
      </c>
      <c r="C3414" s="7">
        <v>252.17</v>
      </c>
      <c r="D3414" s="6">
        <f t="shared" si="110"/>
        <v>-7.0752109665770044E-2</v>
      </c>
      <c r="E3414" s="6">
        <v>-1.4255731992239087E-3</v>
      </c>
      <c r="F3414" s="6"/>
      <c r="G3414" s="6">
        <v>3407</v>
      </c>
      <c r="H3414" s="6">
        <f t="shared" ca="1" si="111"/>
        <v>-2.1972666679075915E-2</v>
      </c>
    </row>
    <row r="3415" spans="2:8" x14ac:dyDescent="0.3">
      <c r="B3415" s="4">
        <v>40844</v>
      </c>
      <c r="C3415" s="7">
        <v>271.37</v>
      </c>
      <c r="D3415" s="6">
        <f t="shared" si="110"/>
        <v>-0.7455842646066152</v>
      </c>
      <c r="E3415" s="6">
        <v>-1.4350897851044537E-3</v>
      </c>
      <c r="F3415" s="6"/>
      <c r="G3415" s="6">
        <v>3408</v>
      </c>
      <c r="H3415" s="6">
        <f t="shared" ca="1" si="111"/>
        <v>2.4897834040391652E-2</v>
      </c>
    </row>
    <row r="3416" spans="2:8" x14ac:dyDescent="0.3">
      <c r="B3416" s="4">
        <v>42901</v>
      </c>
      <c r="C3416" s="5">
        <v>1066.6400000000001</v>
      </c>
      <c r="D3416" s="6">
        <f t="shared" si="110"/>
        <v>-0.2198076290092528</v>
      </c>
      <c r="E3416" s="6">
        <v>-1.4417045816247857E-3</v>
      </c>
      <c r="F3416" s="6"/>
      <c r="G3416" s="6">
        <v>3409</v>
      </c>
      <c r="H3416" s="6">
        <f t="shared" ca="1" si="111"/>
        <v>1.0056112928632763E-2</v>
      </c>
    </row>
    <row r="3417" spans="2:8" x14ac:dyDescent="0.3">
      <c r="B3417" s="4">
        <v>43580</v>
      </c>
      <c r="C3417" s="5">
        <v>1367.15</v>
      </c>
      <c r="D3417" s="6">
        <f t="shared" si="110"/>
        <v>0.32514296791703018</v>
      </c>
      <c r="E3417" s="6">
        <v>-1.4461738476258777E-3</v>
      </c>
      <c r="F3417" s="6"/>
      <c r="G3417" s="6">
        <v>3410</v>
      </c>
      <c r="H3417" s="6">
        <f t="shared" ca="1" si="111"/>
        <v>7.6006642296929706E-4</v>
      </c>
    </row>
    <row r="3418" spans="2:8" x14ac:dyDescent="0.3">
      <c r="B3418" s="4">
        <v>42916</v>
      </c>
      <c r="C3418" s="5">
        <v>1031.7</v>
      </c>
      <c r="D3418" s="6">
        <f t="shared" si="110"/>
        <v>-0.68245907240007009</v>
      </c>
      <c r="E3418" s="6">
        <v>-1.4518002322880372E-3</v>
      </c>
      <c r="F3418" s="6"/>
      <c r="G3418" s="6">
        <v>3411</v>
      </c>
      <c r="H3418" s="6">
        <f t="shared" ca="1" si="111"/>
        <v>-4.017963698869309E-2</v>
      </c>
    </row>
    <row r="3419" spans="2:8" x14ac:dyDescent="0.3">
      <c r="B3419" s="4">
        <v>44579</v>
      </c>
      <c r="C3419" s="5">
        <v>3249.03</v>
      </c>
      <c r="D3419" s="6">
        <f t="shared" si="110"/>
        <v>58.560586617781858</v>
      </c>
      <c r="E3419" s="6">
        <v>-1.4629094071835502E-3</v>
      </c>
      <c r="F3419" s="6"/>
      <c r="G3419" s="6">
        <v>3412</v>
      </c>
      <c r="H3419" s="6">
        <f t="shared" ca="1" si="111"/>
        <v>-2.9503967691358636E-2</v>
      </c>
    </row>
    <row r="3420" spans="2:8" x14ac:dyDescent="0.3">
      <c r="B3420" s="4">
        <v>38982</v>
      </c>
      <c r="C3420" s="7">
        <v>54.55</v>
      </c>
      <c r="D3420" s="6">
        <f t="shared" si="110"/>
        <v>-0.46629488308384698</v>
      </c>
      <c r="E3420" s="6">
        <v>-1.4643968515468679E-3</v>
      </c>
      <c r="F3420" s="6"/>
      <c r="G3420" s="6">
        <v>3413</v>
      </c>
      <c r="H3420" s="6">
        <f t="shared" ca="1" si="111"/>
        <v>-1.6203733644259224E-2</v>
      </c>
    </row>
    <row r="3421" spans="2:8" x14ac:dyDescent="0.3">
      <c r="B3421" s="4">
        <v>39685</v>
      </c>
      <c r="C3421" s="7">
        <v>102.21</v>
      </c>
      <c r="D3421" s="6">
        <f t="shared" si="110"/>
        <v>-0.74063641900121802</v>
      </c>
      <c r="E3421" s="6">
        <v>-1.4654161781946628E-3</v>
      </c>
      <c r="F3421" s="6"/>
      <c r="G3421" s="6">
        <v>3414</v>
      </c>
      <c r="H3421" s="6">
        <f t="shared" ca="1" si="111"/>
        <v>-1.3323494687047972E-2</v>
      </c>
    </row>
    <row r="3422" spans="2:8" x14ac:dyDescent="0.3">
      <c r="B3422" s="4">
        <v>41302</v>
      </c>
      <c r="C3422" s="7">
        <v>394.08</v>
      </c>
      <c r="D3422" s="6">
        <f t="shared" si="110"/>
        <v>-0.63417622813857644</v>
      </c>
      <c r="E3422" s="6">
        <v>-1.4696194192470504E-3</v>
      </c>
      <c r="F3422" s="6"/>
      <c r="G3422" s="6">
        <v>3415</v>
      </c>
      <c r="H3422" s="6">
        <f t="shared" ca="1" si="111"/>
        <v>-1.3845850344360005E-3</v>
      </c>
    </row>
    <row r="3423" spans="2:8" x14ac:dyDescent="0.3">
      <c r="B3423" s="4">
        <v>43096</v>
      </c>
      <c r="C3423" s="5">
        <v>1077.24</v>
      </c>
      <c r="D3423" s="6">
        <f t="shared" si="110"/>
        <v>1.3387247345910858</v>
      </c>
      <c r="E3423" s="6">
        <v>-1.473818859319743E-3</v>
      </c>
      <c r="F3423" s="6"/>
      <c r="G3423" s="6">
        <v>3416</v>
      </c>
      <c r="H3423" s="6">
        <f t="shared" ca="1" si="111"/>
        <v>7.1440758346474542E-3</v>
      </c>
    </row>
    <row r="3424" spans="2:8" x14ac:dyDescent="0.3">
      <c r="B3424" s="4">
        <v>41793</v>
      </c>
      <c r="C3424" s="7">
        <v>460.61</v>
      </c>
      <c r="D3424" s="6">
        <f t="shared" si="110"/>
        <v>-0.83241526348725858</v>
      </c>
      <c r="E3424" s="6">
        <v>-1.4741269049838644E-3</v>
      </c>
      <c r="F3424" s="6"/>
      <c r="G3424" s="6">
        <v>3417</v>
      </c>
      <c r="H3424" s="6">
        <f t="shared" ca="1" si="111"/>
        <v>2.3513664899099167E-2</v>
      </c>
    </row>
    <row r="3425" spans="2:8" x14ac:dyDescent="0.3">
      <c r="B3425" s="4">
        <v>45429</v>
      </c>
      <c r="C3425" s="5">
        <v>2748.52</v>
      </c>
      <c r="D3425" s="6">
        <f t="shared" si="110"/>
        <v>26.253544868616761</v>
      </c>
      <c r="E3425" s="6">
        <v>-1.4749798370982661E-3</v>
      </c>
      <c r="F3425" s="6"/>
      <c r="G3425" s="6">
        <v>3418</v>
      </c>
      <c r="H3425" s="6">
        <f t="shared" ca="1" si="111"/>
        <v>2.3996618538775813E-2</v>
      </c>
    </row>
    <row r="3426" spans="2:8" x14ac:dyDescent="0.3">
      <c r="B3426" s="4">
        <v>39539</v>
      </c>
      <c r="C3426" s="7">
        <v>100.85</v>
      </c>
      <c r="D3426" s="6">
        <f t="shared" si="110"/>
        <v>0.87942601565411849</v>
      </c>
      <c r="E3426" s="6">
        <v>-1.4851485148515413E-3</v>
      </c>
      <c r="F3426" s="6"/>
      <c r="G3426" s="6">
        <v>3419</v>
      </c>
      <c r="H3426" s="6">
        <f t="shared" ca="1" si="111"/>
        <v>-3.7122986168361495E-2</v>
      </c>
    </row>
    <row r="3427" spans="2:8" x14ac:dyDescent="0.3">
      <c r="B3427" s="4">
        <v>38971</v>
      </c>
      <c r="C3427" s="7">
        <v>53.66</v>
      </c>
      <c r="D3427" s="6">
        <f t="shared" si="110"/>
        <v>-0.81143479635941951</v>
      </c>
      <c r="E3427" s="6">
        <v>-1.4886490509863305E-3</v>
      </c>
      <c r="F3427" s="6"/>
      <c r="G3427" s="6">
        <v>3420</v>
      </c>
      <c r="H3427" s="6">
        <f t="shared" ca="1" si="111"/>
        <v>-2.823892983622929E-2</v>
      </c>
    </row>
    <row r="3428" spans="2:8" x14ac:dyDescent="0.3">
      <c r="B3428" s="4">
        <v>40984</v>
      </c>
      <c r="C3428" s="7">
        <v>284.57</v>
      </c>
      <c r="D3428" s="6">
        <f t="shared" si="110"/>
        <v>-0.78250036304715032</v>
      </c>
      <c r="E3428" s="6">
        <v>-1.5087719298245853E-3</v>
      </c>
      <c r="F3428" s="6"/>
      <c r="G3428" s="6">
        <v>3421</v>
      </c>
      <c r="H3428" s="6">
        <f t="shared" ca="1" si="111"/>
        <v>6.4056758591829839E-3</v>
      </c>
    </row>
    <row r="3429" spans="2:8" x14ac:dyDescent="0.3">
      <c r="B3429" s="4">
        <v>43593</v>
      </c>
      <c r="C3429" s="5">
        <v>1308.3699999999999</v>
      </c>
      <c r="D3429" s="6">
        <f t="shared" si="110"/>
        <v>1.9131857855361594</v>
      </c>
      <c r="E3429" s="6">
        <v>-1.5110466669210655E-3</v>
      </c>
      <c r="F3429" s="6"/>
      <c r="G3429" s="6">
        <v>3422</v>
      </c>
      <c r="H3429" s="6">
        <f t="shared" ca="1" si="111"/>
        <v>-2.6187686511963033E-2</v>
      </c>
    </row>
    <row r="3430" spans="2:8" x14ac:dyDescent="0.3">
      <c r="B3430" s="4">
        <v>41488</v>
      </c>
      <c r="C3430" s="7">
        <v>449.12</v>
      </c>
      <c r="D3430" s="6">
        <f t="shared" si="110"/>
        <v>-0.28920963504573799</v>
      </c>
      <c r="E3430" s="6">
        <v>-1.5117830146732032E-3</v>
      </c>
      <c r="F3430" s="6"/>
      <c r="G3430" s="6">
        <v>3423</v>
      </c>
      <c r="H3430" s="6">
        <f t="shared" ca="1" si="111"/>
        <v>-4.6124830649712234E-3</v>
      </c>
    </row>
    <row r="3431" spans="2:8" x14ac:dyDescent="0.3">
      <c r="B3431" s="4">
        <v>41967</v>
      </c>
      <c r="C3431" s="7">
        <v>631.86</v>
      </c>
      <c r="D3431" s="6">
        <f t="shared" si="110"/>
        <v>-0.79516388898794377</v>
      </c>
      <c r="E3431" s="6">
        <v>-1.5170190575519678E-3</v>
      </c>
      <c r="F3431" s="6"/>
      <c r="G3431" s="6">
        <v>3424</v>
      </c>
      <c r="H3431" s="6">
        <f t="shared" ca="1" si="111"/>
        <v>1.5142707669870916E-2</v>
      </c>
    </row>
    <row r="3432" spans="2:8" x14ac:dyDescent="0.3">
      <c r="B3432" s="4">
        <v>45211</v>
      </c>
      <c r="C3432" s="5">
        <v>3084.71</v>
      </c>
      <c r="D3432" s="6">
        <f t="shared" si="110"/>
        <v>155.50481988838152</v>
      </c>
      <c r="E3432" s="6">
        <v>-1.5180941283097218E-3</v>
      </c>
      <c r="F3432" s="6"/>
      <c r="G3432" s="6">
        <v>3425</v>
      </c>
      <c r="H3432" s="6">
        <f t="shared" ca="1" si="111"/>
        <v>1.7768587227736901E-2</v>
      </c>
    </row>
    <row r="3433" spans="2:8" x14ac:dyDescent="0.3">
      <c r="B3433" s="4">
        <v>37806</v>
      </c>
      <c r="C3433" s="7">
        <v>19.71</v>
      </c>
      <c r="D3433" s="6">
        <f t="shared" si="110"/>
        <v>-0.98542817220041246</v>
      </c>
      <c r="E3433" s="6">
        <v>-1.5197568389056528E-3</v>
      </c>
      <c r="F3433" s="6"/>
      <c r="G3433" s="6">
        <v>3426</v>
      </c>
      <c r="H3433" s="6">
        <f t="shared" ca="1" si="111"/>
        <v>6.9415829697543289E-3</v>
      </c>
    </row>
    <row r="3434" spans="2:8" x14ac:dyDescent="0.3">
      <c r="B3434" s="4">
        <v>43539</v>
      </c>
      <c r="C3434" s="5">
        <v>1352.61</v>
      </c>
      <c r="D3434" s="6">
        <f t="shared" si="110"/>
        <v>-0.52695523839167369</v>
      </c>
      <c r="E3434" s="6">
        <v>-1.528036141376682E-3</v>
      </c>
      <c r="F3434" s="6"/>
      <c r="G3434" s="6">
        <v>3427</v>
      </c>
      <c r="H3434" s="6">
        <f t="shared" ca="1" si="111"/>
        <v>1.9574624500328697E-2</v>
      </c>
    </row>
    <row r="3435" spans="2:8" x14ac:dyDescent="0.3">
      <c r="B3435" s="4">
        <v>44419</v>
      </c>
      <c r="C3435" s="5">
        <v>2859.37</v>
      </c>
      <c r="D3435" s="6">
        <f t="shared" si="110"/>
        <v>10.301411011422472</v>
      </c>
      <c r="E3435" s="6">
        <v>-1.5294631165430324E-3</v>
      </c>
      <c r="F3435" s="6"/>
      <c r="G3435" s="6">
        <v>3428</v>
      </c>
      <c r="H3435" s="6">
        <f t="shared" ca="1" si="111"/>
        <v>-1.9932489317308729E-2</v>
      </c>
    </row>
    <row r="3436" spans="2:8" x14ac:dyDescent="0.3">
      <c r="B3436" s="4">
        <v>40882</v>
      </c>
      <c r="C3436" s="7">
        <v>253.01</v>
      </c>
      <c r="D3436" s="6">
        <f t="shared" si="110"/>
        <v>2.5455437219730941</v>
      </c>
      <c r="E3436" s="6">
        <v>-1.5390686661405477E-3</v>
      </c>
      <c r="F3436" s="6"/>
      <c r="G3436" s="6">
        <v>3429</v>
      </c>
      <c r="H3436" s="6">
        <f t="shared" ca="1" si="111"/>
        <v>-2.1787593334163632E-2</v>
      </c>
    </row>
    <row r="3437" spans="2:8" x14ac:dyDescent="0.3">
      <c r="B3437" s="4">
        <v>39275</v>
      </c>
      <c r="C3437" s="7">
        <v>71.36</v>
      </c>
      <c r="D3437" s="6">
        <f t="shared" si="110"/>
        <v>-0.93416670510632405</v>
      </c>
      <c r="E3437" s="6">
        <v>-1.5391073177556938E-3</v>
      </c>
      <c r="F3437" s="6"/>
      <c r="G3437" s="6">
        <v>3430</v>
      </c>
      <c r="H3437" s="6">
        <f t="shared" ca="1" si="111"/>
        <v>2.9934908948649865E-3</v>
      </c>
    </row>
    <row r="3438" spans="2:8" x14ac:dyDescent="0.3">
      <c r="B3438" s="4">
        <v>43020</v>
      </c>
      <c r="C3438" s="5">
        <v>1083.95</v>
      </c>
      <c r="D3438" s="6">
        <f t="shared" si="110"/>
        <v>41.325263568918395</v>
      </c>
      <c r="E3438" s="6">
        <v>-1.5474885550326202E-3</v>
      </c>
      <c r="F3438" s="6"/>
      <c r="G3438" s="6">
        <v>3431</v>
      </c>
      <c r="H3438" s="6">
        <f t="shared" ca="1" si="111"/>
        <v>-9.1764800013707081E-3</v>
      </c>
    </row>
    <row r="3439" spans="2:8" x14ac:dyDescent="0.3">
      <c r="B3439" s="4">
        <v>38338</v>
      </c>
      <c r="C3439" s="7">
        <v>25.61</v>
      </c>
      <c r="D3439" s="6">
        <f t="shared" si="110"/>
        <v>7.8155529503710723E-4</v>
      </c>
      <c r="E3439" s="6">
        <v>-1.5594541910331052E-3</v>
      </c>
      <c r="F3439" s="6"/>
      <c r="G3439" s="6">
        <v>3432</v>
      </c>
      <c r="H3439" s="6">
        <f t="shared" ca="1" si="111"/>
        <v>8.4251701594077587E-3</v>
      </c>
    </row>
    <row r="3440" spans="2:8" x14ac:dyDescent="0.3">
      <c r="B3440" s="4">
        <v>38345</v>
      </c>
      <c r="C3440" s="7">
        <v>25.59</v>
      </c>
      <c r="D3440" s="6">
        <f t="shared" si="110"/>
        <v>-0.99181062346789206</v>
      </c>
      <c r="E3440" s="6">
        <v>-1.5606710885680511E-3</v>
      </c>
      <c r="F3440" s="6"/>
      <c r="G3440" s="6">
        <v>3433</v>
      </c>
      <c r="H3440" s="6">
        <f t="shared" ca="1" si="111"/>
        <v>1.3005471057873686E-2</v>
      </c>
    </row>
    <row r="3441" spans="2:8" x14ac:dyDescent="0.3">
      <c r="B3441" s="4">
        <v>44903</v>
      </c>
      <c r="C3441" s="5">
        <v>3124.78</v>
      </c>
      <c r="D3441" s="6">
        <f t="shared" si="110"/>
        <v>163.37559179379272</v>
      </c>
      <c r="E3441" s="6">
        <v>-1.5656552746605521E-3</v>
      </c>
      <c r="F3441" s="6"/>
      <c r="G3441" s="6">
        <v>3434</v>
      </c>
      <c r="H3441" s="6">
        <f t="shared" ca="1" si="111"/>
        <v>-2.2919320586739868E-2</v>
      </c>
    </row>
    <row r="3442" spans="2:8" x14ac:dyDescent="0.3">
      <c r="B3442" s="4">
        <v>37781</v>
      </c>
      <c r="C3442" s="7">
        <v>19.010000000000002</v>
      </c>
      <c r="D3442" s="6">
        <f t="shared" si="110"/>
        <v>-0.99368467911791469</v>
      </c>
      <c r="E3442" s="6">
        <v>-1.5756302521007135E-3</v>
      </c>
      <c r="F3442" s="6"/>
      <c r="G3442" s="6">
        <v>3435</v>
      </c>
      <c r="H3442" s="6">
        <f t="shared" ca="1" si="111"/>
        <v>9.7078047389625183E-3</v>
      </c>
    </row>
    <row r="3443" spans="2:8" x14ac:dyDescent="0.3">
      <c r="B3443" s="4">
        <v>44677</v>
      </c>
      <c r="C3443" s="5">
        <v>3010.14</v>
      </c>
      <c r="D3443" s="6">
        <f t="shared" si="110"/>
        <v>7.6870220195665357</v>
      </c>
      <c r="E3443" s="6">
        <v>-1.5821367802023882E-3</v>
      </c>
      <c r="F3443" s="6"/>
      <c r="G3443" s="6">
        <v>3436</v>
      </c>
      <c r="H3443" s="6">
        <f t="shared" ca="1" si="111"/>
        <v>-8.1931588429067313E-3</v>
      </c>
    </row>
    <row r="3444" spans="2:8" x14ac:dyDescent="0.3">
      <c r="B3444" s="4">
        <v>41073</v>
      </c>
      <c r="C3444" s="7">
        <v>346.51</v>
      </c>
      <c r="D3444" s="6">
        <f t="shared" si="110"/>
        <v>-0.71478545735898136</v>
      </c>
      <c r="E3444" s="6">
        <v>-1.5847403907105727E-3</v>
      </c>
      <c r="F3444" s="6"/>
      <c r="G3444" s="6">
        <v>3437</v>
      </c>
      <c r="H3444" s="6">
        <f t="shared" ca="1" si="111"/>
        <v>1.3490747851071239E-2</v>
      </c>
    </row>
    <row r="3445" spans="2:8" x14ac:dyDescent="0.3">
      <c r="B3445" s="4">
        <v>43285</v>
      </c>
      <c r="C3445" s="5">
        <v>1214.9100000000001</v>
      </c>
      <c r="D3445" s="6">
        <f t="shared" si="110"/>
        <v>7.3983824139361261</v>
      </c>
      <c r="E3445" s="6">
        <v>-1.5860754084348282E-3</v>
      </c>
      <c r="F3445" s="6"/>
      <c r="G3445" s="6">
        <v>3438</v>
      </c>
      <c r="H3445" s="6">
        <f t="shared" ca="1" si="111"/>
        <v>-1.3087838307613158E-2</v>
      </c>
    </row>
    <row r="3446" spans="2:8" x14ac:dyDescent="0.3">
      <c r="B3446" s="4">
        <v>40112</v>
      </c>
      <c r="C3446" s="7">
        <v>144.66</v>
      </c>
      <c r="D3446" s="6">
        <f t="shared" si="110"/>
        <v>4.7633466135458162</v>
      </c>
      <c r="E3446" s="6">
        <v>-1.5874111394850563E-3</v>
      </c>
      <c r="F3446" s="6"/>
      <c r="G3446" s="6">
        <v>3439</v>
      </c>
      <c r="H3446" s="6">
        <f t="shared" ca="1" si="111"/>
        <v>1.1115211293595441E-2</v>
      </c>
    </row>
    <row r="3447" spans="2:8" x14ac:dyDescent="0.3">
      <c r="B3447" s="4">
        <v>37967</v>
      </c>
      <c r="C3447" s="7">
        <v>25.1</v>
      </c>
      <c r="D3447" s="6">
        <f t="shared" si="110"/>
        <v>-0.98070655515926708</v>
      </c>
      <c r="E3447" s="6">
        <v>-1.5910898965791228E-3</v>
      </c>
      <c r="F3447" s="6"/>
      <c r="G3447" s="6">
        <v>3440</v>
      </c>
      <c r="H3447" s="6">
        <f t="shared" ca="1" si="111"/>
        <v>-9.7149134177139662E-3</v>
      </c>
    </row>
    <row r="3448" spans="2:8" x14ac:dyDescent="0.3">
      <c r="B3448" s="4">
        <v>43515</v>
      </c>
      <c r="C3448" s="5">
        <v>1300.96</v>
      </c>
      <c r="D3448" s="6">
        <f t="shared" si="110"/>
        <v>33.70152040544145</v>
      </c>
      <c r="E3448" s="6">
        <v>-1.5962671905696889E-3</v>
      </c>
      <c r="F3448" s="6"/>
      <c r="G3448" s="6">
        <v>3441</v>
      </c>
      <c r="H3448" s="6">
        <f t="shared" ca="1" si="111"/>
        <v>-6.1345999163258946E-3</v>
      </c>
    </row>
    <row r="3449" spans="2:8" x14ac:dyDescent="0.3">
      <c r="B3449" s="4">
        <v>38590</v>
      </c>
      <c r="C3449" s="7">
        <v>37.49</v>
      </c>
      <c r="D3449" s="6">
        <f t="shared" si="110"/>
        <v>-0.88650056007992484</v>
      </c>
      <c r="E3449" s="6">
        <v>-1.59786950732344E-3</v>
      </c>
      <c r="F3449" s="6"/>
      <c r="G3449" s="6">
        <v>3442</v>
      </c>
      <c r="H3449" s="6">
        <f t="shared" ca="1" si="111"/>
        <v>-2.3107365389625784E-3</v>
      </c>
    </row>
    <row r="3450" spans="2:8" x14ac:dyDescent="0.3">
      <c r="B3450" s="4">
        <v>41151</v>
      </c>
      <c r="C3450" s="7">
        <v>330.31</v>
      </c>
      <c r="D3450" s="6">
        <f t="shared" si="110"/>
        <v>12.270791482523101</v>
      </c>
      <c r="E3450" s="6">
        <v>-1.6019828315801377E-3</v>
      </c>
      <c r="F3450" s="6"/>
      <c r="G3450" s="6">
        <v>3443</v>
      </c>
      <c r="H3450" s="6">
        <f t="shared" ca="1" si="111"/>
        <v>-3.5743278940870999E-3</v>
      </c>
    </row>
    <row r="3451" spans="2:8" x14ac:dyDescent="0.3">
      <c r="B3451" s="4">
        <v>38198</v>
      </c>
      <c r="C3451" s="7">
        <v>24.89</v>
      </c>
      <c r="D3451" s="6">
        <f t="shared" si="110"/>
        <v>-0.97315110459095622</v>
      </c>
      <c r="E3451" s="6">
        <v>-1.604492579221787E-3</v>
      </c>
      <c r="F3451" s="6"/>
      <c r="G3451" s="6">
        <v>3444</v>
      </c>
      <c r="H3451" s="6">
        <f t="shared" ca="1" si="111"/>
        <v>-1.3588902585158626E-2</v>
      </c>
    </row>
    <row r="3452" spans="2:8" x14ac:dyDescent="0.3">
      <c r="B3452" s="4">
        <v>42774</v>
      </c>
      <c r="C3452" s="7">
        <v>927.04</v>
      </c>
      <c r="D3452" s="6">
        <f t="shared" si="110"/>
        <v>-0.12763134369089191</v>
      </c>
      <c r="E3452" s="6">
        <v>-1.6046869783421206E-3</v>
      </c>
      <c r="F3452" s="6"/>
      <c r="G3452" s="6">
        <v>3445</v>
      </c>
      <c r="H3452" s="6">
        <f t="shared" ca="1" si="111"/>
        <v>-8.8931929393391905E-4</v>
      </c>
    </row>
    <row r="3453" spans="2:8" x14ac:dyDescent="0.3">
      <c r="B3453" s="4">
        <v>42591</v>
      </c>
      <c r="C3453" s="5">
        <v>1062.67</v>
      </c>
      <c r="D3453" s="6">
        <f t="shared" si="110"/>
        <v>16.142603645749315</v>
      </c>
      <c r="E3453" s="6">
        <v>-1.6065690824705802E-3</v>
      </c>
      <c r="F3453" s="6"/>
      <c r="G3453" s="6">
        <v>3446</v>
      </c>
      <c r="H3453" s="6">
        <f t="shared" ca="1" si="111"/>
        <v>-2.1173055428922557E-2</v>
      </c>
    </row>
    <row r="3454" spans="2:8" x14ac:dyDescent="0.3">
      <c r="B3454" s="4">
        <v>39888</v>
      </c>
      <c r="C3454" s="7">
        <v>61.99</v>
      </c>
      <c r="D3454" s="6">
        <f t="shared" si="110"/>
        <v>-0.98017595082842723</v>
      </c>
      <c r="E3454" s="6">
        <v>-1.6105653084232793E-3</v>
      </c>
      <c r="F3454" s="6"/>
      <c r="G3454" s="6">
        <v>3447</v>
      </c>
      <c r="H3454" s="6">
        <f t="shared" ca="1" si="111"/>
        <v>-1.647049155646205E-2</v>
      </c>
    </row>
    <row r="3455" spans="2:8" x14ac:dyDescent="0.3">
      <c r="B3455" s="4">
        <v>45531</v>
      </c>
      <c r="C3455" s="5">
        <v>3127.01</v>
      </c>
      <c r="D3455" s="6">
        <f t="shared" si="110"/>
        <v>126.37311608961303</v>
      </c>
      <c r="E3455" s="6">
        <v>-1.6219201874786251E-3</v>
      </c>
      <c r="F3455" s="6"/>
      <c r="G3455" s="6">
        <v>3448</v>
      </c>
      <c r="H3455" s="6">
        <f t="shared" ca="1" si="111"/>
        <v>3.1146961843475382E-3</v>
      </c>
    </row>
    <row r="3456" spans="2:8" x14ac:dyDescent="0.3">
      <c r="B3456" s="4">
        <v>38266</v>
      </c>
      <c r="C3456" s="7">
        <v>24.55</v>
      </c>
      <c r="D3456" s="6">
        <f t="shared" si="110"/>
        <v>-0.99145908711383235</v>
      </c>
      <c r="E3456" s="6">
        <v>-1.6266775111833732E-3</v>
      </c>
      <c r="F3456" s="6"/>
      <c r="G3456" s="6">
        <v>3449</v>
      </c>
      <c r="H3456" s="6">
        <f t="shared" ca="1" si="111"/>
        <v>-2.0237060128446095E-2</v>
      </c>
    </row>
    <row r="3457" spans="2:8" x14ac:dyDescent="0.3">
      <c r="B3457" s="4">
        <v>45989</v>
      </c>
      <c r="C3457" s="5">
        <v>2874.4</v>
      </c>
      <c r="D3457" s="6">
        <f t="shared" si="110"/>
        <v>117.92428630533719</v>
      </c>
      <c r="E3457" s="6">
        <v>-1.6324545865026635E-3</v>
      </c>
      <c r="F3457" s="6"/>
      <c r="G3457" s="6">
        <v>3450</v>
      </c>
      <c r="H3457" s="6">
        <f t="shared" ca="1" si="111"/>
        <v>1.4875194596460964E-2</v>
      </c>
    </row>
    <row r="3458" spans="2:8" x14ac:dyDescent="0.3">
      <c r="B3458" s="4">
        <v>38170</v>
      </c>
      <c r="C3458" s="7">
        <v>24.17</v>
      </c>
      <c r="D3458" s="6">
        <f t="shared" si="110"/>
        <v>1.2427506213753578E-3</v>
      </c>
      <c r="E3458" s="6">
        <v>-1.6522098306484571E-3</v>
      </c>
      <c r="F3458" s="6"/>
      <c r="G3458" s="6">
        <v>3451</v>
      </c>
      <c r="H3458" s="6">
        <f t="shared" ca="1" si="111"/>
        <v>1.5085391207027997E-2</v>
      </c>
    </row>
    <row r="3459" spans="2:8" x14ac:dyDescent="0.3">
      <c r="B3459" s="4">
        <v>38195</v>
      </c>
      <c r="C3459" s="7">
        <v>24.14</v>
      </c>
      <c r="D3459" s="6">
        <f t="shared" si="110"/>
        <v>-0.94490471299783185</v>
      </c>
      <c r="E3459" s="6">
        <v>-1.6542597187758125E-3</v>
      </c>
      <c r="F3459" s="6"/>
      <c r="G3459" s="6">
        <v>3452</v>
      </c>
      <c r="H3459" s="6">
        <f t="shared" ca="1" si="111"/>
        <v>-1.3882239892250717E-2</v>
      </c>
    </row>
    <row r="3460" spans="2:8" x14ac:dyDescent="0.3">
      <c r="B3460" s="4">
        <v>41541</v>
      </c>
      <c r="C3460" s="7">
        <v>438.15</v>
      </c>
      <c r="D3460" s="6">
        <f t="shared" si="110"/>
        <v>3.3023369992144533</v>
      </c>
      <c r="E3460" s="6">
        <v>-1.6633248268319773E-3</v>
      </c>
      <c r="F3460" s="6"/>
      <c r="G3460" s="6">
        <v>3453</v>
      </c>
      <c r="H3460" s="6">
        <f t="shared" ca="1" si="111"/>
        <v>2.1887418719654224E-2</v>
      </c>
    </row>
    <row r="3461" spans="2:8" x14ac:dyDescent="0.3">
      <c r="B3461" s="4">
        <v>39681</v>
      </c>
      <c r="C3461" s="7">
        <v>101.84</v>
      </c>
      <c r="D3461" s="6">
        <f t="shared" si="110"/>
        <v>-0.87227050958849128</v>
      </c>
      <c r="E3461" s="6">
        <v>-1.6665032839917821E-3</v>
      </c>
      <c r="F3461" s="6"/>
      <c r="G3461" s="6">
        <v>3454</v>
      </c>
      <c r="H3461" s="6">
        <f t="shared" ca="1" si="111"/>
        <v>1.2647567101162938E-2</v>
      </c>
    </row>
    <row r="3462" spans="2:8" x14ac:dyDescent="0.3">
      <c r="B3462" s="4">
        <v>42492</v>
      </c>
      <c r="C3462" s="7">
        <v>797.31</v>
      </c>
      <c r="D3462" s="6">
        <f t="shared" si="110"/>
        <v>13.942091454272862</v>
      </c>
      <c r="E3462" s="6">
        <v>-1.6778313403869429E-3</v>
      </c>
      <c r="F3462" s="6"/>
      <c r="G3462" s="6">
        <v>3455</v>
      </c>
      <c r="H3462" s="6">
        <f t="shared" ca="1" si="111"/>
        <v>-2.7760001202614702E-2</v>
      </c>
    </row>
    <row r="3463" spans="2:8" x14ac:dyDescent="0.3">
      <c r="B3463" s="4">
        <v>38793</v>
      </c>
      <c r="C3463" s="7">
        <v>53.36</v>
      </c>
      <c r="D3463" s="6">
        <f t="shared" si="110"/>
        <v>-0.98098821383271329</v>
      </c>
      <c r="E3463" s="6">
        <v>-1.6838166510758355E-3</v>
      </c>
      <c r="F3463" s="6"/>
      <c r="G3463" s="6">
        <v>3456</v>
      </c>
      <c r="H3463" s="6">
        <f t="shared" ca="1" si="111"/>
        <v>1.3066196877417014E-3</v>
      </c>
    </row>
    <row r="3464" spans="2:8" x14ac:dyDescent="0.3">
      <c r="B3464" s="4">
        <v>45385</v>
      </c>
      <c r="C3464" s="5">
        <v>2806.68</v>
      </c>
      <c r="D3464" s="6">
        <f t="shared" ref="D3464:D3527" si="112">((C3464-C3465)/C3465)</f>
        <v>1.5373182903015836</v>
      </c>
      <c r="E3464" s="6">
        <v>-1.6859807499413949E-3</v>
      </c>
      <c r="F3464" s="6"/>
      <c r="G3464" s="6">
        <v>3457</v>
      </c>
      <c r="H3464" s="6">
        <f t="shared" ca="1" si="111"/>
        <v>-4.630931419192086E-3</v>
      </c>
    </row>
    <row r="3465" spans="2:8" x14ac:dyDescent="0.3">
      <c r="B3465" s="4">
        <v>43038</v>
      </c>
      <c r="C3465" s="5">
        <v>1106.1600000000001</v>
      </c>
      <c r="D3465" s="6">
        <f t="shared" si="112"/>
        <v>61.494915254237291</v>
      </c>
      <c r="E3465" s="6">
        <v>-1.6876799364637157E-3</v>
      </c>
      <c r="F3465" s="6"/>
      <c r="G3465" s="6">
        <v>3458</v>
      </c>
      <c r="H3465" s="6">
        <f t="shared" ref="H3465:H3528" ca="1" si="113">_xlfn.NORM.INV(RAND(),N$10,N$11)</f>
        <v>-1.6275157637951319E-2</v>
      </c>
    </row>
    <row r="3466" spans="2:8" x14ac:dyDescent="0.3">
      <c r="B3466" s="4">
        <v>37448</v>
      </c>
      <c r="C3466" s="7">
        <v>17.7</v>
      </c>
      <c r="D3466" s="6">
        <f t="shared" si="112"/>
        <v>-0.98399392311657308</v>
      </c>
      <c r="E3466" s="6">
        <v>-1.6920473773266293E-3</v>
      </c>
      <c r="F3466" s="6"/>
      <c r="G3466" s="6">
        <v>3459</v>
      </c>
      <c r="H3466" s="6">
        <f t="shared" ca="1" si="113"/>
        <v>5.5447795334176622E-3</v>
      </c>
    </row>
    <row r="3467" spans="2:8" x14ac:dyDescent="0.3">
      <c r="B3467" s="4">
        <v>43055</v>
      </c>
      <c r="C3467" s="5">
        <v>1105.83</v>
      </c>
      <c r="D3467" s="6">
        <f t="shared" si="112"/>
        <v>-0.11159046540213548</v>
      </c>
      <c r="E3467" s="6">
        <v>-1.6971951142448014E-3</v>
      </c>
      <c r="F3467" s="6"/>
      <c r="G3467" s="6">
        <v>3460</v>
      </c>
      <c r="H3467" s="6">
        <f t="shared" ca="1" si="113"/>
        <v>-1.2524194197924474E-3</v>
      </c>
    </row>
    <row r="3468" spans="2:8" x14ac:dyDescent="0.3">
      <c r="B3468" s="4">
        <v>43419</v>
      </c>
      <c r="C3468" s="5">
        <v>1244.73</v>
      </c>
      <c r="D3468" s="6">
        <f t="shared" si="112"/>
        <v>29.523050514958314</v>
      </c>
      <c r="E3468" s="6">
        <v>-1.7082912275635451E-3</v>
      </c>
      <c r="F3468" s="6"/>
      <c r="G3468" s="6">
        <v>3461</v>
      </c>
      <c r="H3468" s="6">
        <f t="shared" ca="1" si="113"/>
        <v>1.4587056220467418E-2</v>
      </c>
    </row>
    <row r="3469" spans="2:8" x14ac:dyDescent="0.3">
      <c r="B3469" s="4">
        <v>38623</v>
      </c>
      <c r="C3469" s="7">
        <v>40.78</v>
      </c>
      <c r="D3469" s="6">
        <f t="shared" si="112"/>
        <v>-0.91825689544579869</v>
      </c>
      <c r="E3469" s="6">
        <v>-1.7135862913096765E-3</v>
      </c>
      <c r="F3469" s="6"/>
      <c r="G3469" s="6">
        <v>3462</v>
      </c>
      <c r="H3469" s="6">
        <f t="shared" ca="1" si="113"/>
        <v>6.4027830097828546E-3</v>
      </c>
    </row>
    <row r="3470" spans="2:8" x14ac:dyDescent="0.3">
      <c r="B3470" s="4">
        <v>41585</v>
      </c>
      <c r="C3470" s="7">
        <v>498.88</v>
      </c>
      <c r="D3470" s="6">
        <f t="shared" si="112"/>
        <v>0.26731868411025028</v>
      </c>
      <c r="E3470" s="6">
        <v>-1.7208948653299988E-3</v>
      </c>
      <c r="F3470" s="6"/>
      <c r="G3470" s="6">
        <v>3463</v>
      </c>
      <c r="H3470" s="6">
        <f t="shared" ca="1" si="113"/>
        <v>2.9692661137664458E-3</v>
      </c>
    </row>
    <row r="3471" spans="2:8" x14ac:dyDescent="0.3">
      <c r="B3471" s="4">
        <v>41281</v>
      </c>
      <c r="C3471" s="7">
        <v>393.65</v>
      </c>
      <c r="D3471" s="6">
        <f t="shared" si="112"/>
        <v>1.525178010135352</v>
      </c>
      <c r="E3471" s="6">
        <v>-1.7244439936094308E-3</v>
      </c>
      <c r="F3471" s="6"/>
      <c r="G3471" s="6">
        <v>3464</v>
      </c>
      <c r="H3471" s="6">
        <f t="shared" ca="1" si="113"/>
        <v>1.1508802114101159E-2</v>
      </c>
    </row>
    <row r="3472" spans="2:8" x14ac:dyDescent="0.3">
      <c r="B3472" s="4">
        <v>40189</v>
      </c>
      <c r="C3472" s="7">
        <v>155.88999999999999</v>
      </c>
      <c r="D3472" s="6">
        <f t="shared" si="112"/>
        <v>2.8788255785021146</v>
      </c>
      <c r="E3472" s="6">
        <v>-1.7289959016394097E-3</v>
      </c>
      <c r="F3472" s="6"/>
      <c r="G3472" s="6">
        <v>3465</v>
      </c>
      <c r="H3472" s="6">
        <f t="shared" ca="1" si="113"/>
        <v>1.8709038875482156E-2</v>
      </c>
    </row>
    <row r="3473" spans="2:8" x14ac:dyDescent="0.3">
      <c r="B3473" s="4">
        <v>38636</v>
      </c>
      <c r="C3473" s="7">
        <v>40.19</v>
      </c>
      <c r="D3473" s="6">
        <f t="shared" si="112"/>
        <v>-0.98607202761335755</v>
      </c>
      <c r="E3473" s="6">
        <v>-1.7386984600099426E-3</v>
      </c>
      <c r="F3473" s="6"/>
      <c r="G3473" s="6">
        <v>3466</v>
      </c>
      <c r="H3473" s="6">
        <f t="shared" ca="1" si="113"/>
        <v>-1.5433927597512805E-2</v>
      </c>
    </row>
    <row r="3474" spans="2:8" x14ac:dyDescent="0.3">
      <c r="B3474" s="4">
        <v>45226</v>
      </c>
      <c r="C3474" s="5">
        <v>2885.56</v>
      </c>
      <c r="D3474" s="6">
        <f t="shared" si="112"/>
        <v>70.95910224438903</v>
      </c>
      <c r="E3474" s="6">
        <v>-1.7401291777803839E-3</v>
      </c>
      <c r="F3474" s="6"/>
      <c r="G3474" s="6">
        <v>3467</v>
      </c>
      <c r="H3474" s="6">
        <f t="shared" ca="1" si="113"/>
        <v>1.961526167316752E-2</v>
      </c>
    </row>
    <row r="3475" spans="2:8" x14ac:dyDescent="0.3">
      <c r="B3475" s="4">
        <v>38644</v>
      </c>
      <c r="C3475" s="7">
        <v>40.1</v>
      </c>
      <c r="D3475" s="6">
        <f t="shared" si="112"/>
        <v>-0.985542985283408</v>
      </c>
      <c r="E3475" s="6">
        <v>-1.7425939756036913E-3</v>
      </c>
      <c r="F3475" s="6"/>
      <c r="G3475" s="6">
        <v>3468</v>
      </c>
      <c r="H3475" s="6">
        <f t="shared" ca="1" si="113"/>
        <v>-4.6960688731226123E-4</v>
      </c>
    </row>
    <row r="3476" spans="2:8" x14ac:dyDescent="0.3">
      <c r="B3476" s="4">
        <v>44993</v>
      </c>
      <c r="C3476" s="5">
        <v>2773.74</v>
      </c>
      <c r="D3476" s="6">
        <f t="shared" si="112"/>
        <v>11.773970710140924</v>
      </c>
      <c r="E3476" s="6">
        <v>-1.7454896188355833E-3</v>
      </c>
      <c r="F3476" s="6"/>
      <c r="G3476" s="6">
        <v>3469</v>
      </c>
      <c r="H3476" s="6">
        <f t="shared" ca="1" si="113"/>
        <v>-4.7905319258032516E-3</v>
      </c>
    </row>
    <row r="3477" spans="2:8" x14ac:dyDescent="0.3">
      <c r="B3477" s="4">
        <v>40583</v>
      </c>
      <c r="C3477" s="7">
        <v>217.14</v>
      </c>
      <c r="D3477" s="6">
        <f t="shared" si="112"/>
        <v>-7.2011624428394469E-2</v>
      </c>
      <c r="E3477" s="6">
        <v>-1.7469657962487304E-3</v>
      </c>
      <c r="F3477" s="6"/>
      <c r="G3477" s="6">
        <v>3470</v>
      </c>
      <c r="H3477" s="6">
        <f t="shared" ca="1" si="113"/>
        <v>-9.0069619933362474E-3</v>
      </c>
    </row>
    <row r="3478" spans="2:8" x14ac:dyDescent="0.3">
      <c r="B3478" s="4">
        <v>40402</v>
      </c>
      <c r="C3478" s="7">
        <v>233.99</v>
      </c>
      <c r="D3478" s="6">
        <f t="shared" si="112"/>
        <v>-0.92257575657306967</v>
      </c>
      <c r="E3478" s="6">
        <v>-1.7491467576791662E-3</v>
      </c>
      <c r="F3478" s="6"/>
      <c r="G3478" s="6">
        <v>3471</v>
      </c>
      <c r="H3478" s="6">
        <f t="shared" ca="1" si="113"/>
        <v>-3.4348153788547591E-3</v>
      </c>
    </row>
    <row r="3479" spans="2:8" x14ac:dyDescent="0.3">
      <c r="B3479" s="4">
        <v>44531</v>
      </c>
      <c r="C3479" s="5">
        <v>3022.18</v>
      </c>
      <c r="D3479" s="6">
        <f t="shared" si="112"/>
        <v>105.22776801405976</v>
      </c>
      <c r="E3479" s="6">
        <v>-1.750630887735074E-3</v>
      </c>
      <c r="F3479" s="6"/>
      <c r="G3479" s="6">
        <v>3472</v>
      </c>
      <c r="H3479" s="6">
        <f t="shared" ca="1" si="113"/>
        <v>2.0420491616514012E-2</v>
      </c>
    </row>
    <row r="3480" spans="2:8" x14ac:dyDescent="0.3">
      <c r="B3480" s="4">
        <v>38399</v>
      </c>
      <c r="C3480" s="7">
        <v>28.45</v>
      </c>
      <c r="D3480" s="6">
        <f t="shared" si="112"/>
        <v>-0.98833978163218472</v>
      </c>
      <c r="E3480" s="6">
        <v>-1.7543859649123057E-3</v>
      </c>
      <c r="F3480" s="6"/>
      <c r="G3480" s="6">
        <v>3473</v>
      </c>
      <c r="H3480" s="6">
        <f t="shared" ca="1" si="113"/>
        <v>6.5146703043164013E-3</v>
      </c>
    </row>
    <row r="3481" spans="2:8" x14ac:dyDescent="0.3">
      <c r="B3481" s="4">
        <v>45609</v>
      </c>
      <c r="C3481" s="5">
        <v>2439.92</v>
      </c>
      <c r="D3481" s="6">
        <f t="shared" si="112"/>
        <v>8.7714056868241901</v>
      </c>
      <c r="E3481" s="6">
        <v>-1.7551683365995409E-3</v>
      </c>
      <c r="F3481" s="6"/>
      <c r="G3481" s="6">
        <v>3474</v>
      </c>
      <c r="H3481" s="6">
        <f t="shared" ca="1" si="113"/>
        <v>8.3090995903798426E-3</v>
      </c>
    </row>
    <row r="3482" spans="2:8" x14ac:dyDescent="0.3">
      <c r="B3482" s="4">
        <v>40436</v>
      </c>
      <c r="C3482" s="7">
        <v>249.7</v>
      </c>
      <c r="D3482" s="6">
        <f t="shared" si="112"/>
        <v>-0.76938777395014635</v>
      </c>
      <c r="E3482" s="6">
        <v>-1.7590149516270798E-3</v>
      </c>
      <c r="F3482" s="6"/>
      <c r="G3482" s="6">
        <v>3475</v>
      </c>
      <c r="H3482" s="6">
        <f t="shared" ca="1" si="113"/>
        <v>4.9216696001309471E-2</v>
      </c>
    </row>
    <row r="3483" spans="2:8" x14ac:dyDescent="0.3">
      <c r="B3483" s="4">
        <v>42864</v>
      </c>
      <c r="C3483" s="5">
        <v>1082.77</v>
      </c>
      <c r="D3483" s="6">
        <f t="shared" si="112"/>
        <v>-0.17251683212203195</v>
      </c>
      <c r="E3483" s="6">
        <v>-1.7608880038353079E-3</v>
      </c>
      <c r="F3483" s="6"/>
      <c r="G3483" s="6">
        <v>3476</v>
      </c>
      <c r="H3483" s="6">
        <f t="shared" ca="1" si="113"/>
        <v>9.0554484714752033E-3</v>
      </c>
    </row>
    <row r="3484" spans="2:8" x14ac:dyDescent="0.3">
      <c r="B3484" s="4">
        <v>43469</v>
      </c>
      <c r="C3484" s="5">
        <v>1308.51</v>
      </c>
      <c r="D3484" s="6">
        <f t="shared" si="112"/>
        <v>-0.22534410798330526</v>
      </c>
      <c r="E3484" s="6">
        <v>-1.7698709977647265E-3</v>
      </c>
      <c r="F3484" s="6"/>
      <c r="G3484" s="6">
        <v>3477</v>
      </c>
      <c r="H3484" s="6">
        <f t="shared" ca="1" si="113"/>
        <v>2.5173742277852781E-2</v>
      </c>
    </row>
    <row r="3485" spans="2:8" x14ac:dyDescent="0.3">
      <c r="B3485" s="4">
        <v>43853</v>
      </c>
      <c r="C3485" s="5">
        <v>1689.15</v>
      </c>
      <c r="D3485" s="6">
        <f t="shared" si="112"/>
        <v>-0.38441382376629474</v>
      </c>
      <c r="E3485" s="6">
        <v>-1.7728924740714476E-3</v>
      </c>
      <c r="F3485" s="6"/>
      <c r="G3485" s="6">
        <v>3478</v>
      </c>
      <c r="H3485" s="6">
        <f t="shared" ca="1" si="113"/>
        <v>-3.4379085869066517E-2</v>
      </c>
    </row>
    <row r="3486" spans="2:8" x14ac:dyDescent="0.3">
      <c r="B3486" s="4">
        <v>44988</v>
      </c>
      <c r="C3486" s="5">
        <v>2743.97</v>
      </c>
      <c r="D3486" s="6">
        <f t="shared" si="112"/>
        <v>53.368337626312659</v>
      </c>
      <c r="E3486" s="6">
        <v>-1.7789192610756194E-3</v>
      </c>
      <c r="F3486" s="6"/>
      <c r="G3486" s="6">
        <v>3479</v>
      </c>
      <c r="H3486" s="6">
        <f t="shared" ca="1" si="113"/>
        <v>6.4674974015789194E-3</v>
      </c>
    </row>
    <row r="3487" spans="2:8" x14ac:dyDescent="0.3">
      <c r="B3487" s="4">
        <v>38831</v>
      </c>
      <c r="C3487" s="7">
        <v>50.47</v>
      </c>
      <c r="D3487" s="6">
        <f t="shared" si="112"/>
        <v>-0.9389957936469564</v>
      </c>
      <c r="E3487" s="6">
        <v>-1.7800632911393079E-3</v>
      </c>
      <c r="F3487" s="6"/>
      <c r="G3487" s="6">
        <v>3480</v>
      </c>
      <c r="H3487" s="6">
        <f t="shared" ca="1" si="113"/>
        <v>1.2688513920207625E-3</v>
      </c>
    </row>
    <row r="3488" spans="2:8" x14ac:dyDescent="0.3">
      <c r="B3488" s="4">
        <v>42235</v>
      </c>
      <c r="C3488" s="7">
        <v>827.32</v>
      </c>
      <c r="D3488" s="6">
        <f t="shared" si="112"/>
        <v>8.1365103846706838E-2</v>
      </c>
      <c r="E3488" s="6">
        <v>-1.7857142857141705E-3</v>
      </c>
      <c r="F3488" s="6"/>
      <c r="G3488" s="6">
        <v>3481</v>
      </c>
      <c r="H3488" s="6">
        <f t="shared" ca="1" si="113"/>
        <v>-3.5461091039845957E-3</v>
      </c>
    </row>
    <row r="3489" spans="2:8" x14ac:dyDescent="0.3">
      <c r="B3489" s="4">
        <v>42067</v>
      </c>
      <c r="C3489" s="7">
        <v>765.07</v>
      </c>
      <c r="D3489" s="6">
        <f t="shared" si="112"/>
        <v>1.2119521221232799</v>
      </c>
      <c r="E3489" s="6">
        <v>-1.7874849955639117E-3</v>
      </c>
      <c r="F3489" s="6"/>
      <c r="G3489" s="6">
        <v>3482</v>
      </c>
      <c r="H3489" s="6">
        <f t="shared" ca="1" si="113"/>
        <v>-2.5793353278858941E-3</v>
      </c>
    </row>
    <row r="3490" spans="2:8" x14ac:dyDescent="0.3">
      <c r="B3490" s="4">
        <v>41074</v>
      </c>
      <c r="C3490" s="7">
        <v>345.88</v>
      </c>
      <c r="D3490" s="6">
        <f t="shared" si="112"/>
        <v>-0.89573291129700805</v>
      </c>
      <c r="E3490" s="6">
        <v>-1.8181293469163818E-3</v>
      </c>
      <c r="F3490" s="6"/>
      <c r="G3490" s="6">
        <v>3483</v>
      </c>
      <c r="H3490" s="6">
        <f t="shared" ca="1" si="113"/>
        <v>-5.0071959175676285E-3</v>
      </c>
    </row>
    <row r="3491" spans="2:8" x14ac:dyDescent="0.3">
      <c r="B3491" s="4">
        <v>44809</v>
      </c>
      <c r="C3491" s="5">
        <v>3317.25</v>
      </c>
      <c r="D3491" s="6">
        <f t="shared" si="112"/>
        <v>1.5750848076012451</v>
      </c>
      <c r="E3491" s="6">
        <v>-1.8204796437276747E-3</v>
      </c>
      <c r="F3491" s="6"/>
      <c r="G3491" s="6">
        <v>3484</v>
      </c>
      <c r="H3491" s="6">
        <f t="shared" ca="1" si="113"/>
        <v>-6.007893826390171E-3</v>
      </c>
    </row>
    <row r="3492" spans="2:8" x14ac:dyDescent="0.3">
      <c r="B3492" s="4">
        <v>43613</v>
      </c>
      <c r="C3492" s="5">
        <v>1288.21</v>
      </c>
      <c r="D3492" s="6">
        <f t="shared" si="112"/>
        <v>77.693341478313997</v>
      </c>
      <c r="E3492" s="6">
        <v>-1.8286493564858165E-3</v>
      </c>
      <c r="F3492" s="6"/>
      <c r="G3492" s="6">
        <v>3485</v>
      </c>
      <c r="H3492" s="6">
        <f t="shared" ca="1" si="113"/>
        <v>5.2034268907934908E-3</v>
      </c>
    </row>
    <row r="3493" spans="2:8" x14ac:dyDescent="0.3">
      <c r="B3493" s="4">
        <v>37607</v>
      </c>
      <c r="C3493" s="7">
        <v>16.37</v>
      </c>
      <c r="D3493" s="6">
        <f t="shared" si="112"/>
        <v>-0.98999468257412315</v>
      </c>
      <c r="E3493" s="6">
        <v>-1.8292682926827797E-3</v>
      </c>
      <c r="F3493" s="6"/>
      <c r="G3493" s="6">
        <v>3486</v>
      </c>
      <c r="H3493" s="6">
        <f t="shared" ca="1" si="113"/>
        <v>2.7131327392291203E-2</v>
      </c>
    </row>
    <row r="3494" spans="2:8" x14ac:dyDescent="0.3">
      <c r="B3494" s="4">
        <v>43790</v>
      </c>
      <c r="C3494" s="5">
        <v>1636.13</v>
      </c>
      <c r="D3494" s="6">
        <f t="shared" si="112"/>
        <v>-0.28260364369806851</v>
      </c>
      <c r="E3494" s="6">
        <v>-1.830239212265043E-3</v>
      </c>
      <c r="F3494" s="6"/>
      <c r="G3494" s="6">
        <v>3487</v>
      </c>
      <c r="H3494" s="6">
        <f t="shared" ca="1" si="113"/>
        <v>-2.2252724586360644E-3</v>
      </c>
    </row>
    <row r="3495" spans="2:8" x14ac:dyDescent="0.3">
      <c r="B3495" s="4">
        <v>44263</v>
      </c>
      <c r="C3495" s="5">
        <v>2280.65</v>
      </c>
      <c r="D3495" s="6">
        <f t="shared" si="112"/>
        <v>27.107591816613265</v>
      </c>
      <c r="E3495" s="6">
        <v>-1.8425636581672559E-3</v>
      </c>
      <c r="F3495" s="6"/>
      <c r="G3495" s="6">
        <v>3488</v>
      </c>
      <c r="H3495" s="6">
        <f t="shared" ca="1" si="113"/>
        <v>-1.447972415387578E-2</v>
      </c>
    </row>
    <row r="3496" spans="2:8" x14ac:dyDescent="0.3">
      <c r="B3496" s="4">
        <v>39371</v>
      </c>
      <c r="C3496" s="7">
        <v>81.14</v>
      </c>
      <c r="D3496" s="6">
        <f t="shared" si="112"/>
        <v>-0.65821398483572024</v>
      </c>
      <c r="E3496" s="6">
        <v>-1.845245417640616E-3</v>
      </c>
      <c r="F3496" s="6"/>
      <c r="G3496" s="6">
        <v>3489</v>
      </c>
      <c r="H3496" s="6">
        <f t="shared" ca="1" si="113"/>
        <v>-1.115597639903248E-2</v>
      </c>
    </row>
    <row r="3497" spans="2:8" x14ac:dyDescent="0.3">
      <c r="B3497" s="4">
        <v>40528</v>
      </c>
      <c r="C3497" s="7">
        <v>237.4</v>
      </c>
      <c r="D3497" s="6">
        <f t="shared" si="112"/>
        <v>-0.91756400595872645</v>
      </c>
      <c r="E3497" s="6">
        <v>-1.8499831819710634E-3</v>
      </c>
      <c r="F3497" s="6"/>
      <c r="G3497" s="6">
        <v>3490</v>
      </c>
      <c r="H3497" s="6">
        <f t="shared" ca="1" si="113"/>
        <v>5.6970497512271569E-3</v>
      </c>
    </row>
    <row r="3498" spans="2:8" x14ac:dyDescent="0.3">
      <c r="B3498" s="4">
        <v>44390</v>
      </c>
      <c r="C3498" s="5">
        <v>2879.81</v>
      </c>
      <c r="D3498" s="6">
        <f t="shared" si="112"/>
        <v>-0.13308869569405649</v>
      </c>
      <c r="E3498" s="6">
        <v>-1.8508569745074417E-3</v>
      </c>
      <c r="F3498" s="6"/>
      <c r="G3498" s="6">
        <v>3491</v>
      </c>
      <c r="H3498" s="6">
        <f t="shared" ca="1" si="113"/>
        <v>-6.1661428277459815E-3</v>
      </c>
    </row>
    <row r="3499" spans="2:8" x14ac:dyDescent="0.3">
      <c r="B3499" s="4">
        <v>45292</v>
      </c>
      <c r="C3499" s="5">
        <v>3321.92</v>
      </c>
      <c r="D3499" s="6">
        <f t="shared" si="112"/>
        <v>204.94668319900808</v>
      </c>
      <c r="E3499" s="6">
        <v>-1.8509170452632913E-3</v>
      </c>
      <c r="F3499" s="6"/>
      <c r="G3499" s="6">
        <v>3492</v>
      </c>
      <c r="H3499" s="6">
        <f t="shared" ca="1" si="113"/>
        <v>-3.1862237461781753E-2</v>
      </c>
    </row>
    <row r="3500" spans="2:8" x14ac:dyDescent="0.3">
      <c r="B3500" s="4">
        <v>37727</v>
      </c>
      <c r="C3500" s="7">
        <v>16.13</v>
      </c>
      <c r="D3500" s="6">
        <f t="shared" si="112"/>
        <v>-0.66597639262787323</v>
      </c>
      <c r="E3500" s="6">
        <v>-1.8564356435644268E-3</v>
      </c>
      <c r="F3500" s="6"/>
      <c r="G3500" s="6">
        <v>3493</v>
      </c>
      <c r="H3500" s="6">
        <f t="shared" ca="1" si="113"/>
        <v>4.4538878110592841E-3</v>
      </c>
    </row>
    <row r="3501" spans="2:8" x14ac:dyDescent="0.3">
      <c r="B3501" s="4">
        <v>38742</v>
      </c>
      <c r="C3501" s="7">
        <v>48.29</v>
      </c>
      <c r="D3501" s="6">
        <f t="shared" si="112"/>
        <v>1.2533831077928137</v>
      </c>
      <c r="E3501" s="6">
        <v>-1.8602728400166062E-3</v>
      </c>
      <c r="F3501" s="6"/>
      <c r="G3501" s="6">
        <v>3494</v>
      </c>
      <c r="H3501" s="6">
        <f t="shared" ca="1" si="113"/>
        <v>-6.4065949765207278E-3</v>
      </c>
    </row>
    <row r="3502" spans="2:8" x14ac:dyDescent="0.3">
      <c r="B3502" s="4">
        <v>37922</v>
      </c>
      <c r="C3502" s="7">
        <v>21.43</v>
      </c>
      <c r="D3502" s="6">
        <f t="shared" si="112"/>
        <v>-0.99230714003661558</v>
      </c>
      <c r="E3502" s="6">
        <v>-1.8630647414997275E-3</v>
      </c>
      <c r="F3502" s="6"/>
      <c r="G3502" s="6">
        <v>3495</v>
      </c>
      <c r="H3502" s="6">
        <f t="shared" ca="1" si="113"/>
        <v>1.4936813614728952E-2</v>
      </c>
    </row>
    <row r="3503" spans="2:8" x14ac:dyDescent="0.3">
      <c r="B3503" s="4">
        <v>46008</v>
      </c>
      <c r="C3503" s="5">
        <v>2785.7</v>
      </c>
      <c r="D3503" s="6">
        <f t="shared" si="112"/>
        <v>2.0369291854847156E-2</v>
      </c>
      <c r="E3503" s="6">
        <v>-1.8631982514602003E-3</v>
      </c>
      <c r="F3503" s="6"/>
      <c r="G3503" s="6">
        <v>3496</v>
      </c>
      <c r="H3503" s="6">
        <f t="shared" ca="1" si="113"/>
        <v>9.2860934007306193E-3</v>
      </c>
    </row>
    <row r="3504" spans="2:8" x14ac:dyDescent="0.3">
      <c r="B3504" s="4">
        <v>44708</v>
      </c>
      <c r="C3504" s="5">
        <v>2730.09</v>
      </c>
      <c r="D3504" s="6">
        <f t="shared" si="112"/>
        <v>-0.17226355714831457</v>
      </c>
      <c r="E3504" s="6">
        <v>-1.8645871036381053E-3</v>
      </c>
      <c r="F3504" s="6"/>
      <c r="G3504" s="6">
        <v>3497</v>
      </c>
      <c r="H3504" s="6">
        <f t="shared" ca="1" si="113"/>
        <v>2.0519398378797387E-2</v>
      </c>
    </row>
    <row r="3505" spans="2:8" x14ac:dyDescent="0.3">
      <c r="B3505" s="4">
        <v>44784</v>
      </c>
      <c r="C3505" s="5">
        <v>3298.26</v>
      </c>
      <c r="D3505" s="6">
        <f t="shared" si="112"/>
        <v>47.241333918385259</v>
      </c>
      <c r="E3505" s="6">
        <v>-1.8913545427309947E-3</v>
      </c>
      <c r="F3505" s="6"/>
      <c r="G3505" s="6">
        <v>3498</v>
      </c>
      <c r="H3505" s="6">
        <f t="shared" ca="1" si="113"/>
        <v>-1.2897879020096899E-2</v>
      </c>
    </row>
    <row r="3506" spans="2:8" x14ac:dyDescent="0.3">
      <c r="B3506" s="4">
        <v>39225</v>
      </c>
      <c r="C3506" s="7">
        <v>68.37</v>
      </c>
      <c r="D3506" s="6">
        <f t="shared" si="112"/>
        <v>-0.97871485943775105</v>
      </c>
      <c r="E3506" s="6">
        <v>-1.8978102189780358E-3</v>
      </c>
      <c r="F3506" s="6"/>
      <c r="G3506" s="6">
        <v>3499</v>
      </c>
      <c r="H3506" s="6">
        <f t="shared" ca="1" si="113"/>
        <v>-1.3616726732537308E-2</v>
      </c>
    </row>
    <row r="3507" spans="2:8" x14ac:dyDescent="0.3">
      <c r="B3507" s="4">
        <v>44823</v>
      </c>
      <c r="C3507" s="5">
        <v>3212.1</v>
      </c>
      <c r="D3507" s="6">
        <f t="shared" si="112"/>
        <v>2.2294096356470683</v>
      </c>
      <c r="E3507" s="6">
        <v>-1.8985709447177552E-3</v>
      </c>
      <c r="F3507" s="6"/>
      <c r="G3507" s="6">
        <v>3500</v>
      </c>
      <c r="H3507" s="6">
        <f t="shared" ca="1" si="113"/>
        <v>-5.0888864176665445E-4</v>
      </c>
    </row>
    <row r="3508" spans="2:8" x14ac:dyDescent="0.3">
      <c r="B3508" s="4">
        <v>42837</v>
      </c>
      <c r="C3508" s="7">
        <v>994.64</v>
      </c>
      <c r="D3508" s="6">
        <f t="shared" si="112"/>
        <v>37.006878104700036</v>
      </c>
      <c r="E3508" s="6">
        <v>-1.9065968250145276E-3</v>
      </c>
      <c r="F3508" s="6"/>
      <c r="G3508" s="6">
        <v>3501</v>
      </c>
      <c r="H3508" s="6">
        <f t="shared" ca="1" si="113"/>
        <v>9.5607916650832375E-3</v>
      </c>
    </row>
    <row r="3509" spans="2:8" x14ac:dyDescent="0.3">
      <c r="B3509" s="4">
        <v>38013</v>
      </c>
      <c r="C3509" s="7">
        <v>26.17</v>
      </c>
      <c r="D3509" s="6">
        <f t="shared" si="112"/>
        <v>-0.96063063198591914</v>
      </c>
      <c r="E3509" s="6">
        <v>-1.9069412662088925E-3</v>
      </c>
      <c r="F3509" s="6"/>
      <c r="G3509" s="6">
        <v>3502</v>
      </c>
      <c r="H3509" s="6">
        <f t="shared" ca="1" si="113"/>
        <v>-2.8306926093113133E-3</v>
      </c>
    </row>
    <row r="3510" spans="2:8" x14ac:dyDescent="0.3">
      <c r="B3510" s="4">
        <v>41999</v>
      </c>
      <c r="C3510" s="7">
        <v>664.73</v>
      </c>
      <c r="D3510" s="6">
        <f t="shared" si="112"/>
        <v>8.8580750407830333</v>
      </c>
      <c r="E3510" s="6">
        <v>-1.9218930646686576E-3</v>
      </c>
      <c r="F3510" s="6"/>
      <c r="G3510" s="6">
        <v>3503</v>
      </c>
      <c r="H3510" s="6">
        <f t="shared" ca="1" si="113"/>
        <v>-1.4613993431268169E-2</v>
      </c>
    </row>
    <row r="3511" spans="2:8" x14ac:dyDescent="0.3">
      <c r="B3511" s="4">
        <v>39206</v>
      </c>
      <c r="C3511" s="7">
        <v>67.430000000000007</v>
      </c>
      <c r="D3511" s="6">
        <f t="shared" si="112"/>
        <v>-0.71086145534068002</v>
      </c>
      <c r="E3511" s="6">
        <v>-1.9242155121372919E-3</v>
      </c>
      <c r="F3511" s="6"/>
      <c r="G3511" s="6">
        <v>3504</v>
      </c>
      <c r="H3511" s="6">
        <f t="shared" ca="1" si="113"/>
        <v>-2.0669419616965581E-2</v>
      </c>
    </row>
    <row r="3512" spans="2:8" x14ac:dyDescent="0.3">
      <c r="B3512" s="4">
        <v>40498</v>
      </c>
      <c r="C3512" s="7">
        <v>233.21</v>
      </c>
      <c r="D3512" s="6">
        <f t="shared" si="112"/>
        <v>-0.7809288518984725</v>
      </c>
      <c r="E3512" s="6">
        <v>-1.9258752032867783E-3</v>
      </c>
      <c r="F3512" s="6"/>
      <c r="G3512" s="6">
        <v>3505</v>
      </c>
      <c r="H3512" s="6">
        <f t="shared" ca="1" si="113"/>
        <v>-3.0072734814502587E-2</v>
      </c>
    </row>
    <row r="3513" spans="2:8" x14ac:dyDescent="0.3">
      <c r="B3513" s="4">
        <v>43089</v>
      </c>
      <c r="C3513" s="5">
        <v>1064.54</v>
      </c>
      <c r="D3513" s="6">
        <f t="shared" si="112"/>
        <v>33.406593406593402</v>
      </c>
      <c r="E3513" s="6">
        <v>-1.9313707106693658E-3</v>
      </c>
      <c r="F3513" s="6"/>
      <c r="G3513" s="6">
        <v>3506</v>
      </c>
      <c r="H3513" s="6">
        <f t="shared" ca="1" si="113"/>
        <v>1.9444237833859089E-2</v>
      </c>
    </row>
    <row r="3514" spans="2:8" x14ac:dyDescent="0.3">
      <c r="B3514" s="4">
        <v>38433</v>
      </c>
      <c r="C3514" s="7">
        <v>30.94</v>
      </c>
      <c r="D3514" s="6">
        <f t="shared" si="112"/>
        <v>-0.888809027528211</v>
      </c>
      <c r="E3514" s="6">
        <v>-1.9354838709677007E-3</v>
      </c>
      <c r="F3514" s="6"/>
      <c r="G3514" s="6">
        <v>3507</v>
      </c>
      <c r="H3514" s="6">
        <f t="shared" ca="1" si="113"/>
        <v>2.5051233727552479E-2</v>
      </c>
    </row>
    <row r="3515" spans="2:8" x14ac:dyDescent="0.3">
      <c r="B3515" s="4">
        <v>40766</v>
      </c>
      <c r="C3515" s="7">
        <v>278.26</v>
      </c>
      <c r="D3515" s="6">
        <f t="shared" si="112"/>
        <v>-0.90711942027243997</v>
      </c>
      <c r="E3515" s="6">
        <v>-1.9368723098996429E-3</v>
      </c>
      <c r="F3515" s="6"/>
      <c r="G3515" s="6">
        <v>3508</v>
      </c>
      <c r="H3515" s="6">
        <f t="shared" ca="1" si="113"/>
        <v>-3.0270354578976831E-2</v>
      </c>
    </row>
    <row r="3516" spans="2:8" x14ac:dyDescent="0.3">
      <c r="B3516" s="4">
        <v>44589</v>
      </c>
      <c r="C3516" s="5">
        <v>2995.89</v>
      </c>
      <c r="D3516" s="6">
        <f t="shared" si="112"/>
        <v>24.729045001717623</v>
      </c>
      <c r="E3516" s="6">
        <v>-1.9555194286020017E-3</v>
      </c>
      <c r="F3516" s="6"/>
      <c r="G3516" s="6">
        <v>3509</v>
      </c>
      <c r="H3516" s="6">
        <f t="shared" ca="1" si="113"/>
        <v>9.5931115857091423E-3</v>
      </c>
    </row>
    <row r="3517" spans="2:8" x14ac:dyDescent="0.3">
      <c r="B3517" s="4">
        <v>40043</v>
      </c>
      <c r="C3517" s="7">
        <v>116.44</v>
      </c>
      <c r="D3517" s="6">
        <f t="shared" si="112"/>
        <v>-0.93084607252728979</v>
      </c>
      <c r="E3517" s="6">
        <v>-1.9713722465072767E-3</v>
      </c>
      <c r="F3517" s="6"/>
      <c r="G3517" s="6">
        <v>3510</v>
      </c>
      <c r="H3517" s="6">
        <f t="shared" ca="1" si="113"/>
        <v>-1.3790608475356375E-2</v>
      </c>
    </row>
    <row r="3518" spans="2:8" x14ac:dyDescent="0.3">
      <c r="B3518" s="4">
        <v>43782</v>
      </c>
      <c r="C3518" s="5">
        <v>1683.78</v>
      </c>
      <c r="D3518" s="6">
        <f t="shared" si="112"/>
        <v>65.843191742755053</v>
      </c>
      <c r="E3518" s="6">
        <v>-1.9737894980172764E-3</v>
      </c>
      <c r="F3518" s="6"/>
      <c r="G3518" s="6">
        <v>3511</v>
      </c>
      <c r="H3518" s="6">
        <f t="shared" ca="1" si="113"/>
        <v>2.2984186582546855E-2</v>
      </c>
    </row>
    <row r="3519" spans="2:8" x14ac:dyDescent="0.3">
      <c r="B3519" s="4">
        <v>38369</v>
      </c>
      <c r="C3519" s="7">
        <v>25.19</v>
      </c>
      <c r="D3519" s="6">
        <f t="shared" si="112"/>
        <v>-0.9679100104461259</v>
      </c>
      <c r="E3519" s="6">
        <v>-1.9809825673532946E-3</v>
      </c>
      <c r="F3519" s="6"/>
      <c r="G3519" s="6">
        <v>3512</v>
      </c>
      <c r="H3519" s="6">
        <f t="shared" ca="1" si="113"/>
        <v>5.93531165968437E-3</v>
      </c>
    </row>
    <row r="3520" spans="2:8" x14ac:dyDescent="0.3">
      <c r="B3520" s="4">
        <v>42283</v>
      </c>
      <c r="C3520" s="7">
        <v>784.98</v>
      </c>
      <c r="D3520" s="6">
        <f t="shared" si="112"/>
        <v>30.224343675417661</v>
      </c>
      <c r="E3520" s="6">
        <v>-1.9833702036767941E-3</v>
      </c>
      <c r="F3520" s="6"/>
      <c r="G3520" s="6">
        <v>3513</v>
      </c>
      <c r="H3520" s="6">
        <f t="shared" ca="1" si="113"/>
        <v>-1.0919257763015257E-2</v>
      </c>
    </row>
    <row r="3521" spans="2:8" x14ac:dyDescent="0.3">
      <c r="B3521" s="4">
        <v>38370</v>
      </c>
      <c r="C3521" s="7">
        <v>25.14</v>
      </c>
      <c r="D3521" s="6">
        <f t="shared" si="112"/>
        <v>-0.98755852048340631</v>
      </c>
      <c r="E3521" s="6">
        <v>-1.9849146486701354E-3</v>
      </c>
      <c r="F3521" s="6"/>
      <c r="G3521" s="6">
        <v>3514</v>
      </c>
      <c r="H3521" s="6">
        <f t="shared" ca="1" si="113"/>
        <v>1.2596052751011255E-2</v>
      </c>
    </row>
    <row r="3522" spans="2:8" x14ac:dyDescent="0.3">
      <c r="B3522" s="4">
        <v>44125</v>
      </c>
      <c r="C3522" s="5">
        <v>2020.66</v>
      </c>
      <c r="D3522" s="6">
        <f t="shared" si="112"/>
        <v>0.88276620327233435</v>
      </c>
      <c r="E3522" s="6">
        <v>-1.9854989430428422E-3</v>
      </c>
      <c r="F3522" s="6"/>
      <c r="G3522" s="6">
        <v>3515</v>
      </c>
      <c r="H3522" s="6">
        <f t="shared" ca="1" si="113"/>
        <v>-1.0362458485253096E-2</v>
      </c>
    </row>
    <row r="3523" spans="2:8" x14ac:dyDescent="0.3">
      <c r="B3523" s="4">
        <v>42955</v>
      </c>
      <c r="C3523" s="5">
        <v>1073.24</v>
      </c>
      <c r="D3523" s="6">
        <f t="shared" si="112"/>
        <v>18.645615961925682</v>
      </c>
      <c r="E3523" s="6">
        <v>-1.9992746817434517E-3</v>
      </c>
      <c r="F3523" s="6"/>
      <c r="G3523" s="6">
        <v>3516</v>
      </c>
      <c r="H3523" s="6">
        <f t="shared" ca="1" si="113"/>
        <v>-8.2094969526006201E-3</v>
      </c>
    </row>
    <row r="3524" spans="2:8" x14ac:dyDescent="0.3">
      <c r="B3524" s="4">
        <v>38981</v>
      </c>
      <c r="C3524" s="7">
        <v>54.63</v>
      </c>
      <c r="D3524" s="6">
        <f t="shared" si="112"/>
        <v>-0.88411607483772436</v>
      </c>
      <c r="E3524" s="6">
        <v>-2.0094994519546843E-3</v>
      </c>
      <c r="F3524" s="6"/>
      <c r="G3524" s="6">
        <v>3517</v>
      </c>
      <c r="H3524" s="6">
        <f t="shared" ca="1" si="113"/>
        <v>-2.1040794870394071E-2</v>
      </c>
    </row>
    <row r="3525" spans="2:8" x14ac:dyDescent="0.3">
      <c r="B3525" s="4">
        <v>41570</v>
      </c>
      <c r="C3525" s="7">
        <v>471.42</v>
      </c>
      <c r="D3525" s="6">
        <f t="shared" si="112"/>
        <v>-0.80463161733623978</v>
      </c>
      <c r="E3525" s="6">
        <v>-2.0111353388233559E-3</v>
      </c>
      <c r="F3525" s="6"/>
      <c r="G3525" s="6">
        <v>3518</v>
      </c>
      <c r="H3525" s="6">
        <f t="shared" ca="1" si="113"/>
        <v>1.1313949702001584E-2</v>
      </c>
    </row>
    <row r="3526" spans="2:8" x14ac:dyDescent="0.3">
      <c r="B3526" s="4">
        <v>44176</v>
      </c>
      <c r="C3526" s="5">
        <v>2412.98</v>
      </c>
      <c r="D3526" s="6">
        <f t="shared" si="112"/>
        <v>1.625772612518499</v>
      </c>
      <c r="E3526" s="6">
        <v>-2.0183137154343549E-3</v>
      </c>
      <c r="F3526" s="6"/>
      <c r="G3526" s="6">
        <v>3519</v>
      </c>
      <c r="H3526" s="6">
        <f t="shared" ca="1" si="113"/>
        <v>-1.3553872798584695E-3</v>
      </c>
    </row>
    <row r="3527" spans="2:8" x14ac:dyDescent="0.3">
      <c r="B3527" s="4">
        <v>42768</v>
      </c>
      <c r="C3527" s="7">
        <v>918.96</v>
      </c>
      <c r="D3527" s="6">
        <f t="shared" si="112"/>
        <v>14.512491559756921</v>
      </c>
      <c r="E3527" s="6">
        <v>-2.0199387502443621E-3</v>
      </c>
      <c r="F3527" s="6"/>
      <c r="G3527" s="6">
        <v>3520</v>
      </c>
      <c r="H3527" s="6">
        <f t="shared" ca="1" si="113"/>
        <v>2.1653300067414678E-2</v>
      </c>
    </row>
    <row r="3528" spans="2:8" x14ac:dyDescent="0.3">
      <c r="B3528" s="4">
        <v>39072</v>
      </c>
      <c r="C3528" s="7">
        <v>59.24</v>
      </c>
      <c r="D3528" s="6">
        <f t="shared" ref="D3528:D3591" si="114">((C3528-C3529)/C3529)</f>
        <v>6.7567567567566129E-4</v>
      </c>
      <c r="E3528" s="6">
        <v>-2.021563342318016E-3</v>
      </c>
      <c r="F3528" s="6"/>
      <c r="G3528" s="6">
        <v>3521</v>
      </c>
      <c r="H3528" s="6">
        <f t="shared" ca="1" si="113"/>
        <v>-1.981464223460554E-2</v>
      </c>
    </row>
    <row r="3529" spans="2:8" x14ac:dyDescent="0.3">
      <c r="B3529" s="4">
        <v>39078</v>
      </c>
      <c r="C3529" s="7">
        <v>59.2</v>
      </c>
      <c r="D3529" s="6">
        <f t="shared" si="114"/>
        <v>-0.97531471651537205</v>
      </c>
      <c r="E3529" s="6">
        <v>-2.0229265003371111E-3</v>
      </c>
      <c r="F3529" s="6"/>
      <c r="G3529" s="6">
        <v>3522</v>
      </c>
      <c r="H3529" s="6">
        <f t="shared" ref="H3529:H3592" ca="1" si="115">_xlfn.NORM.INV(RAND(),N$10,N$11)</f>
        <v>1.1905957833660353E-2</v>
      </c>
    </row>
    <row r="3530" spans="2:8" x14ac:dyDescent="0.3">
      <c r="B3530" s="4">
        <v>44238</v>
      </c>
      <c r="C3530" s="5">
        <v>2398.19</v>
      </c>
      <c r="D3530" s="6">
        <f t="shared" si="114"/>
        <v>10.359907157406091</v>
      </c>
      <c r="E3530" s="6">
        <v>-2.0307356839376752E-3</v>
      </c>
      <c r="F3530" s="6"/>
      <c r="G3530" s="6">
        <v>3523</v>
      </c>
      <c r="H3530" s="6">
        <f t="shared" ca="1" si="115"/>
        <v>1.8887599897148534E-2</v>
      </c>
    </row>
    <row r="3531" spans="2:8" x14ac:dyDescent="0.3">
      <c r="B3531" s="4">
        <v>40599</v>
      </c>
      <c r="C3531" s="7">
        <v>211.11</v>
      </c>
      <c r="D3531" s="6">
        <f t="shared" si="114"/>
        <v>7.6097063621533447</v>
      </c>
      <c r="E3531" s="6">
        <v>-2.0327124893636116E-3</v>
      </c>
      <c r="F3531" s="6"/>
      <c r="G3531" s="6">
        <v>3524</v>
      </c>
      <c r="H3531" s="6">
        <f t="shared" ca="1" si="115"/>
        <v>3.1458787417841449E-3</v>
      </c>
    </row>
    <row r="3532" spans="2:8" x14ac:dyDescent="0.3">
      <c r="B3532" s="4">
        <v>38034</v>
      </c>
      <c r="C3532" s="7">
        <v>24.52</v>
      </c>
      <c r="D3532" s="6">
        <f t="shared" si="114"/>
        <v>-0.54279321275405557</v>
      </c>
      <c r="E3532" s="6">
        <v>-2.0350020350020639E-3</v>
      </c>
      <c r="F3532" s="6"/>
      <c r="G3532" s="6">
        <v>3525</v>
      </c>
      <c r="H3532" s="6">
        <f t="shared" ca="1" si="115"/>
        <v>-1.586515898396693E-2</v>
      </c>
    </row>
    <row r="3533" spans="2:8" x14ac:dyDescent="0.3">
      <c r="B3533" s="4">
        <v>38800</v>
      </c>
      <c r="C3533" s="7">
        <v>53.63</v>
      </c>
      <c r="D3533" s="6">
        <f t="shared" si="114"/>
        <v>-0.7554714572314426</v>
      </c>
      <c r="E3533" s="6">
        <v>-2.0468924451060556E-3</v>
      </c>
      <c r="F3533" s="6"/>
      <c r="G3533" s="6">
        <v>3526</v>
      </c>
      <c r="H3533" s="6">
        <f t="shared" ca="1" si="115"/>
        <v>-4.4109203125190588E-3</v>
      </c>
    </row>
    <row r="3534" spans="2:8" x14ac:dyDescent="0.3">
      <c r="B3534" s="4">
        <v>40610</v>
      </c>
      <c r="C3534" s="7">
        <v>219.32</v>
      </c>
      <c r="D3534" s="6">
        <f t="shared" si="114"/>
        <v>-0.87111711817594173</v>
      </c>
      <c r="E3534" s="6">
        <v>-2.0475952131774901E-3</v>
      </c>
      <c r="F3534" s="6"/>
      <c r="G3534" s="6">
        <v>3527</v>
      </c>
      <c r="H3534" s="6">
        <f t="shared" ca="1" si="115"/>
        <v>-2.8829397868741856E-2</v>
      </c>
    </row>
    <row r="3535" spans="2:8" x14ac:dyDescent="0.3">
      <c r="B3535" s="4">
        <v>43765</v>
      </c>
      <c r="C3535" s="5">
        <v>1701.7</v>
      </c>
      <c r="D3535" s="6">
        <f t="shared" si="114"/>
        <v>0.56747694886839883</v>
      </c>
      <c r="E3535" s="6">
        <v>-2.0583974994282175E-3</v>
      </c>
      <c r="F3535" s="6"/>
      <c r="G3535" s="6">
        <v>3528</v>
      </c>
      <c r="H3535" s="6">
        <f t="shared" ca="1" si="115"/>
        <v>3.3300115956343612E-3</v>
      </c>
    </row>
    <row r="3536" spans="2:8" x14ac:dyDescent="0.3">
      <c r="B3536" s="4">
        <v>43019</v>
      </c>
      <c r="C3536" s="5">
        <v>1085.6300000000001</v>
      </c>
      <c r="D3536" s="6">
        <f t="shared" si="114"/>
        <v>-0.4342789548832216</v>
      </c>
      <c r="E3536" s="6">
        <v>-2.0590695579433037E-3</v>
      </c>
      <c r="F3536" s="6"/>
      <c r="G3536" s="6">
        <v>3529</v>
      </c>
      <c r="H3536" s="6">
        <f t="shared" ca="1" si="115"/>
        <v>3.7131971860479718E-3</v>
      </c>
    </row>
    <row r="3537" spans="2:8" x14ac:dyDescent="0.3">
      <c r="B3537" s="4">
        <v>44091</v>
      </c>
      <c r="C3537" s="5">
        <v>1919.02</v>
      </c>
      <c r="D3537" s="6">
        <f t="shared" si="114"/>
        <v>78.429635761589395</v>
      </c>
      <c r="E3537" s="6">
        <v>-2.0644933150978568E-3</v>
      </c>
      <c r="F3537" s="6"/>
      <c r="G3537" s="6">
        <v>3530</v>
      </c>
      <c r="H3537" s="6">
        <f t="shared" ca="1" si="115"/>
        <v>-4.9876620340956425E-3</v>
      </c>
    </row>
    <row r="3538" spans="2:8" x14ac:dyDescent="0.3">
      <c r="B3538" s="4">
        <v>38225</v>
      </c>
      <c r="C3538" s="7">
        <v>24.16</v>
      </c>
      <c r="D3538" s="6">
        <f t="shared" si="114"/>
        <v>-0.96696203916420531</v>
      </c>
      <c r="E3538" s="6">
        <v>-2.0652622883106449E-3</v>
      </c>
      <c r="F3538" s="6"/>
      <c r="G3538" s="6">
        <v>3531</v>
      </c>
      <c r="H3538" s="6">
        <f t="shared" ca="1" si="115"/>
        <v>-9.2546071292357052E-3</v>
      </c>
    </row>
    <row r="3539" spans="2:8" x14ac:dyDescent="0.3">
      <c r="B3539" s="4">
        <v>42195</v>
      </c>
      <c r="C3539" s="7">
        <v>731.28</v>
      </c>
      <c r="D3539" s="6">
        <f t="shared" si="114"/>
        <v>-0.44296585187498572</v>
      </c>
      <c r="E3539" s="6">
        <v>-2.0742358078602373E-3</v>
      </c>
      <c r="F3539" s="6"/>
      <c r="G3539" s="6">
        <v>3532</v>
      </c>
      <c r="H3539" s="6">
        <f t="shared" ca="1" si="115"/>
        <v>-8.8158885499003171E-3</v>
      </c>
    </row>
    <row r="3540" spans="2:8" x14ac:dyDescent="0.3">
      <c r="B3540" s="4">
        <v>43495</v>
      </c>
      <c r="C3540" s="5">
        <v>1312.81</v>
      </c>
      <c r="D3540" s="6">
        <f t="shared" si="114"/>
        <v>0.37706379675666596</v>
      </c>
      <c r="E3540" s="6">
        <v>-2.0827790657899805E-3</v>
      </c>
      <c r="F3540" s="6"/>
      <c r="G3540" s="6">
        <v>3533</v>
      </c>
      <c r="H3540" s="6">
        <f t="shared" ca="1" si="115"/>
        <v>-1.1933216672023508E-2</v>
      </c>
    </row>
    <row r="3541" spans="2:8" x14ac:dyDescent="0.3">
      <c r="B3541" s="4">
        <v>42571</v>
      </c>
      <c r="C3541" s="7">
        <v>953.34</v>
      </c>
      <c r="D3541" s="6">
        <f t="shared" si="114"/>
        <v>0.10062573599020999</v>
      </c>
      <c r="E3541" s="6">
        <v>-2.083049836182271E-3</v>
      </c>
      <c r="F3541" s="6"/>
      <c r="G3541" s="6">
        <v>3534</v>
      </c>
      <c r="H3541" s="6">
        <f t="shared" ca="1" si="115"/>
        <v>1.8856563895868862E-2</v>
      </c>
    </row>
    <row r="3542" spans="2:8" x14ac:dyDescent="0.3">
      <c r="B3542" s="4">
        <v>42711</v>
      </c>
      <c r="C3542" s="7">
        <v>866.18</v>
      </c>
      <c r="D3542" s="6">
        <f t="shared" si="114"/>
        <v>-0.7233968494231181</v>
      </c>
      <c r="E3542" s="6">
        <v>-2.0852774801553694E-3</v>
      </c>
      <c r="F3542" s="6"/>
      <c r="G3542" s="6">
        <v>3535</v>
      </c>
      <c r="H3542" s="6">
        <f t="shared" ca="1" si="115"/>
        <v>-8.486781342239064E-3</v>
      </c>
    </row>
    <row r="3543" spans="2:8" x14ac:dyDescent="0.3">
      <c r="B3543" s="4">
        <v>44613</v>
      </c>
      <c r="C3543" s="5">
        <v>3131.49</v>
      </c>
      <c r="D3543" s="6">
        <f t="shared" si="114"/>
        <v>2.3771798328390399</v>
      </c>
      <c r="E3543" s="6">
        <v>-2.0872901556386095E-3</v>
      </c>
      <c r="F3543" s="6"/>
      <c r="G3543" s="6">
        <v>3536</v>
      </c>
      <c r="H3543" s="6">
        <f t="shared" ca="1" si="115"/>
        <v>-1.0088587757472404E-4</v>
      </c>
    </row>
    <row r="3544" spans="2:8" x14ac:dyDescent="0.3">
      <c r="B3544" s="4">
        <v>42555</v>
      </c>
      <c r="C3544" s="7">
        <v>927.25</v>
      </c>
      <c r="D3544" s="6">
        <f t="shared" si="114"/>
        <v>7.8208713850837137</v>
      </c>
      <c r="E3544" s="6">
        <v>-2.0878399466202333E-3</v>
      </c>
      <c r="F3544" s="6"/>
      <c r="G3544" s="6">
        <v>3537</v>
      </c>
      <c r="H3544" s="6">
        <f t="shared" ca="1" si="115"/>
        <v>1.0482883347671839E-2</v>
      </c>
    </row>
    <row r="3545" spans="2:8" x14ac:dyDescent="0.3">
      <c r="B3545" s="4">
        <v>39668</v>
      </c>
      <c r="C3545" s="7">
        <v>105.12</v>
      </c>
      <c r="D3545" s="6">
        <f t="shared" si="114"/>
        <v>1.2000837170364169</v>
      </c>
      <c r="E3545" s="6">
        <v>-2.0884754129485367E-3</v>
      </c>
      <c r="F3545" s="6"/>
      <c r="G3545" s="6">
        <v>3538</v>
      </c>
      <c r="H3545" s="6">
        <f t="shared" ca="1" si="115"/>
        <v>1.0612373349689654E-3</v>
      </c>
    </row>
    <row r="3546" spans="2:8" x14ac:dyDescent="0.3">
      <c r="B3546" s="4">
        <v>38737</v>
      </c>
      <c r="C3546" s="7">
        <v>47.78</v>
      </c>
      <c r="D3546" s="6">
        <f t="shared" si="114"/>
        <v>-0.88872845831392644</v>
      </c>
      <c r="E3546" s="6">
        <v>-2.0885547201336969E-3</v>
      </c>
      <c r="F3546" s="6"/>
      <c r="G3546" s="6">
        <v>3539</v>
      </c>
      <c r="H3546" s="6">
        <f t="shared" ca="1" si="115"/>
        <v>-1.1075106805562193E-2</v>
      </c>
    </row>
    <row r="3547" spans="2:8" x14ac:dyDescent="0.3">
      <c r="B3547" s="4">
        <v>41703</v>
      </c>
      <c r="C3547" s="7">
        <v>429.4</v>
      </c>
      <c r="D3547" s="6">
        <f t="shared" si="114"/>
        <v>4.6263102725366876</v>
      </c>
      <c r="E3547" s="6">
        <v>-2.0915640250988477E-3</v>
      </c>
      <c r="F3547" s="6"/>
      <c r="G3547" s="6">
        <v>3540</v>
      </c>
      <c r="H3547" s="6">
        <f t="shared" ca="1" si="115"/>
        <v>2.5983448023848507E-3</v>
      </c>
    </row>
    <row r="3548" spans="2:8" x14ac:dyDescent="0.3">
      <c r="B3548" s="4">
        <v>39778</v>
      </c>
      <c r="C3548" s="7">
        <v>76.319999999999993</v>
      </c>
      <c r="D3548" s="6">
        <f t="shared" si="114"/>
        <v>-0.97242694875574431</v>
      </c>
      <c r="E3548" s="6">
        <v>-2.0920502092051621E-3</v>
      </c>
      <c r="F3548" s="6"/>
      <c r="G3548" s="6">
        <v>3541</v>
      </c>
      <c r="H3548" s="6">
        <f t="shared" ca="1" si="115"/>
        <v>-1.2375922484120477E-3</v>
      </c>
    </row>
    <row r="3549" spans="2:8" x14ac:dyDescent="0.3">
      <c r="B3549" s="4">
        <v>44994</v>
      </c>
      <c r="C3549" s="5">
        <v>2767.92</v>
      </c>
      <c r="D3549" s="6">
        <f t="shared" si="114"/>
        <v>5.002472187886279</v>
      </c>
      <c r="E3549" s="6">
        <v>-2.0982500162234777E-3</v>
      </c>
      <c r="F3549" s="6"/>
      <c r="G3549" s="6">
        <v>3542</v>
      </c>
      <c r="H3549" s="6">
        <f t="shared" ca="1" si="115"/>
        <v>2.0989570837269215E-2</v>
      </c>
    </row>
    <row r="3550" spans="2:8" x14ac:dyDescent="0.3">
      <c r="B3550" s="4">
        <v>41485</v>
      </c>
      <c r="C3550" s="7">
        <v>461.13</v>
      </c>
      <c r="D3550" s="6">
        <f t="shared" si="114"/>
        <v>23.321202531645568</v>
      </c>
      <c r="E3550" s="6">
        <v>-2.0991127461588992E-3</v>
      </c>
      <c r="F3550" s="6"/>
      <c r="G3550" s="6">
        <v>3543</v>
      </c>
      <c r="H3550" s="6">
        <f t="shared" ca="1" si="115"/>
        <v>5.3089402774679096E-3</v>
      </c>
    </row>
    <row r="3551" spans="2:8" x14ac:dyDescent="0.3">
      <c r="B3551" s="4">
        <v>37791</v>
      </c>
      <c r="C3551" s="7">
        <v>18.96</v>
      </c>
      <c r="D3551" s="6">
        <f t="shared" si="114"/>
        <v>-0.63636363636363635</v>
      </c>
      <c r="E3551" s="6">
        <v>-2.1052631578946921E-3</v>
      </c>
      <c r="F3551" s="6"/>
      <c r="G3551" s="6">
        <v>3544</v>
      </c>
      <c r="H3551" s="6">
        <f t="shared" ca="1" si="115"/>
        <v>-1.8965728678919087E-3</v>
      </c>
    </row>
    <row r="3552" spans="2:8" x14ac:dyDescent="0.3">
      <c r="B3552" s="4">
        <v>38810</v>
      </c>
      <c r="C3552" s="7">
        <v>52.14</v>
      </c>
      <c r="D3552" s="6">
        <f t="shared" si="114"/>
        <v>-0.9806548557647714</v>
      </c>
      <c r="E3552" s="6">
        <v>-2.105263157894726E-3</v>
      </c>
      <c r="F3552" s="6"/>
      <c r="G3552" s="6">
        <v>3545</v>
      </c>
      <c r="H3552" s="6">
        <f t="shared" ca="1" si="115"/>
        <v>6.8436931408793651E-3</v>
      </c>
    </row>
    <row r="3553" spans="2:8" x14ac:dyDescent="0.3">
      <c r="B3553" s="4">
        <v>44335</v>
      </c>
      <c r="C3553" s="5">
        <v>2695.25</v>
      </c>
      <c r="D3553" s="6">
        <f t="shared" si="114"/>
        <v>1.299034409812853</v>
      </c>
      <c r="E3553" s="6">
        <v>-2.1103685740201847E-3</v>
      </c>
      <c r="F3553" s="6"/>
      <c r="G3553" s="6">
        <v>3546</v>
      </c>
      <c r="H3553" s="6">
        <f t="shared" ca="1" si="115"/>
        <v>4.5660754186075065E-3</v>
      </c>
    </row>
    <row r="3554" spans="2:8" x14ac:dyDescent="0.3">
      <c r="B3554" s="4">
        <v>42997</v>
      </c>
      <c r="C3554" s="5">
        <v>1172.3399999999999</v>
      </c>
      <c r="D3554" s="6">
        <f t="shared" si="114"/>
        <v>61.028571428571425</v>
      </c>
      <c r="E3554" s="6">
        <v>-2.1109616792359836E-3</v>
      </c>
      <c r="F3554" s="6"/>
      <c r="G3554" s="6">
        <v>3547</v>
      </c>
      <c r="H3554" s="6">
        <f t="shared" ca="1" si="115"/>
        <v>-1.3786419423221509E-2</v>
      </c>
    </row>
    <row r="3555" spans="2:8" x14ac:dyDescent="0.3">
      <c r="B3555" s="4">
        <v>37797</v>
      </c>
      <c r="C3555" s="7">
        <v>18.899999999999999</v>
      </c>
      <c r="D3555" s="6">
        <f t="shared" si="114"/>
        <v>-0.99431243680485337</v>
      </c>
      <c r="E3555" s="6">
        <v>-2.1119324181627613E-3</v>
      </c>
      <c r="F3555" s="6"/>
      <c r="G3555" s="6">
        <v>3548</v>
      </c>
      <c r="H3555" s="6">
        <f t="shared" ca="1" si="115"/>
        <v>-4.043300782051072E-3</v>
      </c>
    </row>
    <row r="3556" spans="2:8" x14ac:dyDescent="0.3">
      <c r="B3556" s="4">
        <v>45288</v>
      </c>
      <c r="C3556" s="5">
        <v>3323.04</v>
      </c>
      <c r="D3556" s="6">
        <f t="shared" si="114"/>
        <v>14.028899642711771</v>
      </c>
      <c r="E3556" s="6">
        <v>-2.1170598992820561E-3</v>
      </c>
      <c r="F3556" s="6"/>
      <c r="G3556" s="6">
        <v>3549</v>
      </c>
      <c r="H3556" s="6">
        <f t="shared" ca="1" si="115"/>
        <v>1.0280313142056437E-2</v>
      </c>
    </row>
    <row r="3557" spans="2:8" x14ac:dyDescent="0.3">
      <c r="B3557" s="4">
        <v>40634</v>
      </c>
      <c r="C3557" s="7">
        <v>221.11</v>
      </c>
      <c r="D3557" s="6">
        <f t="shared" si="114"/>
        <v>-0.87078431716311055</v>
      </c>
      <c r="E3557" s="6">
        <v>-2.1211300658904183E-3</v>
      </c>
      <c r="F3557" s="6"/>
      <c r="G3557" s="6">
        <v>3550</v>
      </c>
      <c r="H3557" s="6">
        <f t="shared" ca="1" si="115"/>
        <v>1.1753860899668898E-2</v>
      </c>
    </row>
    <row r="3558" spans="2:8" x14ac:dyDescent="0.3">
      <c r="B3558" s="4">
        <v>43819</v>
      </c>
      <c r="C3558" s="5">
        <v>1711.17</v>
      </c>
      <c r="D3558" s="6">
        <f t="shared" si="114"/>
        <v>72.283511777301925</v>
      </c>
      <c r="E3558" s="6">
        <v>-2.1343223526529478E-3</v>
      </c>
      <c r="F3558" s="6"/>
      <c r="G3558" s="6">
        <v>3551</v>
      </c>
      <c r="H3558" s="6">
        <f t="shared" ca="1" si="115"/>
        <v>1.4366685415472327E-2</v>
      </c>
    </row>
    <row r="3559" spans="2:8" x14ac:dyDescent="0.3">
      <c r="B3559" s="4">
        <v>37945</v>
      </c>
      <c r="C3559" s="7">
        <v>23.35</v>
      </c>
      <c r="D3559" s="6">
        <f t="shared" si="114"/>
        <v>-0.94106809348341824</v>
      </c>
      <c r="E3559" s="6">
        <v>-2.1367521367520155E-3</v>
      </c>
      <c r="F3559" s="6"/>
      <c r="G3559" s="6">
        <v>3552</v>
      </c>
      <c r="H3559" s="6">
        <f t="shared" ca="1" si="115"/>
        <v>9.6220551728036837E-3</v>
      </c>
    </row>
    <row r="3560" spans="2:8" x14ac:dyDescent="0.3">
      <c r="B3560" s="4">
        <v>41275</v>
      </c>
      <c r="C3560" s="7">
        <v>396.22</v>
      </c>
      <c r="D3560" s="6">
        <f t="shared" si="114"/>
        <v>-0.86036496401812834</v>
      </c>
      <c r="E3560" s="6">
        <v>-2.1406804845492378E-3</v>
      </c>
      <c r="F3560" s="6"/>
      <c r="G3560" s="6">
        <v>3553</v>
      </c>
      <c r="H3560" s="6">
        <f t="shared" ca="1" si="115"/>
        <v>-8.5698581880515566E-3</v>
      </c>
    </row>
    <row r="3561" spans="2:8" x14ac:dyDescent="0.3">
      <c r="B3561" s="4">
        <v>44361</v>
      </c>
      <c r="C3561" s="5">
        <v>2837.54</v>
      </c>
      <c r="D3561" s="6">
        <f t="shared" si="114"/>
        <v>-0.12198306804960772</v>
      </c>
      <c r="E3561" s="6">
        <v>-2.1486469853885417E-3</v>
      </c>
      <c r="F3561" s="6"/>
      <c r="G3561" s="6">
        <v>3554</v>
      </c>
      <c r="H3561" s="6">
        <f t="shared" ca="1" si="115"/>
        <v>1.5739050287298596E-3</v>
      </c>
    </row>
    <row r="3562" spans="2:8" x14ac:dyDescent="0.3">
      <c r="B3562" s="4">
        <v>45096</v>
      </c>
      <c r="C3562" s="5">
        <v>3231.76</v>
      </c>
      <c r="D3562" s="6">
        <f t="shared" si="114"/>
        <v>139.38922675933972</v>
      </c>
      <c r="E3562" s="6">
        <v>-2.1582400617521516E-3</v>
      </c>
      <c r="F3562" s="6"/>
      <c r="G3562" s="6">
        <v>3555</v>
      </c>
      <c r="H3562" s="6">
        <f t="shared" ca="1" si="115"/>
        <v>1.9720781778842889E-2</v>
      </c>
    </row>
    <row r="3563" spans="2:8" x14ac:dyDescent="0.3">
      <c r="B3563" s="4">
        <v>38289</v>
      </c>
      <c r="C3563" s="7">
        <v>23.02</v>
      </c>
      <c r="D3563" s="6">
        <f t="shared" si="114"/>
        <v>-0.99053492866247272</v>
      </c>
      <c r="E3563" s="6">
        <v>-2.1673168617252149E-3</v>
      </c>
      <c r="F3563" s="6"/>
      <c r="G3563" s="6">
        <v>3556</v>
      </c>
      <c r="H3563" s="6">
        <f t="shared" ca="1" si="115"/>
        <v>1.2824958579058241E-2</v>
      </c>
    </row>
    <row r="3564" spans="2:8" x14ac:dyDescent="0.3">
      <c r="B3564" s="4">
        <v>46071</v>
      </c>
      <c r="C3564" s="5">
        <v>2432.1</v>
      </c>
      <c r="D3564" s="6">
        <f t="shared" si="114"/>
        <v>34.355429568251196</v>
      </c>
      <c r="E3564" s="6">
        <v>-2.1744481824896127E-3</v>
      </c>
      <c r="F3564" s="6"/>
      <c r="G3564" s="6">
        <v>3557</v>
      </c>
      <c r="H3564" s="6">
        <f t="shared" ca="1" si="115"/>
        <v>7.7790096384693736E-3</v>
      </c>
    </row>
    <row r="3565" spans="2:8" x14ac:dyDescent="0.3">
      <c r="B3565" s="4">
        <v>39230</v>
      </c>
      <c r="C3565" s="7">
        <v>68.790000000000006</v>
      </c>
      <c r="D3565" s="6">
        <f t="shared" si="114"/>
        <v>-0.88138019037108561</v>
      </c>
      <c r="E3565" s="6">
        <v>-2.1758050478675873E-3</v>
      </c>
      <c r="F3565" s="6"/>
      <c r="G3565" s="6">
        <v>3558</v>
      </c>
      <c r="H3565" s="6">
        <f t="shared" ca="1" si="115"/>
        <v>-7.5634526001401772E-3</v>
      </c>
    </row>
    <row r="3566" spans="2:8" x14ac:dyDescent="0.3">
      <c r="B3566" s="4">
        <v>41848</v>
      </c>
      <c r="C3566" s="7">
        <v>579.91999999999996</v>
      </c>
      <c r="D3566" s="6">
        <f t="shared" si="114"/>
        <v>-0.79280801729219885</v>
      </c>
      <c r="E3566" s="6">
        <v>-2.1851718026808711E-3</v>
      </c>
      <c r="F3566" s="6"/>
      <c r="G3566" s="6">
        <v>3559</v>
      </c>
      <c r="H3566" s="6">
        <f t="shared" ca="1" si="115"/>
        <v>9.178067471667951E-3</v>
      </c>
    </row>
    <row r="3567" spans="2:8" x14ac:dyDescent="0.3">
      <c r="B3567" s="4">
        <v>45407</v>
      </c>
      <c r="C3567" s="5">
        <v>2798.95</v>
      </c>
      <c r="D3567" s="6">
        <f t="shared" si="114"/>
        <v>2.4571156839010895</v>
      </c>
      <c r="E3567" s="6">
        <v>-2.1959923140270109E-3</v>
      </c>
      <c r="F3567" s="6"/>
      <c r="G3567" s="6">
        <v>3560</v>
      </c>
      <c r="H3567" s="6">
        <f t="shared" ca="1" si="115"/>
        <v>4.7702662726813432E-3</v>
      </c>
    </row>
    <row r="3568" spans="2:8" x14ac:dyDescent="0.3">
      <c r="B3568" s="4">
        <v>42368</v>
      </c>
      <c r="C3568" s="7">
        <v>809.62</v>
      </c>
      <c r="D3568" s="6">
        <f t="shared" si="114"/>
        <v>-0.71920174245997615</v>
      </c>
      <c r="E3568" s="6">
        <v>-2.206036405762763E-3</v>
      </c>
      <c r="F3568" s="6"/>
      <c r="G3568" s="6">
        <v>3561</v>
      </c>
      <c r="H3568" s="6">
        <f t="shared" ca="1" si="115"/>
        <v>-8.2750891503894555E-3</v>
      </c>
    </row>
    <row r="3569" spans="2:8" x14ac:dyDescent="0.3">
      <c r="B3569" s="4">
        <v>44406</v>
      </c>
      <c r="C3569" s="5">
        <v>2883.28</v>
      </c>
      <c r="D3569" s="6">
        <f t="shared" si="114"/>
        <v>48.70315462851233</v>
      </c>
      <c r="E3569" s="6">
        <v>-2.2113251686178255E-3</v>
      </c>
      <c r="F3569" s="6"/>
      <c r="G3569" s="6">
        <v>3562</v>
      </c>
      <c r="H3569" s="6">
        <f t="shared" ca="1" si="115"/>
        <v>-2.7636096129753037E-2</v>
      </c>
    </row>
    <row r="3570" spans="2:8" x14ac:dyDescent="0.3">
      <c r="B3570" s="4">
        <v>39049</v>
      </c>
      <c r="C3570" s="7">
        <v>58.01</v>
      </c>
      <c r="D3570" s="6">
        <f t="shared" si="114"/>
        <v>-0.97559097526698024</v>
      </c>
      <c r="E3570" s="6">
        <v>-2.2359821121431468E-3</v>
      </c>
      <c r="F3570" s="6"/>
      <c r="G3570" s="6">
        <v>3563</v>
      </c>
      <c r="H3570" s="6">
        <f t="shared" ca="1" si="115"/>
        <v>-2.6283806358979794E-2</v>
      </c>
    </row>
    <row r="3571" spans="2:8" x14ac:dyDescent="0.3">
      <c r="B3571" s="4">
        <v>45642</v>
      </c>
      <c r="C3571" s="5">
        <v>2376.58</v>
      </c>
      <c r="D3571" s="6">
        <f t="shared" si="114"/>
        <v>-0.11041155883288736</v>
      </c>
      <c r="E3571" s="6">
        <v>-2.2418888963525833E-3</v>
      </c>
      <c r="F3571" s="6"/>
      <c r="G3571" s="6">
        <v>3564</v>
      </c>
      <c r="H3571" s="6">
        <f t="shared" ca="1" si="115"/>
        <v>8.0229412396155017E-4</v>
      </c>
    </row>
    <row r="3572" spans="2:8" x14ac:dyDescent="0.3">
      <c r="B3572" s="4">
        <v>44963</v>
      </c>
      <c r="C3572" s="5">
        <v>2671.55</v>
      </c>
      <c r="D3572" s="6">
        <f t="shared" si="114"/>
        <v>4.8113810880772663</v>
      </c>
      <c r="E3572" s="6">
        <v>-2.2483072337978025E-3</v>
      </c>
      <c r="F3572" s="6"/>
      <c r="G3572" s="6">
        <v>3565</v>
      </c>
      <c r="H3572" s="6">
        <f t="shared" ca="1" si="115"/>
        <v>-1.158762917840136E-2</v>
      </c>
    </row>
    <row r="3573" spans="2:8" x14ac:dyDescent="0.3">
      <c r="B3573" s="4">
        <v>41600</v>
      </c>
      <c r="C3573" s="7">
        <v>459.71</v>
      </c>
      <c r="D3573" s="6">
        <f t="shared" si="114"/>
        <v>-0.85000375227175584</v>
      </c>
      <c r="E3573" s="6">
        <v>-2.2571893651655356E-3</v>
      </c>
      <c r="F3573" s="6"/>
      <c r="G3573" s="6">
        <v>3566</v>
      </c>
      <c r="H3573" s="6">
        <f t="shared" ca="1" si="115"/>
        <v>-1.9692547240415866E-2</v>
      </c>
    </row>
    <row r="3574" spans="2:8" x14ac:dyDescent="0.3">
      <c r="B3574" s="4">
        <v>45251</v>
      </c>
      <c r="C3574" s="5">
        <v>3064.81</v>
      </c>
      <c r="D3574" s="6">
        <f t="shared" si="114"/>
        <v>-2.3336222610291779E-2</v>
      </c>
      <c r="E3574" s="6">
        <v>-2.2625465531162176E-3</v>
      </c>
      <c r="F3574" s="6"/>
      <c r="G3574" s="6">
        <v>3567</v>
      </c>
      <c r="H3574" s="6">
        <f t="shared" ca="1" si="115"/>
        <v>-5.8149991402825212E-3</v>
      </c>
    </row>
    <row r="3575" spans="2:8" x14ac:dyDescent="0.3">
      <c r="B3575" s="4">
        <v>44610</v>
      </c>
      <c r="C3575" s="5">
        <v>3138.04</v>
      </c>
      <c r="D3575" s="6">
        <f t="shared" si="114"/>
        <v>0.8295902423097552</v>
      </c>
      <c r="E3575" s="6">
        <v>-2.2637958005315758E-3</v>
      </c>
      <c r="F3575" s="6"/>
      <c r="G3575" s="6">
        <v>3568</v>
      </c>
      <c r="H3575" s="6">
        <f t="shared" ca="1" si="115"/>
        <v>-2.361436409750493E-2</v>
      </c>
    </row>
    <row r="3576" spans="2:8" x14ac:dyDescent="0.3">
      <c r="B3576" s="4">
        <v>43823</v>
      </c>
      <c r="C3576" s="5">
        <v>1715.16</v>
      </c>
      <c r="D3576" s="6">
        <f t="shared" si="114"/>
        <v>1.1165669155303264</v>
      </c>
      <c r="E3576" s="6">
        <v>-2.2686817214058051E-3</v>
      </c>
      <c r="F3576" s="6"/>
      <c r="G3576" s="6">
        <v>3569</v>
      </c>
      <c r="H3576" s="6">
        <f t="shared" ca="1" si="115"/>
        <v>2.6006395771573428E-2</v>
      </c>
    </row>
    <row r="3577" spans="2:8" x14ac:dyDescent="0.3">
      <c r="B3577" s="4">
        <v>42361</v>
      </c>
      <c r="C3577" s="7">
        <v>810.35</v>
      </c>
      <c r="D3577" s="6">
        <f t="shared" si="114"/>
        <v>-0.63290388047801549</v>
      </c>
      <c r="E3577" s="6">
        <v>-2.2777640975129559E-3</v>
      </c>
      <c r="F3577" s="6"/>
      <c r="G3577" s="6">
        <v>3570</v>
      </c>
      <c r="H3577" s="6">
        <f t="shared" ca="1" si="115"/>
        <v>-1.5987262173656248E-2</v>
      </c>
    </row>
    <row r="3578" spans="2:8" x14ac:dyDescent="0.3">
      <c r="B3578" s="4">
        <v>45702</v>
      </c>
      <c r="C3578" s="5">
        <v>2207.46</v>
      </c>
      <c r="D3578" s="6">
        <f t="shared" si="114"/>
        <v>4.539839887569955</v>
      </c>
      <c r="E3578" s="6">
        <v>-2.2779661016948988E-3</v>
      </c>
      <c r="F3578" s="6"/>
      <c r="G3578" s="6">
        <v>3571</v>
      </c>
      <c r="H3578" s="6">
        <f t="shared" ca="1" si="115"/>
        <v>-1.314390474466406E-3</v>
      </c>
    </row>
    <row r="3579" spans="2:8" x14ac:dyDescent="0.3">
      <c r="B3579" s="4">
        <v>41533</v>
      </c>
      <c r="C3579" s="7">
        <v>398.47</v>
      </c>
      <c r="D3579" s="6">
        <f t="shared" si="114"/>
        <v>1.2262137549583776</v>
      </c>
      <c r="E3579" s="6">
        <v>-2.2785317241723877E-3</v>
      </c>
      <c r="F3579" s="6"/>
      <c r="G3579" s="6">
        <v>3572</v>
      </c>
      <c r="H3579" s="6">
        <f t="shared" ca="1" si="115"/>
        <v>8.5641554621101621E-4</v>
      </c>
    </row>
    <row r="3580" spans="2:8" x14ac:dyDescent="0.3">
      <c r="B3580" s="4">
        <v>40295</v>
      </c>
      <c r="C3580" s="7">
        <v>178.99</v>
      </c>
      <c r="D3580" s="6">
        <f t="shared" si="114"/>
        <v>-0.12602539062500001</v>
      </c>
      <c r="E3580" s="6">
        <v>-2.285395763656614E-3</v>
      </c>
      <c r="F3580" s="6"/>
      <c r="G3580" s="6">
        <v>3573</v>
      </c>
      <c r="H3580" s="6">
        <f t="shared" ca="1" si="115"/>
        <v>-1.1845375840752158E-3</v>
      </c>
    </row>
    <row r="3581" spans="2:8" x14ac:dyDescent="0.3">
      <c r="B3581" s="4">
        <v>40358</v>
      </c>
      <c r="C3581" s="7">
        <v>204.8</v>
      </c>
      <c r="D3581" s="6">
        <f t="shared" si="114"/>
        <v>-0.93207026481982691</v>
      </c>
      <c r="E3581" s="6">
        <v>-2.289667267501334E-3</v>
      </c>
      <c r="F3581" s="6"/>
      <c r="G3581" s="6">
        <v>3574</v>
      </c>
      <c r="H3581" s="6">
        <f t="shared" ca="1" si="115"/>
        <v>-1.6797327598137311E-2</v>
      </c>
    </row>
    <row r="3582" spans="2:8" x14ac:dyDescent="0.3">
      <c r="B3582" s="4">
        <v>44890</v>
      </c>
      <c r="C3582" s="5">
        <v>3014.88</v>
      </c>
      <c r="D3582" s="6">
        <f t="shared" si="114"/>
        <v>1.3353240536332582</v>
      </c>
      <c r="E3582" s="6">
        <v>-2.2966291837369711E-3</v>
      </c>
      <c r="F3582" s="6"/>
      <c r="G3582" s="6">
        <v>3575</v>
      </c>
      <c r="H3582" s="6">
        <f t="shared" ca="1" si="115"/>
        <v>1.1214355706581568E-2</v>
      </c>
    </row>
    <row r="3583" spans="2:8" x14ac:dyDescent="0.3">
      <c r="B3583" s="4">
        <v>43642</v>
      </c>
      <c r="C3583" s="5">
        <v>1290.99</v>
      </c>
      <c r="D3583" s="6">
        <f t="shared" si="114"/>
        <v>4.5409674234945703</v>
      </c>
      <c r="E3583" s="6">
        <v>-2.3107003199431281E-3</v>
      </c>
      <c r="F3583" s="6"/>
      <c r="G3583" s="6">
        <v>3576</v>
      </c>
      <c r="H3583" s="6">
        <f t="shared" ca="1" si="115"/>
        <v>-4.9004315965110942E-3</v>
      </c>
    </row>
    <row r="3584" spans="2:8" x14ac:dyDescent="0.3">
      <c r="B3584" s="4">
        <v>40659</v>
      </c>
      <c r="C3584" s="7">
        <v>232.99</v>
      </c>
      <c r="D3584" s="6">
        <f t="shared" si="114"/>
        <v>1.3753384621997748E-3</v>
      </c>
      <c r="E3584" s="6">
        <v>-2.312336744743682E-3</v>
      </c>
      <c r="F3584" s="6"/>
      <c r="G3584" s="6">
        <v>3577</v>
      </c>
      <c r="H3584" s="6">
        <f t="shared" ca="1" si="115"/>
        <v>-2.5272000126140653E-2</v>
      </c>
    </row>
    <row r="3585" spans="2:8" x14ac:dyDescent="0.3">
      <c r="B3585" s="4">
        <v>40500</v>
      </c>
      <c r="C3585" s="7">
        <v>232.67</v>
      </c>
      <c r="D3585" s="6">
        <f t="shared" si="114"/>
        <v>3.5038714672861015</v>
      </c>
      <c r="E3585" s="6">
        <v>-2.315509626516961E-3</v>
      </c>
      <c r="F3585" s="6"/>
      <c r="G3585" s="6">
        <v>3578</v>
      </c>
      <c r="H3585" s="6">
        <f t="shared" ca="1" si="115"/>
        <v>-4.364416282028153E-2</v>
      </c>
    </row>
    <row r="3586" spans="2:8" x14ac:dyDescent="0.3">
      <c r="B3586" s="4">
        <v>38938</v>
      </c>
      <c r="C3586" s="7">
        <v>51.66</v>
      </c>
      <c r="D3586" s="6">
        <f t="shared" si="114"/>
        <v>-0.92712961787482551</v>
      </c>
      <c r="E3586" s="6">
        <v>-2.3174971031287087E-3</v>
      </c>
      <c r="F3586" s="6"/>
      <c r="G3586" s="6">
        <v>3579</v>
      </c>
      <c r="H3586" s="6">
        <f t="shared" ca="1" si="115"/>
        <v>-3.1813499275646371E-4</v>
      </c>
    </row>
    <row r="3587" spans="2:8" x14ac:dyDescent="0.3">
      <c r="B3587" s="4">
        <v>42146</v>
      </c>
      <c r="C3587" s="7">
        <v>708.93</v>
      </c>
      <c r="D3587" s="6">
        <f t="shared" si="114"/>
        <v>12.754947613504074</v>
      </c>
      <c r="E3587" s="6">
        <v>-2.3220467786879604E-3</v>
      </c>
      <c r="F3587" s="6"/>
      <c r="G3587" s="6">
        <v>3580</v>
      </c>
      <c r="H3587" s="6">
        <f t="shared" ca="1" si="115"/>
        <v>7.8397202154376717E-4</v>
      </c>
    </row>
    <row r="3588" spans="2:8" x14ac:dyDescent="0.3">
      <c r="B3588" s="4">
        <v>38840</v>
      </c>
      <c r="C3588" s="7">
        <v>51.54</v>
      </c>
      <c r="D3588" s="6">
        <f t="shared" si="114"/>
        <v>-0.96541171733440712</v>
      </c>
      <c r="E3588" s="6">
        <v>-2.32288037166081E-3</v>
      </c>
      <c r="F3588" s="6"/>
      <c r="G3588" s="6">
        <v>3581</v>
      </c>
      <c r="H3588" s="6">
        <f t="shared" ca="1" si="115"/>
        <v>-6.5236904999686632E-3</v>
      </c>
    </row>
    <row r="3589" spans="2:8" x14ac:dyDescent="0.3">
      <c r="B3589" s="4">
        <v>43691</v>
      </c>
      <c r="C3589" s="5">
        <v>1490.1</v>
      </c>
      <c r="D3589" s="6">
        <f t="shared" si="114"/>
        <v>0.93003134471414139</v>
      </c>
      <c r="E3589" s="6">
        <v>-2.3232925139096442E-3</v>
      </c>
      <c r="F3589" s="6"/>
      <c r="G3589" s="6">
        <v>3582</v>
      </c>
      <c r="H3589" s="6">
        <f t="shared" ca="1" si="115"/>
        <v>2.1573891909740591E-3</v>
      </c>
    </row>
    <row r="3590" spans="2:8" x14ac:dyDescent="0.3">
      <c r="B3590" s="4">
        <v>42278</v>
      </c>
      <c r="C3590" s="7">
        <v>772.06</v>
      </c>
      <c r="D3590" s="6">
        <f t="shared" si="114"/>
        <v>-0.60228513733489941</v>
      </c>
      <c r="E3590" s="6">
        <v>-2.3260021192464636E-3</v>
      </c>
      <c r="F3590" s="6"/>
      <c r="G3590" s="6">
        <v>3583</v>
      </c>
      <c r="H3590" s="6">
        <f t="shared" ca="1" si="115"/>
        <v>1.2800697304867993E-2</v>
      </c>
    </row>
    <row r="3591" spans="2:8" x14ac:dyDescent="0.3">
      <c r="B3591" s="4">
        <v>44088</v>
      </c>
      <c r="C3591" s="5">
        <v>1941.24</v>
      </c>
      <c r="D3591" s="6">
        <f t="shared" si="114"/>
        <v>-0.3120683239718624</v>
      </c>
      <c r="E3591" s="6">
        <v>-2.3332545303168723E-3</v>
      </c>
      <c r="F3591" s="6"/>
      <c r="G3591" s="6">
        <v>3584</v>
      </c>
      <c r="H3591" s="6">
        <f t="shared" ca="1" si="115"/>
        <v>-1.466769174601081E-2</v>
      </c>
    </row>
    <row r="3592" spans="2:8" x14ac:dyDescent="0.3">
      <c r="B3592" s="4">
        <v>44939</v>
      </c>
      <c r="C3592" s="5">
        <v>2821.85</v>
      </c>
      <c r="D3592" s="6">
        <f t="shared" ref="D3592:D3655" si="116">((C3592-C3593)/C3593)</f>
        <v>109.01364522417154</v>
      </c>
      <c r="E3592" s="6">
        <v>-2.3334335059838106E-3</v>
      </c>
      <c r="F3592" s="6"/>
      <c r="G3592" s="6">
        <v>3585</v>
      </c>
      <c r="H3592" s="6">
        <f t="shared" ca="1" si="115"/>
        <v>-1.0380914994499571E-2</v>
      </c>
    </row>
    <row r="3593" spans="2:8" x14ac:dyDescent="0.3">
      <c r="B3593" s="4">
        <v>38336</v>
      </c>
      <c r="C3593" s="7">
        <v>25.65</v>
      </c>
      <c r="D3593" s="6">
        <f t="shared" si="116"/>
        <v>-0.99084229467460683</v>
      </c>
      <c r="E3593" s="6">
        <v>-2.3337222870479296E-3</v>
      </c>
      <c r="F3593" s="6"/>
      <c r="G3593" s="6">
        <v>3586</v>
      </c>
      <c r="H3593" s="6">
        <f t="shared" ref="H3593:H3656" ca="1" si="117">_xlfn.NORM.INV(RAND(),N$10,N$11)</f>
        <v>1.0706466807152487E-2</v>
      </c>
    </row>
    <row r="3594" spans="2:8" x14ac:dyDescent="0.3">
      <c r="B3594" s="4">
        <v>44355</v>
      </c>
      <c r="C3594" s="5">
        <v>2800.92</v>
      </c>
      <c r="D3594" s="6">
        <f t="shared" si="116"/>
        <v>40.063187215950748</v>
      </c>
      <c r="E3594" s="6">
        <v>-2.3366150426717006E-3</v>
      </c>
      <c r="F3594" s="6"/>
      <c r="G3594" s="6">
        <v>3587</v>
      </c>
      <c r="H3594" s="6">
        <f t="shared" ca="1" si="117"/>
        <v>1.3988545247202602E-2</v>
      </c>
    </row>
    <row r="3595" spans="2:8" x14ac:dyDescent="0.3">
      <c r="B3595" s="4">
        <v>39864</v>
      </c>
      <c r="C3595" s="7">
        <v>68.209999999999994</v>
      </c>
      <c r="D3595" s="6">
        <f t="shared" si="116"/>
        <v>3.0005865102639291</v>
      </c>
      <c r="E3595" s="6">
        <v>-2.3402076934329499E-3</v>
      </c>
      <c r="F3595" s="6"/>
      <c r="G3595" s="6">
        <v>3588</v>
      </c>
      <c r="H3595" s="6">
        <f t="shared" ca="1" si="117"/>
        <v>-4.0990380382437842E-3</v>
      </c>
    </row>
    <row r="3596" spans="2:8" x14ac:dyDescent="0.3">
      <c r="B3596" s="4">
        <v>37453</v>
      </c>
      <c r="C3596" s="7">
        <v>17.05</v>
      </c>
      <c r="D3596" s="6">
        <f t="shared" si="116"/>
        <v>-0.99228768517471433</v>
      </c>
      <c r="E3596" s="6">
        <v>-2.3405500292568255E-3</v>
      </c>
      <c r="F3596" s="6"/>
      <c r="G3596" s="6">
        <v>3589</v>
      </c>
      <c r="H3596" s="6">
        <f t="shared" ca="1" si="117"/>
        <v>7.5488237164233526E-3</v>
      </c>
    </row>
    <row r="3597" spans="2:8" x14ac:dyDescent="0.3">
      <c r="B3597" s="4">
        <v>45821</v>
      </c>
      <c r="C3597" s="5">
        <v>2210.75</v>
      </c>
      <c r="D3597" s="6">
        <f t="shared" si="116"/>
        <v>33.722004083555831</v>
      </c>
      <c r="E3597" s="6">
        <v>-2.342121176566177E-3</v>
      </c>
      <c r="F3597" s="6"/>
      <c r="G3597" s="6">
        <v>3590</v>
      </c>
      <c r="H3597" s="6">
        <f t="shared" ca="1" si="117"/>
        <v>2.1716035213801031E-2</v>
      </c>
    </row>
    <row r="3598" spans="2:8" x14ac:dyDescent="0.3">
      <c r="B3598" s="4">
        <v>39892</v>
      </c>
      <c r="C3598" s="7">
        <v>63.67</v>
      </c>
      <c r="D3598" s="6">
        <f t="shared" si="116"/>
        <v>-0.98146363617837062</v>
      </c>
      <c r="E3598" s="6">
        <v>-2.3503603885928954E-3</v>
      </c>
      <c r="F3598" s="6"/>
      <c r="G3598" s="6">
        <v>3591</v>
      </c>
      <c r="H3598" s="6">
        <f t="shared" ca="1" si="117"/>
        <v>-1.6456004360661854E-2</v>
      </c>
    </row>
    <row r="3599" spans="2:8" x14ac:dyDescent="0.3">
      <c r="B3599" s="4">
        <v>45128</v>
      </c>
      <c r="C3599" s="5">
        <v>3434.87</v>
      </c>
      <c r="D3599" s="6">
        <f t="shared" si="116"/>
        <v>2.1825274022737169</v>
      </c>
      <c r="E3599" s="6">
        <v>-2.3526199763575953E-3</v>
      </c>
      <c r="F3599" s="6"/>
      <c r="G3599" s="6">
        <v>3592</v>
      </c>
      <c r="H3599" s="6">
        <f t="shared" ca="1" si="117"/>
        <v>-1.3969080760683393E-2</v>
      </c>
    </row>
    <row r="3600" spans="2:8" x14ac:dyDescent="0.3">
      <c r="B3600" s="4">
        <v>42891</v>
      </c>
      <c r="C3600" s="5">
        <v>1079.29</v>
      </c>
      <c r="D3600" s="6">
        <f t="shared" si="116"/>
        <v>10.093534792887244</v>
      </c>
      <c r="E3600" s="6">
        <v>-2.3570953190859599E-3</v>
      </c>
      <c r="F3600" s="6"/>
      <c r="G3600" s="6">
        <v>3593</v>
      </c>
      <c r="H3600" s="6">
        <f t="shared" ca="1" si="117"/>
        <v>-1.2298478004734607E-2</v>
      </c>
    </row>
    <row r="3601" spans="2:8" x14ac:dyDescent="0.3">
      <c r="B3601" s="4">
        <v>39989</v>
      </c>
      <c r="C3601" s="7">
        <v>97.29</v>
      </c>
      <c r="D3601" s="6">
        <f t="shared" si="116"/>
        <v>-0.9171739185956429</v>
      </c>
      <c r="E3601" s="6">
        <v>-2.3584905660376312E-3</v>
      </c>
      <c r="F3601" s="6"/>
      <c r="G3601" s="6">
        <v>3594</v>
      </c>
      <c r="H3601" s="6">
        <f t="shared" ca="1" si="117"/>
        <v>1.8822801025247067E-3</v>
      </c>
    </row>
    <row r="3602" spans="2:8" x14ac:dyDescent="0.3">
      <c r="B3602" s="4">
        <v>43409</v>
      </c>
      <c r="C3602" s="5">
        <v>1174.6300000000001</v>
      </c>
      <c r="D3602" s="6">
        <f t="shared" si="116"/>
        <v>68.587085308056871</v>
      </c>
      <c r="E3602" s="6">
        <v>-2.3611146499519899E-3</v>
      </c>
      <c r="F3602" s="6"/>
      <c r="G3602" s="6">
        <v>3595</v>
      </c>
      <c r="H3602" s="6">
        <f t="shared" ca="1" si="117"/>
        <v>-1.9930727952138582E-2</v>
      </c>
    </row>
    <row r="3603" spans="2:8" x14ac:dyDescent="0.3">
      <c r="B3603" s="4">
        <v>37553</v>
      </c>
      <c r="C3603" s="7">
        <v>16.88</v>
      </c>
      <c r="D3603" s="6">
        <f t="shared" si="116"/>
        <v>-0.99411354442739575</v>
      </c>
      <c r="E3603" s="6">
        <v>-2.3640661938535874E-3</v>
      </c>
      <c r="F3603" s="6"/>
      <c r="G3603" s="6">
        <v>3596</v>
      </c>
      <c r="H3603" s="6">
        <f t="shared" ca="1" si="117"/>
        <v>-1.9896675108183607E-2</v>
      </c>
    </row>
    <row r="3604" spans="2:8" x14ac:dyDescent="0.3">
      <c r="B3604" s="4">
        <v>45992</v>
      </c>
      <c r="C3604" s="5">
        <v>2867.6</v>
      </c>
      <c r="D3604" s="6">
        <f t="shared" si="116"/>
        <v>1.2241871432117151</v>
      </c>
      <c r="E3604" s="6">
        <v>-2.3657111049263085E-3</v>
      </c>
      <c r="F3604" s="6"/>
      <c r="G3604" s="6">
        <v>3597</v>
      </c>
      <c r="H3604" s="6">
        <f t="shared" ca="1" si="117"/>
        <v>2.0553887319971834E-2</v>
      </c>
    </row>
    <row r="3605" spans="2:8" x14ac:dyDescent="0.3">
      <c r="B3605" s="4">
        <v>43644</v>
      </c>
      <c r="C3605" s="5">
        <v>1289.28</v>
      </c>
      <c r="D3605" s="6">
        <f t="shared" si="116"/>
        <v>1.8293539325842694</v>
      </c>
      <c r="E3605" s="6">
        <v>-2.3832368689838184E-3</v>
      </c>
      <c r="F3605" s="6"/>
      <c r="G3605" s="6">
        <v>3598</v>
      </c>
      <c r="H3605" s="6">
        <f t="shared" ca="1" si="117"/>
        <v>-1.0812862473424237E-2</v>
      </c>
    </row>
    <row r="3606" spans="2:8" x14ac:dyDescent="0.3">
      <c r="B3606" s="4">
        <v>41607</v>
      </c>
      <c r="C3606" s="7">
        <v>455.68</v>
      </c>
      <c r="D3606" s="6">
        <f t="shared" si="116"/>
        <v>-0.84103372730697856</v>
      </c>
      <c r="E3606" s="6">
        <v>-2.3863213433456118E-3</v>
      </c>
      <c r="F3606" s="6"/>
      <c r="G3606" s="6">
        <v>3599</v>
      </c>
      <c r="H3606" s="6">
        <f t="shared" ca="1" si="117"/>
        <v>5.9846253296905938E-3</v>
      </c>
    </row>
    <row r="3607" spans="2:8" x14ac:dyDescent="0.3">
      <c r="B3607" s="4">
        <v>45454</v>
      </c>
      <c r="C3607" s="5">
        <v>2866.52</v>
      </c>
      <c r="D3607" s="6">
        <f t="shared" si="116"/>
        <v>113.98275170477338</v>
      </c>
      <c r="E3607" s="6">
        <v>-2.3909041237005386E-3</v>
      </c>
      <c r="F3607" s="6"/>
      <c r="G3607" s="6">
        <v>3600</v>
      </c>
      <c r="H3607" s="6">
        <f t="shared" ca="1" si="117"/>
        <v>2.6144800187651671E-2</v>
      </c>
    </row>
    <row r="3608" spans="2:8" x14ac:dyDescent="0.3">
      <c r="B3608" s="4">
        <v>37973</v>
      </c>
      <c r="C3608" s="7">
        <v>24.93</v>
      </c>
      <c r="D3608" s="6">
        <f t="shared" si="116"/>
        <v>-0.68419052444894857</v>
      </c>
      <c r="E3608" s="6">
        <v>-2.4009603841536106E-3</v>
      </c>
      <c r="F3608" s="6"/>
      <c r="G3608" s="6">
        <v>3601</v>
      </c>
      <c r="H3608" s="6">
        <f t="shared" ca="1" si="117"/>
        <v>2.9176666951797586E-2</v>
      </c>
    </row>
    <row r="3609" spans="2:8" x14ac:dyDescent="0.3">
      <c r="B3609" s="4">
        <v>39330</v>
      </c>
      <c r="C3609" s="7">
        <v>78.94</v>
      </c>
      <c r="D3609" s="6">
        <f t="shared" si="116"/>
        <v>-0.97632103090804379</v>
      </c>
      <c r="E3609" s="6">
        <v>-2.401112094022466E-3</v>
      </c>
      <c r="F3609" s="6"/>
      <c r="G3609" s="6">
        <v>3602</v>
      </c>
      <c r="H3609" s="6">
        <f t="shared" ca="1" si="117"/>
        <v>1.7662035696051938E-2</v>
      </c>
    </row>
    <row r="3610" spans="2:8" x14ac:dyDescent="0.3">
      <c r="B3610" s="4">
        <v>44813</v>
      </c>
      <c r="C3610" s="5">
        <v>3333.76</v>
      </c>
      <c r="D3610" s="6">
        <f t="shared" si="116"/>
        <v>4.5924086641033462E-3</v>
      </c>
      <c r="E3610" s="6">
        <v>-2.4058890418337314E-3</v>
      </c>
      <c r="F3610" s="6"/>
      <c r="G3610" s="6">
        <v>3603</v>
      </c>
      <c r="H3610" s="6">
        <f t="shared" ca="1" si="117"/>
        <v>4.5043589202702966E-3</v>
      </c>
    </row>
    <row r="3611" spans="2:8" x14ac:dyDescent="0.3">
      <c r="B3611" s="4">
        <v>45120</v>
      </c>
      <c r="C3611" s="5">
        <v>3318.52</v>
      </c>
      <c r="D3611" s="6">
        <f t="shared" si="116"/>
        <v>8.907804382874545</v>
      </c>
      <c r="E3611" s="6">
        <v>-2.407914553603971E-3</v>
      </c>
      <c r="F3611" s="6"/>
      <c r="G3611" s="6">
        <v>3604</v>
      </c>
      <c r="H3611" s="6">
        <f t="shared" ca="1" si="117"/>
        <v>1.3154769128836617E-2</v>
      </c>
    </row>
    <row r="3612" spans="2:8" x14ac:dyDescent="0.3">
      <c r="B3612" s="4">
        <v>41127</v>
      </c>
      <c r="C3612" s="7">
        <v>334.94</v>
      </c>
      <c r="D3612" s="6">
        <f t="shared" si="116"/>
        <v>0.59040835707502382</v>
      </c>
      <c r="E3612" s="6">
        <v>-2.4125093075204832E-3</v>
      </c>
      <c r="F3612" s="6"/>
      <c r="G3612" s="6">
        <v>3605</v>
      </c>
      <c r="H3612" s="6">
        <f t="shared" ca="1" si="117"/>
        <v>-5.4433072100111279E-3</v>
      </c>
    </row>
    <row r="3613" spans="2:8" x14ac:dyDescent="0.3">
      <c r="B3613" s="4">
        <v>40602</v>
      </c>
      <c r="C3613" s="7">
        <v>210.6</v>
      </c>
      <c r="D3613" s="6">
        <f t="shared" si="116"/>
        <v>-0.80898132443243143</v>
      </c>
      <c r="E3613" s="6">
        <v>-2.4158021884326621E-3</v>
      </c>
      <c r="F3613" s="6"/>
      <c r="G3613" s="6">
        <v>3606</v>
      </c>
      <c r="H3613" s="6">
        <f t="shared" ca="1" si="117"/>
        <v>-1.1164240562004494E-2</v>
      </c>
    </row>
    <row r="3614" spans="2:8" x14ac:dyDescent="0.3">
      <c r="B3614" s="4">
        <v>43207</v>
      </c>
      <c r="C3614" s="5">
        <v>1102.51</v>
      </c>
      <c r="D3614" s="6">
        <f t="shared" si="116"/>
        <v>3.8643723803220826</v>
      </c>
      <c r="E3614" s="6">
        <v>-2.4158960531316821E-3</v>
      </c>
      <c r="F3614" s="6"/>
      <c r="G3614" s="6">
        <v>3607</v>
      </c>
      <c r="H3614" s="6">
        <f t="shared" ca="1" si="117"/>
        <v>4.0474559223765347E-3</v>
      </c>
    </row>
    <row r="3615" spans="2:8" x14ac:dyDescent="0.3">
      <c r="B3615" s="4">
        <v>40394</v>
      </c>
      <c r="C3615" s="7">
        <v>226.65</v>
      </c>
      <c r="D3615" s="6">
        <f t="shared" si="116"/>
        <v>5.8827816580625569</v>
      </c>
      <c r="E3615" s="6">
        <v>-2.4207746478872492E-3</v>
      </c>
      <c r="F3615" s="6"/>
      <c r="G3615" s="6">
        <v>3608</v>
      </c>
      <c r="H3615" s="6">
        <f t="shared" ca="1" si="117"/>
        <v>1.8826130854185719E-2</v>
      </c>
    </row>
    <row r="3616" spans="2:8" x14ac:dyDescent="0.3">
      <c r="B3616" s="4">
        <v>38533</v>
      </c>
      <c r="C3616" s="7">
        <v>32.93</v>
      </c>
      <c r="D3616" s="6">
        <f t="shared" si="116"/>
        <v>0.33698741372310193</v>
      </c>
      <c r="E3616" s="6">
        <v>-2.4235080278702907E-3</v>
      </c>
      <c r="F3616" s="6"/>
      <c r="G3616" s="6">
        <v>3609</v>
      </c>
      <c r="H3616" s="6">
        <f t="shared" ca="1" si="117"/>
        <v>1.4109341156414493E-2</v>
      </c>
    </row>
    <row r="3617" spans="2:8" x14ac:dyDescent="0.3">
      <c r="B3617" s="4">
        <v>38231</v>
      </c>
      <c r="C3617" s="7">
        <v>24.63</v>
      </c>
      <c r="D3617" s="6">
        <f t="shared" si="116"/>
        <v>0.5009140767824497</v>
      </c>
      <c r="E3617" s="6">
        <v>-2.4301336573512465E-3</v>
      </c>
      <c r="F3617" s="6"/>
      <c r="G3617" s="6">
        <v>3610</v>
      </c>
      <c r="H3617" s="6">
        <f t="shared" ca="1" si="117"/>
        <v>7.2779910857662762E-3</v>
      </c>
    </row>
    <row r="3618" spans="2:8" x14ac:dyDescent="0.3">
      <c r="B3618" s="4">
        <v>37482</v>
      </c>
      <c r="C3618" s="7">
        <v>16.41</v>
      </c>
      <c r="D3618" s="6">
        <f t="shared" si="116"/>
        <v>6.0975609756107102E-4</v>
      </c>
      <c r="E3618" s="6">
        <v>-2.4316109422491882E-3</v>
      </c>
      <c r="F3618" s="6"/>
      <c r="G3618" s="6">
        <v>3611</v>
      </c>
      <c r="H3618" s="6">
        <f t="shared" ca="1" si="117"/>
        <v>-4.1334021662994443E-3</v>
      </c>
    </row>
    <row r="3619" spans="2:8" x14ac:dyDescent="0.3">
      <c r="B3619" s="4">
        <v>37600</v>
      </c>
      <c r="C3619" s="7">
        <v>16.399999999999999</v>
      </c>
      <c r="D3619" s="6">
        <f t="shared" si="116"/>
        <v>-0.33197556008146645</v>
      </c>
      <c r="E3619" s="6">
        <v>-2.4330900243310642E-3</v>
      </c>
      <c r="F3619" s="6"/>
      <c r="G3619" s="6">
        <v>3612</v>
      </c>
      <c r="H3619" s="6">
        <f t="shared" ca="1" si="117"/>
        <v>-1.7753034841159802E-2</v>
      </c>
    </row>
    <row r="3620" spans="2:8" x14ac:dyDescent="0.3">
      <c r="B3620" s="4">
        <v>38029</v>
      </c>
      <c r="C3620" s="7">
        <v>24.55</v>
      </c>
      <c r="D3620" s="6">
        <f t="shared" si="116"/>
        <v>-0.98893909971930982</v>
      </c>
      <c r="E3620" s="6">
        <v>-2.4380333197886518E-3</v>
      </c>
      <c r="F3620" s="6"/>
      <c r="G3620" s="6">
        <v>3613</v>
      </c>
      <c r="H3620" s="6">
        <f t="shared" ca="1" si="117"/>
        <v>-9.8790829974468135E-5</v>
      </c>
    </row>
    <row r="3621" spans="2:8" x14ac:dyDescent="0.3">
      <c r="B3621" s="4">
        <v>45813</v>
      </c>
      <c r="C3621" s="5">
        <v>2219.5300000000002</v>
      </c>
      <c r="D3621" s="6">
        <f t="shared" si="116"/>
        <v>107.85384992643453</v>
      </c>
      <c r="E3621" s="6">
        <v>-2.4449767862036792E-3</v>
      </c>
      <c r="F3621" s="6"/>
      <c r="G3621" s="6">
        <v>3614</v>
      </c>
      <c r="H3621" s="6">
        <f t="shared" ca="1" si="117"/>
        <v>-1.3441644261221559E-2</v>
      </c>
    </row>
    <row r="3622" spans="2:8" x14ac:dyDescent="0.3">
      <c r="B3622" s="4">
        <v>37839</v>
      </c>
      <c r="C3622" s="7">
        <v>20.39</v>
      </c>
      <c r="D3622" s="6">
        <f t="shared" si="116"/>
        <v>-0.79980363279332345</v>
      </c>
      <c r="E3622" s="6">
        <v>-2.4461839530333027E-3</v>
      </c>
      <c r="F3622" s="6"/>
      <c r="G3622" s="6">
        <v>3615</v>
      </c>
      <c r="H3622" s="6">
        <f t="shared" ca="1" si="117"/>
        <v>-1.8182440594329337E-2</v>
      </c>
    </row>
    <row r="3623" spans="2:8" x14ac:dyDescent="0.3">
      <c r="B3623" s="4">
        <v>39699</v>
      </c>
      <c r="C3623" s="7">
        <v>101.85</v>
      </c>
      <c r="D3623" s="6">
        <f t="shared" si="116"/>
        <v>4.0024557956777995</v>
      </c>
      <c r="E3623" s="6">
        <v>-2.4485798237022529E-3</v>
      </c>
      <c r="F3623" s="6"/>
      <c r="G3623" s="6">
        <v>3616</v>
      </c>
      <c r="H3623" s="6">
        <f t="shared" ca="1" si="117"/>
        <v>-1.7556203656662307E-2</v>
      </c>
    </row>
    <row r="3624" spans="2:8" x14ac:dyDescent="0.3">
      <c r="B3624" s="4">
        <v>37837</v>
      </c>
      <c r="C3624" s="7">
        <v>20.36</v>
      </c>
      <c r="D3624" s="6">
        <f t="shared" si="116"/>
        <v>-0.99290189201532575</v>
      </c>
      <c r="E3624" s="6">
        <v>-2.4497795198432488E-3</v>
      </c>
      <c r="F3624" s="6"/>
      <c r="G3624" s="6">
        <v>3617</v>
      </c>
      <c r="H3624" s="6">
        <f t="shared" ca="1" si="117"/>
        <v>4.4405183299007708E-3</v>
      </c>
    </row>
    <row r="3625" spans="2:8" x14ac:dyDescent="0.3">
      <c r="B3625" s="4">
        <v>44396</v>
      </c>
      <c r="C3625" s="5">
        <v>2868.37</v>
      </c>
      <c r="D3625" s="6">
        <f t="shared" si="116"/>
        <v>116.84593262119967</v>
      </c>
      <c r="E3625" s="6">
        <v>-2.4587541384971218E-3</v>
      </c>
      <c r="F3625" s="6"/>
      <c r="G3625" s="6">
        <v>3618</v>
      </c>
      <c r="H3625" s="6">
        <f t="shared" ca="1" si="117"/>
        <v>1.1830338020704932E-2</v>
      </c>
    </row>
    <row r="3626" spans="2:8" x14ac:dyDescent="0.3">
      <c r="B3626" s="4">
        <v>38222</v>
      </c>
      <c r="C3626" s="7">
        <v>24.34</v>
      </c>
      <c r="D3626" s="6">
        <f t="shared" si="116"/>
        <v>-0.99114542028331742</v>
      </c>
      <c r="E3626" s="6">
        <v>-2.4590163934425707E-3</v>
      </c>
      <c r="F3626" s="6"/>
      <c r="G3626" s="6">
        <v>3619</v>
      </c>
      <c r="H3626" s="6">
        <f t="shared" ca="1" si="117"/>
        <v>8.9812099667006004E-4</v>
      </c>
    </row>
    <row r="3627" spans="2:8" x14ac:dyDescent="0.3">
      <c r="B3627" s="4">
        <v>44987</v>
      </c>
      <c r="C3627" s="5">
        <v>2748.86</v>
      </c>
      <c r="D3627" s="6">
        <f t="shared" si="116"/>
        <v>5.023446401963362</v>
      </c>
      <c r="E3627" s="6">
        <v>-2.4640284506377672E-3</v>
      </c>
      <c r="F3627" s="6"/>
      <c r="G3627" s="6">
        <v>3620</v>
      </c>
      <c r="H3627" s="6">
        <f t="shared" ca="1" si="117"/>
        <v>-6.8355519389511205E-3</v>
      </c>
    </row>
    <row r="3628" spans="2:8" x14ac:dyDescent="0.3">
      <c r="B3628" s="4">
        <v>41767</v>
      </c>
      <c r="C3628" s="7">
        <v>456.36</v>
      </c>
      <c r="D3628" s="6">
        <f t="shared" si="116"/>
        <v>3.5408955223880598</v>
      </c>
      <c r="E3628" s="6">
        <v>-2.4699993442479518E-3</v>
      </c>
      <c r="F3628" s="6"/>
      <c r="G3628" s="6">
        <v>3621</v>
      </c>
      <c r="H3628" s="6">
        <f t="shared" ca="1" si="117"/>
        <v>3.0669885039409331E-2</v>
      </c>
    </row>
    <row r="3629" spans="2:8" x14ac:dyDescent="0.3">
      <c r="B3629" s="4">
        <v>39722</v>
      </c>
      <c r="C3629" s="7">
        <v>100.5</v>
      </c>
      <c r="D3629" s="6">
        <f t="shared" si="116"/>
        <v>3.1683948569058482</v>
      </c>
      <c r="E3629" s="6">
        <v>-2.4813895781637717E-3</v>
      </c>
      <c r="F3629" s="6"/>
      <c r="G3629" s="6">
        <v>3622</v>
      </c>
      <c r="H3629" s="6">
        <f t="shared" ca="1" si="117"/>
        <v>3.4164679345771359E-2</v>
      </c>
    </row>
    <row r="3630" spans="2:8" x14ac:dyDescent="0.3">
      <c r="B3630" s="4">
        <v>38062</v>
      </c>
      <c r="C3630" s="7">
        <v>24.11</v>
      </c>
      <c r="D3630" s="6">
        <f t="shared" si="116"/>
        <v>-0.9914049716410408</v>
      </c>
      <c r="E3630" s="6">
        <v>-2.4824162184527211E-3</v>
      </c>
      <c r="F3630" s="6"/>
      <c r="G3630" s="6">
        <v>3623</v>
      </c>
      <c r="H3630" s="6">
        <f t="shared" ca="1" si="117"/>
        <v>-1.9958999355582617E-2</v>
      </c>
    </row>
    <row r="3631" spans="2:8" x14ac:dyDescent="0.3">
      <c r="B3631" s="4">
        <v>45406</v>
      </c>
      <c r="C3631" s="5">
        <v>2805.11</v>
      </c>
      <c r="D3631" s="6">
        <f t="shared" si="116"/>
        <v>15.667320261437908</v>
      </c>
      <c r="E3631" s="6">
        <v>-2.4856868532412723E-3</v>
      </c>
      <c r="F3631" s="6"/>
      <c r="G3631" s="6">
        <v>3624</v>
      </c>
      <c r="H3631" s="6">
        <f t="shared" ca="1" si="117"/>
        <v>-1.1540339807747008E-2</v>
      </c>
    </row>
    <row r="3632" spans="2:8" x14ac:dyDescent="0.3">
      <c r="B3632" s="4">
        <v>40247</v>
      </c>
      <c r="C3632" s="7">
        <v>168.3</v>
      </c>
      <c r="D3632" s="6">
        <f t="shared" si="116"/>
        <v>-0.93873517067151047</v>
      </c>
      <c r="E3632" s="6">
        <v>-2.4893314366997835E-3</v>
      </c>
      <c r="F3632" s="6"/>
      <c r="G3632" s="6">
        <v>3625</v>
      </c>
      <c r="H3632" s="6">
        <f t="shared" ca="1" si="117"/>
        <v>-1.5780560960602281E-2</v>
      </c>
    </row>
    <row r="3633" spans="2:8" x14ac:dyDescent="0.3">
      <c r="B3633" s="4">
        <v>44713</v>
      </c>
      <c r="C3633" s="5">
        <v>2747.09</v>
      </c>
      <c r="D3633" s="6">
        <f t="shared" si="116"/>
        <v>45.427074531012337</v>
      </c>
      <c r="E3633" s="6">
        <v>-2.4982116726034254E-3</v>
      </c>
      <c r="F3633" s="6"/>
      <c r="G3633" s="6">
        <v>3626</v>
      </c>
      <c r="H3633" s="6">
        <f t="shared" ca="1" si="117"/>
        <v>2.9407737775896756E-2</v>
      </c>
    </row>
    <row r="3634" spans="2:8" x14ac:dyDescent="0.3">
      <c r="B3634" s="4">
        <v>39037</v>
      </c>
      <c r="C3634" s="7">
        <v>59.17</v>
      </c>
      <c r="D3634" s="6">
        <f t="shared" si="116"/>
        <v>-0.84672969822561839</v>
      </c>
      <c r="E3634" s="6">
        <v>-2.5286581254214189E-3</v>
      </c>
      <c r="F3634" s="6"/>
      <c r="G3634" s="6">
        <v>3627</v>
      </c>
      <c r="H3634" s="6">
        <f t="shared" ca="1" si="117"/>
        <v>1.1789800232035962E-3</v>
      </c>
    </row>
    <row r="3635" spans="2:8" x14ac:dyDescent="0.3">
      <c r="B3635" s="4">
        <v>41256</v>
      </c>
      <c r="C3635" s="7">
        <v>386.05</v>
      </c>
      <c r="D3635" s="6">
        <f t="shared" si="116"/>
        <v>3.9234791480678486</v>
      </c>
      <c r="E3635" s="6">
        <v>-2.5321034545124706E-3</v>
      </c>
      <c r="F3635" s="6"/>
      <c r="G3635" s="6">
        <v>3628</v>
      </c>
      <c r="H3635" s="6">
        <f t="shared" ca="1" si="117"/>
        <v>9.5412776649065525E-3</v>
      </c>
    </row>
    <row r="3636" spans="2:8" x14ac:dyDescent="0.3">
      <c r="B3636" s="4">
        <v>39332</v>
      </c>
      <c r="C3636" s="7">
        <v>78.41</v>
      </c>
      <c r="D3636" s="6">
        <f t="shared" si="116"/>
        <v>-0.97412894285337215</v>
      </c>
      <c r="E3636" s="6">
        <v>-2.5442055718102384E-3</v>
      </c>
      <c r="F3636" s="6"/>
      <c r="G3636" s="6">
        <v>3629</v>
      </c>
      <c r="H3636" s="6">
        <f t="shared" ca="1" si="117"/>
        <v>1.4581457002307775E-3</v>
      </c>
    </row>
    <row r="3637" spans="2:8" x14ac:dyDescent="0.3">
      <c r="B3637" s="4">
        <v>44586</v>
      </c>
      <c r="C3637" s="5">
        <v>3030.8</v>
      </c>
      <c r="D3637" s="6">
        <f t="shared" si="116"/>
        <v>-3.9155948527570136E-2</v>
      </c>
      <c r="E3637" s="6">
        <v>-2.5505586546214474E-3</v>
      </c>
      <c r="F3637" s="6"/>
      <c r="G3637" s="6">
        <v>3630</v>
      </c>
      <c r="H3637" s="6">
        <f t="shared" ca="1" si="117"/>
        <v>1.9206454858193903E-2</v>
      </c>
    </row>
    <row r="3638" spans="2:8" x14ac:dyDescent="0.3">
      <c r="B3638" s="4">
        <v>45272</v>
      </c>
      <c r="C3638" s="5">
        <v>3154.31</v>
      </c>
      <c r="D3638" s="6">
        <f t="shared" si="116"/>
        <v>-2.3689037889810349E-3</v>
      </c>
      <c r="E3638" s="6">
        <v>-2.5518754861845079E-3</v>
      </c>
      <c r="F3638" s="6"/>
      <c r="G3638" s="6">
        <v>3631</v>
      </c>
      <c r="H3638" s="6">
        <f t="shared" ca="1" si="117"/>
        <v>-6.2459180626066989E-3</v>
      </c>
    </row>
    <row r="3639" spans="2:8" x14ac:dyDescent="0.3">
      <c r="B3639" s="4">
        <v>45177</v>
      </c>
      <c r="C3639" s="5">
        <v>3161.8</v>
      </c>
      <c r="D3639" s="6">
        <f t="shared" si="116"/>
        <v>134.58319039451115</v>
      </c>
      <c r="E3639" s="6">
        <v>-2.5584322583289978E-3</v>
      </c>
      <c r="F3639" s="6"/>
      <c r="G3639" s="6">
        <v>3632</v>
      </c>
      <c r="H3639" s="6">
        <f t="shared" ca="1" si="117"/>
        <v>4.9327836692290685E-3</v>
      </c>
    </row>
    <row r="3640" spans="2:8" x14ac:dyDescent="0.3">
      <c r="B3640" s="4">
        <v>38097</v>
      </c>
      <c r="C3640" s="7">
        <v>23.32</v>
      </c>
      <c r="D3640" s="6">
        <f t="shared" si="116"/>
        <v>8.5836909871242798E-4</v>
      </c>
      <c r="E3640" s="6">
        <v>-2.5662959794695776E-3</v>
      </c>
      <c r="F3640" s="6"/>
      <c r="G3640" s="6">
        <v>3633</v>
      </c>
      <c r="H3640" s="6">
        <f t="shared" ca="1" si="117"/>
        <v>7.3408550410895912E-3</v>
      </c>
    </row>
    <row r="3641" spans="2:8" x14ac:dyDescent="0.3">
      <c r="B3641" s="4">
        <v>38082</v>
      </c>
      <c r="C3641" s="7">
        <v>23.3</v>
      </c>
      <c r="D3641" s="6">
        <f t="shared" si="116"/>
        <v>-0.98586250834294042</v>
      </c>
      <c r="E3641" s="6">
        <v>-2.5684931506848767E-3</v>
      </c>
      <c r="F3641" s="6"/>
      <c r="G3641" s="6">
        <v>3634</v>
      </c>
      <c r="H3641" s="6">
        <f t="shared" ca="1" si="117"/>
        <v>-7.0284698278511265E-4</v>
      </c>
    </row>
    <row r="3642" spans="2:8" x14ac:dyDescent="0.3">
      <c r="B3642" s="4">
        <v>43942</v>
      </c>
      <c r="C3642" s="5">
        <v>1648.1</v>
      </c>
      <c r="D3642" s="6">
        <f t="shared" si="116"/>
        <v>0.51261506832970805</v>
      </c>
      <c r="E3642" s="6">
        <v>-2.5720942899506763E-3</v>
      </c>
      <c r="F3642" s="6"/>
      <c r="G3642" s="6">
        <v>3635</v>
      </c>
      <c r="H3642" s="6">
        <f t="shared" ca="1" si="117"/>
        <v>9.7917645242246928E-3</v>
      </c>
    </row>
    <row r="3643" spans="2:8" x14ac:dyDescent="0.3">
      <c r="B3643" s="4">
        <v>43203</v>
      </c>
      <c r="C3643" s="5">
        <v>1089.57</v>
      </c>
      <c r="D3643" s="6">
        <f t="shared" si="116"/>
        <v>69.340219496449322</v>
      </c>
      <c r="E3643" s="6">
        <v>-2.5723649279556313E-3</v>
      </c>
      <c r="F3643" s="6"/>
      <c r="G3643" s="6">
        <v>3636</v>
      </c>
      <c r="H3643" s="6">
        <f t="shared" ca="1" si="117"/>
        <v>-3.6301550834584835E-3</v>
      </c>
    </row>
    <row r="3644" spans="2:8" x14ac:dyDescent="0.3">
      <c r="B3644" s="4">
        <v>37685</v>
      </c>
      <c r="C3644" s="7">
        <v>15.49</v>
      </c>
      <c r="D3644" s="6">
        <f t="shared" si="116"/>
        <v>-0.98282609900770557</v>
      </c>
      <c r="E3644" s="6">
        <v>-2.5756600128782454E-3</v>
      </c>
      <c r="F3644" s="6"/>
      <c r="G3644" s="6">
        <v>3637</v>
      </c>
      <c r="H3644" s="6">
        <f t="shared" ca="1" si="117"/>
        <v>8.5844343428765572E-3</v>
      </c>
    </row>
    <row r="3645" spans="2:8" x14ac:dyDescent="0.3">
      <c r="B3645" s="4">
        <v>42766</v>
      </c>
      <c r="C3645" s="7">
        <v>901.95</v>
      </c>
      <c r="D3645" s="6">
        <f t="shared" si="116"/>
        <v>6.2138825051875875E-3</v>
      </c>
      <c r="E3645" s="6">
        <v>-2.5766355553588794E-3</v>
      </c>
      <c r="F3645" s="6"/>
      <c r="G3645" s="6">
        <v>3638</v>
      </c>
      <c r="H3645" s="6">
        <f t="shared" ca="1" si="117"/>
        <v>-2.6545472855179558E-3</v>
      </c>
    </row>
    <row r="3646" spans="2:8" x14ac:dyDescent="0.3">
      <c r="B3646" s="4">
        <v>42758</v>
      </c>
      <c r="C3646" s="7">
        <v>896.38</v>
      </c>
      <c r="D3646" s="6">
        <f t="shared" si="116"/>
        <v>-0.45069706161718293</v>
      </c>
      <c r="E3646" s="6">
        <v>-2.5815066206743629E-3</v>
      </c>
      <c r="F3646" s="6"/>
      <c r="G3646" s="6">
        <v>3639</v>
      </c>
      <c r="H3646" s="6">
        <f t="shared" ca="1" si="117"/>
        <v>2.6512699958732254E-2</v>
      </c>
    </row>
    <row r="3647" spans="2:8" x14ac:dyDescent="0.3">
      <c r="B3647" s="4">
        <v>43804</v>
      </c>
      <c r="C3647" s="5">
        <v>1631.85</v>
      </c>
      <c r="D3647" s="6">
        <f t="shared" si="116"/>
        <v>0.13928160016755683</v>
      </c>
      <c r="E3647" s="6">
        <v>-2.5854481443450309E-3</v>
      </c>
      <c r="F3647" s="6"/>
      <c r="G3647" s="6">
        <v>3640</v>
      </c>
      <c r="H3647" s="6">
        <f t="shared" ca="1" si="117"/>
        <v>-2.0078732416999076E-2</v>
      </c>
    </row>
    <row r="3648" spans="2:8" x14ac:dyDescent="0.3">
      <c r="B3648" s="4">
        <v>43971</v>
      </c>
      <c r="C3648" s="5">
        <v>1432.35</v>
      </c>
      <c r="D3648" s="6">
        <f t="shared" si="116"/>
        <v>-0.5098602827196107</v>
      </c>
      <c r="E3648" s="6">
        <v>-2.5904029747853708E-3</v>
      </c>
      <c r="F3648" s="6"/>
      <c r="G3648" s="6">
        <v>3641</v>
      </c>
      <c r="H3648" s="6">
        <f t="shared" ca="1" si="117"/>
        <v>9.5925846583094741E-3</v>
      </c>
    </row>
    <row r="3649" spans="2:8" x14ac:dyDescent="0.3">
      <c r="B3649" s="4">
        <v>44433</v>
      </c>
      <c r="C3649" s="5">
        <v>2922.33</v>
      </c>
      <c r="D3649" s="6">
        <f t="shared" si="116"/>
        <v>125.78221258134489</v>
      </c>
      <c r="E3649" s="6">
        <v>-2.5939186260422295E-3</v>
      </c>
      <c r="F3649" s="6"/>
      <c r="G3649" s="6">
        <v>3642</v>
      </c>
      <c r="H3649" s="6">
        <f t="shared" ca="1" si="117"/>
        <v>-1.2471483891356919E-2</v>
      </c>
    </row>
    <row r="3650" spans="2:8" x14ac:dyDescent="0.3">
      <c r="B3650" s="4">
        <v>38078</v>
      </c>
      <c r="C3650" s="7">
        <v>23.05</v>
      </c>
      <c r="D3650" s="6">
        <f t="shared" si="116"/>
        <v>-0.92489410231345714</v>
      </c>
      <c r="E3650" s="6">
        <v>-2.5962786672435621E-3</v>
      </c>
      <c r="F3650" s="6"/>
      <c r="G3650" s="6">
        <v>3643</v>
      </c>
      <c r="H3650" s="6">
        <f t="shared" ca="1" si="117"/>
        <v>3.1053755515190649E-4</v>
      </c>
    </row>
    <row r="3651" spans="2:8" x14ac:dyDescent="0.3">
      <c r="B3651" s="4">
        <v>41023</v>
      </c>
      <c r="C3651" s="7">
        <v>306.89999999999998</v>
      </c>
      <c r="D3651" s="6">
        <f t="shared" si="116"/>
        <v>3.7346497994446159</v>
      </c>
      <c r="E3651" s="6">
        <v>-2.5999350016249964E-3</v>
      </c>
      <c r="F3651" s="6"/>
      <c r="G3651" s="6">
        <v>3644</v>
      </c>
      <c r="H3651" s="6">
        <f t="shared" ca="1" si="117"/>
        <v>-1.2001916889565615E-3</v>
      </c>
    </row>
    <row r="3652" spans="2:8" x14ac:dyDescent="0.3">
      <c r="B3652" s="4">
        <v>39897</v>
      </c>
      <c r="C3652" s="7">
        <v>64.819999999999993</v>
      </c>
      <c r="D3652" s="6">
        <f t="shared" si="116"/>
        <v>-0.97778889513288281</v>
      </c>
      <c r="E3652" s="6">
        <v>-2.6157870441606665E-3</v>
      </c>
      <c r="F3652" s="6"/>
      <c r="G3652" s="6">
        <v>3645</v>
      </c>
      <c r="H3652" s="6">
        <f t="shared" ca="1" si="117"/>
        <v>1.7095133165380506E-2</v>
      </c>
    </row>
    <row r="3653" spans="2:8" x14ac:dyDescent="0.3">
      <c r="B3653" s="4">
        <v>44537</v>
      </c>
      <c r="C3653" s="5">
        <v>2918.36</v>
      </c>
      <c r="D3653" s="6">
        <f t="shared" si="116"/>
        <v>5.3757384057657072E-2</v>
      </c>
      <c r="E3653" s="6">
        <v>-2.6178905133935702E-3</v>
      </c>
      <c r="F3653" s="6"/>
      <c r="G3653" s="6">
        <v>3646</v>
      </c>
      <c r="H3653" s="6">
        <f t="shared" ca="1" si="117"/>
        <v>1.6946656107332751E-2</v>
      </c>
    </row>
    <row r="3654" spans="2:8" x14ac:dyDescent="0.3">
      <c r="B3654" s="4">
        <v>45005</v>
      </c>
      <c r="C3654" s="5">
        <v>2769.48</v>
      </c>
      <c r="D3654" s="6">
        <f t="shared" si="116"/>
        <v>3.698493485342019</v>
      </c>
      <c r="E3654" s="6">
        <v>-2.6181687224272917E-3</v>
      </c>
      <c r="F3654" s="6"/>
      <c r="G3654" s="6">
        <v>3647</v>
      </c>
      <c r="H3654" s="6">
        <f t="shared" ca="1" si="117"/>
        <v>-3.8874539109607933E-2</v>
      </c>
    </row>
    <row r="3655" spans="2:8" x14ac:dyDescent="0.3">
      <c r="B3655" s="4">
        <v>41942</v>
      </c>
      <c r="C3655" s="7">
        <v>589.44000000000005</v>
      </c>
      <c r="D3655" s="6">
        <f t="shared" si="116"/>
        <v>-0.62227249133285056</v>
      </c>
      <c r="E3655" s="6">
        <v>-2.6227178124840597E-3</v>
      </c>
      <c r="F3655" s="6"/>
      <c r="G3655" s="6">
        <v>3648</v>
      </c>
      <c r="H3655" s="6">
        <f t="shared" ca="1" si="117"/>
        <v>2.7162668896449849E-2</v>
      </c>
    </row>
    <row r="3656" spans="2:8" x14ac:dyDescent="0.3">
      <c r="B3656" s="4">
        <v>43990</v>
      </c>
      <c r="C3656" s="5">
        <v>1560.49</v>
      </c>
      <c r="D3656" s="6">
        <f t="shared" ref="D3656:D3719" si="118">((C3656-C3657)/C3657)</f>
        <v>14.260023469587326</v>
      </c>
      <c r="E3656" s="6">
        <v>-2.6268694874088585E-3</v>
      </c>
      <c r="F3656" s="6"/>
      <c r="G3656" s="6">
        <v>3649</v>
      </c>
      <c r="H3656" s="6">
        <f t="shared" ca="1" si="117"/>
        <v>-1.486824878760514E-2</v>
      </c>
    </row>
    <row r="3657" spans="2:8" x14ac:dyDescent="0.3">
      <c r="B3657" s="4">
        <v>39995</v>
      </c>
      <c r="C3657" s="7">
        <v>102.26</v>
      </c>
      <c r="D3657" s="6">
        <f t="shared" si="118"/>
        <v>-0.96828567086691819</v>
      </c>
      <c r="E3657" s="6">
        <v>-2.6333755973860918E-3</v>
      </c>
      <c r="F3657" s="6"/>
      <c r="G3657" s="6">
        <v>3650</v>
      </c>
      <c r="H3657" s="6">
        <f t="shared" ref="H3657:H3720" ca="1" si="119">_xlfn.NORM.INV(RAND(),N$10,N$11)</f>
        <v>-5.1948532061331871E-3</v>
      </c>
    </row>
    <row r="3658" spans="2:8" x14ac:dyDescent="0.3">
      <c r="B3658" s="4">
        <v>44840</v>
      </c>
      <c r="C3658" s="5">
        <v>3224.41</v>
      </c>
      <c r="D3658" s="6">
        <f t="shared" si="118"/>
        <v>0.37483317770358715</v>
      </c>
      <c r="E3658" s="6">
        <v>-2.6353802897062361E-3</v>
      </c>
      <c r="F3658" s="6"/>
      <c r="G3658" s="6">
        <v>3651</v>
      </c>
      <c r="H3658" s="6">
        <f t="shared" ca="1" si="119"/>
        <v>2.2796427516289797E-2</v>
      </c>
    </row>
    <row r="3659" spans="2:8" x14ac:dyDescent="0.3">
      <c r="B3659" s="4">
        <v>44243</v>
      </c>
      <c r="C3659" s="5">
        <v>2345.31</v>
      </c>
      <c r="D3659" s="6">
        <f t="shared" si="118"/>
        <v>123.8169238956892</v>
      </c>
      <c r="E3659" s="6">
        <v>-2.6450863905628482E-3</v>
      </c>
      <c r="F3659" s="6"/>
      <c r="G3659" s="6">
        <v>3652</v>
      </c>
      <c r="H3659" s="6">
        <f t="shared" ca="1" si="119"/>
        <v>1.3209800101814249E-2</v>
      </c>
    </row>
    <row r="3660" spans="2:8" x14ac:dyDescent="0.3">
      <c r="B3660" s="4">
        <v>37799</v>
      </c>
      <c r="C3660" s="7">
        <v>18.79</v>
      </c>
      <c r="D3660" s="6">
        <f t="shared" si="118"/>
        <v>-0.98833853620391121</v>
      </c>
      <c r="E3660" s="6">
        <v>-2.6539278131635195E-3</v>
      </c>
      <c r="F3660" s="6"/>
      <c r="G3660" s="6">
        <v>3653</v>
      </c>
      <c r="H3660" s="6">
        <f t="shared" ca="1" si="119"/>
        <v>9.5136410506093429E-3</v>
      </c>
    </row>
    <row r="3661" spans="2:8" x14ac:dyDescent="0.3">
      <c r="B3661" s="4">
        <v>44012</v>
      </c>
      <c r="C3661" s="5">
        <v>1611.29</v>
      </c>
      <c r="D3661" s="6">
        <f t="shared" si="118"/>
        <v>-0.48336881661130426</v>
      </c>
      <c r="E3661" s="6">
        <v>-2.6615663627528982E-3</v>
      </c>
      <c r="F3661" s="6"/>
      <c r="G3661" s="6">
        <v>3654</v>
      </c>
      <c r="H3661" s="6">
        <f t="shared" ca="1" si="119"/>
        <v>1.3848314262409287E-2</v>
      </c>
    </row>
    <row r="3662" spans="2:8" x14ac:dyDescent="0.3">
      <c r="B3662" s="4">
        <v>45154</v>
      </c>
      <c r="C3662" s="5">
        <v>3118.84</v>
      </c>
      <c r="D3662" s="6">
        <f t="shared" si="118"/>
        <v>2.0145952947089643</v>
      </c>
      <c r="E3662" s="6">
        <v>-2.6701287737553232E-3</v>
      </c>
      <c r="F3662" s="6"/>
      <c r="G3662" s="6">
        <v>3655</v>
      </c>
      <c r="H3662" s="6">
        <f t="shared" ca="1" si="119"/>
        <v>1.2601747409644056E-2</v>
      </c>
    </row>
    <row r="3663" spans="2:8" x14ac:dyDescent="0.3">
      <c r="B3663" s="4">
        <v>43180</v>
      </c>
      <c r="C3663" s="5">
        <v>1034.58</v>
      </c>
      <c r="D3663" s="6">
        <f t="shared" si="118"/>
        <v>-4.5784065964472244E-2</v>
      </c>
      <c r="E3663" s="6">
        <v>-2.6702655805658478E-3</v>
      </c>
      <c r="F3663" s="6"/>
      <c r="G3663" s="6">
        <v>3656</v>
      </c>
      <c r="H3663" s="6">
        <f t="shared" ca="1" si="119"/>
        <v>2.0544178523267839E-2</v>
      </c>
    </row>
    <row r="3664" spans="2:8" x14ac:dyDescent="0.3">
      <c r="B3664" s="4">
        <v>43066</v>
      </c>
      <c r="C3664" s="5">
        <v>1084.22</v>
      </c>
      <c r="D3664" s="6">
        <f t="shared" si="118"/>
        <v>21.41050020669698</v>
      </c>
      <c r="E3664" s="6">
        <v>-2.6767727870632596E-3</v>
      </c>
      <c r="F3664" s="6"/>
      <c r="G3664" s="6">
        <v>3657</v>
      </c>
      <c r="H3664" s="6">
        <f t="shared" ca="1" si="119"/>
        <v>8.6742573686178354E-3</v>
      </c>
    </row>
    <row r="3665" spans="2:8" x14ac:dyDescent="0.3">
      <c r="B3665" s="4">
        <v>38741</v>
      </c>
      <c r="C3665" s="7">
        <v>48.38</v>
      </c>
      <c r="D3665" s="6">
        <f t="shared" si="118"/>
        <v>-0.53570057581573893</v>
      </c>
      <c r="E3665" s="6">
        <v>-2.6798598227168718E-3</v>
      </c>
      <c r="F3665" s="6"/>
      <c r="G3665" s="6">
        <v>3658</v>
      </c>
      <c r="H3665" s="6">
        <f t="shared" ca="1" si="119"/>
        <v>2.826958787692002E-3</v>
      </c>
    </row>
    <row r="3666" spans="2:8" x14ac:dyDescent="0.3">
      <c r="B3666" s="4">
        <v>39596</v>
      </c>
      <c r="C3666" s="7">
        <v>104.2</v>
      </c>
      <c r="D3666" s="6">
        <f t="shared" si="118"/>
        <v>-0.7404150369945941</v>
      </c>
      <c r="E3666" s="6">
        <v>-2.6799387442572849E-3</v>
      </c>
      <c r="F3666" s="6"/>
      <c r="G3666" s="6">
        <v>3659</v>
      </c>
      <c r="H3666" s="6">
        <f t="shared" ca="1" si="119"/>
        <v>1.6097741618502019E-2</v>
      </c>
    </row>
    <row r="3667" spans="2:8" x14ac:dyDescent="0.3">
      <c r="B3667" s="4">
        <v>41528</v>
      </c>
      <c r="C3667" s="7">
        <v>401.41</v>
      </c>
      <c r="D3667" s="6">
        <f t="shared" si="118"/>
        <v>17.000448430493275</v>
      </c>
      <c r="E3667" s="6">
        <v>-2.6832964794155979E-3</v>
      </c>
      <c r="F3667" s="6"/>
      <c r="G3667" s="6">
        <v>3660</v>
      </c>
      <c r="H3667" s="6">
        <f t="shared" ca="1" si="119"/>
        <v>-2.9529084952473602E-3</v>
      </c>
    </row>
    <row r="3668" spans="2:8" x14ac:dyDescent="0.3">
      <c r="B3668" s="4">
        <v>38128</v>
      </c>
      <c r="C3668" s="7">
        <v>22.3</v>
      </c>
      <c r="D3668" s="6">
        <f t="shared" si="118"/>
        <v>-0.71406590588536989</v>
      </c>
      <c r="E3668" s="6">
        <v>-2.6833631484793705E-3</v>
      </c>
      <c r="F3668" s="6"/>
      <c r="G3668" s="6">
        <v>3661</v>
      </c>
      <c r="H3668" s="6">
        <f t="shared" ca="1" si="119"/>
        <v>6.2483574543896392E-3</v>
      </c>
    </row>
    <row r="3669" spans="2:8" x14ac:dyDescent="0.3">
      <c r="B3669" s="4">
        <v>39344</v>
      </c>
      <c r="C3669" s="7">
        <v>77.989999999999995</v>
      </c>
      <c r="D3669" s="6">
        <f t="shared" si="118"/>
        <v>0.91904527559055105</v>
      </c>
      <c r="E3669" s="6">
        <v>-2.6854219948850119E-3</v>
      </c>
      <c r="F3669" s="6"/>
      <c r="G3669" s="6">
        <v>3662</v>
      </c>
      <c r="H3669" s="6">
        <f t="shared" ca="1" si="119"/>
        <v>9.1077415030440603E-3</v>
      </c>
    </row>
    <row r="3670" spans="2:8" x14ac:dyDescent="0.3">
      <c r="B3670" s="4">
        <v>38673</v>
      </c>
      <c r="C3670" s="7">
        <v>40.64</v>
      </c>
      <c r="D3670" s="6">
        <f t="shared" si="118"/>
        <v>-0.97886624475426287</v>
      </c>
      <c r="E3670" s="6">
        <v>-2.6993865030674707E-3</v>
      </c>
      <c r="F3670" s="6"/>
      <c r="G3670" s="6">
        <v>3663</v>
      </c>
      <c r="H3670" s="6">
        <f t="shared" ca="1" si="119"/>
        <v>1.8231767373471344E-2</v>
      </c>
    </row>
    <row r="3671" spans="2:8" x14ac:dyDescent="0.3">
      <c r="B3671" s="4">
        <v>44090</v>
      </c>
      <c r="C3671" s="5">
        <v>1922.99</v>
      </c>
      <c r="D3671" s="6">
        <f t="shared" si="118"/>
        <v>7.0174692516155934</v>
      </c>
      <c r="E3671" s="6">
        <v>-2.702001867026261E-3</v>
      </c>
      <c r="F3671" s="6"/>
      <c r="G3671" s="6">
        <v>3664</v>
      </c>
      <c r="H3671" s="6">
        <f t="shared" ca="1" si="119"/>
        <v>6.9323094726586338E-3</v>
      </c>
    </row>
    <row r="3672" spans="2:8" x14ac:dyDescent="0.3">
      <c r="B3672" s="4">
        <v>40416</v>
      </c>
      <c r="C3672" s="7">
        <v>239.85</v>
      </c>
      <c r="D3672" s="6">
        <f t="shared" si="118"/>
        <v>3.3396055726433866</v>
      </c>
      <c r="E3672" s="6">
        <v>-2.7027027027027263E-3</v>
      </c>
      <c r="F3672" s="6"/>
      <c r="G3672" s="6">
        <v>3665</v>
      </c>
      <c r="H3672" s="6">
        <f t="shared" ca="1" si="119"/>
        <v>7.6922775869756521E-3</v>
      </c>
    </row>
    <row r="3673" spans="2:8" x14ac:dyDescent="0.3">
      <c r="B3673" s="4">
        <v>38999</v>
      </c>
      <c r="C3673" s="7">
        <v>55.27</v>
      </c>
      <c r="D3673" s="6">
        <f t="shared" si="118"/>
        <v>0.25101856043458587</v>
      </c>
      <c r="E3673" s="6">
        <v>-2.7066041140382277E-3</v>
      </c>
      <c r="F3673" s="6"/>
      <c r="G3673" s="6">
        <v>3666</v>
      </c>
      <c r="H3673" s="6">
        <f t="shared" ca="1" si="119"/>
        <v>1.1662689849786434E-3</v>
      </c>
    </row>
    <row r="3674" spans="2:8" x14ac:dyDescent="0.3">
      <c r="B3674" s="4">
        <v>38862</v>
      </c>
      <c r="C3674" s="7">
        <v>44.18</v>
      </c>
      <c r="D3674" s="6">
        <f t="shared" si="118"/>
        <v>9.3023255813953432E-2</v>
      </c>
      <c r="E3674" s="6">
        <v>-2.7088036117380913E-3</v>
      </c>
      <c r="F3674" s="6"/>
      <c r="G3674" s="6">
        <v>3667</v>
      </c>
      <c r="H3674" s="6">
        <f t="shared" ca="1" si="119"/>
        <v>-7.5994355125800148E-3</v>
      </c>
    </row>
    <row r="3675" spans="2:8" x14ac:dyDescent="0.3">
      <c r="B3675" s="4">
        <v>38615</v>
      </c>
      <c r="C3675" s="7">
        <v>40.42</v>
      </c>
      <c r="D3675" s="6">
        <f t="shared" si="118"/>
        <v>-0.96310023735621686</v>
      </c>
      <c r="E3675" s="6">
        <v>-2.7140389834690213E-3</v>
      </c>
      <c r="F3675" s="6"/>
      <c r="G3675" s="6">
        <v>3668</v>
      </c>
      <c r="H3675" s="6">
        <f t="shared" ca="1" si="119"/>
        <v>1.3388542773029534E-2</v>
      </c>
    </row>
    <row r="3676" spans="2:8" x14ac:dyDescent="0.3">
      <c r="B3676" s="4">
        <v>43024</v>
      </c>
      <c r="C3676" s="5">
        <v>1095.4000000000001</v>
      </c>
      <c r="D3676" s="6">
        <f t="shared" si="118"/>
        <v>9.721346774982873</v>
      </c>
      <c r="E3676" s="6">
        <v>-2.7312454479242534E-3</v>
      </c>
      <c r="F3676" s="6"/>
      <c r="G3676" s="6">
        <v>3669</v>
      </c>
      <c r="H3676" s="6">
        <f t="shared" ca="1" si="119"/>
        <v>-9.1520059690534013E-3</v>
      </c>
    </row>
    <row r="3677" spans="2:8" x14ac:dyDescent="0.3">
      <c r="B3677" s="4">
        <v>39584</v>
      </c>
      <c r="C3677" s="7">
        <v>102.17</v>
      </c>
      <c r="D3677" s="6">
        <f t="shared" si="118"/>
        <v>-0.96618757177322467</v>
      </c>
      <c r="E3677" s="6">
        <v>-2.7330405075646769E-3</v>
      </c>
      <c r="F3677" s="6"/>
      <c r="G3677" s="6">
        <v>3670</v>
      </c>
      <c r="H3677" s="6">
        <f t="shared" ca="1" si="119"/>
        <v>1.5771556489977492E-2</v>
      </c>
    </row>
    <row r="3678" spans="2:8" x14ac:dyDescent="0.3">
      <c r="B3678" s="4">
        <v>44924</v>
      </c>
      <c r="C3678" s="5">
        <v>3021.67</v>
      </c>
      <c r="D3678" s="6">
        <f t="shared" si="118"/>
        <v>1.7268190555259759</v>
      </c>
      <c r="E3678" s="6">
        <v>-2.7393010491852158E-3</v>
      </c>
      <c r="F3678" s="6"/>
      <c r="G3678" s="6">
        <v>3671</v>
      </c>
      <c r="H3678" s="6">
        <f t="shared" ca="1" si="119"/>
        <v>-5.0949371042493573E-3</v>
      </c>
    </row>
    <row r="3679" spans="2:8" x14ac:dyDescent="0.3">
      <c r="B3679" s="4">
        <v>43108</v>
      </c>
      <c r="C3679" s="5">
        <v>1108.1300000000001</v>
      </c>
      <c r="D3679" s="6">
        <f t="shared" si="118"/>
        <v>-0.63514149778575302</v>
      </c>
      <c r="E3679" s="6">
        <v>-2.7448298205510848E-3</v>
      </c>
      <c r="F3679" s="6"/>
      <c r="G3679" s="6">
        <v>3672</v>
      </c>
      <c r="H3679" s="6">
        <f t="shared" ca="1" si="119"/>
        <v>2.8088624385154901E-3</v>
      </c>
    </row>
    <row r="3680" spans="2:8" x14ac:dyDescent="0.3">
      <c r="B3680" s="4">
        <v>45058</v>
      </c>
      <c r="C3680" s="5">
        <v>3037.15</v>
      </c>
      <c r="D3680" s="6">
        <f t="shared" si="118"/>
        <v>0.2548028854496327</v>
      </c>
      <c r="E3680" s="6">
        <v>-2.7548480729197031E-3</v>
      </c>
      <c r="F3680" s="6"/>
      <c r="G3680" s="6">
        <v>3673</v>
      </c>
      <c r="H3680" s="6">
        <f t="shared" ca="1" si="119"/>
        <v>1.0527212776585783E-2</v>
      </c>
    </row>
    <row r="3681" spans="2:8" x14ac:dyDescent="0.3">
      <c r="B3681" s="4">
        <v>45842</v>
      </c>
      <c r="C3681" s="5">
        <v>2420.42</v>
      </c>
      <c r="D3681" s="6">
        <f t="shared" si="118"/>
        <v>-0.24834945064500297</v>
      </c>
      <c r="E3681" s="6">
        <v>-2.7563645652648847E-3</v>
      </c>
      <c r="F3681" s="6"/>
      <c r="G3681" s="6">
        <v>3674</v>
      </c>
      <c r="H3681" s="6">
        <f t="shared" ca="1" si="119"/>
        <v>-9.9022592982673224E-3</v>
      </c>
    </row>
    <row r="3682" spans="2:8" x14ac:dyDescent="0.3">
      <c r="B3682" s="4">
        <v>44774</v>
      </c>
      <c r="C3682" s="5">
        <v>3220.14</v>
      </c>
      <c r="D3682" s="6">
        <f t="shared" si="118"/>
        <v>0.10900875458909912</v>
      </c>
      <c r="E3682" s="6">
        <v>-2.7593254982116438E-3</v>
      </c>
      <c r="F3682" s="6"/>
      <c r="G3682" s="6">
        <v>3675</v>
      </c>
      <c r="H3682" s="6">
        <f t="shared" ca="1" si="119"/>
        <v>-1.0259953856150163E-2</v>
      </c>
    </row>
    <row r="3683" spans="2:8" x14ac:dyDescent="0.3">
      <c r="B3683" s="4">
        <v>44412</v>
      </c>
      <c r="C3683" s="5">
        <v>2903.62</v>
      </c>
      <c r="D3683" s="6">
        <f t="shared" si="118"/>
        <v>0.66830608000183844</v>
      </c>
      <c r="E3683" s="6">
        <v>-2.7750111618641783E-3</v>
      </c>
      <c r="F3683" s="6"/>
      <c r="G3683" s="6">
        <v>3676</v>
      </c>
      <c r="H3683" s="6">
        <f t="shared" ca="1" si="119"/>
        <v>-2.0162922434761215E-3</v>
      </c>
    </row>
    <row r="3684" spans="2:8" x14ac:dyDescent="0.3">
      <c r="B3684" s="4">
        <v>43847</v>
      </c>
      <c r="C3684" s="5">
        <v>1740.46</v>
      </c>
      <c r="D3684" s="6">
        <f t="shared" si="118"/>
        <v>16.974388102860686</v>
      </c>
      <c r="E3684" s="6">
        <v>-2.7788759589986358E-3</v>
      </c>
      <c r="F3684" s="6"/>
      <c r="G3684" s="6">
        <v>3677</v>
      </c>
      <c r="H3684" s="6">
        <f t="shared" ca="1" si="119"/>
        <v>3.4157771016464266E-3</v>
      </c>
    </row>
    <row r="3685" spans="2:8" x14ac:dyDescent="0.3">
      <c r="B3685" s="4">
        <v>39496</v>
      </c>
      <c r="C3685" s="7">
        <v>96.83</v>
      </c>
      <c r="D3685" s="6">
        <f t="shared" si="118"/>
        <v>-0.97087302709352941</v>
      </c>
      <c r="E3685" s="6">
        <v>-2.78063851699275E-3</v>
      </c>
      <c r="F3685" s="6"/>
      <c r="G3685" s="6">
        <v>3678</v>
      </c>
      <c r="H3685" s="6">
        <f t="shared" ca="1" si="119"/>
        <v>-2.4361907027270611E-2</v>
      </c>
    </row>
    <row r="3686" spans="2:8" x14ac:dyDescent="0.3">
      <c r="B3686" s="4">
        <v>44816</v>
      </c>
      <c r="C3686" s="5">
        <v>3324.41</v>
      </c>
      <c r="D3686" s="6">
        <f t="shared" si="118"/>
        <v>1.358657632409805</v>
      </c>
      <c r="E3686" s="6">
        <v>-2.8046410059513471E-3</v>
      </c>
      <c r="F3686" s="6"/>
      <c r="G3686" s="6">
        <v>3679</v>
      </c>
      <c r="H3686" s="6">
        <f t="shared" ca="1" si="119"/>
        <v>4.1033656165229832E-4</v>
      </c>
    </row>
    <row r="3687" spans="2:8" x14ac:dyDescent="0.3">
      <c r="B3687" s="4">
        <v>43556</v>
      </c>
      <c r="C3687" s="5">
        <v>1409.45</v>
      </c>
      <c r="D3687" s="6">
        <f t="shared" si="118"/>
        <v>-0.48574482990119533</v>
      </c>
      <c r="E3687" s="6">
        <v>-2.8370098906230039E-3</v>
      </c>
      <c r="F3687" s="6"/>
      <c r="G3687" s="6">
        <v>3680</v>
      </c>
      <c r="H3687" s="6">
        <f t="shared" ca="1" si="119"/>
        <v>9.1407238026821984E-3</v>
      </c>
    </row>
    <row r="3688" spans="2:8" x14ac:dyDescent="0.3">
      <c r="B3688" s="4">
        <v>44977</v>
      </c>
      <c r="C3688" s="5">
        <v>2740.76</v>
      </c>
      <c r="D3688" s="6">
        <f t="shared" si="118"/>
        <v>31.670878531410185</v>
      </c>
      <c r="E3688" s="6">
        <v>-2.8414775683355143E-3</v>
      </c>
      <c r="F3688" s="6"/>
      <c r="G3688" s="6">
        <v>3681</v>
      </c>
      <c r="H3688" s="6">
        <f t="shared" ca="1" si="119"/>
        <v>-4.9115700558138237E-3</v>
      </c>
    </row>
    <row r="3689" spans="2:8" x14ac:dyDescent="0.3">
      <c r="B3689" s="4">
        <v>39428</v>
      </c>
      <c r="C3689" s="7">
        <v>83.89</v>
      </c>
      <c r="D3689" s="6">
        <f t="shared" si="118"/>
        <v>-0.97148732241180069</v>
      </c>
      <c r="E3689" s="6">
        <v>-2.8527279210744669E-3</v>
      </c>
      <c r="F3689" s="6"/>
      <c r="G3689" s="6">
        <v>3682</v>
      </c>
      <c r="H3689" s="6">
        <f t="shared" ca="1" si="119"/>
        <v>1.0545327512663731E-3</v>
      </c>
    </row>
    <row r="3690" spans="2:8" x14ac:dyDescent="0.3">
      <c r="B3690" s="4">
        <v>45338</v>
      </c>
      <c r="C3690" s="5">
        <v>2942.2</v>
      </c>
      <c r="D3690" s="6">
        <f t="shared" si="118"/>
        <v>0.19370648663561546</v>
      </c>
      <c r="E3690" s="6">
        <v>-2.8671551449506337E-3</v>
      </c>
      <c r="F3690" s="6"/>
      <c r="G3690" s="6">
        <v>3683</v>
      </c>
      <c r="H3690" s="6">
        <f t="shared" ca="1" si="119"/>
        <v>2.0220489076417426E-2</v>
      </c>
    </row>
    <row r="3691" spans="2:8" x14ac:dyDescent="0.3">
      <c r="B3691" s="4">
        <v>44182</v>
      </c>
      <c r="C3691" s="5">
        <v>2464.7600000000002</v>
      </c>
      <c r="D3691" s="6">
        <f t="shared" si="118"/>
        <v>14.220205014202792</v>
      </c>
      <c r="E3691" s="6">
        <v>-2.8682970244956981E-3</v>
      </c>
      <c r="F3691" s="6"/>
      <c r="G3691" s="6">
        <v>3684</v>
      </c>
      <c r="H3691" s="6">
        <f t="shared" ca="1" si="119"/>
        <v>-9.5259937963916245E-3</v>
      </c>
    </row>
    <row r="3692" spans="2:8" x14ac:dyDescent="0.3">
      <c r="B3692" s="4">
        <v>40196</v>
      </c>
      <c r="C3692" s="7">
        <v>161.94</v>
      </c>
      <c r="D3692" s="6">
        <f t="shared" si="118"/>
        <v>-0.32810555140652231</v>
      </c>
      <c r="E3692" s="6">
        <v>-2.8939104734930048E-3</v>
      </c>
      <c r="F3692" s="6"/>
      <c r="G3692" s="6">
        <v>3685</v>
      </c>
      <c r="H3692" s="6">
        <f t="shared" ca="1" si="119"/>
        <v>-3.5257600420884355E-2</v>
      </c>
    </row>
    <row r="3693" spans="2:8" x14ac:dyDescent="0.3">
      <c r="B3693" s="4">
        <v>40492</v>
      </c>
      <c r="C3693" s="7">
        <v>241.02</v>
      </c>
      <c r="D3693" s="6">
        <f t="shared" si="118"/>
        <v>-0.54799992498546601</v>
      </c>
      <c r="E3693" s="6">
        <v>-2.8959126261790032E-3</v>
      </c>
      <c r="F3693" s="6"/>
      <c r="G3693" s="6">
        <v>3686</v>
      </c>
      <c r="H3693" s="6">
        <f t="shared" ca="1" si="119"/>
        <v>-2.4170522780156578E-2</v>
      </c>
    </row>
    <row r="3694" spans="2:8" x14ac:dyDescent="0.3">
      <c r="B3694" s="4">
        <v>41816</v>
      </c>
      <c r="C3694" s="7">
        <v>533.23</v>
      </c>
      <c r="D3694" s="6">
        <f t="shared" si="118"/>
        <v>-0.49975608383211062</v>
      </c>
      <c r="E3694" s="6">
        <v>-2.8983881222183973E-3</v>
      </c>
      <c r="F3694" s="6"/>
      <c r="G3694" s="6">
        <v>3687</v>
      </c>
      <c r="H3694" s="6">
        <f t="shared" ca="1" si="119"/>
        <v>2.2599754889636864E-2</v>
      </c>
    </row>
    <row r="3695" spans="2:8" x14ac:dyDescent="0.3">
      <c r="B3695" s="4">
        <v>43173</v>
      </c>
      <c r="C3695" s="5">
        <v>1065.94</v>
      </c>
      <c r="D3695" s="6">
        <f t="shared" si="118"/>
        <v>4.8497420700252443</v>
      </c>
      <c r="E3695" s="6">
        <v>-2.899797949562139E-3</v>
      </c>
      <c r="F3695" s="6"/>
      <c r="G3695" s="6">
        <v>3688</v>
      </c>
      <c r="H3695" s="6">
        <f t="shared" ca="1" si="119"/>
        <v>3.1545600098330455E-2</v>
      </c>
    </row>
    <row r="3696" spans="2:8" x14ac:dyDescent="0.3">
      <c r="B3696" s="4">
        <v>40326</v>
      </c>
      <c r="C3696" s="7">
        <v>182.22</v>
      </c>
      <c r="D3696" s="6">
        <f t="shared" si="118"/>
        <v>-0.94502719678525859</v>
      </c>
      <c r="E3696" s="6">
        <v>-2.900136798905615E-3</v>
      </c>
      <c r="F3696" s="6"/>
      <c r="G3696" s="6">
        <v>3689</v>
      </c>
      <c r="H3696" s="6">
        <f t="shared" ca="1" si="119"/>
        <v>-7.591233119583941E-3</v>
      </c>
    </row>
    <row r="3697" spans="2:8" x14ac:dyDescent="0.3">
      <c r="B3697" s="4">
        <v>44817</v>
      </c>
      <c r="C3697" s="5">
        <v>3314.73</v>
      </c>
      <c r="D3697" s="6">
        <f t="shared" si="118"/>
        <v>6.6286621711813316</v>
      </c>
      <c r="E3697" s="6">
        <v>-2.9117948748800049E-3</v>
      </c>
      <c r="F3697" s="6"/>
      <c r="G3697" s="6">
        <v>3690</v>
      </c>
      <c r="H3697" s="6">
        <f t="shared" ca="1" si="119"/>
        <v>2.0126830158395753E-2</v>
      </c>
    </row>
    <row r="3698" spans="2:8" x14ac:dyDescent="0.3">
      <c r="B3698" s="4">
        <v>41470</v>
      </c>
      <c r="C3698" s="7">
        <v>434.51</v>
      </c>
      <c r="D3698" s="6">
        <f t="shared" si="118"/>
        <v>6.9653528872593951</v>
      </c>
      <c r="E3698" s="6">
        <v>-2.9143145623938267E-3</v>
      </c>
      <c r="F3698" s="6"/>
      <c r="G3698" s="6">
        <v>3691</v>
      </c>
      <c r="H3698" s="6">
        <f t="shared" ca="1" si="119"/>
        <v>1.4805731668619787E-2</v>
      </c>
    </row>
    <row r="3699" spans="2:8" x14ac:dyDescent="0.3">
      <c r="B3699" s="4">
        <v>38978</v>
      </c>
      <c r="C3699" s="7">
        <v>54.55</v>
      </c>
      <c r="D3699" s="6">
        <f t="shared" si="118"/>
        <v>-0.98105053999881886</v>
      </c>
      <c r="E3699" s="6">
        <v>-2.9245110583075067E-3</v>
      </c>
      <c r="F3699" s="6"/>
      <c r="G3699" s="6">
        <v>3692</v>
      </c>
      <c r="H3699" s="6">
        <f t="shared" ca="1" si="119"/>
        <v>-1.6058151765704718E-2</v>
      </c>
    </row>
    <row r="3700" spans="2:8" x14ac:dyDescent="0.3">
      <c r="B3700" s="4">
        <v>44377</v>
      </c>
      <c r="C3700" s="5">
        <v>2878.71</v>
      </c>
      <c r="D3700" s="6">
        <f t="shared" si="118"/>
        <v>2.2723154809485759E-2</v>
      </c>
      <c r="E3700" s="6">
        <v>-2.9302050104427642E-3</v>
      </c>
      <c r="F3700" s="6"/>
      <c r="G3700" s="6">
        <v>3693</v>
      </c>
      <c r="H3700" s="6">
        <f t="shared" ca="1" si="119"/>
        <v>6.1572546018851025E-4</v>
      </c>
    </row>
    <row r="3701" spans="2:8" x14ac:dyDescent="0.3">
      <c r="B3701" s="4">
        <v>44344</v>
      </c>
      <c r="C3701" s="5">
        <v>2814.75</v>
      </c>
      <c r="D3701" s="6">
        <f t="shared" si="118"/>
        <v>-8.808016535887149E-2</v>
      </c>
      <c r="E3701" s="6">
        <v>-2.9330187776963755E-3</v>
      </c>
      <c r="F3701" s="6"/>
      <c r="G3701" s="6">
        <v>3694</v>
      </c>
      <c r="H3701" s="6">
        <f t="shared" ca="1" si="119"/>
        <v>1.6610100311597022E-2</v>
      </c>
    </row>
    <row r="3702" spans="2:8" x14ac:dyDescent="0.3">
      <c r="B3702" s="4">
        <v>45198</v>
      </c>
      <c r="C3702" s="5">
        <v>3086.62</v>
      </c>
      <c r="D3702" s="6">
        <f t="shared" si="118"/>
        <v>0.30143778724121945</v>
      </c>
      <c r="E3702" s="6">
        <v>-2.9331007526568879E-3</v>
      </c>
      <c r="F3702" s="6"/>
      <c r="G3702" s="6">
        <v>3695</v>
      </c>
      <c r="H3702" s="6">
        <f t="shared" ca="1" si="119"/>
        <v>6.0516295226835312E-3</v>
      </c>
    </row>
    <row r="3703" spans="2:8" x14ac:dyDescent="0.3">
      <c r="B3703" s="4">
        <v>45859</v>
      </c>
      <c r="C3703" s="5">
        <v>2371.6999999999998</v>
      </c>
      <c r="D3703" s="6">
        <f t="shared" si="118"/>
        <v>-2.2382522671063554E-2</v>
      </c>
      <c r="E3703" s="6">
        <v>-2.9385922503563878E-3</v>
      </c>
      <c r="F3703" s="6"/>
      <c r="G3703" s="6">
        <v>3696</v>
      </c>
      <c r="H3703" s="6">
        <f t="shared" ca="1" si="119"/>
        <v>-2.600356415132183E-2</v>
      </c>
    </row>
    <row r="3704" spans="2:8" x14ac:dyDescent="0.3">
      <c r="B3704" s="4">
        <v>45631</v>
      </c>
      <c r="C3704" s="5">
        <v>2426</v>
      </c>
      <c r="D3704" s="6">
        <f t="shared" si="118"/>
        <v>7.986183650035187</v>
      </c>
      <c r="E3704" s="6">
        <v>-2.9467731395669324E-3</v>
      </c>
      <c r="F3704" s="6"/>
      <c r="G3704" s="6">
        <v>3697</v>
      </c>
      <c r="H3704" s="6">
        <f t="shared" ca="1" si="119"/>
        <v>1.8876655525820536E-2</v>
      </c>
    </row>
    <row r="3705" spans="2:8" x14ac:dyDescent="0.3">
      <c r="B3705" s="4">
        <v>40960</v>
      </c>
      <c r="C3705" s="7">
        <v>269.97000000000003</v>
      </c>
      <c r="D3705" s="6">
        <f t="shared" si="118"/>
        <v>-8.5567388909290627E-3</v>
      </c>
      <c r="E3705" s="6">
        <v>-2.9545370609740909E-3</v>
      </c>
      <c r="F3705" s="6"/>
      <c r="G3705" s="6">
        <v>3698</v>
      </c>
      <c r="H3705" s="6">
        <f t="shared" ca="1" si="119"/>
        <v>-4.5540740005881276E-3</v>
      </c>
    </row>
    <row r="3706" spans="2:8" x14ac:dyDescent="0.3">
      <c r="B3706" s="4">
        <v>40812</v>
      </c>
      <c r="C3706" s="7">
        <v>272.3</v>
      </c>
      <c r="D3706" s="6">
        <f t="shared" si="118"/>
        <v>3.0502751747731667</v>
      </c>
      <c r="E3706" s="6">
        <v>-2.9658379407564799E-3</v>
      </c>
      <c r="F3706" s="6"/>
      <c r="G3706" s="6">
        <v>3699</v>
      </c>
      <c r="H3706" s="6">
        <f t="shared" ca="1" si="119"/>
        <v>1.7128113320245129E-2</v>
      </c>
    </row>
    <row r="3707" spans="2:8" x14ac:dyDescent="0.3">
      <c r="B3707" s="4">
        <v>39209</v>
      </c>
      <c r="C3707" s="7">
        <v>67.23</v>
      </c>
      <c r="D3707" s="6">
        <f t="shared" si="118"/>
        <v>-0.94883912060817754</v>
      </c>
      <c r="E3707" s="6">
        <v>-2.9660388551090437E-3</v>
      </c>
      <c r="F3707" s="6"/>
      <c r="G3707" s="6">
        <v>3700</v>
      </c>
      <c r="H3707" s="6">
        <f t="shared" ca="1" si="119"/>
        <v>4.0721774503834091E-3</v>
      </c>
    </row>
    <row r="3708" spans="2:8" x14ac:dyDescent="0.3">
      <c r="B3708" s="4">
        <v>43326</v>
      </c>
      <c r="C3708" s="5">
        <v>1314.09</v>
      </c>
      <c r="D3708" s="6">
        <f t="shared" si="118"/>
        <v>-0.40938978952525201</v>
      </c>
      <c r="E3708" s="6">
        <v>-2.9666160849773004E-3</v>
      </c>
      <c r="F3708" s="6"/>
      <c r="G3708" s="6">
        <v>3701</v>
      </c>
      <c r="H3708" s="6">
        <f t="shared" ca="1" si="119"/>
        <v>-2.6931613098945983E-2</v>
      </c>
    </row>
    <row r="3709" spans="2:8" x14ac:dyDescent="0.3">
      <c r="B3709" s="4">
        <v>45812</v>
      </c>
      <c r="C3709" s="5">
        <v>2224.9699999999998</v>
      </c>
      <c r="D3709" s="6">
        <f t="shared" si="118"/>
        <v>0.55348963860805434</v>
      </c>
      <c r="E3709" s="6">
        <v>-2.9709625380893124E-3</v>
      </c>
      <c r="F3709" s="6"/>
      <c r="G3709" s="6">
        <v>3702</v>
      </c>
      <c r="H3709" s="6">
        <f t="shared" ca="1" si="119"/>
        <v>-1.6255681068618008E-2</v>
      </c>
    </row>
    <row r="3710" spans="2:8" x14ac:dyDescent="0.3">
      <c r="B3710" s="4">
        <v>43676</v>
      </c>
      <c r="C3710" s="5">
        <v>1432.24</v>
      </c>
      <c r="D3710" s="6">
        <f t="shared" si="118"/>
        <v>-0.52898307648796017</v>
      </c>
      <c r="E3710" s="6">
        <v>-2.9724819179817626E-3</v>
      </c>
      <c r="F3710" s="6"/>
      <c r="G3710" s="6">
        <v>3703</v>
      </c>
      <c r="H3710" s="6">
        <f t="shared" ca="1" si="119"/>
        <v>-2.4996377759740212E-2</v>
      </c>
    </row>
    <row r="3711" spans="2:8" x14ac:dyDescent="0.3">
      <c r="B3711" s="4">
        <v>45574</v>
      </c>
      <c r="C3711" s="5">
        <v>3040.74</v>
      </c>
      <c r="D3711" s="6">
        <f t="shared" si="118"/>
        <v>150.58225324027916</v>
      </c>
      <c r="E3711" s="6">
        <v>-2.9772248854031979E-3</v>
      </c>
      <c r="F3711" s="6"/>
      <c r="G3711" s="6">
        <v>3704</v>
      </c>
      <c r="H3711" s="6">
        <f t="shared" ca="1" si="119"/>
        <v>1.0990711477655167E-2</v>
      </c>
    </row>
    <row r="3712" spans="2:8" x14ac:dyDescent="0.3">
      <c r="B3712" s="4">
        <v>37824</v>
      </c>
      <c r="C3712" s="7">
        <v>20.059999999999999</v>
      </c>
      <c r="D3712" s="6">
        <f t="shared" si="118"/>
        <v>-0.6995206710605153</v>
      </c>
      <c r="E3712" s="6">
        <v>-2.9821073558649238E-3</v>
      </c>
      <c r="F3712" s="6"/>
      <c r="G3712" s="6">
        <v>3705</v>
      </c>
      <c r="H3712" s="6">
        <f t="shared" ca="1" si="119"/>
        <v>2.3530198142587114E-2</v>
      </c>
    </row>
    <row r="3713" spans="2:8" x14ac:dyDescent="0.3">
      <c r="B3713" s="4">
        <v>39911</v>
      </c>
      <c r="C3713" s="7">
        <v>66.760000000000005</v>
      </c>
      <c r="D3713" s="6">
        <f t="shared" si="118"/>
        <v>-0.97556878689292492</v>
      </c>
      <c r="E3713" s="6">
        <v>-2.9868578255673336E-3</v>
      </c>
      <c r="F3713" s="6"/>
      <c r="G3713" s="6">
        <v>3706</v>
      </c>
      <c r="H3713" s="6">
        <f t="shared" ca="1" si="119"/>
        <v>1.8792766191423747E-2</v>
      </c>
    </row>
    <row r="3714" spans="2:8" x14ac:dyDescent="0.3">
      <c r="B3714" s="4">
        <v>44978</v>
      </c>
      <c r="C3714" s="5">
        <v>2732.57</v>
      </c>
      <c r="D3714" s="6">
        <f t="shared" si="118"/>
        <v>135.6285</v>
      </c>
      <c r="E3714" s="6">
        <v>-2.9882222449247849E-3</v>
      </c>
      <c r="F3714" s="6"/>
      <c r="G3714" s="6">
        <v>3707</v>
      </c>
      <c r="H3714" s="6">
        <f t="shared" ca="1" si="119"/>
        <v>2.7021462210932039E-2</v>
      </c>
    </row>
    <row r="3715" spans="2:8" x14ac:dyDescent="0.3">
      <c r="B3715" s="4">
        <v>37825</v>
      </c>
      <c r="C3715" s="7">
        <v>20</v>
      </c>
      <c r="D3715" s="6">
        <f t="shared" si="118"/>
        <v>-0.98601339916360131</v>
      </c>
      <c r="E3715" s="6">
        <v>-2.9910269192422096E-3</v>
      </c>
      <c r="F3715" s="6"/>
      <c r="G3715" s="6">
        <v>3708</v>
      </c>
      <c r="H3715" s="6">
        <f t="shared" ca="1" si="119"/>
        <v>-1.0507643179594284E-2</v>
      </c>
    </row>
    <row r="3716" spans="2:8" x14ac:dyDescent="0.3">
      <c r="B3716" s="4">
        <v>43560</v>
      </c>
      <c r="C3716" s="5">
        <v>1429.94</v>
      </c>
      <c r="D3716" s="6">
        <f t="shared" si="118"/>
        <v>2.4106282497734104</v>
      </c>
      <c r="E3716" s="6">
        <v>-2.9911520467428261E-3</v>
      </c>
      <c r="F3716" s="6"/>
      <c r="G3716" s="6">
        <v>3709</v>
      </c>
      <c r="H3716" s="6">
        <f t="shared" ca="1" si="119"/>
        <v>5.8299332195192082E-3</v>
      </c>
    </row>
    <row r="3717" spans="2:8" x14ac:dyDescent="0.3">
      <c r="B3717" s="4">
        <v>41429</v>
      </c>
      <c r="C3717" s="7">
        <v>419.26</v>
      </c>
      <c r="D3717" s="6">
        <f t="shared" si="118"/>
        <v>-0.85815684417078275</v>
      </c>
      <c r="E3717" s="6">
        <v>-2.9962903072386356E-3</v>
      </c>
      <c r="F3717" s="6"/>
      <c r="G3717" s="6">
        <v>3710</v>
      </c>
      <c r="H3717" s="6">
        <f t="shared" ca="1" si="119"/>
        <v>3.9947227858346326E-3</v>
      </c>
    </row>
    <row r="3718" spans="2:8" x14ac:dyDescent="0.3">
      <c r="B3718" s="4">
        <v>45594</v>
      </c>
      <c r="C3718" s="5">
        <v>2955.8</v>
      </c>
      <c r="D3718" s="6">
        <f t="shared" si="118"/>
        <v>177.81427707199032</v>
      </c>
      <c r="E3718" s="6">
        <v>-2.9986271751852207E-3</v>
      </c>
      <c r="F3718" s="6"/>
      <c r="G3718" s="6">
        <v>3711</v>
      </c>
      <c r="H3718" s="6">
        <f t="shared" ca="1" si="119"/>
        <v>3.5582022792605347E-3</v>
      </c>
    </row>
    <row r="3719" spans="2:8" x14ac:dyDescent="0.3">
      <c r="B3719" s="4">
        <v>37491</v>
      </c>
      <c r="C3719" s="7">
        <v>16.53</v>
      </c>
      <c r="D3719" s="6">
        <f t="shared" si="118"/>
        <v>-0.99267602139151156</v>
      </c>
      <c r="E3719" s="6">
        <v>-3.0156815440287796E-3</v>
      </c>
      <c r="F3719" s="6"/>
      <c r="G3719" s="6">
        <v>3712</v>
      </c>
      <c r="H3719" s="6">
        <f t="shared" ca="1" si="119"/>
        <v>1.5405704792304081E-2</v>
      </c>
    </row>
    <row r="3720" spans="2:8" x14ac:dyDescent="0.3">
      <c r="B3720" s="4">
        <v>45657</v>
      </c>
      <c r="C3720" s="5">
        <v>2256.9699999999998</v>
      </c>
      <c r="D3720" s="6">
        <f t="shared" ref="D3720:D3783" si="120">((C3720-C3721)/C3721)</f>
        <v>13.542332474226805</v>
      </c>
      <c r="E3720" s="6">
        <v>-3.0170509762348181E-3</v>
      </c>
      <c r="F3720" s="6"/>
      <c r="G3720" s="6">
        <v>3713</v>
      </c>
      <c r="H3720" s="6">
        <f t="shared" ca="1" si="119"/>
        <v>1.2987746688754701E-2</v>
      </c>
    </row>
    <row r="3721" spans="2:8" x14ac:dyDescent="0.3">
      <c r="B3721" s="4">
        <v>40184</v>
      </c>
      <c r="C3721" s="7">
        <v>155.19999999999999</v>
      </c>
      <c r="D3721" s="6">
        <f t="shared" si="120"/>
        <v>5.7186147186147176</v>
      </c>
      <c r="E3721" s="6">
        <v>-3.0192072974882696E-3</v>
      </c>
      <c r="F3721" s="6"/>
      <c r="G3721" s="6">
        <v>3714</v>
      </c>
      <c r="H3721" s="6">
        <f t="shared" ref="H3721:H3784" ca="1" si="121">_xlfn.NORM.INV(RAND(),N$10,N$11)</f>
        <v>4.484842344305919E-3</v>
      </c>
    </row>
    <row r="3722" spans="2:8" x14ac:dyDescent="0.3">
      <c r="B3722" s="4">
        <v>38281</v>
      </c>
      <c r="C3722" s="7">
        <v>23.1</v>
      </c>
      <c r="D3722" s="6">
        <f t="shared" si="120"/>
        <v>-0.4992412746585736</v>
      </c>
      <c r="E3722" s="6">
        <v>-3.0211480362537886E-3</v>
      </c>
      <c r="F3722" s="6"/>
      <c r="G3722" s="6">
        <v>3715</v>
      </c>
      <c r="H3722" s="6">
        <f t="shared" ca="1" si="121"/>
        <v>1.9958444757526596E-2</v>
      </c>
    </row>
    <row r="3723" spans="2:8" x14ac:dyDescent="0.3">
      <c r="B3723" s="4">
        <v>38867</v>
      </c>
      <c r="C3723" s="7">
        <v>46.13</v>
      </c>
      <c r="D3723" s="6">
        <f t="shared" si="120"/>
        <v>-0.96180500931484159</v>
      </c>
      <c r="E3723" s="6">
        <v>-3.0257186081694525E-3</v>
      </c>
      <c r="F3723" s="6"/>
      <c r="G3723" s="6">
        <v>3716</v>
      </c>
      <c r="H3723" s="6">
        <f t="shared" ca="1" si="121"/>
        <v>1.7988895124196186E-2</v>
      </c>
    </row>
    <row r="3724" spans="2:8" x14ac:dyDescent="0.3">
      <c r="B3724" s="4">
        <v>43266</v>
      </c>
      <c r="C3724" s="5">
        <v>1207.75</v>
      </c>
      <c r="D3724" s="6">
        <f t="shared" si="120"/>
        <v>-0.62545858258828202</v>
      </c>
      <c r="E3724" s="6">
        <v>-3.0295025672352053E-3</v>
      </c>
      <c r="F3724" s="6"/>
      <c r="G3724" s="6">
        <v>3717</v>
      </c>
      <c r="H3724" s="6">
        <f t="shared" ca="1" si="121"/>
        <v>-1.4434643171954045E-2</v>
      </c>
    </row>
    <row r="3725" spans="2:8" x14ac:dyDescent="0.3">
      <c r="B3725" s="4">
        <v>44454</v>
      </c>
      <c r="C3725" s="5">
        <v>3224.61</v>
      </c>
      <c r="D3725" s="6">
        <f t="shared" si="120"/>
        <v>4.6386129957333706</v>
      </c>
      <c r="E3725" s="6">
        <v>-3.0330012799821746E-3</v>
      </c>
      <c r="F3725" s="6"/>
      <c r="G3725" s="6">
        <v>3718</v>
      </c>
      <c r="H3725" s="6">
        <f t="shared" ca="1" si="121"/>
        <v>-1.0341149020390562E-2</v>
      </c>
    </row>
    <row r="3726" spans="2:8" x14ac:dyDescent="0.3">
      <c r="B3726" s="4">
        <v>41911</v>
      </c>
      <c r="C3726" s="7">
        <v>571.88</v>
      </c>
      <c r="D3726" s="6">
        <f t="shared" si="120"/>
        <v>33.807060255629949</v>
      </c>
      <c r="E3726" s="6">
        <v>-3.0333670374115425E-3</v>
      </c>
      <c r="F3726" s="6"/>
      <c r="G3726" s="6">
        <v>3719</v>
      </c>
      <c r="H3726" s="6">
        <f t="shared" ca="1" si="121"/>
        <v>8.1901098262869461E-3</v>
      </c>
    </row>
    <row r="3727" spans="2:8" x14ac:dyDescent="0.3">
      <c r="B3727" s="4">
        <v>37587</v>
      </c>
      <c r="C3727" s="7">
        <v>16.43</v>
      </c>
      <c r="D3727" s="6">
        <f t="shared" si="120"/>
        <v>-0.98479421754541829</v>
      </c>
      <c r="E3727" s="6">
        <v>-3.0339805825243147E-3</v>
      </c>
      <c r="F3727" s="6"/>
      <c r="G3727" s="6">
        <v>3720</v>
      </c>
      <c r="H3727" s="6">
        <f t="shared" ca="1" si="121"/>
        <v>3.0809177883069855E-3</v>
      </c>
    </row>
    <row r="3728" spans="2:8" x14ac:dyDescent="0.3">
      <c r="B3728" s="4">
        <v>42663</v>
      </c>
      <c r="C3728" s="5">
        <v>1080.51</v>
      </c>
      <c r="D3728" s="6">
        <f t="shared" si="120"/>
        <v>3.6395723302846839</v>
      </c>
      <c r="E3728" s="6">
        <v>-3.0356154272005572E-3</v>
      </c>
      <c r="F3728" s="6"/>
      <c r="G3728" s="6">
        <v>3721</v>
      </c>
      <c r="H3728" s="6">
        <f t="shared" ca="1" si="121"/>
        <v>1.2234902073740303E-3</v>
      </c>
    </row>
    <row r="3729" spans="2:8" x14ac:dyDescent="0.3">
      <c r="B3729" s="4">
        <v>40561</v>
      </c>
      <c r="C3729" s="7">
        <v>232.89</v>
      </c>
      <c r="D3729" s="6">
        <f t="shared" si="120"/>
        <v>-0.92755692422545732</v>
      </c>
      <c r="E3729" s="6">
        <v>-3.03938356164387E-3</v>
      </c>
      <c r="F3729" s="6"/>
      <c r="G3729" s="6">
        <v>3722</v>
      </c>
      <c r="H3729" s="6">
        <f t="shared" ca="1" si="121"/>
        <v>-1.3654518821072456E-2</v>
      </c>
    </row>
    <row r="3730" spans="2:8" x14ac:dyDescent="0.3">
      <c r="B3730" s="4">
        <v>44455</v>
      </c>
      <c r="C3730" s="5">
        <v>3214.8</v>
      </c>
      <c r="D3730" s="6">
        <f t="shared" si="120"/>
        <v>17.885037889913647</v>
      </c>
      <c r="E3730" s="6">
        <v>-3.0422283624996342E-3</v>
      </c>
      <c r="F3730" s="6"/>
      <c r="G3730" s="6">
        <v>3723</v>
      </c>
      <c r="H3730" s="6">
        <f t="shared" ca="1" si="121"/>
        <v>1.5524526243882593E-2</v>
      </c>
    </row>
    <row r="3731" spans="2:8" x14ac:dyDescent="0.3">
      <c r="B3731" s="4">
        <v>40262</v>
      </c>
      <c r="C3731" s="7">
        <v>170.23</v>
      </c>
      <c r="D3731" s="6">
        <f t="shared" si="120"/>
        <v>9.4821428571428577</v>
      </c>
      <c r="E3731" s="6">
        <v>-3.0453879941435445E-3</v>
      </c>
      <c r="F3731" s="6"/>
      <c r="G3731" s="6">
        <v>3724</v>
      </c>
      <c r="H3731" s="6">
        <f t="shared" ca="1" si="121"/>
        <v>-2.0366195227599505E-2</v>
      </c>
    </row>
    <row r="3732" spans="2:8" x14ac:dyDescent="0.3">
      <c r="B3732" s="4">
        <v>37593</v>
      </c>
      <c r="C3732" s="7">
        <v>16.239999999999998</v>
      </c>
      <c r="D3732" s="6">
        <f t="shared" si="120"/>
        <v>-0.99419010242448747</v>
      </c>
      <c r="E3732" s="6">
        <v>-3.0693677102517319E-3</v>
      </c>
      <c r="F3732" s="6"/>
      <c r="G3732" s="6">
        <v>3725</v>
      </c>
      <c r="H3732" s="6">
        <f t="shared" ca="1" si="121"/>
        <v>1.850054927214706E-2</v>
      </c>
    </row>
    <row r="3733" spans="2:8" x14ac:dyDescent="0.3">
      <c r="B3733" s="4">
        <v>45447</v>
      </c>
      <c r="C3733" s="5">
        <v>2795.23</v>
      </c>
      <c r="D3733" s="6">
        <f t="shared" si="120"/>
        <v>42.056531115218732</v>
      </c>
      <c r="E3733" s="6">
        <v>-3.0707886327322981E-3</v>
      </c>
      <c r="F3733" s="6"/>
      <c r="G3733" s="6">
        <v>3726</v>
      </c>
      <c r="H3733" s="6">
        <f t="shared" ca="1" si="121"/>
        <v>6.0393945418954374E-3</v>
      </c>
    </row>
    <row r="3734" spans="2:8" x14ac:dyDescent="0.3">
      <c r="B3734" s="4">
        <v>39126</v>
      </c>
      <c r="C3734" s="7">
        <v>64.92</v>
      </c>
      <c r="D3734" s="6">
        <f t="shared" si="120"/>
        <v>-0.97890344720012479</v>
      </c>
      <c r="E3734" s="6">
        <v>-3.0712530712531149E-3</v>
      </c>
      <c r="F3734" s="6"/>
      <c r="G3734" s="6">
        <v>3727</v>
      </c>
      <c r="H3734" s="6">
        <f t="shared" ca="1" si="121"/>
        <v>2.9201534598091286E-2</v>
      </c>
    </row>
    <row r="3735" spans="2:8" x14ac:dyDescent="0.3">
      <c r="B3735" s="4">
        <v>45533</v>
      </c>
      <c r="C3735" s="5">
        <v>3077.28</v>
      </c>
      <c r="D3735" s="6">
        <f t="shared" si="120"/>
        <v>26.256687333923825</v>
      </c>
      <c r="E3735" s="6">
        <v>-3.0873296380404835E-3</v>
      </c>
      <c r="F3735" s="6"/>
      <c r="G3735" s="6">
        <v>3728</v>
      </c>
      <c r="H3735" s="6">
        <f t="shared" ca="1" si="121"/>
        <v>-5.0723917245136451E-3</v>
      </c>
    </row>
    <row r="3736" spans="2:8" x14ac:dyDescent="0.3">
      <c r="B3736" s="4">
        <v>40046</v>
      </c>
      <c r="C3736" s="7">
        <v>112.9</v>
      </c>
      <c r="D3736" s="6">
        <f t="shared" si="120"/>
        <v>2.5007751937984497</v>
      </c>
      <c r="E3736" s="6">
        <v>-3.0905077262692654E-3</v>
      </c>
      <c r="F3736" s="6"/>
      <c r="G3736" s="6">
        <v>3729</v>
      </c>
      <c r="H3736" s="6">
        <f t="shared" ca="1" si="121"/>
        <v>2.0485544217555766E-2</v>
      </c>
    </row>
    <row r="3737" spans="2:8" x14ac:dyDescent="0.3">
      <c r="B3737" s="4">
        <v>38526</v>
      </c>
      <c r="C3737" s="7">
        <v>32.25</v>
      </c>
      <c r="D3737" s="6">
        <f t="shared" si="120"/>
        <v>-0.8836580086580087</v>
      </c>
      <c r="E3737" s="6">
        <v>-3.0911901081916975E-3</v>
      </c>
      <c r="F3737" s="6"/>
      <c r="G3737" s="6">
        <v>3730</v>
      </c>
      <c r="H3737" s="6">
        <f t="shared" ca="1" si="121"/>
        <v>-1.2272086406673375E-2</v>
      </c>
    </row>
    <row r="3738" spans="2:8" x14ac:dyDescent="0.3">
      <c r="B3738" s="4">
        <v>40833</v>
      </c>
      <c r="C3738" s="7">
        <v>277.2</v>
      </c>
      <c r="D3738" s="6">
        <f t="shared" si="120"/>
        <v>-0.89236539850429852</v>
      </c>
      <c r="E3738" s="6">
        <v>-3.0928576566209222E-3</v>
      </c>
      <c r="F3738" s="6"/>
      <c r="G3738" s="6">
        <v>3731</v>
      </c>
      <c r="H3738" s="6">
        <f t="shared" ca="1" si="121"/>
        <v>-1.8273760359383932E-2</v>
      </c>
    </row>
    <row r="3739" spans="2:8" x14ac:dyDescent="0.3">
      <c r="B3739" s="4">
        <v>45888</v>
      </c>
      <c r="C3739" s="5">
        <v>2575.38</v>
      </c>
      <c r="D3739" s="6">
        <f t="shared" si="120"/>
        <v>1.3380238216282956</v>
      </c>
      <c r="E3739" s="6">
        <v>-3.0928593271578528E-3</v>
      </c>
      <c r="F3739" s="6"/>
      <c r="G3739" s="6">
        <v>3732</v>
      </c>
      <c r="H3739" s="6">
        <f t="shared" ca="1" si="121"/>
        <v>3.9529182051550446E-3</v>
      </c>
    </row>
    <row r="3740" spans="2:8" x14ac:dyDescent="0.3">
      <c r="B3740" s="4">
        <v>43052</v>
      </c>
      <c r="C3740" s="5">
        <v>1101.52</v>
      </c>
      <c r="D3740" s="6">
        <f t="shared" si="120"/>
        <v>-0.60619071964076954</v>
      </c>
      <c r="E3740" s="6">
        <v>-3.0951906890872558E-3</v>
      </c>
      <c r="F3740" s="6"/>
      <c r="G3740" s="6">
        <v>3733</v>
      </c>
      <c r="H3740" s="6">
        <f t="shared" ca="1" si="121"/>
        <v>-2.8572976235461634E-3</v>
      </c>
    </row>
    <row r="3741" spans="2:8" x14ac:dyDescent="0.3">
      <c r="B3741" s="4">
        <v>45349</v>
      </c>
      <c r="C3741" s="5">
        <v>2797.09</v>
      </c>
      <c r="D3741" s="6">
        <f t="shared" si="120"/>
        <v>107.92095015576325</v>
      </c>
      <c r="E3741" s="6">
        <v>-3.1007309884203086E-3</v>
      </c>
      <c r="F3741" s="6"/>
      <c r="G3741" s="6">
        <v>3734</v>
      </c>
      <c r="H3741" s="6">
        <f t="shared" ca="1" si="121"/>
        <v>2.1383068794922206E-2</v>
      </c>
    </row>
    <row r="3742" spans="2:8" x14ac:dyDescent="0.3">
      <c r="B3742" s="4">
        <v>37988</v>
      </c>
      <c r="C3742" s="7">
        <v>25.68</v>
      </c>
      <c r="D3742" s="6">
        <f t="shared" si="120"/>
        <v>-0.97843883025616474</v>
      </c>
      <c r="E3742" s="6">
        <v>-3.1055900621118726E-3</v>
      </c>
      <c r="F3742" s="6"/>
      <c r="G3742" s="6">
        <v>3735</v>
      </c>
      <c r="H3742" s="6">
        <f t="shared" ca="1" si="121"/>
        <v>-2.841526957580884E-3</v>
      </c>
    </row>
    <row r="3743" spans="2:8" x14ac:dyDescent="0.3">
      <c r="B3743" s="4">
        <v>43280</v>
      </c>
      <c r="C3743" s="5">
        <v>1191.03</v>
      </c>
      <c r="D3743" s="6">
        <f t="shared" si="120"/>
        <v>10.627745777604217</v>
      </c>
      <c r="E3743" s="6">
        <v>-3.1136220966729669E-3</v>
      </c>
      <c r="F3743" s="6"/>
      <c r="G3743" s="6">
        <v>3736</v>
      </c>
      <c r="H3743" s="6">
        <f t="shared" ca="1" si="121"/>
        <v>-1.1373785306667539E-2</v>
      </c>
    </row>
    <row r="3744" spans="2:8" x14ac:dyDescent="0.3">
      <c r="B3744" s="4">
        <v>39706</v>
      </c>
      <c r="C3744" s="7">
        <v>102.43</v>
      </c>
      <c r="D3744" s="6">
        <f t="shared" si="120"/>
        <v>-0.95567700422762547</v>
      </c>
      <c r="E3744" s="6">
        <v>-3.1143552311434859E-3</v>
      </c>
      <c r="F3744" s="6"/>
      <c r="G3744" s="6">
        <v>3737</v>
      </c>
      <c r="H3744" s="6">
        <f t="shared" ca="1" si="121"/>
        <v>-2.3206651105197942E-3</v>
      </c>
    </row>
    <row r="3745" spans="2:8" x14ac:dyDescent="0.3">
      <c r="B3745" s="4">
        <v>45660</v>
      </c>
      <c r="C3745" s="5">
        <v>2310.9899999999998</v>
      </c>
      <c r="D3745" s="6">
        <f t="shared" si="120"/>
        <v>41.512693156732887</v>
      </c>
      <c r="E3745" s="6">
        <v>-3.1144719417137597E-3</v>
      </c>
      <c r="F3745" s="6"/>
      <c r="G3745" s="6">
        <v>3738</v>
      </c>
      <c r="H3745" s="6">
        <f t="shared" ca="1" si="121"/>
        <v>1.7067516631143718E-2</v>
      </c>
    </row>
    <row r="3746" spans="2:8" x14ac:dyDescent="0.3">
      <c r="B3746" s="4">
        <v>39006</v>
      </c>
      <c r="C3746" s="7">
        <v>54.36</v>
      </c>
      <c r="D3746" s="6">
        <f t="shared" si="120"/>
        <v>-0.94918723885549772</v>
      </c>
      <c r="E3746" s="6">
        <v>-3.1175499724922372E-3</v>
      </c>
      <c r="F3746" s="6"/>
      <c r="G3746" s="6">
        <v>3739</v>
      </c>
      <c r="H3746" s="6">
        <f t="shared" ca="1" si="121"/>
        <v>7.3958505376008092E-3</v>
      </c>
    </row>
    <row r="3747" spans="2:8" x14ac:dyDescent="0.3">
      <c r="B3747" s="4">
        <v>42873</v>
      </c>
      <c r="C3747" s="5">
        <v>1069.81</v>
      </c>
      <c r="D3747" s="6">
        <f t="shared" si="120"/>
        <v>0.16781285477250885</v>
      </c>
      <c r="E3747" s="6">
        <v>-3.1216221253122893E-3</v>
      </c>
      <c r="F3747" s="6"/>
      <c r="G3747" s="6">
        <v>3740</v>
      </c>
      <c r="H3747" s="6">
        <f t="shared" ca="1" si="121"/>
        <v>-2.4737051575111475E-2</v>
      </c>
    </row>
    <row r="3748" spans="2:8" x14ac:dyDescent="0.3">
      <c r="B3748" s="4">
        <v>42769</v>
      </c>
      <c r="C3748" s="7">
        <v>916.08</v>
      </c>
      <c r="D3748" s="6">
        <f t="shared" si="120"/>
        <v>-0.16647255786868534</v>
      </c>
      <c r="E3748" s="6">
        <v>-3.1339775398276262E-3</v>
      </c>
      <c r="F3748" s="6"/>
      <c r="G3748" s="6">
        <v>3741</v>
      </c>
      <c r="H3748" s="6">
        <f t="shared" ca="1" si="121"/>
        <v>-1.9790159523690377E-2</v>
      </c>
    </row>
    <row r="3749" spans="2:8" x14ac:dyDescent="0.3">
      <c r="B3749" s="4">
        <v>43208</v>
      </c>
      <c r="C3749" s="5">
        <v>1099.04</v>
      </c>
      <c r="D3749" s="6">
        <f t="shared" si="120"/>
        <v>1.4790562335055153</v>
      </c>
      <c r="E3749" s="6">
        <v>-3.1473637427325168E-3</v>
      </c>
      <c r="F3749" s="6"/>
      <c r="G3749" s="6">
        <v>3742</v>
      </c>
      <c r="H3749" s="6">
        <f t="shared" ca="1" si="121"/>
        <v>2.0417283312506663E-3</v>
      </c>
    </row>
    <row r="3750" spans="2:8" x14ac:dyDescent="0.3">
      <c r="B3750" s="4">
        <v>41659</v>
      </c>
      <c r="C3750" s="7">
        <v>443.33</v>
      </c>
      <c r="D3750" s="6">
        <f t="shared" si="120"/>
        <v>5.6968277945619334</v>
      </c>
      <c r="E3750" s="6">
        <v>-3.147977424504832E-3</v>
      </c>
      <c r="F3750" s="6"/>
      <c r="G3750" s="6">
        <v>3743</v>
      </c>
      <c r="H3750" s="6">
        <f t="shared" ca="1" si="121"/>
        <v>-1.3069315444812052E-2</v>
      </c>
    </row>
    <row r="3751" spans="2:8" x14ac:dyDescent="0.3">
      <c r="B3751" s="4">
        <v>39111</v>
      </c>
      <c r="C3751" s="7">
        <v>66.2</v>
      </c>
      <c r="D3751" s="6">
        <f t="shared" si="120"/>
        <v>-0.61109152861003402</v>
      </c>
      <c r="E3751" s="6">
        <v>-3.1621743713295251E-3</v>
      </c>
      <c r="F3751" s="6"/>
      <c r="G3751" s="6">
        <v>3744</v>
      </c>
      <c r="H3751" s="6">
        <f t="shared" ca="1" si="121"/>
        <v>-2.7669257737124309E-2</v>
      </c>
    </row>
    <row r="3752" spans="2:8" x14ac:dyDescent="0.3">
      <c r="B3752" s="4">
        <v>40242</v>
      </c>
      <c r="C3752" s="7">
        <v>170.22</v>
      </c>
      <c r="D3752" s="6">
        <f t="shared" si="120"/>
        <v>5.7520825069416892</v>
      </c>
      <c r="E3752" s="6">
        <v>-3.1623330990863908E-3</v>
      </c>
      <c r="F3752" s="6"/>
      <c r="G3752" s="6">
        <v>3745</v>
      </c>
      <c r="H3752" s="6">
        <f t="shared" ca="1" si="121"/>
        <v>-2.3220071523385403E-2</v>
      </c>
    </row>
    <row r="3753" spans="2:8" x14ac:dyDescent="0.3">
      <c r="B3753" s="4">
        <v>38355</v>
      </c>
      <c r="C3753" s="7">
        <v>25.21</v>
      </c>
      <c r="D3753" s="6">
        <f t="shared" si="120"/>
        <v>-0.98038437597261119</v>
      </c>
      <c r="E3753" s="6">
        <v>-3.1633056544087901E-3</v>
      </c>
      <c r="F3753" s="6"/>
      <c r="G3753" s="6">
        <v>3746</v>
      </c>
      <c r="H3753" s="6">
        <f t="shared" ca="1" si="121"/>
        <v>2.6758689531965123E-2</v>
      </c>
    </row>
    <row r="3754" spans="2:8" x14ac:dyDescent="0.3">
      <c r="B3754" s="4">
        <v>43647</v>
      </c>
      <c r="C3754" s="5">
        <v>1285.2</v>
      </c>
      <c r="D3754" s="6">
        <f t="shared" si="120"/>
        <v>-0.5991516436903499</v>
      </c>
      <c r="E3754" s="6">
        <v>-3.16455696202526E-3</v>
      </c>
      <c r="F3754" s="6"/>
      <c r="G3754" s="6">
        <v>3747</v>
      </c>
      <c r="H3754" s="6">
        <f t="shared" ca="1" si="121"/>
        <v>-7.6001995819223195E-3</v>
      </c>
    </row>
    <row r="3755" spans="2:8" x14ac:dyDescent="0.3">
      <c r="B3755" s="4">
        <v>45303</v>
      </c>
      <c r="C3755" s="5">
        <v>3206.2</v>
      </c>
      <c r="D3755" s="6">
        <f t="shared" si="120"/>
        <v>4.4226566992524434</v>
      </c>
      <c r="E3755" s="6">
        <v>-3.165048905912949E-3</v>
      </c>
      <c r="F3755" s="6"/>
      <c r="G3755" s="6">
        <v>3748</v>
      </c>
      <c r="H3755" s="6">
        <f t="shared" ca="1" si="121"/>
        <v>-5.8472423612612161E-3</v>
      </c>
    </row>
    <row r="3756" spans="2:8" x14ac:dyDescent="0.3">
      <c r="B3756" s="4">
        <v>41940</v>
      </c>
      <c r="C3756" s="7">
        <v>591.26</v>
      </c>
      <c r="D3756" s="6">
        <f t="shared" si="120"/>
        <v>30.383227176220807</v>
      </c>
      <c r="E3756" s="6">
        <v>-3.169572107765444E-3</v>
      </c>
      <c r="F3756" s="6"/>
      <c r="G3756" s="6">
        <v>3749</v>
      </c>
      <c r="H3756" s="6">
        <f t="shared" ca="1" si="121"/>
        <v>-3.9702374637308139E-3</v>
      </c>
    </row>
    <row r="3757" spans="2:8" x14ac:dyDescent="0.3">
      <c r="B3757" s="4">
        <v>37798</v>
      </c>
      <c r="C3757" s="7">
        <v>18.84</v>
      </c>
      <c r="D3757" s="6">
        <f t="shared" si="120"/>
        <v>-0.95451802138908337</v>
      </c>
      <c r="E3757" s="6">
        <v>-3.1746031746031074E-3</v>
      </c>
      <c r="F3757" s="6"/>
      <c r="G3757" s="6">
        <v>3750</v>
      </c>
      <c r="H3757" s="6">
        <f t="shared" ca="1" si="121"/>
        <v>1.1019932080691793E-2</v>
      </c>
    </row>
    <row r="3758" spans="2:8" x14ac:dyDescent="0.3">
      <c r="B3758" s="4">
        <v>41311</v>
      </c>
      <c r="C3758" s="7">
        <v>414.23</v>
      </c>
      <c r="D3758" s="6">
        <f t="shared" si="120"/>
        <v>17.862932604735885</v>
      </c>
      <c r="E3758" s="6">
        <v>-3.1765130549873495E-3</v>
      </c>
      <c r="F3758" s="6"/>
      <c r="G3758" s="6">
        <v>3751</v>
      </c>
      <c r="H3758" s="6">
        <f t="shared" ca="1" si="121"/>
        <v>1.5533529442283081E-2</v>
      </c>
    </row>
    <row r="3759" spans="2:8" x14ac:dyDescent="0.3">
      <c r="B3759" s="4">
        <v>37916</v>
      </c>
      <c r="C3759" s="7">
        <v>21.96</v>
      </c>
      <c r="D3759" s="6">
        <f t="shared" si="120"/>
        <v>-0.66626139817629182</v>
      </c>
      <c r="E3759" s="6">
        <v>-3.1774852473899357E-3</v>
      </c>
      <c r="F3759" s="6"/>
      <c r="G3759" s="6">
        <v>3752</v>
      </c>
      <c r="H3759" s="6">
        <f t="shared" ca="1" si="121"/>
        <v>9.7274010507154771E-3</v>
      </c>
    </row>
    <row r="3760" spans="2:8" x14ac:dyDescent="0.3">
      <c r="B3760" s="4">
        <v>39181</v>
      </c>
      <c r="C3760" s="7">
        <v>65.8</v>
      </c>
      <c r="D3760" s="6">
        <f t="shared" si="120"/>
        <v>2.5055940330314335</v>
      </c>
      <c r="E3760" s="6">
        <v>-3.1813361611878191E-3</v>
      </c>
      <c r="F3760" s="6"/>
      <c r="G3760" s="6">
        <v>3753</v>
      </c>
      <c r="H3760" s="6">
        <f t="shared" ca="1" si="121"/>
        <v>-9.3800529780209731E-3</v>
      </c>
    </row>
    <row r="3761" spans="2:8" x14ac:dyDescent="0.3">
      <c r="B3761" s="4">
        <v>37771</v>
      </c>
      <c r="C3761" s="7">
        <v>18.77</v>
      </c>
      <c r="D3761" s="6">
        <f t="shared" si="120"/>
        <v>-0.84192353040256029</v>
      </c>
      <c r="E3761" s="6">
        <v>-3.1864046733934533E-3</v>
      </c>
      <c r="F3761" s="6"/>
      <c r="G3761" s="6">
        <v>3754</v>
      </c>
      <c r="H3761" s="6">
        <f t="shared" ca="1" si="121"/>
        <v>1.4653687112558004E-3</v>
      </c>
    </row>
    <row r="3762" spans="2:8" x14ac:dyDescent="0.3">
      <c r="B3762" s="4">
        <v>40064</v>
      </c>
      <c r="C3762" s="7">
        <v>118.74</v>
      </c>
      <c r="D3762" s="6">
        <f t="shared" si="120"/>
        <v>3.7572115384615383</v>
      </c>
      <c r="E3762" s="6">
        <v>-3.1900604432505849E-3</v>
      </c>
      <c r="F3762" s="6"/>
      <c r="G3762" s="6">
        <v>3755</v>
      </c>
      <c r="H3762" s="6">
        <f t="shared" ca="1" si="121"/>
        <v>1.4928734425622859E-3</v>
      </c>
    </row>
    <row r="3763" spans="2:8" x14ac:dyDescent="0.3">
      <c r="B3763" s="4">
        <v>38208</v>
      </c>
      <c r="C3763" s="7">
        <v>24.96</v>
      </c>
      <c r="D3763" s="6">
        <f t="shared" si="120"/>
        <v>-0.46666666666666662</v>
      </c>
      <c r="E3763" s="6">
        <v>-3.1948881789136702E-3</v>
      </c>
      <c r="F3763" s="6"/>
      <c r="G3763" s="6">
        <v>3756</v>
      </c>
      <c r="H3763" s="6">
        <f t="shared" ca="1" si="121"/>
        <v>-1.693870081302485E-2</v>
      </c>
    </row>
    <row r="3764" spans="2:8" x14ac:dyDescent="0.3">
      <c r="B3764" s="4">
        <v>38910</v>
      </c>
      <c r="C3764" s="7">
        <v>46.8</v>
      </c>
      <c r="D3764" s="6">
        <f t="shared" si="120"/>
        <v>-0.98252936038047167</v>
      </c>
      <c r="E3764" s="6">
        <v>-3.1948881789138589E-3</v>
      </c>
      <c r="F3764" s="6"/>
      <c r="G3764" s="6">
        <v>3757</v>
      </c>
      <c r="H3764" s="6">
        <f t="shared" ca="1" si="121"/>
        <v>1.0112581358128358E-2</v>
      </c>
    </row>
    <row r="3765" spans="2:8" x14ac:dyDescent="0.3">
      <c r="B3765" s="4">
        <v>45016</v>
      </c>
      <c r="C3765" s="5">
        <v>2678.78</v>
      </c>
      <c r="D3765" s="6">
        <f t="shared" si="120"/>
        <v>2.382084464364624</v>
      </c>
      <c r="E3765" s="6">
        <v>-3.1964336879550235E-3</v>
      </c>
      <c r="F3765" s="6"/>
      <c r="G3765" s="6">
        <v>3758</v>
      </c>
      <c r="H3765" s="6">
        <f t="shared" ca="1" si="121"/>
        <v>-2.0537428298635491E-2</v>
      </c>
    </row>
    <row r="3766" spans="2:8" x14ac:dyDescent="0.3">
      <c r="B3766" s="4">
        <v>42335</v>
      </c>
      <c r="C3766" s="7">
        <v>792.05</v>
      </c>
      <c r="D3766" s="6">
        <f t="shared" si="120"/>
        <v>24.426966292134832</v>
      </c>
      <c r="E3766" s="6">
        <v>-3.1966171232963884E-3</v>
      </c>
      <c r="F3766" s="6"/>
      <c r="G3766" s="6">
        <v>3759</v>
      </c>
      <c r="H3766" s="6">
        <f t="shared" ca="1" si="121"/>
        <v>-1.6034765753948844E-2</v>
      </c>
    </row>
    <row r="3767" spans="2:8" x14ac:dyDescent="0.3">
      <c r="B3767" s="4">
        <v>38519</v>
      </c>
      <c r="C3767" s="7">
        <v>31.15</v>
      </c>
      <c r="D3767" s="6">
        <f t="shared" si="120"/>
        <v>-0.98980273280213693</v>
      </c>
      <c r="E3767" s="6">
        <v>-3.2000000000000457E-3</v>
      </c>
      <c r="F3767" s="6"/>
      <c r="G3767" s="6">
        <v>3760</v>
      </c>
      <c r="H3767" s="6">
        <f t="shared" ca="1" si="121"/>
        <v>2.3822341057275912E-3</v>
      </c>
    </row>
    <row r="3768" spans="2:8" x14ac:dyDescent="0.3">
      <c r="B3768" s="4">
        <v>45253</v>
      </c>
      <c r="C3768" s="5">
        <v>3054.74</v>
      </c>
      <c r="D3768" s="6">
        <f t="shared" si="120"/>
        <v>122.22468737394111</v>
      </c>
      <c r="E3768" s="6">
        <v>-3.2076278238057482E-3</v>
      </c>
      <c r="F3768" s="6"/>
      <c r="G3768" s="6">
        <v>3761</v>
      </c>
      <c r="H3768" s="6">
        <f t="shared" ca="1" si="121"/>
        <v>-3.7164129032557024E-2</v>
      </c>
    </row>
    <row r="3769" spans="2:8" x14ac:dyDescent="0.3">
      <c r="B3769" s="4">
        <v>38239</v>
      </c>
      <c r="C3769" s="7">
        <v>24.79</v>
      </c>
      <c r="D3769" s="6">
        <f t="shared" si="120"/>
        <v>-0.97684411108101299</v>
      </c>
      <c r="E3769" s="6">
        <v>-3.2167269802976213E-3</v>
      </c>
      <c r="F3769" s="6"/>
      <c r="G3769" s="6">
        <v>3762</v>
      </c>
      <c r="H3769" s="6">
        <f t="shared" ca="1" si="121"/>
        <v>-2.1334555181059402E-2</v>
      </c>
    </row>
    <row r="3770" spans="2:8" x14ac:dyDescent="0.3">
      <c r="B3770" s="4">
        <v>42949</v>
      </c>
      <c r="C3770" s="5">
        <v>1070.57</v>
      </c>
      <c r="D3770" s="6">
        <f t="shared" si="120"/>
        <v>3.4385157545605303</v>
      </c>
      <c r="E3770" s="6">
        <v>-3.2215115034031046E-3</v>
      </c>
      <c r="F3770" s="6"/>
      <c r="G3770" s="6">
        <v>3763</v>
      </c>
      <c r="H3770" s="6">
        <f t="shared" ca="1" si="121"/>
        <v>8.165960107009252E-3</v>
      </c>
    </row>
    <row r="3771" spans="2:8" x14ac:dyDescent="0.3">
      <c r="B3771" s="4">
        <v>40413</v>
      </c>
      <c r="C3771" s="7">
        <v>241.2</v>
      </c>
      <c r="D3771" s="6">
        <f t="shared" si="120"/>
        <v>-0.81020427433823294</v>
      </c>
      <c r="E3771" s="6">
        <v>-3.2234068931316687E-3</v>
      </c>
      <c r="F3771" s="6"/>
      <c r="G3771" s="6">
        <v>3764</v>
      </c>
      <c r="H3771" s="6">
        <f t="shared" ca="1" si="121"/>
        <v>-3.895835944603296E-3</v>
      </c>
    </row>
    <row r="3772" spans="2:8" x14ac:dyDescent="0.3">
      <c r="B3772" s="4">
        <v>43434</v>
      </c>
      <c r="C3772" s="5">
        <v>1270.8399999999999</v>
      </c>
      <c r="D3772" s="6">
        <f t="shared" si="120"/>
        <v>11.473890851982725</v>
      </c>
      <c r="E3772" s="6">
        <v>-3.2236558296404776E-3</v>
      </c>
      <c r="F3772" s="6"/>
      <c r="G3772" s="6">
        <v>3765</v>
      </c>
      <c r="H3772" s="6">
        <f t="shared" ca="1" si="121"/>
        <v>-8.0365512810383517E-4</v>
      </c>
    </row>
    <row r="3773" spans="2:8" x14ac:dyDescent="0.3">
      <c r="B3773" s="4">
        <v>39686</v>
      </c>
      <c r="C3773" s="7">
        <v>101.88</v>
      </c>
      <c r="D3773" s="6">
        <f t="shared" si="120"/>
        <v>-0.96732070170036277</v>
      </c>
      <c r="E3773" s="6">
        <v>-3.2286469034340896E-3</v>
      </c>
      <c r="F3773" s="6"/>
      <c r="G3773" s="6">
        <v>3766</v>
      </c>
      <c r="H3773" s="6">
        <f t="shared" ca="1" si="121"/>
        <v>2.9696778971131217E-2</v>
      </c>
    </row>
    <row r="3774" spans="2:8" x14ac:dyDescent="0.3">
      <c r="B3774" s="4">
        <v>44680</v>
      </c>
      <c r="C3774" s="5">
        <v>3117.57</v>
      </c>
      <c r="D3774" s="6">
        <f t="shared" si="120"/>
        <v>76.919770057485636</v>
      </c>
      <c r="E3774" s="6">
        <v>-3.2324278698587046E-3</v>
      </c>
      <c r="F3774" s="6"/>
      <c r="G3774" s="6">
        <v>3767</v>
      </c>
      <c r="H3774" s="6">
        <f t="shared" ca="1" si="121"/>
        <v>1.15090944670435E-2</v>
      </c>
    </row>
    <row r="3775" spans="2:8" x14ac:dyDescent="0.3">
      <c r="B3775" s="4">
        <v>38639</v>
      </c>
      <c r="C3775" s="7">
        <v>40.01</v>
      </c>
      <c r="D3775" s="6">
        <f t="shared" si="120"/>
        <v>-0.97030026351928145</v>
      </c>
      <c r="E3775" s="6">
        <v>-3.238664673642316E-3</v>
      </c>
      <c r="F3775" s="6"/>
      <c r="G3775" s="6">
        <v>3768</v>
      </c>
      <c r="H3775" s="6">
        <f t="shared" ca="1" si="121"/>
        <v>-5.13506930422557E-3</v>
      </c>
    </row>
    <row r="3776" spans="2:8" x14ac:dyDescent="0.3">
      <c r="B3776" s="4">
        <v>43311</v>
      </c>
      <c r="C3776" s="5">
        <v>1347.15</v>
      </c>
      <c r="D3776" s="6">
        <f t="shared" si="120"/>
        <v>23.347551057292613</v>
      </c>
      <c r="E3776" s="6">
        <v>-3.2407715699983588E-3</v>
      </c>
      <c r="F3776" s="6"/>
      <c r="G3776" s="6">
        <v>3769</v>
      </c>
      <c r="H3776" s="6">
        <f t="shared" ca="1" si="121"/>
        <v>-6.201843018395453E-4</v>
      </c>
    </row>
    <row r="3777" spans="2:8" x14ac:dyDescent="0.3">
      <c r="B3777" s="4">
        <v>39001</v>
      </c>
      <c r="C3777" s="7">
        <v>55.33</v>
      </c>
      <c r="D3777" s="6">
        <f t="shared" si="120"/>
        <v>-0.94802205751110857</v>
      </c>
      <c r="E3777" s="6">
        <v>-3.2426589803638932E-3</v>
      </c>
      <c r="F3777" s="6"/>
      <c r="G3777" s="6">
        <v>3770</v>
      </c>
      <c r="H3777" s="6">
        <f t="shared" ca="1" si="121"/>
        <v>6.8603874423815818E-3</v>
      </c>
    </row>
    <row r="3778" spans="2:8" x14ac:dyDescent="0.3">
      <c r="B3778" s="4">
        <v>43146</v>
      </c>
      <c r="C3778" s="5">
        <v>1064.49</v>
      </c>
      <c r="D3778" s="6">
        <f t="shared" si="120"/>
        <v>-0.63701617330637217</v>
      </c>
      <c r="E3778" s="6">
        <v>-3.2491853627476938E-3</v>
      </c>
      <c r="F3778" s="6"/>
      <c r="G3778" s="6">
        <v>3771</v>
      </c>
      <c r="H3778" s="6">
        <f t="shared" ca="1" si="121"/>
        <v>7.8375300984559644E-3</v>
      </c>
    </row>
    <row r="3779" spans="2:8" x14ac:dyDescent="0.3">
      <c r="B3779" s="4">
        <v>45341</v>
      </c>
      <c r="C3779" s="5">
        <v>2932.61</v>
      </c>
      <c r="D3779" s="6">
        <f t="shared" si="120"/>
        <v>9.0985192837465565</v>
      </c>
      <c r="E3779" s="6">
        <v>-3.2594657059342299E-3</v>
      </c>
      <c r="F3779" s="6"/>
      <c r="G3779" s="6">
        <v>3772</v>
      </c>
      <c r="H3779" s="6">
        <f t="shared" ca="1" si="121"/>
        <v>-3.4879075098229566E-3</v>
      </c>
    </row>
    <row r="3780" spans="2:8" x14ac:dyDescent="0.3">
      <c r="B3780" s="4">
        <v>40785</v>
      </c>
      <c r="C3780" s="7">
        <v>290.39999999999998</v>
      </c>
      <c r="D3780" s="6">
        <f t="shared" si="120"/>
        <v>-0.90555022522888784</v>
      </c>
      <c r="E3780" s="6">
        <v>-3.2606830272869244E-3</v>
      </c>
      <c r="F3780" s="6"/>
      <c r="G3780" s="6">
        <v>3773</v>
      </c>
      <c r="H3780" s="6">
        <f t="shared" ca="1" si="121"/>
        <v>7.0722904421517659E-3</v>
      </c>
    </row>
    <row r="3781" spans="2:8" x14ac:dyDescent="0.3">
      <c r="B3781" s="4">
        <v>45212</v>
      </c>
      <c r="C3781" s="5">
        <v>3074.65</v>
      </c>
      <c r="D3781" s="6">
        <f t="shared" si="120"/>
        <v>0.33778150997250161</v>
      </c>
      <c r="E3781" s="6">
        <v>-3.2612466001666106E-3</v>
      </c>
      <c r="F3781" s="6"/>
      <c r="G3781" s="6">
        <v>3774</v>
      </c>
      <c r="H3781" s="6">
        <f t="shared" ca="1" si="121"/>
        <v>-3.2083867747467127E-3</v>
      </c>
    </row>
    <row r="3782" spans="2:8" x14ac:dyDescent="0.3">
      <c r="B3782" s="4">
        <v>45742</v>
      </c>
      <c r="C3782" s="5">
        <v>2298.3200000000002</v>
      </c>
      <c r="D3782" s="6">
        <f t="shared" si="120"/>
        <v>-0.21725477908746926</v>
      </c>
      <c r="E3782" s="6">
        <v>-3.2612843909377845E-3</v>
      </c>
      <c r="F3782" s="6"/>
      <c r="G3782" s="6">
        <v>3775</v>
      </c>
      <c r="H3782" s="6">
        <f t="shared" ca="1" si="121"/>
        <v>1.9136806211088001E-2</v>
      </c>
    </row>
    <row r="3783" spans="2:8" x14ac:dyDescent="0.3">
      <c r="B3783" s="4">
        <v>45343</v>
      </c>
      <c r="C3783" s="5">
        <v>2936.23</v>
      </c>
      <c r="D3783" s="6">
        <f t="shared" si="120"/>
        <v>-5.4555231416188454E-2</v>
      </c>
      <c r="E3783" s="6">
        <v>-3.2723779392844466E-3</v>
      </c>
      <c r="F3783" s="6"/>
      <c r="G3783" s="6">
        <v>3776</v>
      </c>
      <c r="H3783" s="6">
        <f t="shared" ca="1" si="121"/>
        <v>-8.0792126899648774E-3</v>
      </c>
    </row>
    <row r="3784" spans="2:8" x14ac:dyDescent="0.3">
      <c r="B3784" s="4">
        <v>45086</v>
      </c>
      <c r="C3784" s="5">
        <v>3105.66</v>
      </c>
      <c r="D3784" s="6">
        <f t="shared" ref="D3784:D3847" si="122">((C3784-C3785)/C3785)</f>
        <v>-4.7556481333120163E-3</v>
      </c>
      <c r="E3784" s="6">
        <v>-3.2735745508464028E-3</v>
      </c>
      <c r="F3784" s="6"/>
      <c r="G3784" s="6">
        <v>3777</v>
      </c>
      <c r="H3784" s="6">
        <f t="shared" ca="1" si="121"/>
        <v>-1.5084874499149946E-3</v>
      </c>
    </row>
    <row r="3785" spans="2:8" x14ac:dyDescent="0.3">
      <c r="B3785" s="4">
        <v>45205</v>
      </c>
      <c r="C3785" s="5">
        <v>3120.5</v>
      </c>
      <c r="D3785" s="6">
        <f t="shared" si="122"/>
        <v>-4.5388773490533392E-2</v>
      </c>
      <c r="E3785" s="6">
        <v>-3.273975884372754E-3</v>
      </c>
      <c r="F3785" s="6"/>
      <c r="G3785" s="6">
        <v>3778</v>
      </c>
      <c r="H3785" s="6">
        <f t="shared" ref="H3785:H3848" ca="1" si="123">_xlfn.NORM.INV(RAND(),N$10,N$11)</f>
        <v>-1.2963828070929679E-2</v>
      </c>
    </row>
    <row r="3786" spans="2:8" x14ac:dyDescent="0.3">
      <c r="B3786" s="4">
        <v>45111</v>
      </c>
      <c r="C3786" s="5">
        <v>3268.87</v>
      </c>
      <c r="D3786" s="6">
        <f t="shared" si="122"/>
        <v>36.392701898878975</v>
      </c>
      <c r="E3786" s="6">
        <v>-3.2747796231869753E-3</v>
      </c>
      <c r="F3786" s="6"/>
      <c r="G3786" s="6">
        <v>3779</v>
      </c>
      <c r="H3786" s="6">
        <f t="shared" ca="1" si="123"/>
        <v>-8.0359156223532707E-3</v>
      </c>
    </row>
    <row r="3787" spans="2:8" x14ac:dyDescent="0.3">
      <c r="B3787" s="4">
        <v>39743</v>
      </c>
      <c r="C3787" s="7">
        <v>87.42</v>
      </c>
      <c r="D3787" s="6">
        <f t="shared" si="122"/>
        <v>-0.73782389635316692</v>
      </c>
      <c r="E3787" s="6">
        <v>-3.3063504731500634E-3</v>
      </c>
      <c r="F3787" s="6"/>
      <c r="G3787" s="6">
        <v>3780</v>
      </c>
      <c r="H3787" s="6">
        <f t="shared" ca="1" si="123"/>
        <v>2.0851686321683043E-2</v>
      </c>
    </row>
    <row r="3788" spans="2:8" x14ac:dyDescent="0.3">
      <c r="B3788" s="4">
        <v>41129</v>
      </c>
      <c r="C3788" s="7">
        <v>333.44</v>
      </c>
      <c r="D3788" s="6">
        <f t="shared" si="122"/>
        <v>-0.88974784581098687</v>
      </c>
      <c r="E3788" s="6">
        <v>-3.3178897025856035E-3</v>
      </c>
      <c r="F3788" s="6"/>
      <c r="G3788" s="6">
        <v>3781</v>
      </c>
      <c r="H3788" s="6">
        <f t="shared" ca="1" si="123"/>
        <v>1.0748033785206503E-2</v>
      </c>
    </row>
    <row r="3789" spans="2:8" x14ac:dyDescent="0.3">
      <c r="B3789" s="4">
        <v>45572</v>
      </c>
      <c r="C3789" s="5">
        <v>3024.34</v>
      </c>
      <c r="D3789" s="6">
        <f t="shared" si="122"/>
        <v>1.8445100731739434</v>
      </c>
      <c r="E3789" s="6">
        <v>-3.3383094906193353E-3</v>
      </c>
      <c r="F3789" s="6"/>
      <c r="G3789" s="6">
        <v>3782</v>
      </c>
      <c r="H3789" s="6">
        <f t="shared" ca="1" si="123"/>
        <v>4.3958414840266843E-2</v>
      </c>
    </row>
    <row r="3790" spans="2:8" x14ac:dyDescent="0.3">
      <c r="B3790" s="4">
        <v>43136</v>
      </c>
      <c r="C3790" s="5">
        <v>1063.22</v>
      </c>
      <c r="D3790" s="6">
        <f t="shared" si="122"/>
        <v>-0.555095260213326</v>
      </c>
      <c r="E3790" s="6">
        <v>-3.3464880623177351E-3</v>
      </c>
      <c r="F3790" s="6"/>
      <c r="G3790" s="6">
        <v>3783</v>
      </c>
      <c r="H3790" s="6">
        <f t="shared" ca="1" si="123"/>
        <v>-2.581305123719306E-2</v>
      </c>
    </row>
    <row r="3791" spans="2:8" x14ac:dyDescent="0.3">
      <c r="B3791" s="4">
        <v>45853</v>
      </c>
      <c r="C3791" s="5">
        <v>2389.77</v>
      </c>
      <c r="D3791" s="6">
        <f t="shared" si="122"/>
        <v>-0.2311624719701186</v>
      </c>
      <c r="E3791" s="6">
        <v>-3.3738416754940425E-3</v>
      </c>
      <c r="F3791" s="6"/>
      <c r="G3791" s="6">
        <v>3784</v>
      </c>
      <c r="H3791" s="6">
        <f t="shared" ca="1" si="123"/>
        <v>2.1994918091593384E-2</v>
      </c>
    </row>
    <row r="3792" spans="2:8" x14ac:dyDescent="0.3">
      <c r="B3792" s="4">
        <v>45155</v>
      </c>
      <c r="C3792" s="5">
        <v>3108.29</v>
      </c>
      <c r="D3792" s="6">
        <f t="shared" si="122"/>
        <v>30.217133674801648</v>
      </c>
      <c r="E3792" s="6">
        <v>-3.3826679149940946E-3</v>
      </c>
      <c r="F3792" s="6"/>
      <c r="G3792" s="6">
        <v>3785</v>
      </c>
      <c r="H3792" s="6">
        <f t="shared" ca="1" si="123"/>
        <v>-3.4759190637445557E-2</v>
      </c>
    </row>
    <row r="3793" spans="2:8" x14ac:dyDescent="0.3">
      <c r="B3793" s="4">
        <v>39541</v>
      </c>
      <c r="C3793" s="7">
        <v>99.57</v>
      </c>
      <c r="D3793" s="6">
        <f t="shared" si="122"/>
        <v>3.0745341614906822E-2</v>
      </c>
      <c r="E3793" s="6">
        <v>-3.4030627564808672E-3</v>
      </c>
      <c r="F3793" s="6"/>
      <c r="G3793" s="6">
        <v>3786</v>
      </c>
      <c r="H3793" s="6">
        <f t="shared" ca="1" si="123"/>
        <v>-1.905801337488788E-2</v>
      </c>
    </row>
    <row r="3794" spans="2:8" x14ac:dyDescent="0.3">
      <c r="B3794" s="4">
        <v>39491</v>
      </c>
      <c r="C3794" s="7">
        <v>96.6</v>
      </c>
      <c r="D3794" s="6">
        <f t="shared" si="122"/>
        <v>3.1282051282051277</v>
      </c>
      <c r="E3794" s="6">
        <v>-3.4045187248531155E-3</v>
      </c>
      <c r="F3794" s="6"/>
      <c r="G3794" s="6">
        <v>3787</v>
      </c>
      <c r="H3794" s="6">
        <f t="shared" ca="1" si="123"/>
        <v>4.2934278188700038E-3</v>
      </c>
    </row>
    <row r="3795" spans="2:8" x14ac:dyDescent="0.3">
      <c r="B3795" s="4">
        <v>37944</v>
      </c>
      <c r="C3795" s="7">
        <v>23.4</v>
      </c>
      <c r="D3795" s="6">
        <f t="shared" si="122"/>
        <v>-0.71260132645541641</v>
      </c>
      <c r="E3795" s="6">
        <v>-3.4071550255537412E-3</v>
      </c>
      <c r="F3795" s="6"/>
      <c r="G3795" s="6">
        <v>3788</v>
      </c>
      <c r="H3795" s="6">
        <f t="shared" ca="1" si="123"/>
        <v>-3.6070373538312963E-3</v>
      </c>
    </row>
    <row r="3796" spans="2:8" x14ac:dyDescent="0.3">
      <c r="B3796" s="4">
        <v>39378</v>
      </c>
      <c r="C3796" s="7">
        <v>81.42</v>
      </c>
      <c r="D3796" s="6">
        <f t="shared" si="122"/>
        <v>-0.97368608161128312</v>
      </c>
      <c r="E3796" s="6">
        <v>-3.427172582619353E-3</v>
      </c>
      <c r="F3796" s="6"/>
      <c r="G3796" s="6">
        <v>3789</v>
      </c>
      <c r="H3796" s="6">
        <f t="shared" ca="1" si="123"/>
        <v>7.6468211954937616E-3</v>
      </c>
    </row>
    <row r="3797" spans="2:8" x14ac:dyDescent="0.3">
      <c r="B3797" s="4">
        <v>45161</v>
      </c>
      <c r="C3797" s="5">
        <v>3094.18</v>
      </c>
      <c r="D3797" s="6">
        <f t="shared" si="122"/>
        <v>2.7004197710991784</v>
      </c>
      <c r="E3797" s="6">
        <v>-3.4301394923393846E-3</v>
      </c>
      <c r="F3797" s="6"/>
      <c r="G3797" s="6">
        <v>3790</v>
      </c>
      <c r="H3797" s="6">
        <f t="shared" ca="1" si="123"/>
        <v>-6.1033119296598336E-3</v>
      </c>
    </row>
    <row r="3798" spans="2:8" x14ac:dyDescent="0.3">
      <c r="B3798" s="4">
        <v>42720</v>
      </c>
      <c r="C3798" s="7">
        <v>836.17</v>
      </c>
      <c r="D3798" s="6">
        <f t="shared" si="122"/>
        <v>6.7862929509265291</v>
      </c>
      <c r="E3798" s="6">
        <v>-3.4324533698826E-3</v>
      </c>
      <c r="F3798" s="6"/>
      <c r="G3798" s="6">
        <v>3791</v>
      </c>
      <c r="H3798" s="6">
        <f t="shared" ca="1" si="123"/>
        <v>1.6428867356154642E-3</v>
      </c>
    </row>
    <row r="3799" spans="2:8" x14ac:dyDescent="0.3">
      <c r="B3799" s="4">
        <v>39570</v>
      </c>
      <c r="C3799" s="7">
        <v>107.39</v>
      </c>
      <c r="D3799" s="6">
        <f t="shared" si="122"/>
        <v>-0.96827258572960651</v>
      </c>
      <c r="E3799" s="6">
        <v>-3.4335560504825959E-3</v>
      </c>
      <c r="F3799" s="6"/>
      <c r="G3799" s="6">
        <v>3792</v>
      </c>
      <c r="H3799" s="6">
        <f t="shared" ca="1" si="123"/>
        <v>1.3547886637330624E-2</v>
      </c>
    </row>
    <row r="3800" spans="2:8" x14ac:dyDescent="0.3">
      <c r="B3800" s="4">
        <v>44567</v>
      </c>
      <c r="C3800" s="5">
        <v>3384.77</v>
      </c>
      <c r="D3800" s="6">
        <f t="shared" si="122"/>
        <v>0.20328980813600062</v>
      </c>
      <c r="E3800" s="6">
        <v>-3.4447529346644662E-3</v>
      </c>
      <c r="F3800" s="6"/>
      <c r="G3800" s="6">
        <v>3793</v>
      </c>
      <c r="H3800" s="6">
        <f t="shared" ca="1" si="123"/>
        <v>-1.4732480749342075E-2</v>
      </c>
    </row>
    <row r="3801" spans="2:8" x14ac:dyDescent="0.3">
      <c r="B3801" s="4">
        <v>45043</v>
      </c>
      <c r="C3801" s="5">
        <v>2812.93</v>
      </c>
      <c r="D3801" s="6">
        <f t="shared" si="122"/>
        <v>2.6894756171139265</v>
      </c>
      <c r="E3801" s="6">
        <v>-3.4541641277084189E-3</v>
      </c>
      <c r="F3801" s="6"/>
      <c r="G3801" s="6">
        <v>3794</v>
      </c>
      <c r="H3801" s="6">
        <f t="shared" ca="1" si="123"/>
        <v>2.7775888003905375E-2</v>
      </c>
    </row>
    <row r="3802" spans="2:8" x14ac:dyDescent="0.3">
      <c r="B3802" s="4">
        <v>42068</v>
      </c>
      <c r="C3802" s="7">
        <v>762.42</v>
      </c>
      <c r="D3802" s="6">
        <f t="shared" si="122"/>
        <v>32.191989551589025</v>
      </c>
      <c r="E3802" s="6">
        <v>-3.4637353444784019E-3</v>
      </c>
      <c r="F3802" s="6"/>
      <c r="G3802" s="6">
        <v>3795</v>
      </c>
      <c r="H3802" s="6">
        <f t="shared" ca="1" si="123"/>
        <v>8.3208459147630378E-4</v>
      </c>
    </row>
    <row r="3803" spans="2:8" x14ac:dyDescent="0.3">
      <c r="B3803" s="4">
        <v>38133</v>
      </c>
      <c r="C3803" s="7">
        <v>22.97</v>
      </c>
      <c r="D3803" s="6">
        <f t="shared" si="122"/>
        <v>-0.72338631984585744</v>
      </c>
      <c r="E3803" s="6">
        <v>-3.4707158351410779E-3</v>
      </c>
      <c r="F3803" s="6"/>
      <c r="G3803" s="6">
        <v>3796</v>
      </c>
      <c r="H3803" s="6">
        <f t="shared" ca="1" si="123"/>
        <v>-8.6614556086477348E-4</v>
      </c>
    </row>
    <row r="3804" spans="2:8" x14ac:dyDescent="0.3">
      <c r="B3804" s="4">
        <v>39419</v>
      </c>
      <c r="C3804" s="7">
        <v>83.04</v>
      </c>
      <c r="D3804" s="6">
        <f t="shared" si="122"/>
        <v>2.2261072261072266</v>
      </c>
      <c r="E3804" s="6">
        <v>-3.4801392055681273E-3</v>
      </c>
      <c r="F3804" s="6"/>
      <c r="G3804" s="6">
        <v>3797</v>
      </c>
      <c r="H3804" s="6">
        <f t="shared" ca="1" si="123"/>
        <v>-6.377926899163242E-3</v>
      </c>
    </row>
    <row r="3805" spans="2:8" x14ac:dyDescent="0.3">
      <c r="B3805" s="4">
        <v>38006</v>
      </c>
      <c r="C3805" s="7">
        <v>25.74</v>
      </c>
      <c r="D3805" s="6">
        <f t="shared" si="122"/>
        <v>-0.99108200810726543</v>
      </c>
      <c r="E3805" s="6">
        <v>-3.484320557491284E-3</v>
      </c>
      <c r="F3805" s="6"/>
      <c r="G3805" s="6">
        <v>3798</v>
      </c>
      <c r="H3805" s="6">
        <f t="shared" ca="1" si="123"/>
        <v>-1.0984469249503557E-2</v>
      </c>
    </row>
    <row r="3806" spans="2:8" x14ac:dyDescent="0.3">
      <c r="B3806" s="4">
        <v>46035</v>
      </c>
      <c r="C3806" s="5">
        <v>2886.3</v>
      </c>
      <c r="D3806" s="6">
        <f t="shared" si="122"/>
        <v>6.0142652312328373</v>
      </c>
      <c r="E3806" s="6">
        <v>-3.487087418864766E-3</v>
      </c>
      <c r="F3806" s="6"/>
      <c r="G3806" s="6">
        <v>3799</v>
      </c>
      <c r="H3806" s="6">
        <f t="shared" ca="1" si="123"/>
        <v>2.3957372551194452E-2</v>
      </c>
    </row>
    <row r="3807" spans="2:8" x14ac:dyDescent="0.3">
      <c r="B3807" s="4">
        <v>41446</v>
      </c>
      <c r="C3807" s="7">
        <v>411.49</v>
      </c>
      <c r="D3807" s="6">
        <f t="shared" si="122"/>
        <v>5.584893582973276</v>
      </c>
      <c r="E3807" s="6">
        <v>-3.4872738720848513E-3</v>
      </c>
      <c r="F3807" s="6"/>
      <c r="G3807" s="6">
        <v>3800</v>
      </c>
      <c r="H3807" s="6">
        <f t="shared" ca="1" si="123"/>
        <v>-9.0747510426410129E-3</v>
      </c>
    </row>
    <row r="3808" spans="2:8" x14ac:dyDescent="0.3">
      <c r="B3808" s="4">
        <v>39135</v>
      </c>
      <c r="C3808" s="7">
        <v>62.49</v>
      </c>
      <c r="D3808" s="6">
        <f t="shared" si="122"/>
        <v>-0.77281320439176904</v>
      </c>
      <c r="E3808" s="6">
        <v>-3.5082124063147641E-3</v>
      </c>
      <c r="F3808" s="6"/>
      <c r="G3808" s="6">
        <v>3801</v>
      </c>
      <c r="H3808" s="6">
        <f t="shared" ca="1" si="123"/>
        <v>7.4668254622701682E-3</v>
      </c>
    </row>
    <row r="3809" spans="2:8" x14ac:dyDescent="0.3">
      <c r="B3809" s="4">
        <v>40745</v>
      </c>
      <c r="C3809" s="7">
        <v>275.06</v>
      </c>
      <c r="D3809" s="6">
        <f t="shared" si="122"/>
        <v>-0.88307260669954091</v>
      </c>
      <c r="E3809" s="6">
        <v>-3.5141107850594883E-3</v>
      </c>
      <c r="F3809" s="6"/>
      <c r="G3809" s="6">
        <v>3802</v>
      </c>
      <c r="H3809" s="6">
        <f t="shared" ca="1" si="123"/>
        <v>7.7564792782014837E-3</v>
      </c>
    </row>
    <row r="3810" spans="2:8" x14ac:dyDescent="0.3">
      <c r="B3810" s="4">
        <v>46125</v>
      </c>
      <c r="C3810" s="5">
        <v>2352.4</v>
      </c>
      <c r="D3810" s="6">
        <f t="shared" si="122"/>
        <v>138.11295091661739</v>
      </c>
      <c r="E3810" s="6">
        <v>-3.5159062989790009E-3</v>
      </c>
      <c r="F3810" s="6"/>
      <c r="G3810" s="6">
        <v>3803</v>
      </c>
      <c r="H3810" s="6">
        <f t="shared" ca="1" si="123"/>
        <v>1.8128376364945908E-2</v>
      </c>
    </row>
    <row r="3811" spans="2:8" x14ac:dyDescent="0.3">
      <c r="B3811" s="4">
        <v>37753</v>
      </c>
      <c r="C3811" s="7">
        <v>16.91</v>
      </c>
      <c r="D3811" s="6">
        <f t="shared" si="122"/>
        <v>-0.96076839199127662</v>
      </c>
      <c r="E3811" s="6">
        <v>-3.5356511490865481E-3</v>
      </c>
      <c r="F3811" s="6"/>
      <c r="G3811" s="6">
        <v>3804</v>
      </c>
      <c r="H3811" s="6">
        <f t="shared" ca="1" si="123"/>
        <v>1.2415680510370853E-3</v>
      </c>
    </row>
    <row r="3812" spans="2:8" x14ac:dyDescent="0.3">
      <c r="B3812" s="4">
        <v>41666</v>
      </c>
      <c r="C3812" s="7">
        <v>431.03</v>
      </c>
      <c r="D3812" s="6">
        <f t="shared" si="122"/>
        <v>18.131380381713271</v>
      </c>
      <c r="E3812" s="6">
        <v>-3.5370815609395913E-3</v>
      </c>
      <c r="F3812" s="6"/>
      <c r="G3812" s="6">
        <v>3805</v>
      </c>
      <c r="H3812" s="6">
        <f t="shared" ca="1" si="123"/>
        <v>-4.0077427908312641E-3</v>
      </c>
    </row>
    <row r="3813" spans="2:8" x14ac:dyDescent="0.3">
      <c r="B3813" s="4">
        <v>38139</v>
      </c>
      <c r="C3813" s="7">
        <v>22.53</v>
      </c>
      <c r="D3813" s="6">
        <f t="shared" si="122"/>
        <v>-0.99190229560754339</v>
      </c>
      <c r="E3813" s="6">
        <v>-3.5382574082263732E-3</v>
      </c>
      <c r="F3813" s="6"/>
      <c r="G3813" s="6">
        <v>3806</v>
      </c>
      <c r="H3813" s="6">
        <f t="shared" ca="1" si="123"/>
        <v>-4.6956574640767881E-3</v>
      </c>
    </row>
    <row r="3814" spans="2:8" x14ac:dyDescent="0.3">
      <c r="B3814" s="4">
        <v>45397</v>
      </c>
      <c r="C3814" s="5">
        <v>2782.27</v>
      </c>
      <c r="D3814" s="6">
        <f t="shared" si="122"/>
        <v>9.1873604042327255</v>
      </c>
      <c r="E3814" s="6">
        <v>-3.5384918432033053E-3</v>
      </c>
      <c r="F3814" s="6"/>
      <c r="G3814" s="6">
        <v>3807</v>
      </c>
      <c r="H3814" s="6">
        <f t="shared" ca="1" si="123"/>
        <v>-1.1942872906974929E-2</v>
      </c>
    </row>
    <row r="3815" spans="2:8" x14ac:dyDescent="0.3">
      <c r="B3815" s="4">
        <v>40809</v>
      </c>
      <c r="C3815" s="7">
        <v>273.11</v>
      </c>
      <c r="D3815" s="6">
        <f t="shared" si="122"/>
        <v>7.838511326860842</v>
      </c>
      <c r="E3815" s="6">
        <v>-3.5391126678341015E-3</v>
      </c>
      <c r="F3815" s="6"/>
      <c r="G3815" s="6">
        <v>3808</v>
      </c>
      <c r="H3815" s="6">
        <f t="shared" ca="1" si="123"/>
        <v>3.618467134048825E-2</v>
      </c>
    </row>
    <row r="3816" spans="2:8" x14ac:dyDescent="0.3">
      <c r="B3816" s="4">
        <v>38462</v>
      </c>
      <c r="C3816" s="7">
        <v>30.9</v>
      </c>
      <c r="D3816" s="6">
        <f t="shared" si="122"/>
        <v>-0.9886415432797635</v>
      </c>
      <c r="E3816" s="6">
        <v>-3.5472428248952913E-3</v>
      </c>
      <c r="F3816" s="6"/>
      <c r="G3816" s="6">
        <v>3809</v>
      </c>
      <c r="H3816" s="6">
        <f t="shared" ca="1" si="123"/>
        <v>3.4360314014754208E-2</v>
      </c>
    </row>
    <row r="3817" spans="2:8" x14ac:dyDescent="0.3">
      <c r="B3817" s="4">
        <v>44967</v>
      </c>
      <c r="C3817" s="5">
        <v>2720.44</v>
      </c>
      <c r="D3817" s="6">
        <f t="shared" si="122"/>
        <v>8.7106550062466539</v>
      </c>
      <c r="E3817" s="6">
        <v>-3.552931351505717E-3</v>
      </c>
      <c r="F3817" s="6"/>
      <c r="G3817" s="6">
        <v>3810</v>
      </c>
      <c r="H3817" s="6">
        <f t="shared" ca="1" si="123"/>
        <v>-1.3830134043836928E-3</v>
      </c>
    </row>
    <row r="3818" spans="2:8" x14ac:dyDescent="0.3">
      <c r="B3818" s="4">
        <v>40980</v>
      </c>
      <c r="C3818" s="7">
        <v>280.14999999999998</v>
      </c>
      <c r="D3818" s="6">
        <f t="shared" si="122"/>
        <v>1.943061245929194</v>
      </c>
      <c r="E3818" s="6">
        <v>-3.556820202738752E-3</v>
      </c>
      <c r="F3818" s="6"/>
      <c r="G3818" s="6">
        <v>3811</v>
      </c>
      <c r="H3818" s="6">
        <f t="shared" ca="1" si="123"/>
        <v>6.4025300542569778E-5</v>
      </c>
    </row>
    <row r="3819" spans="2:8" x14ac:dyDescent="0.3">
      <c r="B3819" s="4">
        <v>39504</v>
      </c>
      <c r="C3819" s="7">
        <v>95.19</v>
      </c>
      <c r="D3819" s="6">
        <f t="shared" si="122"/>
        <v>-0.96599907844965227</v>
      </c>
      <c r="E3819" s="6">
        <v>-3.5590913849053011E-3</v>
      </c>
      <c r="F3819" s="6"/>
      <c r="G3819" s="6">
        <v>3812</v>
      </c>
      <c r="H3819" s="6">
        <f t="shared" ca="1" si="123"/>
        <v>-4.4772632035562358E-2</v>
      </c>
    </row>
    <row r="3820" spans="2:8" x14ac:dyDescent="0.3">
      <c r="B3820" s="4">
        <v>44351</v>
      </c>
      <c r="C3820" s="5">
        <v>2799.63</v>
      </c>
      <c r="D3820" s="6">
        <f t="shared" si="122"/>
        <v>7.0409857253640462</v>
      </c>
      <c r="E3820" s="6">
        <v>-3.5591875086755194E-3</v>
      </c>
      <c r="F3820" s="6"/>
      <c r="G3820" s="6">
        <v>3813</v>
      </c>
      <c r="H3820" s="6">
        <f t="shared" ca="1" si="123"/>
        <v>1.4857438429884533E-2</v>
      </c>
    </row>
    <row r="3821" spans="2:8" x14ac:dyDescent="0.3">
      <c r="B3821" s="4">
        <v>41207</v>
      </c>
      <c r="C3821" s="7">
        <v>348.17</v>
      </c>
      <c r="D3821" s="6">
        <f t="shared" si="122"/>
        <v>-0.56085717168659499</v>
      </c>
      <c r="E3821" s="6">
        <v>-3.5773567626352239E-3</v>
      </c>
      <c r="F3821" s="6"/>
      <c r="G3821" s="6">
        <v>3814</v>
      </c>
      <c r="H3821" s="6">
        <f t="shared" ca="1" si="123"/>
        <v>-2.1656711790202536E-3</v>
      </c>
    </row>
    <row r="3822" spans="2:8" x14ac:dyDescent="0.3">
      <c r="B3822" s="4">
        <v>42291</v>
      </c>
      <c r="C3822" s="7">
        <v>792.84</v>
      </c>
      <c r="D3822" s="6">
        <f t="shared" si="122"/>
        <v>-0.73941166803615443</v>
      </c>
      <c r="E3822" s="6">
        <v>-3.5817969309656053E-3</v>
      </c>
      <c r="F3822" s="6"/>
      <c r="G3822" s="6">
        <v>3815</v>
      </c>
      <c r="H3822" s="6">
        <f t="shared" ca="1" si="123"/>
        <v>4.2191101016507367E-2</v>
      </c>
    </row>
    <row r="3823" spans="2:8" x14ac:dyDescent="0.3">
      <c r="B3823" s="4">
        <v>44504</v>
      </c>
      <c r="C3823" s="5">
        <v>3042.5</v>
      </c>
      <c r="D3823" s="6">
        <f t="shared" si="122"/>
        <v>-2.8774452219214423E-2</v>
      </c>
      <c r="E3823" s="6">
        <v>-3.5958971403120435E-3</v>
      </c>
      <c r="F3823" s="6"/>
      <c r="G3823" s="6">
        <v>3816</v>
      </c>
      <c r="H3823" s="6">
        <f t="shared" ca="1" si="123"/>
        <v>1.4684439212814763E-2</v>
      </c>
    </row>
    <row r="3824" spans="2:8" x14ac:dyDescent="0.3">
      <c r="B3824" s="4">
        <v>44608</v>
      </c>
      <c r="C3824" s="5">
        <v>3132.64</v>
      </c>
      <c r="D3824" s="6">
        <f t="shared" si="122"/>
        <v>0.22077861346011457</v>
      </c>
      <c r="E3824" s="6">
        <v>-3.6005547144366224E-3</v>
      </c>
      <c r="F3824" s="6"/>
      <c r="G3824" s="6">
        <v>3817</v>
      </c>
      <c r="H3824" s="6">
        <f t="shared" ca="1" si="123"/>
        <v>-3.0074396434251846E-2</v>
      </c>
    </row>
    <row r="3825" spans="2:8" x14ac:dyDescent="0.3">
      <c r="B3825" s="4">
        <v>45889</v>
      </c>
      <c r="C3825" s="5">
        <v>2566.1</v>
      </c>
      <c r="D3825" s="6">
        <f t="shared" si="122"/>
        <v>11.558606176283462</v>
      </c>
      <c r="E3825" s="6">
        <v>-3.6033517383843158E-3</v>
      </c>
      <c r="F3825" s="6"/>
      <c r="G3825" s="6">
        <v>3818</v>
      </c>
      <c r="H3825" s="6">
        <f t="shared" ca="1" si="123"/>
        <v>1.8359681161927835E-2</v>
      </c>
    </row>
    <row r="3826" spans="2:8" x14ac:dyDescent="0.3">
      <c r="B3826" s="4">
        <v>40366</v>
      </c>
      <c r="C3826" s="7">
        <v>204.33</v>
      </c>
      <c r="D3826" s="6">
        <f t="shared" si="122"/>
        <v>-0.46956205705978549</v>
      </c>
      <c r="E3826" s="6">
        <v>-3.6085239186618261E-3</v>
      </c>
      <c r="F3826" s="6"/>
      <c r="G3826" s="6">
        <v>3819</v>
      </c>
      <c r="H3826" s="6">
        <f t="shared" ca="1" si="123"/>
        <v>-5.2401620629206631E-3</v>
      </c>
    </row>
    <row r="3827" spans="2:8" x14ac:dyDescent="0.3">
      <c r="B3827" s="4">
        <v>41254</v>
      </c>
      <c r="C3827" s="7">
        <v>385.21</v>
      </c>
      <c r="D3827" s="6">
        <f t="shared" si="122"/>
        <v>0.15741241511928367</v>
      </c>
      <c r="E3827" s="6">
        <v>-3.6212203512584621E-3</v>
      </c>
      <c r="F3827" s="6"/>
      <c r="G3827" s="6">
        <v>3820</v>
      </c>
      <c r="H3827" s="6">
        <f t="shared" ca="1" si="123"/>
        <v>4.371739110888599E-3</v>
      </c>
    </row>
    <row r="3828" spans="2:8" x14ac:dyDescent="0.3">
      <c r="B3828" s="4">
        <v>41045</v>
      </c>
      <c r="C3828" s="7">
        <v>332.82</v>
      </c>
      <c r="D3828" s="6">
        <f t="shared" si="122"/>
        <v>-0.8539942969949551</v>
      </c>
      <c r="E3828" s="6">
        <v>-3.6224291231325917E-3</v>
      </c>
      <c r="F3828" s="6"/>
      <c r="G3828" s="6">
        <v>3821</v>
      </c>
      <c r="H3828" s="6">
        <f t="shared" ca="1" si="123"/>
        <v>1.6277143103620415E-2</v>
      </c>
    </row>
    <row r="3829" spans="2:8" x14ac:dyDescent="0.3">
      <c r="B3829" s="4">
        <v>46087</v>
      </c>
      <c r="C3829" s="5">
        <v>2279.5</v>
      </c>
      <c r="D3829" s="6">
        <f t="shared" si="122"/>
        <v>1.2653416149068324</v>
      </c>
      <c r="E3829" s="6">
        <v>-3.627939505201583E-3</v>
      </c>
      <c r="F3829" s="6"/>
      <c r="G3829" s="6">
        <v>3822</v>
      </c>
      <c r="H3829" s="6">
        <f t="shared" ca="1" si="123"/>
        <v>-1.3765701569016258E-2</v>
      </c>
    </row>
    <row r="3830" spans="2:8" x14ac:dyDescent="0.3">
      <c r="B3830" s="4">
        <v>42832</v>
      </c>
      <c r="C3830" s="5">
        <v>1006.25</v>
      </c>
      <c r="D3830" s="6">
        <f t="shared" si="122"/>
        <v>-6.5951916829109766E-2</v>
      </c>
      <c r="E3830" s="6">
        <v>-3.6339512040557266E-3</v>
      </c>
      <c r="F3830" s="6"/>
      <c r="G3830" s="6">
        <v>3823</v>
      </c>
      <c r="H3830" s="6">
        <f t="shared" ca="1" si="123"/>
        <v>-1.7661902469115122E-2</v>
      </c>
    </row>
    <row r="3831" spans="2:8" x14ac:dyDescent="0.3">
      <c r="B3831" s="4">
        <v>42976</v>
      </c>
      <c r="C3831" s="5">
        <v>1077.3</v>
      </c>
      <c r="D3831" s="6">
        <f t="shared" si="122"/>
        <v>-0.63954589407540996</v>
      </c>
      <c r="E3831" s="6">
        <v>-3.6347493132821542E-3</v>
      </c>
      <c r="F3831" s="6"/>
      <c r="G3831" s="6">
        <v>3824</v>
      </c>
      <c r="H3831" s="6">
        <f t="shared" ca="1" si="123"/>
        <v>-7.0859140045133177E-4</v>
      </c>
    </row>
    <row r="3832" spans="2:8" x14ac:dyDescent="0.3">
      <c r="B3832" s="4">
        <v>45224</v>
      </c>
      <c r="C3832" s="5">
        <v>2988.73</v>
      </c>
      <c r="D3832" s="6">
        <f t="shared" si="122"/>
        <v>3.2665443526513453E-2</v>
      </c>
      <c r="E3832" s="6">
        <v>-3.6437462912462869E-3</v>
      </c>
      <c r="F3832" s="6"/>
      <c r="G3832" s="6">
        <v>3825</v>
      </c>
      <c r="H3832" s="6">
        <f t="shared" ca="1" si="123"/>
        <v>-3.1038439045590505E-2</v>
      </c>
    </row>
    <row r="3833" spans="2:8" x14ac:dyDescent="0.3">
      <c r="B3833" s="4">
        <v>44690</v>
      </c>
      <c r="C3833" s="5">
        <v>2894.19</v>
      </c>
      <c r="D3833" s="6">
        <f t="shared" si="122"/>
        <v>41.474170824772528</v>
      </c>
      <c r="E3833" s="6">
        <v>-3.6491450328594872E-3</v>
      </c>
      <c r="F3833" s="6"/>
      <c r="G3833" s="6">
        <v>3826</v>
      </c>
      <c r="H3833" s="6">
        <f t="shared" ca="1" si="123"/>
        <v>1.1549455085623704E-2</v>
      </c>
    </row>
    <row r="3834" spans="2:8" x14ac:dyDescent="0.3">
      <c r="B3834" s="4">
        <v>39219</v>
      </c>
      <c r="C3834" s="7">
        <v>68.14</v>
      </c>
      <c r="D3834" s="6">
        <f t="shared" si="122"/>
        <v>3.1701346389228884</v>
      </c>
      <c r="E3834" s="6">
        <v>-3.6555051908173709E-3</v>
      </c>
      <c r="F3834" s="6"/>
      <c r="G3834" s="6">
        <v>3827</v>
      </c>
      <c r="H3834" s="6">
        <f t="shared" ca="1" si="123"/>
        <v>-1.9500901321851196E-3</v>
      </c>
    </row>
    <row r="3835" spans="2:8" x14ac:dyDescent="0.3">
      <c r="B3835" s="4">
        <v>37712</v>
      </c>
      <c r="C3835" s="7">
        <v>16.34</v>
      </c>
      <c r="D3835" s="6">
        <f t="shared" si="122"/>
        <v>-0.97978898413051807</v>
      </c>
      <c r="E3835" s="6">
        <v>-3.6585365853657758E-3</v>
      </c>
      <c r="F3835" s="6"/>
      <c r="G3835" s="6">
        <v>3828</v>
      </c>
      <c r="H3835" s="6">
        <f t="shared" ca="1" si="123"/>
        <v>2.5628669562564359E-2</v>
      </c>
    </row>
    <row r="3836" spans="2:8" x14ac:dyDescent="0.3">
      <c r="B3836" s="4">
        <v>42296</v>
      </c>
      <c r="C3836" s="7">
        <v>808.47</v>
      </c>
      <c r="D3836" s="6">
        <f t="shared" si="122"/>
        <v>-0.26388964763725753</v>
      </c>
      <c r="E3836" s="6">
        <v>-3.6847164370394214E-3</v>
      </c>
      <c r="F3836" s="6"/>
      <c r="G3836" s="6">
        <v>3829</v>
      </c>
      <c r="H3836" s="6">
        <f t="shared" ca="1" si="123"/>
        <v>-7.289405885870676E-3</v>
      </c>
    </row>
    <row r="3837" spans="2:8" x14ac:dyDescent="0.3">
      <c r="B3837" s="4">
        <v>43031</v>
      </c>
      <c r="C3837" s="5">
        <v>1098.3</v>
      </c>
      <c r="D3837" s="6">
        <f t="shared" si="122"/>
        <v>66.880098887515445</v>
      </c>
      <c r="E3837" s="6">
        <v>-3.6920453205366043E-3</v>
      </c>
      <c r="F3837" s="6"/>
      <c r="G3837" s="6">
        <v>3830</v>
      </c>
      <c r="H3837" s="6">
        <f t="shared" ca="1" si="123"/>
        <v>1.5431303937191266E-2</v>
      </c>
    </row>
    <row r="3838" spans="2:8" x14ac:dyDescent="0.3">
      <c r="B3838" s="4">
        <v>37617</v>
      </c>
      <c r="C3838" s="7">
        <v>16.18</v>
      </c>
      <c r="D3838" s="6">
        <f t="shared" si="122"/>
        <v>-0.87754484220086271</v>
      </c>
      <c r="E3838" s="6">
        <v>-3.6945812807880991E-3</v>
      </c>
      <c r="F3838" s="6"/>
      <c r="G3838" s="6">
        <v>3831</v>
      </c>
      <c r="H3838" s="6">
        <f t="shared" ca="1" si="123"/>
        <v>1.3890604041067452E-2</v>
      </c>
    </row>
    <row r="3839" spans="2:8" x14ac:dyDescent="0.3">
      <c r="B3839" s="4">
        <v>40108</v>
      </c>
      <c r="C3839" s="7">
        <v>132.13</v>
      </c>
      <c r="D3839" s="6">
        <f t="shared" si="122"/>
        <v>-0.95565259126745716</v>
      </c>
      <c r="E3839" s="6">
        <v>-3.6947670034686254E-3</v>
      </c>
      <c r="F3839" s="6"/>
      <c r="G3839" s="6">
        <v>3832</v>
      </c>
      <c r="H3839" s="6">
        <f t="shared" ca="1" si="123"/>
        <v>6.3545846342551518E-3</v>
      </c>
    </row>
    <row r="3840" spans="2:8" x14ac:dyDescent="0.3">
      <c r="B3840" s="4">
        <v>44882</v>
      </c>
      <c r="C3840" s="5">
        <v>2979.43</v>
      </c>
      <c r="D3840" s="6">
        <f t="shared" si="122"/>
        <v>0.90731126489171698</v>
      </c>
      <c r="E3840" s="6">
        <v>-3.7150481184000639E-3</v>
      </c>
      <c r="F3840" s="6"/>
      <c r="G3840" s="6">
        <v>3833</v>
      </c>
      <c r="H3840" s="6">
        <f t="shared" ca="1" si="123"/>
        <v>-3.0385570945388872E-2</v>
      </c>
    </row>
    <row r="3841" spans="2:8" x14ac:dyDescent="0.3">
      <c r="B3841" s="4">
        <v>43992</v>
      </c>
      <c r="C3841" s="5">
        <v>1562.11</v>
      </c>
      <c r="D3841" s="6">
        <f t="shared" si="122"/>
        <v>-0.50364140139936575</v>
      </c>
      <c r="E3841" s="6">
        <v>-3.7182545250456999E-3</v>
      </c>
      <c r="F3841" s="6"/>
      <c r="G3841" s="6">
        <v>3834</v>
      </c>
      <c r="H3841" s="6">
        <f t="shared" ca="1" si="123"/>
        <v>1.6890077185536242E-2</v>
      </c>
    </row>
    <row r="3842" spans="2:8" x14ac:dyDescent="0.3">
      <c r="B3842" s="4">
        <v>44553</v>
      </c>
      <c r="C3842" s="5">
        <v>3147.14</v>
      </c>
      <c r="D3842" s="6">
        <f t="shared" si="122"/>
        <v>9.08063705526575E-2</v>
      </c>
      <c r="E3842" s="6">
        <v>-3.7196610201684771E-3</v>
      </c>
      <c r="F3842" s="6"/>
      <c r="G3842" s="6">
        <v>3835</v>
      </c>
      <c r="H3842" s="6">
        <f t="shared" ca="1" si="123"/>
        <v>-6.1097531533522032E-6</v>
      </c>
    </row>
    <row r="3843" spans="2:8" x14ac:dyDescent="0.3">
      <c r="B3843" s="4">
        <v>44389</v>
      </c>
      <c r="C3843" s="5">
        <v>2885.15</v>
      </c>
      <c r="D3843" s="6">
        <f t="shared" si="122"/>
        <v>2.3239438242376065</v>
      </c>
      <c r="E3843" s="6">
        <v>-3.7224656673330316E-3</v>
      </c>
      <c r="F3843" s="6"/>
      <c r="G3843" s="6">
        <v>3836</v>
      </c>
      <c r="H3843" s="6">
        <f t="shared" ca="1" si="123"/>
        <v>2.3190553456528571E-2</v>
      </c>
    </row>
    <row r="3844" spans="2:8" x14ac:dyDescent="0.3">
      <c r="B3844" s="4">
        <v>42710</v>
      </c>
      <c r="C3844" s="7">
        <v>867.99</v>
      </c>
      <c r="D3844" s="6">
        <f t="shared" si="122"/>
        <v>7.5541539371242727</v>
      </c>
      <c r="E3844" s="6">
        <v>-3.730315412515495E-3</v>
      </c>
      <c r="F3844" s="6"/>
      <c r="G3844" s="6">
        <v>3837</v>
      </c>
      <c r="H3844" s="6">
        <f t="shared" ca="1" si="123"/>
        <v>-3.1078750764268028E-3</v>
      </c>
    </row>
    <row r="3845" spans="2:8" x14ac:dyDescent="0.3">
      <c r="B3845" s="4">
        <v>39700</v>
      </c>
      <c r="C3845" s="7">
        <v>101.47</v>
      </c>
      <c r="D3845" s="6">
        <f t="shared" si="122"/>
        <v>-0.56799216621253401</v>
      </c>
      <c r="E3845" s="6">
        <v>-3.730976926853171E-3</v>
      </c>
      <c r="F3845" s="6"/>
      <c r="G3845" s="6">
        <v>3838</v>
      </c>
      <c r="H3845" s="6">
        <f t="shared" ca="1" si="123"/>
        <v>-1.7526016421995954E-2</v>
      </c>
    </row>
    <row r="3846" spans="2:8" x14ac:dyDescent="0.3">
      <c r="B3846" s="4">
        <v>40897</v>
      </c>
      <c r="C3846" s="7">
        <v>234.88</v>
      </c>
      <c r="D3846" s="6">
        <f t="shared" si="122"/>
        <v>-0.90761230839426821</v>
      </c>
      <c r="E3846" s="6">
        <v>-3.7326094333220033E-3</v>
      </c>
      <c r="F3846" s="6"/>
      <c r="G3846" s="6">
        <v>3839</v>
      </c>
      <c r="H3846" s="6">
        <f t="shared" ca="1" si="123"/>
        <v>1.7059407888061963E-2</v>
      </c>
    </row>
    <row r="3847" spans="2:8" x14ac:dyDescent="0.3">
      <c r="B3847" s="4">
        <v>45912</v>
      </c>
      <c r="C3847" s="5">
        <v>2542.33</v>
      </c>
      <c r="D3847" s="6">
        <f t="shared" si="122"/>
        <v>0.68526939598027259</v>
      </c>
      <c r="E3847" s="6">
        <v>-3.757954794821211E-3</v>
      </c>
      <c r="F3847" s="6"/>
      <c r="G3847" s="6">
        <v>3840</v>
      </c>
      <c r="H3847" s="6">
        <f t="shared" ca="1" si="123"/>
        <v>-1.5452959388601117E-2</v>
      </c>
    </row>
    <row r="3848" spans="2:8" x14ac:dyDescent="0.3">
      <c r="B3848" s="4">
        <v>43698</v>
      </c>
      <c r="C3848" s="5">
        <v>1508.56</v>
      </c>
      <c r="D3848" s="6">
        <f t="shared" ref="D3848:D3911" si="124">((C3848-C3849)/C3849)</f>
        <v>-0.48448563383362042</v>
      </c>
      <c r="E3848" s="6">
        <v>-3.7642148640260231E-3</v>
      </c>
      <c r="F3848" s="6"/>
      <c r="G3848" s="6">
        <v>3841</v>
      </c>
      <c r="H3848" s="6">
        <f t="shared" ca="1" si="123"/>
        <v>2.4992475911862981E-2</v>
      </c>
    </row>
    <row r="3849" spans="2:8" x14ac:dyDescent="0.3">
      <c r="B3849" s="4">
        <v>44930</v>
      </c>
      <c r="C3849" s="5">
        <v>2926.32</v>
      </c>
      <c r="D3849" s="6">
        <f t="shared" si="124"/>
        <v>11.719259355848221</v>
      </c>
      <c r="E3849" s="6">
        <v>-3.7652601978633835E-3</v>
      </c>
      <c r="F3849" s="6"/>
      <c r="G3849" s="6">
        <v>3842</v>
      </c>
      <c r="H3849" s="6">
        <f t="shared" ref="H3849:H3912" ca="1" si="125">_xlfn.NORM.INV(RAND(),N$10,N$11)</f>
        <v>1.6357011732121989E-2</v>
      </c>
    </row>
    <row r="3850" spans="2:8" x14ac:dyDescent="0.3">
      <c r="B3850" s="4">
        <v>40407</v>
      </c>
      <c r="C3850" s="7">
        <v>230.07</v>
      </c>
      <c r="D3850" s="6">
        <f t="shared" si="124"/>
        <v>1.1762202043132803</v>
      </c>
      <c r="E3850" s="6">
        <v>-3.7672122629254551E-3</v>
      </c>
      <c r="F3850" s="6"/>
      <c r="G3850" s="6">
        <v>3843</v>
      </c>
      <c r="H3850" s="6">
        <f t="shared" ca="1" si="125"/>
        <v>2.489002892403153E-2</v>
      </c>
    </row>
    <row r="3851" spans="2:8" x14ac:dyDescent="0.3">
      <c r="B3851" s="4">
        <v>39608</v>
      </c>
      <c r="C3851" s="7">
        <v>105.72</v>
      </c>
      <c r="D3851" s="6">
        <f t="shared" si="124"/>
        <v>-0.95780297678205795</v>
      </c>
      <c r="E3851" s="6">
        <v>-3.7693177534866723E-3</v>
      </c>
      <c r="F3851" s="6"/>
      <c r="G3851" s="6">
        <v>3844</v>
      </c>
      <c r="H3851" s="6">
        <f t="shared" ca="1" si="125"/>
        <v>1.4250190153249815E-2</v>
      </c>
    </row>
    <row r="3852" spans="2:8" x14ac:dyDescent="0.3">
      <c r="B3852" s="4">
        <v>45958</v>
      </c>
      <c r="C3852" s="5">
        <v>2505.39</v>
      </c>
      <c r="D3852" s="6">
        <f t="shared" si="124"/>
        <v>-0.20500909099563061</v>
      </c>
      <c r="E3852" s="6">
        <v>-3.7735398905714133E-3</v>
      </c>
      <c r="F3852" s="6"/>
      <c r="G3852" s="6">
        <v>3845</v>
      </c>
      <c r="H3852" s="6">
        <f t="shared" ca="1" si="125"/>
        <v>2.321712495282522E-2</v>
      </c>
    </row>
    <row r="3853" spans="2:8" x14ac:dyDescent="0.3">
      <c r="B3853" s="4">
        <v>44557</v>
      </c>
      <c r="C3853" s="5">
        <v>3151.47</v>
      </c>
      <c r="D3853" s="6">
        <f t="shared" si="124"/>
        <v>1.293130838152033E-3</v>
      </c>
      <c r="E3853" s="6">
        <v>-3.774407996434245E-3</v>
      </c>
      <c r="F3853" s="6"/>
      <c r="G3853" s="6">
        <v>3846</v>
      </c>
      <c r="H3853" s="6">
        <f t="shared" ca="1" si="125"/>
        <v>9.4546349075791628E-3</v>
      </c>
    </row>
    <row r="3854" spans="2:8" x14ac:dyDescent="0.3">
      <c r="B3854" s="4">
        <v>45174</v>
      </c>
      <c r="C3854" s="5">
        <v>3147.4</v>
      </c>
      <c r="D3854" s="6">
        <f t="shared" si="124"/>
        <v>0.42066587224208285</v>
      </c>
      <c r="E3854" s="6">
        <v>-3.7855768256862261E-3</v>
      </c>
      <c r="F3854" s="6"/>
      <c r="G3854" s="6">
        <v>3847</v>
      </c>
      <c r="H3854" s="6">
        <f t="shared" ca="1" si="125"/>
        <v>-1.3098121036579301E-2</v>
      </c>
    </row>
    <row r="3855" spans="2:8" x14ac:dyDescent="0.3">
      <c r="B3855" s="4">
        <v>45818</v>
      </c>
      <c r="C3855" s="5">
        <v>2215.44</v>
      </c>
      <c r="D3855" s="6">
        <f t="shared" si="124"/>
        <v>4.2109608373515233</v>
      </c>
      <c r="E3855" s="6">
        <v>-3.7951688040721867E-3</v>
      </c>
      <c r="F3855" s="6"/>
      <c r="G3855" s="6">
        <v>3848</v>
      </c>
      <c r="H3855" s="6">
        <f t="shared" ca="1" si="125"/>
        <v>2.2799697481641464E-2</v>
      </c>
    </row>
    <row r="3856" spans="2:8" x14ac:dyDescent="0.3">
      <c r="B3856" s="4">
        <v>41673</v>
      </c>
      <c r="C3856" s="7">
        <v>425.15</v>
      </c>
      <c r="D3856" s="6">
        <f t="shared" si="124"/>
        <v>-0.85013042865200228</v>
      </c>
      <c r="E3856" s="6">
        <v>-3.7959556669869125E-3</v>
      </c>
      <c r="F3856" s="6"/>
      <c r="G3856" s="6">
        <v>3849</v>
      </c>
      <c r="H3856" s="6">
        <f t="shared" ca="1" si="125"/>
        <v>5.0083343368560476E-2</v>
      </c>
    </row>
    <row r="3857" spans="2:8" x14ac:dyDescent="0.3">
      <c r="B3857" s="4">
        <v>45441</v>
      </c>
      <c r="C3857" s="5">
        <v>2836.8</v>
      </c>
      <c r="D3857" s="6">
        <f t="shared" si="124"/>
        <v>1.2491080631094904</v>
      </c>
      <c r="E3857" s="6">
        <v>-3.7961659075505232E-3</v>
      </c>
      <c r="F3857" s="6"/>
      <c r="G3857" s="6">
        <v>3850</v>
      </c>
      <c r="H3857" s="6">
        <f t="shared" ca="1" si="125"/>
        <v>1.0833826002468143E-2</v>
      </c>
    </row>
    <row r="3858" spans="2:8" x14ac:dyDescent="0.3">
      <c r="B3858" s="4">
        <v>43451</v>
      </c>
      <c r="C3858" s="5">
        <v>1261.3</v>
      </c>
      <c r="D3858" s="6">
        <f t="shared" si="124"/>
        <v>-0.23953020053298604</v>
      </c>
      <c r="E3858" s="6">
        <v>-3.8069061384386448E-3</v>
      </c>
      <c r="F3858" s="6"/>
      <c r="G3858" s="6">
        <v>3851</v>
      </c>
      <c r="H3858" s="6">
        <f t="shared" ca="1" si="125"/>
        <v>2.6959500609961978E-2</v>
      </c>
    </row>
    <row r="3859" spans="2:8" x14ac:dyDescent="0.3">
      <c r="B3859" s="4">
        <v>43812</v>
      </c>
      <c r="C3859" s="5">
        <v>1658.58</v>
      </c>
      <c r="D3859" s="6">
        <f t="shared" si="124"/>
        <v>7.1727604217995458</v>
      </c>
      <c r="E3859" s="6">
        <v>-3.8259407189405797E-3</v>
      </c>
      <c r="F3859" s="6"/>
      <c r="G3859" s="6">
        <v>3852</v>
      </c>
      <c r="H3859" s="6">
        <f t="shared" ca="1" si="125"/>
        <v>7.3394196083993724E-3</v>
      </c>
    </row>
    <row r="3860" spans="2:8" x14ac:dyDescent="0.3">
      <c r="B3860" s="4">
        <v>40361</v>
      </c>
      <c r="C3860" s="7">
        <v>202.94</v>
      </c>
      <c r="D3860" s="6">
        <f t="shared" si="124"/>
        <v>2.7161691997802597</v>
      </c>
      <c r="E3860" s="6">
        <v>-3.828784606322409E-3</v>
      </c>
      <c r="F3860" s="6"/>
      <c r="G3860" s="6">
        <v>3853</v>
      </c>
      <c r="H3860" s="6">
        <f t="shared" ca="1" si="125"/>
        <v>9.5154502568798663E-3</v>
      </c>
    </row>
    <row r="3861" spans="2:8" x14ac:dyDescent="0.3">
      <c r="B3861" s="4">
        <v>38761</v>
      </c>
      <c r="C3861" s="7">
        <v>54.61</v>
      </c>
      <c r="D3861" s="6">
        <f t="shared" si="124"/>
        <v>-0.88041954979416659</v>
      </c>
      <c r="E3861" s="6">
        <v>-3.8307187157971697E-3</v>
      </c>
      <c r="F3861" s="6"/>
      <c r="G3861" s="6">
        <v>3854</v>
      </c>
      <c r="H3861" s="6">
        <f t="shared" ca="1" si="125"/>
        <v>3.3236210387932077E-2</v>
      </c>
    </row>
    <row r="3862" spans="2:8" x14ac:dyDescent="0.3">
      <c r="B3862" s="4">
        <v>41605</v>
      </c>
      <c r="C3862" s="7">
        <v>456.68</v>
      </c>
      <c r="D3862" s="6">
        <f t="shared" si="124"/>
        <v>5.7867439441224544</v>
      </c>
      <c r="E3862" s="6">
        <v>-3.8391065352063321E-3</v>
      </c>
      <c r="F3862" s="6"/>
      <c r="G3862" s="6">
        <v>3855</v>
      </c>
      <c r="H3862" s="6">
        <f t="shared" ca="1" si="125"/>
        <v>8.9011535470288651E-3</v>
      </c>
    </row>
    <row r="3863" spans="2:8" x14ac:dyDescent="0.3">
      <c r="B3863" s="4">
        <v>39870</v>
      </c>
      <c r="C3863" s="7">
        <v>67.290000000000006</v>
      </c>
      <c r="D3863" s="6">
        <f t="shared" si="124"/>
        <v>-0.96144524468432546</v>
      </c>
      <c r="E3863" s="6">
        <v>-3.8490007401923154E-3</v>
      </c>
      <c r="F3863" s="6"/>
      <c r="G3863" s="6">
        <v>3856</v>
      </c>
      <c r="H3863" s="6">
        <f t="shared" ca="1" si="125"/>
        <v>1.5037880236377274E-2</v>
      </c>
    </row>
    <row r="3864" spans="2:8" x14ac:dyDescent="0.3">
      <c r="B3864" s="4">
        <v>43846</v>
      </c>
      <c r="C3864" s="5">
        <v>1745.31</v>
      </c>
      <c r="D3864" s="6">
        <f t="shared" si="124"/>
        <v>1.0715108067368522</v>
      </c>
      <c r="E3864" s="6">
        <v>-3.852607787404541E-3</v>
      </c>
      <c r="F3864" s="6"/>
      <c r="G3864" s="6">
        <v>3857</v>
      </c>
      <c r="H3864" s="6">
        <f t="shared" ca="1" si="125"/>
        <v>1.1691433119632839E-2</v>
      </c>
    </row>
    <row r="3865" spans="2:8" x14ac:dyDescent="0.3">
      <c r="B3865" s="4">
        <v>42717</v>
      </c>
      <c r="C3865" s="7">
        <v>842.53</v>
      </c>
      <c r="D3865" s="6">
        <f t="shared" si="124"/>
        <v>-0.2175176922934042</v>
      </c>
      <c r="E3865" s="6">
        <v>-3.854384658130258E-3</v>
      </c>
      <c r="F3865" s="6"/>
      <c r="G3865" s="6">
        <v>3858</v>
      </c>
      <c r="H3865" s="6">
        <f t="shared" ca="1" si="125"/>
        <v>1.9724297918920851E-2</v>
      </c>
    </row>
    <row r="3866" spans="2:8" x14ac:dyDescent="0.3">
      <c r="B3866" s="4">
        <v>42957</v>
      </c>
      <c r="C3866" s="5">
        <v>1076.74</v>
      </c>
      <c r="D3866" s="6">
        <f t="shared" si="124"/>
        <v>17.960028173974294</v>
      </c>
      <c r="E3866" s="6">
        <v>-3.8578605064252089E-3</v>
      </c>
      <c r="F3866" s="6"/>
      <c r="G3866" s="6">
        <v>3859</v>
      </c>
      <c r="H3866" s="6">
        <f t="shared" ca="1" si="125"/>
        <v>1.8985186299738258E-3</v>
      </c>
    </row>
    <row r="3867" spans="2:8" x14ac:dyDescent="0.3">
      <c r="B3867" s="4">
        <v>39023</v>
      </c>
      <c r="C3867" s="7">
        <v>56.79</v>
      </c>
      <c r="D3867" s="6">
        <f t="shared" si="124"/>
        <v>0.69269746646795838</v>
      </c>
      <c r="E3867" s="6">
        <v>-3.858972110156093E-3</v>
      </c>
      <c r="F3867" s="6"/>
      <c r="G3867" s="6">
        <v>3860</v>
      </c>
      <c r="H3867" s="6">
        <f t="shared" ca="1" si="125"/>
        <v>1.8982337492759807E-2</v>
      </c>
    </row>
    <row r="3868" spans="2:8" x14ac:dyDescent="0.3">
      <c r="B3868" s="4">
        <v>38547</v>
      </c>
      <c r="C3868" s="7">
        <v>33.549999999999997</v>
      </c>
      <c r="D3868" s="6">
        <f t="shared" si="124"/>
        <v>-0.55165040759053863</v>
      </c>
      <c r="E3868" s="6">
        <v>-3.8598574821853493E-3</v>
      </c>
      <c r="F3868" s="6"/>
      <c r="G3868" s="6">
        <v>3861</v>
      </c>
      <c r="H3868" s="6">
        <f t="shared" ca="1" si="125"/>
        <v>-4.7058363328750393E-4</v>
      </c>
    </row>
    <row r="3869" spans="2:8" x14ac:dyDescent="0.3">
      <c r="B3869" s="4">
        <v>39931</v>
      </c>
      <c r="C3869" s="7">
        <v>74.83</v>
      </c>
      <c r="D3869" s="6">
        <f t="shared" si="124"/>
        <v>-0.77135087236838085</v>
      </c>
      <c r="E3869" s="6">
        <v>-3.8604898828541829E-3</v>
      </c>
      <c r="F3869" s="6"/>
      <c r="G3869" s="6">
        <v>3862</v>
      </c>
      <c r="H3869" s="6">
        <f t="shared" ca="1" si="125"/>
        <v>-7.2826843960155634E-3</v>
      </c>
    </row>
    <row r="3870" spans="2:8" x14ac:dyDescent="0.3">
      <c r="B3870" s="4">
        <v>41148</v>
      </c>
      <c r="C3870" s="7">
        <v>327.27</v>
      </c>
      <c r="D3870" s="6">
        <f t="shared" si="124"/>
        <v>-0.8558142198803409</v>
      </c>
      <c r="E3870" s="6">
        <v>-3.8655871431181547E-3</v>
      </c>
      <c r="F3870" s="6"/>
      <c r="G3870" s="6">
        <v>3863</v>
      </c>
      <c r="H3870" s="6">
        <f t="shared" ca="1" si="125"/>
        <v>1.9682382122083808E-3</v>
      </c>
    </row>
    <row r="3871" spans="2:8" x14ac:dyDescent="0.3">
      <c r="B3871" s="4">
        <v>45806</v>
      </c>
      <c r="C3871" s="5">
        <v>2269.7800000000002</v>
      </c>
      <c r="D3871" s="6">
        <f t="shared" si="124"/>
        <v>2.5181660363320733</v>
      </c>
      <c r="E3871" s="6">
        <v>-3.8664261670594293E-3</v>
      </c>
      <c r="F3871" s="6"/>
      <c r="G3871" s="6">
        <v>3864</v>
      </c>
      <c r="H3871" s="6">
        <f t="shared" ca="1" si="125"/>
        <v>8.0911530204378877E-3</v>
      </c>
    </row>
    <row r="3872" spans="2:8" x14ac:dyDescent="0.3">
      <c r="B3872" s="4">
        <v>42167</v>
      </c>
      <c r="C3872" s="7">
        <v>645.16</v>
      </c>
      <c r="D3872" s="6">
        <f t="shared" si="124"/>
        <v>-0.32506878406511214</v>
      </c>
      <c r="E3872" s="6">
        <v>-3.8754303889326218E-3</v>
      </c>
      <c r="F3872" s="6"/>
      <c r="G3872" s="6">
        <v>3865</v>
      </c>
      <c r="H3872" s="6">
        <f t="shared" ca="1" si="125"/>
        <v>6.5123108042721128E-3</v>
      </c>
    </row>
    <row r="3873" spans="2:8" x14ac:dyDescent="0.3">
      <c r="B3873" s="4">
        <v>42796</v>
      </c>
      <c r="C3873" s="7">
        <v>955.89</v>
      </c>
      <c r="D3873" s="6">
        <f t="shared" si="124"/>
        <v>30.025316455696206</v>
      </c>
      <c r="E3873" s="6">
        <v>-3.8765748585363087E-3</v>
      </c>
      <c r="F3873" s="6"/>
      <c r="G3873" s="6">
        <v>3866</v>
      </c>
      <c r="H3873" s="6">
        <f t="shared" ca="1" si="125"/>
        <v>1.8374289368649562E-3</v>
      </c>
    </row>
    <row r="3874" spans="2:8" x14ac:dyDescent="0.3">
      <c r="B3874" s="4">
        <v>38457</v>
      </c>
      <c r="C3874" s="7">
        <v>30.81</v>
      </c>
      <c r="D3874" s="6">
        <f t="shared" si="124"/>
        <v>-0.98942309342762491</v>
      </c>
      <c r="E3874" s="6">
        <v>-3.8797284190107014E-3</v>
      </c>
      <c r="F3874" s="6"/>
      <c r="G3874" s="6">
        <v>3867</v>
      </c>
      <c r="H3874" s="6">
        <f t="shared" ca="1" si="125"/>
        <v>-1.1509146673886229E-2</v>
      </c>
    </row>
    <row r="3875" spans="2:8" x14ac:dyDescent="0.3">
      <c r="B3875" s="4">
        <v>44385</v>
      </c>
      <c r="C3875" s="5">
        <v>2912.95</v>
      </c>
      <c r="D3875" s="6">
        <f t="shared" si="124"/>
        <v>-6.5121667854139878E-2</v>
      </c>
      <c r="E3875" s="6">
        <v>-3.8812707314572251E-3</v>
      </c>
      <c r="F3875" s="6"/>
      <c r="G3875" s="6">
        <v>3868</v>
      </c>
      <c r="H3875" s="6">
        <f t="shared" ca="1" si="125"/>
        <v>-1.7968722938918866E-2</v>
      </c>
    </row>
    <row r="3876" spans="2:8" x14ac:dyDescent="0.3">
      <c r="B3876" s="4">
        <v>45085</v>
      </c>
      <c r="C3876" s="5">
        <v>3115.86</v>
      </c>
      <c r="D3876" s="6">
        <f t="shared" si="124"/>
        <v>39.571093750000003</v>
      </c>
      <c r="E3876" s="6">
        <v>-3.8906276474330718E-3</v>
      </c>
      <c r="F3876" s="6"/>
      <c r="G3876" s="6">
        <v>3869</v>
      </c>
      <c r="H3876" s="6">
        <f t="shared" ca="1" si="125"/>
        <v>-6.609484202180561E-3</v>
      </c>
    </row>
    <row r="3877" spans="2:8" x14ac:dyDescent="0.3">
      <c r="B3877" s="4">
        <v>39773</v>
      </c>
      <c r="C3877" s="7">
        <v>76.8</v>
      </c>
      <c r="D3877" s="6">
        <f t="shared" si="124"/>
        <v>-0.96856337059610886</v>
      </c>
      <c r="E3877" s="6">
        <v>-3.8910505836575512E-3</v>
      </c>
      <c r="F3877" s="6"/>
      <c r="G3877" s="6">
        <v>3870</v>
      </c>
      <c r="H3877" s="6">
        <f t="shared" ca="1" si="125"/>
        <v>-4.8813032664110946E-3</v>
      </c>
    </row>
    <row r="3878" spans="2:8" x14ac:dyDescent="0.3">
      <c r="B3878" s="4">
        <v>45629</v>
      </c>
      <c r="C3878" s="5">
        <v>2443.0100000000002</v>
      </c>
      <c r="D3878" s="6">
        <f t="shared" si="124"/>
        <v>105.26402783819054</v>
      </c>
      <c r="E3878" s="6">
        <v>-3.8938904654727009E-3</v>
      </c>
      <c r="F3878" s="6"/>
      <c r="G3878" s="6">
        <v>3871</v>
      </c>
      <c r="H3878" s="6">
        <f t="shared" ca="1" si="125"/>
        <v>2.2628418909351002E-2</v>
      </c>
    </row>
    <row r="3879" spans="2:8" x14ac:dyDescent="0.3">
      <c r="B3879" s="4">
        <v>37903</v>
      </c>
      <c r="C3879" s="7">
        <v>22.99</v>
      </c>
      <c r="D3879" s="6">
        <f t="shared" si="124"/>
        <v>-0.18155927376290501</v>
      </c>
      <c r="E3879" s="6">
        <v>-3.8994800693240841E-3</v>
      </c>
      <c r="F3879" s="6"/>
      <c r="G3879" s="6">
        <v>3872</v>
      </c>
      <c r="H3879" s="6">
        <f t="shared" ca="1" si="125"/>
        <v>3.6762467867912658E-2</v>
      </c>
    </row>
    <row r="3880" spans="2:8" x14ac:dyDescent="0.3">
      <c r="B3880" s="4">
        <v>38408</v>
      </c>
      <c r="C3880" s="7">
        <v>28.09</v>
      </c>
      <c r="D3880" s="6">
        <f t="shared" si="124"/>
        <v>-0.89966782155230918</v>
      </c>
      <c r="E3880" s="6">
        <v>-3.9007092198581361E-3</v>
      </c>
      <c r="F3880" s="6"/>
      <c r="G3880" s="6">
        <v>3873</v>
      </c>
      <c r="H3880" s="6">
        <f t="shared" ca="1" si="125"/>
        <v>-1.7466376850136175E-2</v>
      </c>
    </row>
    <row r="3881" spans="2:8" x14ac:dyDescent="0.3">
      <c r="B3881" s="4">
        <v>40742</v>
      </c>
      <c r="C3881" s="7">
        <v>279.97000000000003</v>
      </c>
      <c r="D3881" s="6">
        <f t="shared" si="124"/>
        <v>-0.90229560143501275</v>
      </c>
      <c r="E3881" s="6">
        <v>-3.9136158252391431E-3</v>
      </c>
      <c r="F3881" s="6"/>
      <c r="G3881" s="6">
        <v>3874</v>
      </c>
      <c r="H3881" s="6">
        <f t="shared" ca="1" si="125"/>
        <v>-1.0181124909487979E-2</v>
      </c>
    </row>
    <row r="3882" spans="2:8" x14ac:dyDescent="0.3">
      <c r="B3882" s="4">
        <v>45498</v>
      </c>
      <c r="C3882" s="5">
        <v>2865.48</v>
      </c>
      <c r="D3882" s="6">
        <f t="shared" si="124"/>
        <v>18.76465719409574</v>
      </c>
      <c r="E3882" s="6">
        <v>-3.9141528257679746E-3</v>
      </c>
      <c r="F3882" s="6"/>
      <c r="G3882" s="6">
        <v>3875</v>
      </c>
      <c r="H3882" s="6">
        <f t="shared" ca="1" si="125"/>
        <v>-4.1620504554233636E-3</v>
      </c>
    </row>
    <row r="3883" spans="2:8" x14ac:dyDescent="0.3">
      <c r="B3883" s="4">
        <v>40154</v>
      </c>
      <c r="C3883" s="7">
        <v>144.97999999999999</v>
      </c>
      <c r="D3883" s="6">
        <f t="shared" si="124"/>
        <v>-0.81107636174094344</v>
      </c>
      <c r="E3883" s="6">
        <v>-3.9161800068706395E-3</v>
      </c>
      <c r="F3883" s="6"/>
      <c r="G3883" s="6">
        <v>3876</v>
      </c>
      <c r="H3883" s="6">
        <f t="shared" ca="1" si="125"/>
        <v>-4.1880355794407235E-2</v>
      </c>
    </row>
    <row r="3884" spans="2:8" x14ac:dyDescent="0.3">
      <c r="B3884" s="4">
        <v>42019</v>
      </c>
      <c r="C3884" s="7">
        <v>767.4</v>
      </c>
      <c r="D3884" s="6">
        <f t="shared" si="124"/>
        <v>-2.0748794119898925E-2</v>
      </c>
      <c r="E3884" s="6">
        <v>-3.9199397731107472E-3</v>
      </c>
      <c r="F3884" s="6"/>
      <c r="G3884" s="6">
        <v>3877</v>
      </c>
      <c r="H3884" s="6">
        <f t="shared" ca="1" si="125"/>
        <v>2.3381121136064061E-2</v>
      </c>
    </row>
    <row r="3885" spans="2:8" x14ac:dyDescent="0.3">
      <c r="B3885" s="4">
        <v>42452</v>
      </c>
      <c r="C3885" s="7">
        <v>783.66</v>
      </c>
      <c r="D3885" s="6">
        <f t="shared" si="124"/>
        <v>9.3086029992107342</v>
      </c>
      <c r="E3885" s="6">
        <v>-3.9275500476644827E-3</v>
      </c>
      <c r="F3885" s="6"/>
      <c r="G3885" s="6">
        <v>3878</v>
      </c>
      <c r="H3885" s="6">
        <f t="shared" ca="1" si="125"/>
        <v>2.3537213833648957E-2</v>
      </c>
    </row>
    <row r="3886" spans="2:8" x14ac:dyDescent="0.3">
      <c r="B3886" s="4">
        <v>39780</v>
      </c>
      <c r="C3886" s="7">
        <v>76.02</v>
      </c>
      <c r="D3886" s="6">
        <f t="shared" si="124"/>
        <v>-0.92639070442992011</v>
      </c>
      <c r="E3886" s="6">
        <v>-3.9308176100628558E-3</v>
      </c>
      <c r="F3886" s="6"/>
      <c r="G3886" s="6">
        <v>3879</v>
      </c>
      <c r="H3886" s="6">
        <f t="shared" ca="1" si="125"/>
        <v>-7.4597203049065093E-3</v>
      </c>
    </row>
    <row r="3887" spans="2:8" x14ac:dyDescent="0.3">
      <c r="B3887" s="4">
        <v>43165</v>
      </c>
      <c r="C3887" s="5">
        <v>1032.75</v>
      </c>
      <c r="D3887" s="6">
        <f t="shared" si="124"/>
        <v>3.250874665569047</v>
      </c>
      <c r="E3887" s="6">
        <v>-3.9350713231676628E-3</v>
      </c>
      <c r="F3887" s="6"/>
      <c r="G3887" s="6">
        <v>3880</v>
      </c>
      <c r="H3887" s="6">
        <f t="shared" ca="1" si="125"/>
        <v>7.8006490196214475E-3</v>
      </c>
    </row>
    <row r="3888" spans="2:8" x14ac:dyDescent="0.3">
      <c r="B3888" s="4">
        <v>40448</v>
      </c>
      <c r="C3888" s="7">
        <v>242.95</v>
      </c>
      <c r="D3888" s="6">
        <f t="shared" si="124"/>
        <v>-0.92633012111030932</v>
      </c>
      <c r="E3888" s="6">
        <v>-3.9358779877824114E-3</v>
      </c>
      <c r="F3888" s="6"/>
      <c r="G3888" s="6">
        <v>3881</v>
      </c>
      <c r="H3888" s="6">
        <f t="shared" ca="1" si="125"/>
        <v>-1.2080994603789414E-2</v>
      </c>
    </row>
    <row r="3889" spans="2:8" x14ac:dyDescent="0.3">
      <c r="B3889" s="4">
        <v>45138</v>
      </c>
      <c r="C3889" s="5">
        <v>3297.82</v>
      </c>
      <c r="D3889" s="6">
        <f t="shared" si="124"/>
        <v>12.480297580117726</v>
      </c>
      <c r="E3889" s="6">
        <v>-3.9385537292425422E-3</v>
      </c>
      <c r="F3889" s="6"/>
      <c r="G3889" s="6">
        <v>3882</v>
      </c>
      <c r="H3889" s="6">
        <f t="shared" ca="1" si="125"/>
        <v>1.6678686420718663E-2</v>
      </c>
    </row>
    <row r="3890" spans="2:8" x14ac:dyDescent="0.3">
      <c r="B3890" s="4">
        <v>40434</v>
      </c>
      <c r="C3890" s="7">
        <v>244.64</v>
      </c>
      <c r="D3890" s="6">
        <f t="shared" si="124"/>
        <v>9.7865961199294524</v>
      </c>
      <c r="E3890" s="6">
        <v>-3.9493505964741955E-3</v>
      </c>
      <c r="F3890" s="6"/>
      <c r="G3890" s="6">
        <v>3883</v>
      </c>
      <c r="H3890" s="6">
        <f t="shared" ca="1" si="125"/>
        <v>1.0021880600363022E-2</v>
      </c>
    </row>
    <row r="3891" spans="2:8" x14ac:dyDescent="0.3">
      <c r="B3891" s="4">
        <v>38121</v>
      </c>
      <c r="C3891" s="7">
        <v>22.68</v>
      </c>
      <c r="D3891" s="6">
        <f t="shared" si="124"/>
        <v>-0.98013314646110716</v>
      </c>
      <c r="E3891" s="6">
        <v>-3.952569169960468E-3</v>
      </c>
      <c r="F3891" s="6"/>
      <c r="G3891" s="6">
        <v>3884</v>
      </c>
      <c r="H3891" s="6">
        <f t="shared" ca="1" si="125"/>
        <v>-1.9694141950671349E-2</v>
      </c>
    </row>
    <row r="3892" spans="2:8" x14ac:dyDescent="0.3">
      <c r="B3892" s="4">
        <v>43230</v>
      </c>
      <c r="C3892" s="5">
        <v>1141.5999999999999</v>
      </c>
      <c r="D3892" s="6">
        <f t="shared" si="124"/>
        <v>3.0674101257704769</v>
      </c>
      <c r="E3892" s="6">
        <v>-3.9698119792349884E-3</v>
      </c>
      <c r="F3892" s="6"/>
      <c r="G3892" s="6">
        <v>3885</v>
      </c>
      <c r="H3892" s="6">
        <f t="shared" ca="1" si="125"/>
        <v>-6.8128168413809486E-3</v>
      </c>
    </row>
    <row r="3893" spans="2:8" x14ac:dyDescent="0.3">
      <c r="B3893" s="4">
        <v>40798</v>
      </c>
      <c r="C3893" s="7">
        <v>280.67</v>
      </c>
      <c r="D3893" s="6">
        <f t="shared" si="124"/>
        <v>0.23290138370305297</v>
      </c>
      <c r="E3893" s="6">
        <v>-3.9745910074878614E-3</v>
      </c>
      <c r="F3893" s="6"/>
      <c r="G3893" s="6">
        <v>3886</v>
      </c>
      <c r="H3893" s="6">
        <f t="shared" ca="1" si="125"/>
        <v>-2.1005132353949196E-2</v>
      </c>
    </row>
    <row r="3894" spans="2:8" x14ac:dyDescent="0.3">
      <c r="B3894" s="4">
        <v>40389</v>
      </c>
      <c r="C3894" s="7">
        <v>227.65</v>
      </c>
      <c r="D3894" s="6">
        <f t="shared" si="124"/>
        <v>-0.92144528257613922</v>
      </c>
      <c r="E3894" s="6">
        <v>-3.981449072453608E-3</v>
      </c>
      <c r="F3894" s="6"/>
      <c r="G3894" s="6">
        <v>3887</v>
      </c>
      <c r="H3894" s="6">
        <f t="shared" ca="1" si="125"/>
        <v>-1.2345084189834217E-2</v>
      </c>
    </row>
    <row r="3895" spans="2:8" x14ac:dyDescent="0.3">
      <c r="B3895" s="4">
        <v>45495</v>
      </c>
      <c r="C3895" s="5">
        <v>2897.98</v>
      </c>
      <c r="D3895" s="6">
        <f t="shared" si="124"/>
        <v>128.1434937611408</v>
      </c>
      <c r="E3895" s="6">
        <v>-3.9868297142542598E-3</v>
      </c>
      <c r="F3895" s="6"/>
      <c r="G3895" s="6">
        <v>3888</v>
      </c>
      <c r="H3895" s="6">
        <f t="shared" ca="1" si="125"/>
        <v>-1.3814805078533809E-2</v>
      </c>
    </row>
    <row r="3896" spans="2:8" x14ac:dyDescent="0.3">
      <c r="B3896" s="4">
        <v>38140</v>
      </c>
      <c r="C3896" s="7">
        <v>22.44</v>
      </c>
      <c r="D3896" s="6">
        <f t="shared" si="124"/>
        <v>-0.93228317943146843</v>
      </c>
      <c r="E3896" s="6">
        <v>-3.9946737683089146E-3</v>
      </c>
      <c r="F3896" s="6"/>
      <c r="G3896" s="6">
        <v>3889</v>
      </c>
      <c r="H3896" s="6">
        <f t="shared" ca="1" si="125"/>
        <v>-3.7281294971067795E-2</v>
      </c>
    </row>
    <row r="3897" spans="2:8" x14ac:dyDescent="0.3">
      <c r="B3897" s="4">
        <v>41103</v>
      </c>
      <c r="C3897" s="7">
        <v>331.38</v>
      </c>
      <c r="D3897" s="6">
        <f t="shared" si="124"/>
        <v>-0.74815895670413346</v>
      </c>
      <c r="E3897" s="6">
        <v>-3.9974752787712547E-3</v>
      </c>
      <c r="F3897" s="6"/>
      <c r="G3897" s="6">
        <v>3890</v>
      </c>
      <c r="H3897" s="6">
        <f t="shared" ca="1" si="125"/>
        <v>7.7598655229122061E-3</v>
      </c>
    </row>
    <row r="3898" spans="2:8" x14ac:dyDescent="0.3">
      <c r="B3898" s="4">
        <v>43511</v>
      </c>
      <c r="C3898" s="5">
        <v>1315.83</v>
      </c>
      <c r="D3898" s="6">
        <f t="shared" si="124"/>
        <v>4.631387486090901</v>
      </c>
      <c r="E3898" s="6">
        <v>-4.0041782729804739E-3</v>
      </c>
      <c r="F3898" s="6"/>
      <c r="G3898" s="6">
        <v>3891</v>
      </c>
      <c r="H3898" s="6">
        <f t="shared" ca="1" si="125"/>
        <v>-1.4841201822323001E-2</v>
      </c>
    </row>
    <row r="3899" spans="2:8" x14ac:dyDescent="0.3">
      <c r="B3899" s="4">
        <v>40564</v>
      </c>
      <c r="C3899" s="7">
        <v>233.66</v>
      </c>
      <c r="D3899" s="6">
        <f t="shared" si="124"/>
        <v>-0.74360831303355501</v>
      </c>
      <c r="E3899" s="6">
        <v>-4.0068201193520789E-3</v>
      </c>
      <c r="F3899" s="6"/>
      <c r="G3899" s="6">
        <v>3892</v>
      </c>
      <c r="H3899" s="6">
        <f t="shared" ca="1" si="125"/>
        <v>6.3268488697448642E-3</v>
      </c>
    </row>
    <row r="3900" spans="2:8" x14ac:dyDescent="0.3">
      <c r="B3900" s="4">
        <v>42780</v>
      </c>
      <c r="C3900" s="7">
        <v>911.34</v>
      </c>
      <c r="D3900" s="6">
        <f t="shared" si="124"/>
        <v>-0.66965952464667478</v>
      </c>
      <c r="E3900" s="6">
        <v>-4.0108851269384585E-3</v>
      </c>
      <c r="F3900" s="6"/>
      <c r="G3900" s="6">
        <v>3893</v>
      </c>
      <c r="H3900" s="6">
        <f t="shared" ca="1" si="125"/>
        <v>3.096926712157819E-2</v>
      </c>
    </row>
    <row r="3901" spans="2:8" x14ac:dyDescent="0.3">
      <c r="B3901" s="4">
        <v>45356</v>
      </c>
      <c r="C3901" s="5">
        <v>2758.79</v>
      </c>
      <c r="D3901" s="6">
        <f t="shared" si="124"/>
        <v>-1.0959503255227064E-2</v>
      </c>
      <c r="E3901" s="6">
        <v>-4.0109751254558384E-3</v>
      </c>
      <c r="F3901" s="6"/>
      <c r="G3901" s="6">
        <v>3894</v>
      </c>
      <c r="H3901" s="6">
        <f t="shared" ca="1" si="125"/>
        <v>4.9390084112259196E-3</v>
      </c>
    </row>
    <row r="3902" spans="2:8" x14ac:dyDescent="0.3">
      <c r="B3902" s="4">
        <v>44750</v>
      </c>
      <c r="C3902" s="5">
        <v>2789.36</v>
      </c>
      <c r="D3902" s="6">
        <f t="shared" si="124"/>
        <v>4.2588752097434064</v>
      </c>
      <c r="E3902" s="6">
        <v>-4.013425694493959E-3</v>
      </c>
      <c r="F3902" s="6"/>
      <c r="G3902" s="6">
        <v>3895</v>
      </c>
      <c r="H3902" s="6">
        <f t="shared" ca="1" si="125"/>
        <v>-2.6311979052521953E-3</v>
      </c>
    </row>
    <row r="3903" spans="2:8" x14ac:dyDescent="0.3">
      <c r="B3903" s="4">
        <v>41823</v>
      </c>
      <c r="C3903" s="7">
        <v>530.41</v>
      </c>
      <c r="D3903" s="6">
        <f t="shared" si="124"/>
        <v>-0.59769574418057847</v>
      </c>
      <c r="E3903" s="6">
        <v>-4.0184020279785682E-3</v>
      </c>
      <c r="F3903" s="6"/>
      <c r="G3903" s="6">
        <v>3896</v>
      </c>
      <c r="H3903" s="6">
        <f t="shared" ca="1" si="125"/>
        <v>5.2449894955140389E-3</v>
      </c>
    </row>
    <row r="3904" spans="2:8" x14ac:dyDescent="0.3">
      <c r="B3904" s="4">
        <v>43475</v>
      </c>
      <c r="C3904" s="5">
        <v>1318.43</v>
      </c>
      <c r="D3904" s="6">
        <f t="shared" si="124"/>
        <v>-0.45814308083693289</v>
      </c>
      <c r="E3904" s="6">
        <v>-4.0264096210792947E-3</v>
      </c>
      <c r="F3904" s="6"/>
      <c r="G3904" s="6">
        <v>3897</v>
      </c>
      <c r="H3904" s="6">
        <f t="shared" ca="1" si="125"/>
        <v>1.399723480429935E-2</v>
      </c>
    </row>
    <row r="3905" spans="2:8" x14ac:dyDescent="0.3">
      <c r="B3905" s="4">
        <v>45630</v>
      </c>
      <c r="C3905" s="5">
        <v>2433.17</v>
      </c>
      <c r="D3905" s="6">
        <f t="shared" si="124"/>
        <v>24.934448944787892</v>
      </c>
      <c r="E3905" s="6">
        <v>-4.0278181423736067E-3</v>
      </c>
      <c r="F3905" s="6"/>
      <c r="G3905" s="6">
        <v>3898</v>
      </c>
      <c r="H3905" s="6">
        <f t="shared" ca="1" si="125"/>
        <v>-1.2825835157299509E-2</v>
      </c>
    </row>
    <row r="3906" spans="2:8" x14ac:dyDescent="0.3">
      <c r="B3906" s="4">
        <v>39987</v>
      </c>
      <c r="C3906" s="7">
        <v>93.82</v>
      </c>
      <c r="D3906" s="6">
        <f t="shared" si="124"/>
        <v>-0.77507671653241272</v>
      </c>
      <c r="E3906" s="6">
        <v>-4.0339702760085949E-3</v>
      </c>
      <c r="F3906" s="6"/>
      <c r="G3906" s="6">
        <v>3899</v>
      </c>
      <c r="H3906" s="6">
        <f t="shared" ca="1" si="125"/>
        <v>-3.323176784494516E-3</v>
      </c>
    </row>
    <row r="3907" spans="2:8" x14ac:dyDescent="0.3">
      <c r="B3907" s="4">
        <v>41431</v>
      </c>
      <c r="C3907" s="7">
        <v>417.12</v>
      </c>
      <c r="D3907" s="6">
        <f t="shared" si="124"/>
        <v>-0.86224843629254377</v>
      </c>
      <c r="E3907" s="6">
        <v>-4.0352427114920793E-3</v>
      </c>
      <c r="F3907" s="6"/>
      <c r="G3907" s="6">
        <v>3900</v>
      </c>
      <c r="H3907" s="6">
        <f t="shared" ca="1" si="125"/>
        <v>1.8996076647532785E-2</v>
      </c>
    </row>
    <row r="3908" spans="2:8" x14ac:dyDescent="0.3">
      <c r="B3908" s="4">
        <v>44525</v>
      </c>
      <c r="C3908" s="5">
        <v>3028.06</v>
      </c>
      <c r="D3908" s="6">
        <f t="shared" si="124"/>
        <v>0.32693251533742329</v>
      </c>
      <c r="E3908" s="6">
        <v>-4.0357461196646356E-3</v>
      </c>
      <c r="F3908" s="6"/>
      <c r="G3908" s="6">
        <v>3901</v>
      </c>
      <c r="H3908" s="6">
        <f t="shared" ca="1" si="125"/>
        <v>1.7841339283727539E-3</v>
      </c>
    </row>
    <row r="3909" spans="2:8" x14ac:dyDescent="0.3">
      <c r="B3909" s="4">
        <v>45749</v>
      </c>
      <c r="C3909" s="5">
        <v>2282</v>
      </c>
      <c r="D3909" s="6">
        <f t="shared" si="124"/>
        <v>47.750267036957915</v>
      </c>
      <c r="E3909" s="6">
        <v>-4.0370976541189308E-3</v>
      </c>
      <c r="F3909" s="6"/>
      <c r="G3909" s="6">
        <v>3902</v>
      </c>
      <c r="H3909" s="6">
        <f t="shared" ca="1" si="125"/>
        <v>5.2729839934433607E-3</v>
      </c>
    </row>
    <row r="3910" spans="2:8" x14ac:dyDescent="0.3">
      <c r="B3910" s="4">
        <v>38915</v>
      </c>
      <c r="C3910" s="7">
        <v>46.81</v>
      </c>
      <c r="D3910" s="6">
        <f t="shared" si="124"/>
        <v>-0.96206399118257269</v>
      </c>
      <c r="E3910" s="6">
        <v>-4.0425531914893131E-3</v>
      </c>
      <c r="F3910" s="6"/>
      <c r="G3910" s="6">
        <v>3903</v>
      </c>
      <c r="H3910" s="6">
        <f t="shared" ca="1" si="125"/>
        <v>3.2805967364079661E-3</v>
      </c>
    </row>
    <row r="3911" spans="2:8" x14ac:dyDescent="0.3">
      <c r="B3911" s="4">
        <v>43424</v>
      </c>
      <c r="C3911" s="5">
        <v>1233.92</v>
      </c>
      <c r="D3911" s="6">
        <f t="shared" si="124"/>
        <v>3.2851884007640217</v>
      </c>
      <c r="E3911" s="6">
        <v>-4.0438119990637003E-3</v>
      </c>
      <c r="F3911" s="6"/>
      <c r="G3911" s="6">
        <v>3904</v>
      </c>
      <c r="H3911" s="6">
        <f t="shared" ca="1" si="125"/>
        <v>1.1631691445751127E-2</v>
      </c>
    </row>
    <row r="3912" spans="2:8" x14ac:dyDescent="0.3">
      <c r="B3912" s="4">
        <v>40792</v>
      </c>
      <c r="C3912" s="7">
        <v>287.95</v>
      </c>
      <c r="D3912" s="6">
        <f t="shared" ref="D3912:D3975" si="126">((C3912-C3913)/C3913)</f>
        <v>-0.73161024532100516</v>
      </c>
      <c r="E3912" s="6">
        <v>-4.0467625899281122E-3</v>
      </c>
      <c r="F3912" s="6"/>
      <c r="G3912" s="6">
        <v>3905</v>
      </c>
      <c r="H3912" s="6">
        <f t="shared" ca="1" si="125"/>
        <v>-3.4313269421989194E-2</v>
      </c>
    </row>
    <row r="3913" spans="2:8" x14ac:dyDescent="0.3">
      <c r="B3913" s="4">
        <v>43097</v>
      </c>
      <c r="C3913" s="5">
        <v>1072.8800000000001</v>
      </c>
      <c r="D3913" s="6">
        <f t="shared" si="126"/>
        <v>-0.63967570544812158</v>
      </c>
      <c r="E3913" s="6">
        <v>-4.0473803423562993E-3</v>
      </c>
      <c r="F3913" s="6"/>
      <c r="G3913" s="6">
        <v>3906</v>
      </c>
      <c r="H3913" s="6">
        <f t="shared" ref="H3913:H3976" ca="1" si="127">_xlfn.NORM.INV(RAND(),N$10,N$11)</f>
        <v>3.9403203409039883E-2</v>
      </c>
    </row>
    <row r="3914" spans="2:8" x14ac:dyDescent="0.3">
      <c r="B3914" s="4">
        <v>44916</v>
      </c>
      <c r="C3914" s="5">
        <v>2977.54</v>
      </c>
      <c r="D3914" s="6">
        <f t="shared" si="126"/>
        <v>3.2873763481115641</v>
      </c>
      <c r="E3914" s="6">
        <v>-4.053972692546942E-3</v>
      </c>
      <c r="F3914" s="6"/>
      <c r="G3914" s="6">
        <v>3907</v>
      </c>
      <c r="H3914" s="6">
        <f t="shared" ca="1" si="127"/>
        <v>3.1287603190582464E-2</v>
      </c>
    </row>
    <row r="3915" spans="2:8" x14ac:dyDescent="0.3">
      <c r="B3915" s="4">
        <v>42159</v>
      </c>
      <c r="C3915" s="7">
        <v>694.49</v>
      </c>
      <c r="D3915" s="6">
        <f t="shared" si="126"/>
        <v>30.453351449275363</v>
      </c>
      <c r="E3915" s="6">
        <v>-4.0583949979923718E-3</v>
      </c>
      <c r="F3915" s="6"/>
      <c r="G3915" s="6">
        <v>3908</v>
      </c>
      <c r="H3915" s="6">
        <f t="shared" ca="1" si="127"/>
        <v>-7.3992099908315526E-3</v>
      </c>
    </row>
    <row r="3916" spans="2:8" x14ac:dyDescent="0.3">
      <c r="B3916" s="4">
        <v>38149</v>
      </c>
      <c r="C3916" s="7">
        <v>22.08</v>
      </c>
      <c r="D3916" s="6">
        <f t="shared" si="126"/>
        <v>-0.99290454231405756</v>
      </c>
      <c r="E3916" s="6">
        <v>-4.059539918809355E-3</v>
      </c>
      <c r="F3916" s="6"/>
      <c r="G3916" s="6">
        <v>3909</v>
      </c>
      <c r="H3916" s="6">
        <f t="shared" ca="1" si="127"/>
        <v>-1.541829270603465E-3</v>
      </c>
    </row>
    <row r="3917" spans="2:8" x14ac:dyDescent="0.3">
      <c r="B3917" s="4">
        <v>44853</v>
      </c>
      <c r="C3917" s="5">
        <v>3111.85</v>
      </c>
      <c r="D3917" s="6">
        <f t="shared" si="126"/>
        <v>0.32500340634260994</v>
      </c>
      <c r="E3917" s="6">
        <v>-4.0613978377617363E-3</v>
      </c>
      <c r="F3917" s="6"/>
      <c r="G3917" s="6">
        <v>3910</v>
      </c>
      <c r="H3917" s="6">
        <f t="shared" ca="1" si="127"/>
        <v>6.1793612563298969E-3</v>
      </c>
    </row>
    <row r="3918" spans="2:8" x14ac:dyDescent="0.3">
      <c r="B3918" s="4">
        <v>44230</v>
      </c>
      <c r="C3918" s="5">
        <v>2348.56</v>
      </c>
      <c r="D3918" s="6">
        <f t="shared" si="126"/>
        <v>21.857031630170315</v>
      </c>
      <c r="E3918" s="6">
        <v>-4.0625238535455608E-3</v>
      </c>
      <c r="F3918" s="6"/>
      <c r="G3918" s="6">
        <v>3911</v>
      </c>
      <c r="H3918" s="6">
        <f t="shared" ca="1" si="127"/>
        <v>1.6201198225358E-3</v>
      </c>
    </row>
    <row r="3919" spans="2:8" x14ac:dyDescent="0.3">
      <c r="B3919" s="4">
        <v>39589</v>
      </c>
      <c r="C3919" s="7">
        <v>102.75</v>
      </c>
      <c r="D3919" s="6">
        <f t="shared" si="126"/>
        <v>-0.9044363839285714</v>
      </c>
      <c r="E3919" s="6">
        <v>-4.0709508578075189E-3</v>
      </c>
      <c r="F3919" s="6"/>
      <c r="G3919" s="6">
        <v>3912</v>
      </c>
      <c r="H3919" s="6">
        <f t="shared" ca="1" si="127"/>
        <v>-1.1567231065231534E-2</v>
      </c>
    </row>
    <row r="3920" spans="2:8" x14ac:dyDescent="0.3">
      <c r="B3920" s="4">
        <v>42906</v>
      </c>
      <c r="C3920" s="5">
        <v>1075.2</v>
      </c>
      <c r="D3920" s="6">
        <f t="shared" si="126"/>
        <v>43.011461318051573</v>
      </c>
      <c r="E3920" s="6">
        <v>-4.0755835494626384E-3</v>
      </c>
      <c r="F3920" s="6"/>
      <c r="G3920" s="6">
        <v>3913</v>
      </c>
      <c r="H3920" s="6">
        <f t="shared" ca="1" si="127"/>
        <v>1.2655804206707106E-2</v>
      </c>
    </row>
    <row r="3921" spans="2:8" x14ac:dyDescent="0.3">
      <c r="B3921" s="4">
        <v>38161</v>
      </c>
      <c r="C3921" s="7">
        <v>24.43</v>
      </c>
      <c r="D3921" s="6">
        <f t="shared" si="126"/>
        <v>-0.99154123948714223</v>
      </c>
      <c r="E3921" s="6">
        <v>-4.0766408479413537E-3</v>
      </c>
      <c r="F3921" s="6"/>
      <c r="G3921" s="6">
        <v>3914</v>
      </c>
      <c r="H3921" s="6">
        <f t="shared" ca="1" si="127"/>
        <v>-7.318065677543369E-3</v>
      </c>
    </row>
    <row r="3922" spans="2:8" x14ac:dyDescent="0.3">
      <c r="B3922" s="4">
        <v>44383</v>
      </c>
      <c r="C3922" s="5">
        <v>2888.13</v>
      </c>
      <c r="D3922" s="6">
        <f t="shared" si="126"/>
        <v>12.034253994042784</v>
      </c>
      <c r="E3922" s="6">
        <v>-4.0828008565604789E-3</v>
      </c>
      <c r="F3922" s="6"/>
      <c r="G3922" s="6">
        <v>3915</v>
      </c>
      <c r="H3922" s="6">
        <f t="shared" ca="1" si="127"/>
        <v>7.563764668034401E-3</v>
      </c>
    </row>
    <row r="3923" spans="2:8" x14ac:dyDescent="0.3">
      <c r="B3923" s="4">
        <v>40633</v>
      </c>
      <c r="C3923" s="7">
        <v>221.58</v>
      </c>
      <c r="D3923" s="6">
        <f t="shared" si="126"/>
        <v>-0.83236749330468596</v>
      </c>
      <c r="E3923" s="6">
        <v>-4.0900714638860015E-3</v>
      </c>
      <c r="F3923" s="6"/>
      <c r="G3923" s="6">
        <v>3916</v>
      </c>
      <c r="H3923" s="6">
        <f t="shared" ca="1" si="127"/>
        <v>-6.2950572975763088E-3</v>
      </c>
    </row>
    <row r="3924" spans="2:8" x14ac:dyDescent="0.3">
      <c r="B3924" s="4">
        <v>43333</v>
      </c>
      <c r="C3924" s="5">
        <v>1321.82</v>
      </c>
      <c r="D3924" s="6">
        <f t="shared" si="126"/>
        <v>1.2981379418258949</v>
      </c>
      <c r="E3924" s="6">
        <v>-4.113676089446113E-3</v>
      </c>
      <c r="F3924" s="6"/>
      <c r="G3924" s="6">
        <v>3917</v>
      </c>
      <c r="H3924" s="6">
        <f t="shared" ca="1" si="127"/>
        <v>-3.5035076532166871E-2</v>
      </c>
    </row>
    <row r="3925" spans="2:8" x14ac:dyDescent="0.3">
      <c r="B3925" s="4">
        <v>41919</v>
      </c>
      <c r="C3925" s="7">
        <v>575.16999999999996</v>
      </c>
      <c r="D3925" s="6">
        <f t="shared" si="126"/>
        <v>7.5210370370370363</v>
      </c>
      <c r="E3925" s="6">
        <v>-4.1208553372002353E-3</v>
      </c>
      <c r="F3925" s="6"/>
      <c r="G3925" s="6">
        <v>3918</v>
      </c>
      <c r="H3925" s="6">
        <f t="shared" ca="1" si="127"/>
        <v>-6.7335507836941404E-3</v>
      </c>
    </row>
    <row r="3926" spans="2:8" x14ac:dyDescent="0.3">
      <c r="B3926" s="4">
        <v>39188</v>
      </c>
      <c r="C3926" s="7">
        <v>67.5</v>
      </c>
      <c r="D3926" s="6">
        <f t="shared" si="126"/>
        <v>-0.7954607436138299</v>
      </c>
      <c r="E3926" s="6">
        <v>-4.1310120979640179E-3</v>
      </c>
      <c r="F3926" s="6"/>
      <c r="G3926" s="6">
        <v>3919</v>
      </c>
      <c r="H3926" s="6">
        <f t="shared" ca="1" si="127"/>
        <v>7.4504565673292203E-3</v>
      </c>
    </row>
    <row r="3927" spans="2:8" x14ac:dyDescent="0.3">
      <c r="B3927" s="4">
        <v>41106</v>
      </c>
      <c r="C3927" s="7">
        <v>330.01</v>
      </c>
      <c r="D3927" s="6">
        <f t="shared" si="126"/>
        <v>0.39917747816501303</v>
      </c>
      <c r="E3927" s="6">
        <v>-4.1342265676866576E-3</v>
      </c>
      <c r="F3927" s="6"/>
      <c r="G3927" s="6">
        <v>3920</v>
      </c>
      <c r="H3927" s="6">
        <f t="shared" ca="1" si="127"/>
        <v>5.1363345025415069E-3</v>
      </c>
    </row>
    <row r="3928" spans="2:8" x14ac:dyDescent="0.3">
      <c r="B3928" s="4">
        <v>40914</v>
      </c>
      <c r="C3928" s="7">
        <v>235.86</v>
      </c>
      <c r="D3928" s="6">
        <f t="shared" si="126"/>
        <v>-0.91906526662548893</v>
      </c>
      <c r="E3928" s="6">
        <v>-4.1378145583515864E-3</v>
      </c>
      <c r="F3928" s="6"/>
      <c r="G3928" s="6">
        <v>3921</v>
      </c>
      <c r="H3928" s="6">
        <f t="shared" ca="1" si="127"/>
        <v>1.2879161211338055E-2</v>
      </c>
    </row>
    <row r="3929" spans="2:8" x14ac:dyDescent="0.3">
      <c r="B3929" s="4">
        <v>44931</v>
      </c>
      <c r="C3929" s="5">
        <v>2914.2</v>
      </c>
      <c r="D3929" s="6">
        <f t="shared" si="126"/>
        <v>51.717076700434149</v>
      </c>
      <c r="E3929" s="6">
        <v>-4.1417206593948527E-3</v>
      </c>
      <c r="F3929" s="6"/>
      <c r="G3929" s="6">
        <v>3922</v>
      </c>
      <c r="H3929" s="6">
        <f t="shared" ca="1" si="127"/>
        <v>8.8014922911955652E-3</v>
      </c>
    </row>
    <row r="3930" spans="2:8" x14ac:dyDescent="0.3">
      <c r="B3930" s="4">
        <v>38993</v>
      </c>
      <c r="C3930" s="7">
        <v>55.28</v>
      </c>
      <c r="D3930" s="6">
        <f t="shared" si="126"/>
        <v>-0.94649632210607826</v>
      </c>
      <c r="E3930" s="6">
        <v>-4.1433975860204805E-3</v>
      </c>
      <c r="F3930" s="6"/>
      <c r="G3930" s="6">
        <v>3923</v>
      </c>
      <c r="H3930" s="6">
        <f t="shared" ca="1" si="127"/>
        <v>6.2385855694683887E-3</v>
      </c>
    </row>
    <row r="3931" spans="2:8" x14ac:dyDescent="0.3">
      <c r="B3931" s="4">
        <v>42915</v>
      </c>
      <c r="C3931" s="5">
        <v>1033.2</v>
      </c>
      <c r="D3931" s="6">
        <f t="shared" si="126"/>
        <v>-0.5424188205282644</v>
      </c>
      <c r="E3931" s="6">
        <v>-4.1445783132529682E-3</v>
      </c>
      <c r="F3931" s="6"/>
      <c r="G3931" s="6">
        <v>3924</v>
      </c>
      <c r="H3931" s="6">
        <f t="shared" ca="1" si="127"/>
        <v>-1.5133872807340219E-3</v>
      </c>
    </row>
    <row r="3932" spans="2:8" x14ac:dyDescent="0.3">
      <c r="B3932" s="4">
        <v>45646</v>
      </c>
      <c r="C3932" s="5">
        <v>2257.96</v>
      </c>
      <c r="D3932" s="6">
        <f t="shared" si="126"/>
        <v>1.0481105890463145</v>
      </c>
      <c r="E3932" s="6">
        <v>-4.1457906993155437E-3</v>
      </c>
      <c r="F3932" s="6"/>
      <c r="G3932" s="6">
        <v>3925</v>
      </c>
      <c r="H3932" s="6">
        <f t="shared" ca="1" si="127"/>
        <v>4.0766204889371698E-3</v>
      </c>
    </row>
    <row r="3933" spans="2:8" x14ac:dyDescent="0.3">
      <c r="B3933" s="4">
        <v>43040</v>
      </c>
      <c r="C3933" s="5">
        <v>1102.46</v>
      </c>
      <c r="D3933" s="6">
        <f t="shared" si="126"/>
        <v>-0.67650631752533763</v>
      </c>
      <c r="E3933" s="6">
        <v>-4.1461541935774518E-3</v>
      </c>
      <c r="F3933" s="6"/>
      <c r="G3933" s="6">
        <v>3926</v>
      </c>
      <c r="H3933" s="6">
        <f t="shared" ca="1" si="127"/>
        <v>-9.2209099483003786E-3</v>
      </c>
    </row>
    <row r="3934" spans="2:8" x14ac:dyDescent="0.3">
      <c r="B3934" s="4">
        <v>44572</v>
      </c>
      <c r="C3934" s="5">
        <v>3407.98</v>
      </c>
      <c r="D3934" s="6">
        <f t="shared" si="126"/>
        <v>49.751749813849585</v>
      </c>
      <c r="E3934" s="6">
        <v>-4.1494018432694417E-3</v>
      </c>
      <c r="F3934" s="6"/>
      <c r="G3934" s="6">
        <v>3927</v>
      </c>
      <c r="H3934" s="6">
        <f t="shared" ca="1" si="127"/>
        <v>-7.506056892849805E-3</v>
      </c>
    </row>
    <row r="3935" spans="2:8" x14ac:dyDescent="0.3">
      <c r="B3935" s="4">
        <v>39184</v>
      </c>
      <c r="C3935" s="7">
        <v>67.150000000000006</v>
      </c>
      <c r="D3935" s="6">
        <f t="shared" si="126"/>
        <v>-0.85225522552255228</v>
      </c>
      <c r="E3935" s="6">
        <v>-4.1524543971526188E-3</v>
      </c>
      <c r="F3935" s="6"/>
      <c r="G3935" s="6">
        <v>3928</v>
      </c>
      <c r="H3935" s="6">
        <f t="shared" ca="1" si="127"/>
        <v>-2.7060960134615064E-2</v>
      </c>
    </row>
    <row r="3936" spans="2:8" x14ac:dyDescent="0.3">
      <c r="B3936" s="4">
        <v>41612</v>
      </c>
      <c r="C3936" s="7">
        <v>454.5</v>
      </c>
      <c r="D3936" s="6">
        <f t="shared" si="126"/>
        <v>26.150537634408604</v>
      </c>
      <c r="E3936" s="6">
        <v>-4.1630148992111687E-3</v>
      </c>
      <c r="F3936" s="6"/>
      <c r="G3936" s="6">
        <v>3929</v>
      </c>
      <c r="H3936" s="6">
        <f t="shared" ca="1" si="127"/>
        <v>-4.5724256683982618E-3</v>
      </c>
    </row>
    <row r="3937" spans="2:8" x14ac:dyDescent="0.3">
      <c r="B3937" s="4">
        <v>37755</v>
      </c>
      <c r="C3937" s="7">
        <v>16.739999999999998</v>
      </c>
      <c r="D3937" s="6">
        <f t="shared" si="126"/>
        <v>-0.78704999363948613</v>
      </c>
      <c r="E3937" s="6">
        <v>-4.1641879833432651E-3</v>
      </c>
      <c r="F3937" s="6"/>
      <c r="G3937" s="6">
        <v>3930</v>
      </c>
      <c r="H3937" s="6">
        <f t="shared" ca="1" si="127"/>
        <v>-2.9753028519398789E-2</v>
      </c>
    </row>
    <row r="3938" spans="2:8" x14ac:dyDescent="0.3">
      <c r="B3938" s="4">
        <v>39331</v>
      </c>
      <c r="C3938" s="7">
        <v>78.61</v>
      </c>
      <c r="D3938" s="6">
        <f t="shared" si="126"/>
        <v>0.65251208745007361</v>
      </c>
      <c r="E3938" s="6">
        <v>-4.1803901697491548E-3</v>
      </c>
      <c r="F3938" s="6"/>
      <c r="G3938" s="6">
        <v>3931</v>
      </c>
      <c r="H3938" s="6">
        <f t="shared" ca="1" si="127"/>
        <v>-1.3265160894837888E-2</v>
      </c>
    </row>
    <row r="3939" spans="2:8" x14ac:dyDescent="0.3">
      <c r="B3939" s="4">
        <v>38726</v>
      </c>
      <c r="C3939" s="7">
        <v>47.57</v>
      </c>
      <c r="D3939" s="6">
        <f t="shared" si="126"/>
        <v>-0.93054764720482375</v>
      </c>
      <c r="E3939" s="6">
        <v>-4.1867280720117818E-3</v>
      </c>
      <c r="F3939" s="6"/>
      <c r="G3939" s="6">
        <v>3932</v>
      </c>
      <c r="H3939" s="6">
        <f t="shared" ca="1" si="127"/>
        <v>5.8804621846876364E-4</v>
      </c>
    </row>
    <row r="3940" spans="2:8" x14ac:dyDescent="0.3">
      <c r="B3940" s="4">
        <v>42005</v>
      </c>
      <c r="C3940" s="7">
        <v>684.93</v>
      </c>
      <c r="D3940" s="6">
        <f t="shared" si="126"/>
        <v>21.166019417475727</v>
      </c>
      <c r="E3940" s="6">
        <v>-4.1872028612552825E-3</v>
      </c>
      <c r="F3940" s="6"/>
      <c r="G3940" s="6">
        <v>3933</v>
      </c>
      <c r="H3940" s="6">
        <f t="shared" ca="1" si="127"/>
        <v>1.8273244868360496E-2</v>
      </c>
    </row>
    <row r="3941" spans="2:8" x14ac:dyDescent="0.3">
      <c r="B3941" s="4">
        <v>38516</v>
      </c>
      <c r="C3941" s="7">
        <v>30.9</v>
      </c>
      <c r="D3941" s="6">
        <f t="shared" si="126"/>
        <v>-0.98938884558194795</v>
      </c>
      <c r="E3941" s="6">
        <v>-4.1894940380277973E-3</v>
      </c>
      <c r="F3941" s="6"/>
      <c r="G3941" s="6">
        <v>3934</v>
      </c>
      <c r="H3941" s="6">
        <f t="shared" ca="1" si="127"/>
        <v>2.1365972292011131E-2</v>
      </c>
    </row>
    <row r="3942" spans="2:8" x14ac:dyDescent="0.3">
      <c r="B3942" s="4">
        <v>44762</v>
      </c>
      <c r="C3942" s="5">
        <v>2912.03</v>
      </c>
      <c r="D3942" s="6">
        <f t="shared" si="126"/>
        <v>5.6351394458621948</v>
      </c>
      <c r="E3942" s="6">
        <v>-4.1924706509955459E-3</v>
      </c>
      <c r="F3942" s="6"/>
      <c r="G3942" s="6">
        <v>3935</v>
      </c>
      <c r="H3942" s="6">
        <f t="shared" ca="1" si="127"/>
        <v>1.5153130663891389E-2</v>
      </c>
    </row>
    <row r="3943" spans="2:8" x14ac:dyDescent="0.3">
      <c r="B3943" s="4">
        <v>41540</v>
      </c>
      <c r="C3943" s="7">
        <v>438.88</v>
      </c>
      <c r="D3943" s="6">
        <f t="shared" si="126"/>
        <v>0.35410817315109061</v>
      </c>
      <c r="E3943" s="6">
        <v>-4.1975812855944063E-3</v>
      </c>
      <c r="F3943" s="6"/>
      <c r="G3943" s="6">
        <v>3936</v>
      </c>
      <c r="H3943" s="6">
        <f t="shared" ca="1" si="127"/>
        <v>1.6319237586347738E-2</v>
      </c>
    </row>
    <row r="3944" spans="2:8" x14ac:dyDescent="0.3">
      <c r="B3944" s="4">
        <v>41122</v>
      </c>
      <c r="C3944" s="7">
        <v>324.11</v>
      </c>
      <c r="D3944" s="6">
        <f t="shared" si="126"/>
        <v>4.4878090077886892</v>
      </c>
      <c r="E3944" s="6">
        <v>-4.2091679980336867E-3</v>
      </c>
      <c r="F3944" s="6"/>
      <c r="G3944" s="6">
        <v>3937</v>
      </c>
      <c r="H3944" s="6">
        <f t="shared" ca="1" si="127"/>
        <v>2.7134605804166476E-2</v>
      </c>
    </row>
    <row r="3945" spans="2:8" x14ac:dyDescent="0.3">
      <c r="B3945" s="4">
        <v>39162</v>
      </c>
      <c r="C3945" s="7">
        <v>59.06</v>
      </c>
      <c r="D3945" s="6">
        <f t="shared" si="126"/>
        <v>-0.94368748748557862</v>
      </c>
      <c r="E3945" s="6">
        <v>-4.215140785702242E-3</v>
      </c>
      <c r="F3945" s="6"/>
      <c r="G3945" s="6">
        <v>3938</v>
      </c>
      <c r="H3945" s="6">
        <f t="shared" ca="1" si="127"/>
        <v>1.7282591210647583E-2</v>
      </c>
    </row>
    <row r="3946" spans="2:8" x14ac:dyDescent="0.3">
      <c r="B3946" s="4">
        <v>43084</v>
      </c>
      <c r="C3946" s="5">
        <v>1048.79</v>
      </c>
      <c r="D3946" s="6">
        <f t="shared" si="126"/>
        <v>-4.0851974466372863E-2</v>
      </c>
      <c r="E3946" s="6">
        <v>-4.2250579165242922E-3</v>
      </c>
      <c r="F3946" s="6"/>
      <c r="G3946" s="6">
        <v>3939</v>
      </c>
      <c r="H3946" s="6">
        <f t="shared" ca="1" si="127"/>
        <v>-2.9080400779791966E-2</v>
      </c>
    </row>
    <row r="3947" spans="2:8" x14ac:dyDescent="0.3">
      <c r="B3947" s="4">
        <v>43059</v>
      </c>
      <c r="C3947" s="5">
        <v>1093.46</v>
      </c>
      <c r="D3947" s="6">
        <f t="shared" si="126"/>
        <v>-0.26124056670697848</v>
      </c>
      <c r="E3947" s="6">
        <v>-4.2254803751934009E-3</v>
      </c>
      <c r="F3947" s="6"/>
      <c r="G3947" s="6">
        <v>3940</v>
      </c>
      <c r="H3947" s="6">
        <f t="shared" ca="1" si="127"/>
        <v>1.685677109649905E-3</v>
      </c>
    </row>
    <row r="3948" spans="2:8" x14ac:dyDescent="0.3">
      <c r="B3948" s="4">
        <v>43684</v>
      </c>
      <c r="C3948" s="5">
        <v>1480.13</v>
      </c>
      <c r="D3948" s="6">
        <f t="shared" si="126"/>
        <v>7.2129064476750644</v>
      </c>
      <c r="E3948" s="6">
        <v>-4.2517407245450138E-3</v>
      </c>
      <c r="F3948" s="6"/>
      <c r="G3948" s="6">
        <v>3941</v>
      </c>
      <c r="H3948" s="6">
        <f t="shared" ca="1" si="127"/>
        <v>-6.9226116683720291E-4</v>
      </c>
    </row>
    <row r="3949" spans="2:8" x14ac:dyDescent="0.3">
      <c r="B3949" s="4">
        <v>40330</v>
      </c>
      <c r="C3949" s="7">
        <v>180.22</v>
      </c>
      <c r="D3949" s="6">
        <f t="shared" si="126"/>
        <v>-0.56661215852250868</v>
      </c>
      <c r="E3949" s="6">
        <v>-4.2543786949555788E-3</v>
      </c>
      <c r="F3949" s="6"/>
      <c r="G3949" s="6">
        <v>3942</v>
      </c>
      <c r="H3949" s="6">
        <f t="shared" ca="1" si="127"/>
        <v>-1.6804881201584746E-2</v>
      </c>
    </row>
    <row r="3950" spans="2:8" x14ac:dyDescent="0.3">
      <c r="B3950" s="4">
        <v>41379</v>
      </c>
      <c r="C3950" s="7">
        <v>415.84</v>
      </c>
      <c r="D3950" s="6">
        <f t="shared" si="126"/>
        <v>24.44920440636475</v>
      </c>
      <c r="E3950" s="6">
        <v>-4.2622479766295423E-3</v>
      </c>
      <c r="F3950" s="6"/>
      <c r="G3950" s="6">
        <v>3943</v>
      </c>
      <c r="H3950" s="6">
        <f t="shared" ca="1" si="127"/>
        <v>-1.5015761207323257E-2</v>
      </c>
    </row>
    <row r="3951" spans="2:8" x14ac:dyDescent="0.3">
      <c r="B3951" s="4">
        <v>37718</v>
      </c>
      <c r="C3951" s="7">
        <v>16.34</v>
      </c>
      <c r="D3951" s="6">
        <f t="shared" si="126"/>
        <v>0</v>
      </c>
      <c r="E3951" s="6">
        <v>-4.2656916514320709E-3</v>
      </c>
      <c r="F3951" s="6"/>
      <c r="G3951" s="6">
        <v>3944</v>
      </c>
      <c r="H3951" s="6">
        <f t="shared" ca="1" si="127"/>
        <v>3.8742714138660216E-3</v>
      </c>
    </row>
    <row r="3952" spans="2:8" x14ac:dyDescent="0.3">
      <c r="B3952" s="4">
        <v>37484</v>
      </c>
      <c r="C3952" s="7">
        <v>16.34</v>
      </c>
      <c r="D3952" s="6">
        <f t="shared" si="126"/>
        <v>-0.99465158374002893</v>
      </c>
      <c r="E3952" s="6">
        <v>-4.2656916514320709E-3</v>
      </c>
      <c r="F3952" s="6"/>
      <c r="G3952" s="6">
        <v>3945</v>
      </c>
      <c r="H3952" s="6">
        <f t="shared" ca="1" si="127"/>
        <v>2.1005695198308093E-2</v>
      </c>
    </row>
    <row r="3953" spans="2:8" x14ac:dyDescent="0.3">
      <c r="B3953" s="4">
        <v>45509</v>
      </c>
      <c r="C3953" s="5">
        <v>3055.11</v>
      </c>
      <c r="D3953" s="6">
        <f t="shared" si="126"/>
        <v>4.2297680416767597E-2</v>
      </c>
      <c r="E3953" s="6">
        <v>-4.2793262587019452E-3</v>
      </c>
      <c r="F3953" s="6"/>
      <c r="G3953" s="6">
        <v>3946</v>
      </c>
      <c r="H3953" s="6">
        <f t="shared" ca="1" si="127"/>
        <v>5.3843720446986251E-3</v>
      </c>
    </row>
    <row r="3954" spans="2:8" x14ac:dyDescent="0.3">
      <c r="B3954" s="4">
        <v>44365</v>
      </c>
      <c r="C3954" s="5">
        <v>2931.13</v>
      </c>
      <c r="D3954" s="6">
        <f t="shared" si="126"/>
        <v>0.24121007321586604</v>
      </c>
      <c r="E3954" s="6">
        <v>-4.2802838575548398E-3</v>
      </c>
      <c r="F3954" s="6"/>
      <c r="G3954" s="6">
        <v>3947</v>
      </c>
      <c r="H3954" s="6">
        <f t="shared" ca="1" si="127"/>
        <v>-5.6921431445901699E-3</v>
      </c>
    </row>
    <row r="3955" spans="2:8" x14ac:dyDescent="0.3">
      <c r="B3955" s="4">
        <v>45860</v>
      </c>
      <c r="C3955" s="5">
        <v>2361.5100000000002</v>
      </c>
      <c r="D3955" s="6">
        <f t="shared" si="126"/>
        <v>5.8098217890305106</v>
      </c>
      <c r="E3955" s="6">
        <v>-4.296496184171523E-3</v>
      </c>
      <c r="F3955" s="6"/>
      <c r="G3955" s="6">
        <v>3948</v>
      </c>
      <c r="H3955" s="6">
        <f t="shared" ca="1" si="127"/>
        <v>3.5072411219836961E-3</v>
      </c>
    </row>
    <row r="3956" spans="2:8" x14ac:dyDescent="0.3">
      <c r="B3956" s="4">
        <v>41213</v>
      </c>
      <c r="C3956" s="7">
        <v>346.78</v>
      </c>
      <c r="D3956" s="6">
        <f t="shared" si="126"/>
        <v>-0.84364065938029797</v>
      </c>
      <c r="E3956" s="6">
        <v>-4.3068795222234984E-3</v>
      </c>
      <c r="F3956" s="6"/>
      <c r="G3956" s="6">
        <v>3949</v>
      </c>
      <c r="H3956" s="6">
        <f t="shared" ca="1" si="127"/>
        <v>-1.2277631812093967E-2</v>
      </c>
    </row>
    <row r="3957" spans="2:8" x14ac:dyDescent="0.3">
      <c r="B3957" s="4">
        <v>45685</v>
      </c>
      <c r="C3957" s="5">
        <v>2217.84</v>
      </c>
      <c r="D3957" s="6">
        <f t="shared" si="126"/>
        <v>95.093587521663792</v>
      </c>
      <c r="E3957" s="6">
        <v>-4.3098804008188368E-3</v>
      </c>
      <c r="F3957" s="6"/>
      <c r="G3957" s="6">
        <v>3950</v>
      </c>
      <c r="H3957" s="6">
        <f t="shared" ca="1" si="127"/>
        <v>-9.6208370256595354E-3</v>
      </c>
    </row>
    <row r="3958" spans="2:8" x14ac:dyDescent="0.3">
      <c r="B3958" s="4">
        <v>37887</v>
      </c>
      <c r="C3958" s="7">
        <v>23.08</v>
      </c>
      <c r="D3958" s="6">
        <f t="shared" si="126"/>
        <v>-0.97132848021068841</v>
      </c>
      <c r="E3958" s="6">
        <v>-4.3140638481450142E-3</v>
      </c>
      <c r="F3958" s="6"/>
      <c r="G3958" s="6">
        <v>3951</v>
      </c>
      <c r="H3958" s="6">
        <f t="shared" ca="1" si="127"/>
        <v>4.4704818861009956E-3</v>
      </c>
    </row>
    <row r="3959" spans="2:8" x14ac:dyDescent="0.3">
      <c r="B3959" s="4">
        <v>42297</v>
      </c>
      <c r="C3959" s="7">
        <v>804.98</v>
      </c>
      <c r="D3959" s="6">
        <f t="shared" si="126"/>
        <v>2.3338027002402053</v>
      </c>
      <c r="E3959" s="6">
        <v>-4.3167959231635179E-3</v>
      </c>
      <c r="F3959" s="6"/>
      <c r="G3959" s="6">
        <v>3952</v>
      </c>
      <c r="H3959" s="6">
        <f t="shared" ca="1" si="127"/>
        <v>-3.2190292072414979E-2</v>
      </c>
    </row>
    <row r="3960" spans="2:8" x14ac:dyDescent="0.3">
      <c r="B3960" s="4">
        <v>40926</v>
      </c>
      <c r="C3960" s="7">
        <v>241.46</v>
      </c>
      <c r="D3960" s="6">
        <f t="shared" si="126"/>
        <v>-0.30441045141589601</v>
      </c>
      <c r="E3960" s="6">
        <v>-4.3297183621293263E-3</v>
      </c>
      <c r="F3960" s="6"/>
      <c r="G3960" s="6">
        <v>3953</v>
      </c>
      <c r="H3960" s="6">
        <f t="shared" ca="1" si="127"/>
        <v>-4.371736757466914E-3</v>
      </c>
    </row>
    <row r="3961" spans="2:8" x14ac:dyDescent="0.3">
      <c r="B3961" s="4">
        <v>41169</v>
      </c>
      <c r="C3961" s="7">
        <v>347.13</v>
      </c>
      <c r="D3961" s="6">
        <f t="shared" si="126"/>
        <v>-0.85971371300172961</v>
      </c>
      <c r="E3961" s="6">
        <v>-4.3311151904543111E-3</v>
      </c>
      <c r="F3961" s="6"/>
      <c r="G3961" s="6">
        <v>3954</v>
      </c>
      <c r="H3961" s="6">
        <f t="shared" ca="1" si="127"/>
        <v>-5.2595976040864675E-4</v>
      </c>
    </row>
    <row r="3962" spans="2:8" x14ac:dyDescent="0.3">
      <c r="B3962" s="4">
        <v>45881</v>
      </c>
      <c r="C3962" s="5">
        <v>2474.44</v>
      </c>
      <c r="D3962" s="6">
        <f t="shared" si="126"/>
        <v>76.061351603861723</v>
      </c>
      <c r="E3962" s="6">
        <v>-4.3376441522278699E-3</v>
      </c>
      <c r="F3962" s="6"/>
      <c r="G3962" s="6">
        <v>3955</v>
      </c>
      <c r="H3962" s="6">
        <f t="shared" ca="1" si="127"/>
        <v>-3.0104564608767282E-3</v>
      </c>
    </row>
    <row r="3963" spans="2:8" x14ac:dyDescent="0.3">
      <c r="B3963" s="4">
        <v>38527</v>
      </c>
      <c r="C3963" s="7">
        <v>32.11</v>
      </c>
      <c r="D3963" s="6">
        <f t="shared" si="126"/>
        <v>-0.22138700290979638</v>
      </c>
      <c r="E3963" s="6">
        <v>-4.3410852713178473E-3</v>
      </c>
      <c r="F3963" s="6"/>
      <c r="G3963" s="6">
        <v>3956</v>
      </c>
      <c r="H3963" s="6">
        <f t="shared" ca="1" si="127"/>
        <v>7.5929552799250876E-3</v>
      </c>
    </row>
    <row r="3964" spans="2:8" x14ac:dyDescent="0.3">
      <c r="B3964" s="4">
        <v>38666</v>
      </c>
      <c r="C3964" s="7">
        <v>41.24</v>
      </c>
      <c r="D3964" s="6">
        <f t="shared" si="126"/>
        <v>-0.96600136851911389</v>
      </c>
      <c r="E3964" s="6">
        <v>-4.3457267020762845E-3</v>
      </c>
      <c r="F3964" s="6"/>
      <c r="G3964" s="6">
        <v>3957</v>
      </c>
      <c r="H3964" s="6">
        <f t="shared" ca="1" si="127"/>
        <v>2.1094742816244526E-2</v>
      </c>
    </row>
    <row r="3965" spans="2:8" x14ac:dyDescent="0.3">
      <c r="B3965" s="4">
        <v>43250</v>
      </c>
      <c r="C3965" s="5">
        <v>1212.99</v>
      </c>
      <c r="D3965" s="6">
        <f t="shared" si="126"/>
        <v>0.13447311566483663</v>
      </c>
      <c r="E3965" s="6">
        <v>-4.3503599307225327E-3</v>
      </c>
      <c r="F3965" s="6"/>
      <c r="G3965" s="6">
        <v>3958</v>
      </c>
      <c r="H3965" s="6">
        <f t="shared" ca="1" si="127"/>
        <v>1.1821788134603765E-2</v>
      </c>
    </row>
    <row r="3966" spans="2:8" x14ac:dyDescent="0.3">
      <c r="B3966" s="4">
        <v>42898</v>
      </c>
      <c r="C3966" s="5">
        <v>1069.21</v>
      </c>
      <c r="D3966" s="6">
        <f t="shared" si="126"/>
        <v>1.5035356373513162</v>
      </c>
      <c r="E3966" s="6">
        <v>-4.3672595213707557E-3</v>
      </c>
      <c r="F3966" s="6"/>
      <c r="G3966" s="6">
        <v>3959</v>
      </c>
      <c r="H3966" s="6">
        <f t="shared" ca="1" si="127"/>
        <v>-1.0656644200831003E-2</v>
      </c>
    </row>
    <row r="3967" spans="2:8" x14ac:dyDescent="0.3">
      <c r="B3967" s="4">
        <v>41369</v>
      </c>
      <c r="C3967" s="7">
        <v>427.08</v>
      </c>
      <c r="D3967" s="6">
        <f t="shared" si="126"/>
        <v>0.84459897205545709</v>
      </c>
      <c r="E3967" s="6">
        <v>-4.3826930249906649E-3</v>
      </c>
      <c r="F3967" s="6"/>
      <c r="G3967" s="6">
        <v>3960</v>
      </c>
      <c r="H3967" s="6">
        <f t="shared" ca="1" si="127"/>
        <v>-1.8092781208416637E-2</v>
      </c>
    </row>
    <row r="3968" spans="2:8" x14ac:dyDescent="0.3">
      <c r="B3968" s="4">
        <v>40494</v>
      </c>
      <c r="C3968" s="7">
        <v>231.53</v>
      </c>
      <c r="D3968" s="6">
        <f t="shared" si="126"/>
        <v>-0.43859266264154606</v>
      </c>
      <c r="E3968" s="6">
        <v>-4.3861535153730822E-3</v>
      </c>
      <c r="F3968" s="6"/>
      <c r="G3968" s="6">
        <v>3961</v>
      </c>
      <c r="H3968" s="6">
        <f t="shared" ca="1" si="127"/>
        <v>-1.7527883629750062E-2</v>
      </c>
    </row>
    <row r="3969" spans="2:8" x14ac:dyDescent="0.3">
      <c r="B3969" s="4">
        <v>41312</v>
      </c>
      <c r="C3969" s="7">
        <v>412.41</v>
      </c>
      <c r="D3969" s="6">
        <f t="shared" si="126"/>
        <v>-0.63641573142670738</v>
      </c>
      <c r="E3969" s="6">
        <v>-4.3936943244091281E-3</v>
      </c>
      <c r="F3969" s="6"/>
      <c r="G3969" s="6">
        <v>3962</v>
      </c>
      <c r="H3969" s="6">
        <f t="shared" ca="1" si="127"/>
        <v>-4.0752505154696764E-3</v>
      </c>
    </row>
    <row r="3970" spans="2:8" x14ac:dyDescent="0.3">
      <c r="B3970" s="4">
        <v>43228</v>
      </c>
      <c r="C3970" s="5">
        <v>1134.29</v>
      </c>
      <c r="D3970" s="6">
        <f t="shared" si="126"/>
        <v>3.3197882550079978</v>
      </c>
      <c r="E3970" s="6">
        <v>-4.3974370227332499E-3</v>
      </c>
      <c r="F3970" s="6"/>
      <c r="G3970" s="6">
        <v>3963</v>
      </c>
      <c r="H3970" s="6">
        <f t="shared" ca="1" si="127"/>
        <v>-1.8487946536048291E-2</v>
      </c>
    </row>
    <row r="3971" spans="2:8" x14ac:dyDescent="0.3">
      <c r="B3971" s="4">
        <v>40689</v>
      </c>
      <c r="C3971" s="7">
        <v>262.58</v>
      </c>
      <c r="D3971" s="6">
        <f t="shared" si="126"/>
        <v>-0.75146002328465022</v>
      </c>
      <c r="E3971" s="6">
        <v>-4.3982710244939143E-3</v>
      </c>
      <c r="F3971" s="6"/>
      <c r="G3971" s="6">
        <v>3964</v>
      </c>
      <c r="H3971" s="6">
        <f t="shared" ca="1" si="127"/>
        <v>-3.0974512271539821E-2</v>
      </c>
    </row>
    <row r="3972" spans="2:8" x14ac:dyDescent="0.3">
      <c r="B3972" s="4">
        <v>42969</v>
      </c>
      <c r="C3972" s="5">
        <v>1056.49</v>
      </c>
      <c r="D3972" s="6">
        <f t="shared" si="126"/>
        <v>35.094636146224808</v>
      </c>
      <c r="E3972" s="6">
        <v>-4.4102264481657638E-3</v>
      </c>
      <c r="F3972" s="6"/>
      <c r="G3972" s="6">
        <v>3965</v>
      </c>
      <c r="H3972" s="6">
        <f t="shared" ca="1" si="127"/>
        <v>-2.4870331429692871E-3</v>
      </c>
    </row>
    <row r="3973" spans="2:8" x14ac:dyDescent="0.3">
      <c r="B3973" s="4">
        <v>38474</v>
      </c>
      <c r="C3973" s="7">
        <v>29.27</v>
      </c>
      <c r="D3973" s="6">
        <f t="shared" si="126"/>
        <v>-0.87241740040101123</v>
      </c>
      <c r="E3973" s="6">
        <v>-4.4217687074829598E-3</v>
      </c>
      <c r="F3973" s="6"/>
      <c r="G3973" s="6">
        <v>3966</v>
      </c>
      <c r="H3973" s="6">
        <f t="shared" ca="1" si="127"/>
        <v>-1.3613186971491076E-3</v>
      </c>
    </row>
    <row r="3974" spans="2:8" x14ac:dyDescent="0.3">
      <c r="B3974" s="4">
        <v>40473</v>
      </c>
      <c r="C3974" s="7">
        <v>229.42</v>
      </c>
      <c r="D3974" s="6">
        <f t="shared" si="126"/>
        <v>-0.78831887802177525</v>
      </c>
      <c r="E3974" s="6">
        <v>-4.426314875889647E-3</v>
      </c>
      <c r="F3974" s="6"/>
      <c r="G3974" s="6">
        <v>3967</v>
      </c>
      <c r="H3974" s="6">
        <f t="shared" ca="1" si="127"/>
        <v>9.1306877564323041E-3</v>
      </c>
    </row>
    <row r="3975" spans="2:8" x14ac:dyDescent="0.3">
      <c r="B3975" s="4">
        <v>42662</v>
      </c>
      <c r="C3975" s="5">
        <v>1083.8</v>
      </c>
      <c r="D3975" s="6">
        <f t="shared" si="126"/>
        <v>-0.64452403677428027</v>
      </c>
      <c r="E3975" s="6">
        <v>-4.4276239642850003E-3</v>
      </c>
      <c r="F3975" s="6"/>
      <c r="G3975" s="6">
        <v>3968</v>
      </c>
      <c r="H3975" s="6">
        <f t="shared" ca="1" si="127"/>
        <v>-2.0893399511374887E-2</v>
      </c>
    </row>
    <row r="3976" spans="2:8" x14ac:dyDescent="0.3">
      <c r="B3976" s="4">
        <v>44489</v>
      </c>
      <c r="C3976" s="5">
        <v>3048.87</v>
      </c>
      <c r="D3976" s="6">
        <f t="shared" ref="D3976:D4039" si="128">((C3976-C3977)/C3977)</f>
        <v>-8.9846082200941008E-2</v>
      </c>
      <c r="E3976" s="6">
        <v>-4.4441106554165668E-3</v>
      </c>
      <c r="F3976" s="6"/>
      <c r="G3976" s="6">
        <v>3969</v>
      </c>
      <c r="H3976" s="6">
        <f t="shared" ca="1" si="127"/>
        <v>1.7317220710696341E-3</v>
      </c>
    </row>
    <row r="3977" spans="2:8" x14ac:dyDescent="0.3">
      <c r="B3977" s="4">
        <v>44781</v>
      </c>
      <c r="C3977" s="5">
        <v>3349.84</v>
      </c>
      <c r="D3977" s="6">
        <f t="shared" si="128"/>
        <v>61.50867699197611</v>
      </c>
      <c r="E3977" s="6">
        <v>-4.4460294816928304E-3</v>
      </c>
      <c r="F3977" s="6"/>
      <c r="G3977" s="6">
        <v>3970</v>
      </c>
      <c r="H3977" s="6">
        <f t="shared" ref="H3977:H4040" ca="1" si="129">_xlfn.NORM.INV(RAND(),N$10,N$11)</f>
        <v>6.317613273716602E-3</v>
      </c>
    </row>
    <row r="3978" spans="2:8" x14ac:dyDescent="0.3">
      <c r="B3978" s="4">
        <v>38768</v>
      </c>
      <c r="C3978" s="7">
        <v>53.59</v>
      </c>
      <c r="D3978" s="6">
        <f t="shared" si="128"/>
        <v>-0.95417268832468216</v>
      </c>
      <c r="E3978" s="6">
        <v>-4.4584804012631415E-3</v>
      </c>
      <c r="F3978" s="6"/>
      <c r="G3978" s="6">
        <v>3971</v>
      </c>
      <c r="H3978" s="6">
        <f t="shared" ca="1" si="129"/>
        <v>-3.3461551757040617E-2</v>
      </c>
    </row>
    <row r="3979" spans="2:8" x14ac:dyDescent="0.3">
      <c r="B3979" s="4">
        <v>43410</v>
      </c>
      <c r="C3979" s="5">
        <v>1169.3900000000001</v>
      </c>
      <c r="D3979" s="6">
        <f t="shared" si="128"/>
        <v>-8.8159382432063588E-2</v>
      </c>
      <c r="E3979" s="6">
        <v>-4.4609792019614757E-3</v>
      </c>
      <c r="F3979" s="6"/>
      <c r="G3979" s="6">
        <v>3972</v>
      </c>
      <c r="H3979" s="6">
        <f t="shared" ca="1" si="129"/>
        <v>-4.6524924534214005E-3</v>
      </c>
    </row>
    <row r="3980" spans="2:8" x14ac:dyDescent="0.3">
      <c r="B3980" s="4">
        <v>43614</v>
      </c>
      <c r="C3980" s="5">
        <v>1282.45</v>
      </c>
      <c r="D3980" s="6">
        <f t="shared" si="128"/>
        <v>-0.44731273622106621</v>
      </c>
      <c r="E3980" s="6">
        <v>-4.4713206697665677E-3</v>
      </c>
      <c r="F3980" s="6"/>
      <c r="G3980" s="6">
        <v>3973</v>
      </c>
      <c r="H3980" s="6">
        <f t="shared" ca="1" si="129"/>
        <v>1.0340465427963292E-2</v>
      </c>
    </row>
    <row r="3981" spans="2:8" x14ac:dyDescent="0.3">
      <c r="B3981" s="4">
        <v>45644</v>
      </c>
      <c r="C3981" s="5">
        <v>2320.39</v>
      </c>
      <c r="D3981" s="6">
        <f t="shared" si="128"/>
        <v>93.903476482617592</v>
      </c>
      <c r="E3981" s="6">
        <v>-4.4748200204221223E-3</v>
      </c>
      <c r="F3981" s="6"/>
      <c r="G3981" s="6">
        <v>3974</v>
      </c>
      <c r="H3981" s="6">
        <f t="shared" ca="1" si="129"/>
        <v>-1.3194775076843847E-3</v>
      </c>
    </row>
    <row r="3982" spans="2:8" x14ac:dyDescent="0.3">
      <c r="B3982" s="4">
        <v>38180</v>
      </c>
      <c r="C3982" s="7">
        <v>24.45</v>
      </c>
      <c r="D3982" s="6">
        <f t="shared" si="128"/>
        <v>-0.99053283306422579</v>
      </c>
      <c r="E3982" s="6">
        <v>-4.4788273615634948E-3</v>
      </c>
      <c r="F3982" s="6"/>
      <c r="G3982" s="6">
        <v>3975</v>
      </c>
      <c r="H3982" s="6">
        <f t="shared" ca="1" si="129"/>
        <v>-2.2148975733154525E-2</v>
      </c>
    </row>
    <row r="3983" spans="2:8" x14ac:dyDescent="0.3">
      <c r="B3983" s="4">
        <v>44734</v>
      </c>
      <c r="C3983" s="5">
        <v>2582.61</v>
      </c>
      <c r="D3983" s="6">
        <f t="shared" si="128"/>
        <v>-0.11784356522897517</v>
      </c>
      <c r="E3983" s="6">
        <v>-4.4830085111630591E-3</v>
      </c>
      <c r="F3983" s="6"/>
      <c r="G3983" s="6">
        <v>3976</v>
      </c>
      <c r="H3983" s="6">
        <f t="shared" ca="1" si="129"/>
        <v>4.2641640167806593E-3</v>
      </c>
    </row>
    <row r="3984" spans="2:8" x14ac:dyDescent="0.3">
      <c r="B3984" s="4">
        <v>44693</v>
      </c>
      <c r="C3984" s="5">
        <v>2927.61</v>
      </c>
      <c r="D3984" s="6">
        <f t="shared" si="128"/>
        <v>9.8121653063485628</v>
      </c>
      <c r="E3984" s="6">
        <v>-4.4851741022851107E-3</v>
      </c>
      <c r="F3984" s="6"/>
      <c r="G3984" s="6">
        <v>3977</v>
      </c>
      <c r="H3984" s="6">
        <f t="shared" ca="1" si="129"/>
        <v>-2.1544988988058487E-2</v>
      </c>
    </row>
    <row r="3985" spans="2:8" x14ac:dyDescent="0.3">
      <c r="B3985" s="4">
        <v>40956</v>
      </c>
      <c r="C3985" s="7">
        <v>270.77</v>
      </c>
      <c r="D3985" s="6">
        <f t="shared" si="128"/>
        <v>-0.91852375650708629</v>
      </c>
      <c r="E3985" s="6">
        <v>-4.485459024228932E-3</v>
      </c>
      <c r="F3985" s="6"/>
      <c r="G3985" s="6">
        <v>3978</v>
      </c>
      <c r="H3985" s="6">
        <f t="shared" ca="1" si="129"/>
        <v>1.2059554056093179E-2</v>
      </c>
    </row>
    <row r="3986" spans="2:8" x14ac:dyDescent="0.3">
      <c r="B3986" s="4">
        <v>44806</v>
      </c>
      <c r="C3986" s="5">
        <v>3323.3</v>
      </c>
      <c r="D3986" s="6">
        <f t="shared" si="128"/>
        <v>165.91612255148169</v>
      </c>
      <c r="E3986" s="6">
        <v>-4.4962870434440668E-3</v>
      </c>
      <c r="F3986" s="6"/>
      <c r="G3986" s="6">
        <v>3979</v>
      </c>
      <c r="H3986" s="6">
        <f t="shared" ca="1" si="129"/>
        <v>-4.7544264943475932E-3</v>
      </c>
    </row>
    <row r="3987" spans="2:8" x14ac:dyDescent="0.3">
      <c r="B3987" s="4">
        <v>37826</v>
      </c>
      <c r="C3987" s="7">
        <v>19.91</v>
      </c>
      <c r="D3987" s="6">
        <f t="shared" si="128"/>
        <v>-0.98125076513075493</v>
      </c>
      <c r="E3987" s="6">
        <v>-4.4999999999999927E-3</v>
      </c>
      <c r="F3987" s="6"/>
      <c r="G3987" s="6">
        <v>3980</v>
      </c>
      <c r="H3987" s="6">
        <f t="shared" ca="1" si="129"/>
        <v>-1.7565703403438233E-2</v>
      </c>
    </row>
    <row r="3988" spans="2:8" x14ac:dyDescent="0.3">
      <c r="B3988" s="4">
        <v>42871</v>
      </c>
      <c r="C3988" s="5">
        <v>1061.9100000000001</v>
      </c>
      <c r="D3988" s="6">
        <f t="shared" si="128"/>
        <v>-0.57535490062782413</v>
      </c>
      <c r="E3988" s="6">
        <v>-4.5278137128071765E-3</v>
      </c>
      <c r="F3988" s="6"/>
      <c r="G3988" s="6">
        <v>3981</v>
      </c>
      <c r="H3988" s="6">
        <f t="shared" ca="1" si="129"/>
        <v>1.3595080192270133E-2</v>
      </c>
    </row>
    <row r="3989" spans="2:8" x14ac:dyDescent="0.3">
      <c r="B3989" s="4">
        <v>45951</v>
      </c>
      <c r="C3989" s="5">
        <v>2500.6999999999998</v>
      </c>
      <c r="D3989" s="6">
        <f t="shared" si="128"/>
        <v>0.93438844023639334</v>
      </c>
      <c r="E3989" s="6">
        <v>-4.5301105060348837E-3</v>
      </c>
      <c r="F3989" s="6"/>
      <c r="G3989" s="6">
        <v>3982</v>
      </c>
      <c r="H3989" s="6">
        <f t="shared" ca="1" si="129"/>
        <v>9.07072395001891E-3</v>
      </c>
    </row>
    <row r="3990" spans="2:8" x14ac:dyDescent="0.3">
      <c r="B3990" s="4">
        <v>43343</v>
      </c>
      <c r="C3990" s="5">
        <v>1292.76</v>
      </c>
      <c r="D3990" s="6">
        <f t="shared" si="128"/>
        <v>-0.37811601035222586</v>
      </c>
      <c r="E3990" s="6">
        <v>-4.5354791514265582E-3</v>
      </c>
      <c r="F3990" s="6"/>
      <c r="G3990" s="6">
        <v>3983</v>
      </c>
      <c r="H3990" s="6">
        <f t="shared" ca="1" si="129"/>
        <v>2.84233720791351E-2</v>
      </c>
    </row>
    <row r="3991" spans="2:8" x14ac:dyDescent="0.3">
      <c r="B3991" s="4">
        <v>44147</v>
      </c>
      <c r="C3991" s="5">
        <v>2078.7800000000002</v>
      </c>
      <c r="D3991" s="6">
        <f t="shared" si="128"/>
        <v>2.7221436373077408</v>
      </c>
      <c r="E3991" s="6">
        <v>-4.5396646011512058E-3</v>
      </c>
      <c r="F3991" s="6"/>
      <c r="G3991" s="6">
        <v>3984</v>
      </c>
      <c r="H3991" s="6">
        <f t="shared" ca="1" si="129"/>
        <v>-1.2377974142692975E-2</v>
      </c>
    </row>
    <row r="3992" spans="2:8" x14ac:dyDescent="0.3">
      <c r="B3992" s="4">
        <v>41871</v>
      </c>
      <c r="C3992" s="7">
        <v>558.49</v>
      </c>
      <c r="D3992" s="6">
        <f t="shared" si="128"/>
        <v>-0.74675789893713496</v>
      </c>
      <c r="E3992" s="6">
        <v>-4.5451304719805264E-3</v>
      </c>
      <c r="F3992" s="6"/>
      <c r="G3992" s="6">
        <v>3985</v>
      </c>
      <c r="H3992" s="6">
        <f t="shared" ca="1" si="129"/>
        <v>1.2516441006572821E-4</v>
      </c>
    </row>
    <row r="3993" spans="2:8" x14ac:dyDescent="0.3">
      <c r="B3993" s="4">
        <v>45819</v>
      </c>
      <c r="C3993" s="5">
        <v>2205.36</v>
      </c>
      <c r="D3993" s="6">
        <f t="shared" si="128"/>
        <v>-0.213365958752149</v>
      </c>
      <c r="E3993" s="6">
        <v>-4.5498862528436457E-3</v>
      </c>
      <c r="F3993" s="6"/>
      <c r="G3993" s="6">
        <v>3986</v>
      </c>
      <c r="H3993" s="6">
        <f t="shared" ca="1" si="129"/>
        <v>6.5278815746099179E-3</v>
      </c>
    </row>
    <row r="3994" spans="2:8" x14ac:dyDescent="0.3">
      <c r="B3994" s="4">
        <v>45426</v>
      </c>
      <c r="C3994" s="5">
        <v>2803.54</v>
      </c>
      <c r="D3994" s="6">
        <f t="shared" si="128"/>
        <v>4.3025041609925854</v>
      </c>
      <c r="E3994" s="6">
        <v>-4.5519748895738342E-3</v>
      </c>
      <c r="F3994" s="6"/>
      <c r="G3994" s="6">
        <v>3987</v>
      </c>
      <c r="H3994" s="6">
        <f t="shared" ca="1" si="129"/>
        <v>-1.5422447017284702E-3</v>
      </c>
    </row>
    <row r="3995" spans="2:8" x14ac:dyDescent="0.3">
      <c r="B3995" s="4">
        <v>41836</v>
      </c>
      <c r="C3995" s="7">
        <v>528.72</v>
      </c>
      <c r="D3995" s="6">
        <f t="shared" si="128"/>
        <v>-0.81687574899037829</v>
      </c>
      <c r="E3995" s="6">
        <v>-4.5562375268290078E-3</v>
      </c>
      <c r="F3995" s="6"/>
      <c r="G3995" s="6">
        <v>3988</v>
      </c>
      <c r="H3995" s="6">
        <f t="shared" ca="1" si="129"/>
        <v>-3.4285540301777729E-3</v>
      </c>
    </row>
    <row r="3996" spans="2:8" x14ac:dyDescent="0.3">
      <c r="B3996" s="4">
        <v>44426</v>
      </c>
      <c r="C3996" s="5">
        <v>2887.22</v>
      </c>
      <c r="D3996" s="6">
        <f t="shared" si="128"/>
        <v>119.35097957482286</v>
      </c>
      <c r="E3996" s="6">
        <v>-4.5613611680946128E-3</v>
      </c>
      <c r="F3996" s="6"/>
      <c r="G3996" s="6">
        <v>3989</v>
      </c>
      <c r="H3996" s="6">
        <f t="shared" ca="1" si="129"/>
        <v>1.2428871826404325E-2</v>
      </c>
    </row>
    <row r="3997" spans="2:8" x14ac:dyDescent="0.3">
      <c r="B3997" s="4">
        <v>38068</v>
      </c>
      <c r="C3997" s="7">
        <v>23.99</v>
      </c>
      <c r="D3997" s="6">
        <f t="shared" si="128"/>
        <v>-0.98938598897452468</v>
      </c>
      <c r="E3997" s="6">
        <v>-4.5643153526972189E-3</v>
      </c>
      <c r="F3997" s="6"/>
      <c r="G3997" s="6">
        <v>3990</v>
      </c>
      <c r="H3997" s="6">
        <f t="shared" ca="1" si="129"/>
        <v>1.5986377525943854E-2</v>
      </c>
    </row>
    <row r="3998" spans="2:8" x14ac:dyDescent="0.3">
      <c r="B3998" s="4">
        <v>44251</v>
      </c>
      <c r="C3998" s="5">
        <v>2260.2199999999998</v>
      </c>
      <c r="D3998" s="6">
        <f t="shared" si="128"/>
        <v>2.276583407025123</v>
      </c>
      <c r="E3998" s="6">
        <v>-4.5714789042544304E-3</v>
      </c>
      <c r="F3998" s="6"/>
      <c r="G3998" s="6">
        <v>3991</v>
      </c>
      <c r="H3998" s="6">
        <f t="shared" ca="1" si="129"/>
        <v>1.5437242592745931E-2</v>
      </c>
    </row>
    <row r="3999" spans="2:8" x14ac:dyDescent="0.3">
      <c r="B3999" s="4">
        <v>42180</v>
      </c>
      <c r="C3999" s="7">
        <v>689.81</v>
      </c>
      <c r="D3999" s="6">
        <f t="shared" si="128"/>
        <v>-0.68728438212587328</v>
      </c>
      <c r="E3999" s="6">
        <v>-4.5744465929753713E-3</v>
      </c>
      <c r="F3999" s="6"/>
      <c r="G3999" s="6">
        <v>3992</v>
      </c>
      <c r="H3999" s="6">
        <f t="shared" ca="1" si="129"/>
        <v>2.303831860021965E-2</v>
      </c>
    </row>
    <row r="4000" spans="2:8" x14ac:dyDescent="0.3">
      <c r="B4000" s="4">
        <v>45672</v>
      </c>
      <c r="C4000" s="5">
        <v>2205.87</v>
      </c>
      <c r="D4000" s="6">
        <f t="shared" si="128"/>
        <v>91.218645484949818</v>
      </c>
      <c r="E4000" s="6">
        <v>-4.5757916254892022E-3</v>
      </c>
      <c r="F4000" s="6"/>
      <c r="G4000" s="6">
        <v>3993</v>
      </c>
      <c r="H4000" s="6">
        <f t="shared" ca="1" si="129"/>
        <v>-1.9940959618481163E-2</v>
      </c>
    </row>
    <row r="4001" spans="2:8" x14ac:dyDescent="0.3">
      <c r="B4001" s="4">
        <v>38070</v>
      </c>
      <c r="C4001" s="7">
        <v>23.92</v>
      </c>
      <c r="D4001" s="6">
        <f t="shared" si="128"/>
        <v>-0.97760215738417167</v>
      </c>
      <c r="E4001" s="6">
        <v>-4.5776113191843288E-3</v>
      </c>
      <c r="F4001" s="6"/>
      <c r="G4001" s="6">
        <v>3994</v>
      </c>
      <c r="H4001" s="6">
        <f t="shared" ca="1" si="129"/>
        <v>1.6513470626404216E-2</v>
      </c>
    </row>
    <row r="4002" spans="2:8" x14ac:dyDescent="0.3">
      <c r="B4002" s="4">
        <v>43145</v>
      </c>
      <c r="C4002" s="5">
        <v>1067.96</v>
      </c>
      <c r="D4002" s="6">
        <f t="shared" si="128"/>
        <v>0.51464352068530261</v>
      </c>
      <c r="E4002" s="6">
        <v>-4.5857877861457683E-3</v>
      </c>
      <c r="F4002" s="6"/>
      <c r="G4002" s="6">
        <v>3995</v>
      </c>
      <c r="H4002" s="6">
        <f t="shared" ca="1" si="129"/>
        <v>-2.3003170955176067E-2</v>
      </c>
    </row>
    <row r="4003" spans="2:8" x14ac:dyDescent="0.3">
      <c r="B4003" s="4">
        <v>42144</v>
      </c>
      <c r="C4003" s="7">
        <v>705.09</v>
      </c>
      <c r="D4003" s="6">
        <f t="shared" si="128"/>
        <v>1.9618163488196254</v>
      </c>
      <c r="E4003" s="6">
        <v>-4.5881921111330711E-3</v>
      </c>
      <c r="F4003" s="6"/>
      <c r="G4003" s="6">
        <v>3996</v>
      </c>
      <c r="H4003" s="6">
        <f t="shared" ca="1" si="129"/>
        <v>-1.3717350119934238E-2</v>
      </c>
    </row>
    <row r="4004" spans="2:8" x14ac:dyDescent="0.3">
      <c r="B4004" s="4">
        <v>40556</v>
      </c>
      <c r="C4004" s="7">
        <v>238.06</v>
      </c>
      <c r="D4004" s="6">
        <f t="shared" si="128"/>
        <v>7.8658812868146868E-2</v>
      </c>
      <c r="E4004" s="6">
        <v>-4.5994313430339287E-3</v>
      </c>
      <c r="F4004" s="6"/>
      <c r="G4004" s="6">
        <v>3997</v>
      </c>
      <c r="H4004" s="6">
        <f t="shared" ca="1" si="129"/>
        <v>-2.6532115004635964E-2</v>
      </c>
    </row>
    <row r="4005" spans="2:8" x14ac:dyDescent="0.3">
      <c r="B4005" s="4">
        <v>40631</v>
      </c>
      <c r="C4005" s="7">
        <v>220.7</v>
      </c>
      <c r="D4005" s="6">
        <f t="shared" si="128"/>
        <v>0.24555561826288161</v>
      </c>
      <c r="E4005" s="6">
        <v>-4.6003968969872376E-3</v>
      </c>
      <c r="F4005" s="6"/>
      <c r="G4005" s="6">
        <v>3998</v>
      </c>
      <c r="H4005" s="6">
        <f t="shared" ca="1" si="129"/>
        <v>-7.2191542751645563E-3</v>
      </c>
    </row>
    <row r="4006" spans="2:8" x14ac:dyDescent="0.3">
      <c r="B4006" s="4">
        <v>40287</v>
      </c>
      <c r="C4006" s="7">
        <v>177.19</v>
      </c>
      <c r="D4006" s="6">
        <f t="shared" si="128"/>
        <v>-0.84094112155405343</v>
      </c>
      <c r="E4006" s="6">
        <v>-4.6064827818661494E-3</v>
      </c>
      <c r="F4006" s="6"/>
      <c r="G4006" s="6">
        <v>3999</v>
      </c>
      <c r="H4006" s="6">
        <f t="shared" ca="1" si="129"/>
        <v>-1.4523246480430482E-2</v>
      </c>
    </row>
    <row r="4007" spans="2:8" x14ac:dyDescent="0.3">
      <c r="B4007" s="4">
        <v>43118</v>
      </c>
      <c r="C4007" s="5">
        <v>1113.99</v>
      </c>
      <c r="D4007" s="6">
        <f t="shared" si="128"/>
        <v>-0.55036265958434416</v>
      </c>
      <c r="E4007" s="6">
        <v>-4.6106420050932235E-3</v>
      </c>
      <c r="F4007" s="6"/>
      <c r="G4007" s="6">
        <v>4000</v>
      </c>
      <c r="H4007" s="6">
        <f t="shared" ca="1" si="129"/>
        <v>6.30808710594027E-3</v>
      </c>
    </row>
    <row r="4008" spans="2:8" x14ac:dyDescent="0.3">
      <c r="B4008" s="4">
        <v>45895</v>
      </c>
      <c r="C4008" s="5">
        <v>2477.5300000000002</v>
      </c>
      <c r="D4008" s="6">
        <f t="shared" si="128"/>
        <v>0.86298660771353619</v>
      </c>
      <c r="E4008" s="6">
        <v>-4.6162746783873897E-3</v>
      </c>
      <c r="F4008" s="6"/>
      <c r="G4008" s="6">
        <v>4001</v>
      </c>
      <c r="H4008" s="6">
        <f t="shared" ca="1" si="129"/>
        <v>1.0027687413865701E-2</v>
      </c>
    </row>
    <row r="4009" spans="2:8" x14ac:dyDescent="0.3">
      <c r="B4009" s="4">
        <v>43315</v>
      </c>
      <c r="C4009" s="5">
        <v>1329.87</v>
      </c>
      <c r="D4009" s="6">
        <f t="shared" si="128"/>
        <v>-0.46570537802026507</v>
      </c>
      <c r="E4009" s="6">
        <v>-4.6181252058322157E-3</v>
      </c>
      <c r="F4009" s="6"/>
      <c r="G4009" s="6">
        <v>4002</v>
      </c>
      <c r="H4009" s="6">
        <f t="shared" ca="1" si="129"/>
        <v>3.7828772953841716E-3</v>
      </c>
    </row>
    <row r="4010" spans="2:8" x14ac:dyDescent="0.3">
      <c r="B4010" s="4">
        <v>45894</v>
      </c>
      <c r="C4010" s="5">
        <v>2489.02</v>
      </c>
      <c r="D4010" s="6">
        <f t="shared" si="128"/>
        <v>9.9638798343758257</v>
      </c>
      <c r="E4010" s="6">
        <v>-4.6308885867391535E-3</v>
      </c>
      <c r="F4010" s="6"/>
      <c r="G4010" s="6">
        <v>4003</v>
      </c>
      <c r="H4010" s="6">
        <f t="shared" ca="1" si="129"/>
        <v>1.7476302039074625E-2</v>
      </c>
    </row>
    <row r="4011" spans="2:8" x14ac:dyDescent="0.3">
      <c r="B4011" s="4">
        <v>40589</v>
      </c>
      <c r="C4011" s="7">
        <v>227.02</v>
      </c>
      <c r="D4011" s="6">
        <f t="shared" si="128"/>
        <v>-0.82740846612334262</v>
      </c>
      <c r="E4011" s="6">
        <v>-4.6474921080322789E-3</v>
      </c>
      <c r="F4011" s="6"/>
      <c r="G4011" s="6">
        <v>4004</v>
      </c>
      <c r="H4011" s="6">
        <f t="shared" ca="1" si="129"/>
        <v>-2.0449724475427401E-2</v>
      </c>
    </row>
    <row r="4012" spans="2:8" x14ac:dyDescent="0.3">
      <c r="B4012" s="4">
        <v>43301</v>
      </c>
      <c r="C4012" s="5">
        <v>1315.36</v>
      </c>
      <c r="D4012" s="6">
        <f t="shared" si="128"/>
        <v>-0.50784611585461681</v>
      </c>
      <c r="E4012" s="6">
        <v>-4.6688308248772807E-3</v>
      </c>
      <c r="F4012" s="6"/>
      <c r="G4012" s="6">
        <v>4005</v>
      </c>
      <c r="H4012" s="6">
        <f t="shared" ca="1" si="129"/>
        <v>-3.7731594200092582E-2</v>
      </c>
    </row>
    <row r="4013" spans="2:8" x14ac:dyDescent="0.3">
      <c r="B4013" s="4">
        <v>44203</v>
      </c>
      <c r="C4013" s="5">
        <v>2672.66</v>
      </c>
      <c r="D4013" s="6">
        <f t="shared" si="128"/>
        <v>34.840954807563364</v>
      </c>
      <c r="E4013" s="6">
        <v>-4.6700431997616434E-3</v>
      </c>
      <c r="F4013" s="6"/>
      <c r="G4013" s="6">
        <v>4006</v>
      </c>
      <c r="H4013" s="6">
        <f t="shared" ca="1" si="129"/>
        <v>-6.9001765749148753E-3</v>
      </c>
    </row>
    <row r="4014" spans="2:8" x14ac:dyDescent="0.3">
      <c r="B4014" s="4">
        <v>39805</v>
      </c>
      <c r="C4014" s="7">
        <v>74.569999999999993</v>
      </c>
      <c r="D4014" s="6">
        <f t="shared" si="128"/>
        <v>-0.29889056036103806</v>
      </c>
      <c r="E4014" s="6">
        <v>-4.6716497597438407E-3</v>
      </c>
      <c r="F4014" s="6"/>
      <c r="G4014" s="6">
        <v>4007</v>
      </c>
      <c r="H4014" s="6">
        <f t="shared" ca="1" si="129"/>
        <v>5.2689065288250769E-3</v>
      </c>
    </row>
    <row r="4015" spans="2:8" x14ac:dyDescent="0.3">
      <c r="B4015" s="4">
        <v>39617</v>
      </c>
      <c r="C4015" s="7">
        <v>106.36</v>
      </c>
      <c r="D4015" s="6">
        <f t="shared" si="128"/>
        <v>1.0052790346907994</v>
      </c>
      <c r="E4015" s="6">
        <v>-4.6790192775594238E-3</v>
      </c>
      <c r="F4015" s="6"/>
      <c r="G4015" s="6">
        <v>4008</v>
      </c>
      <c r="H4015" s="6">
        <f t="shared" ca="1" si="129"/>
        <v>-1.0636493625874974E-2</v>
      </c>
    </row>
    <row r="4016" spans="2:8" x14ac:dyDescent="0.3">
      <c r="B4016" s="4">
        <v>38789</v>
      </c>
      <c r="C4016" s="7">
        <v>53.04</v>
      </c>
      <c r="D4016" s="6">
        <f t="shared" si="128"/>
        <v>-0.98034434455207786</v>
      </c>
      <c r="E4016" s="6">
        <v>-4.6913116907487335E-3</v>
      </c>
      <c r="F4016" s="6"/>
      <c r="G4016" s="6">
        <v>4009</v>
      </c>
      <c r="H4016" s="6">
        <f t="shared" ca="1" si="129"/>
        <v>5.0155575855341944E-3</v>
      </c>
    </row>
    <row r="4017" spans="2:8" x14ac:dyDescent="0.3">
      <c r="B4017" s="4">
        <v>44340</v>
      </c>
      <c r="C4017" s="5">
        <v>2698.46</v>
      </c>
      <c r="D4017" s="6">
        <f t="shared" si="128"/>
        <v>114.81373390557938</v>
      </c>
      <c r="E4017" s="6">
        <v>-4.6953551761403731E-3</v>
      </c>
      <c r="F4017" s="6"/>
      <c r="G4017" s="6">
        <v>4010</v>
      </c>
      <c r="H4017" s="6">
        <f t="shared" ca="1" si="129"/>
        <v>5.9671360277133434E-3</v>
      </c>
    </row>
    <row r="4018" spans="2:8" x14ac:dyDescent="0.3">
      <c r="B4018" s="4">
        <v>37881</v>
      </c>
      <c r="C4018" s="7">
        <v>23.3</v>
      </c>
      <c r="D4018" s="6">
        <f t="shared" si="128"/>
        <v>-0.99202431727471252</v>
      </c>
      <c r="E4018" s="6">
        <v>-4.6988466467321414E-3</v>
      </c>
      <c r="F4018" s="6"/>
      <c r="G4018" s="6">
        <v>4011</v>
      </c>
      <c r="H4018" s="6">
        <f t="shared" ca="1" si="129"/>
        <v>4.2975121988107689E-3</v>
      </c>
    </row>
    <row r="4019" spans="2:8" x14ac:dyDescent="0.3">
      <c r="B4019" s="4">
        <v>45590</v>
      </c>
      <c r="C4019" s="5">
        <v>2921.38</v>
      </c>
      <c r="D4019" s="6">
        <f t="shared" si="128"/>
        <v>172.0675355450237</v>
      </c>
      <c r="E4019" s="6">
        <v>-4.7117582728322428E-3</v>
      </c>
      <c r="F4019" s="6"/>
      <c r="G4019" s="6">
        <v>4012</v>
      </c>
      <c r="H4019" s="6">
        <f t="shared" ca="1" si="129"/>
        <v>5.8774158041522452E-3</v>
      </c>
    </row>
    <row r="4020" spans="2:8" x14ac:dyDescent="0.3">
      <c r="B4020" s="4">
        <v>37537</v>
      </c>
      <c r="C4020" s="7">
        <v>16.88</v>
      </c>
      <c r="D4020" s="6">
        <f t="shared" si="128"/>
        <v>-0.3330699328328724</v>
      </c>
      <c r="E4020" s="6">
        <v>-4.7169811320755808E-3</v>
      </c>
      <c r="F4020" s="6"/>
      <c r="G4020" s="6">
        <v>4013</v>
      </c>
      <c r="H4020" s="6">
        <f t="shared" ca="1" si="129"/>
        <v>-1.7052121841636969E-3</v>
      </c>
    </row>
    <row r="4021" spans="2:8" x14ac:dyDescent="0.3">
      <c r="B4021" s="4">
        <v>38363</v>
      </c>
      <c r="C4021" s="7">
        <v>25.31</v>
      </c>
      <c r="D4021" s="6">
        <f t="shared" si="128"/>
        <v>-0.89563316976619523</v>
      </c>
      <c r="E4021" s="6">
        <v>-4.7188360204483285E-3</v>
      </c>
      <c r="F4021" s="6"/>
      <c r="G4021" s="6">
        <v>4014</v>
      </c>
      <c r="H4021" s="6">
        <f t="shared" ca="1" si="129"/>
        <v>-5.5139447849668856E-3</v>
      </c>
    </row>
    <row r="4022" spans="2:8" x14ac:dyDescent="0.3">
      <c r="B4022" s="4">
        <v>40925</v>
      </c>
      <c r="C4022" s="7">
        <v>242.51</v>
      </c>
      <c r="D4022" s="6">
        <f t="shared" si="128"/>
        <v>13.4179548156956</v>
      </c>
      <c r="E4022" s="6">
        <v>-4.7196913732250089E-3</v>
      </c>
      <c r="F4022" s="6"/>
      <c r="G4022" s="6">
        <v>4015</v>
      </c>
      <c r="H4022" s="6">
        <f t="shared" ca="1" si="129"/>
        <v>-1.2605240523641995E-2</v>
      </c>
    </row>
    <row r="4023" spans="2:8" x14ac:dyDescent="0.3">
      <c r="B4023" s="4">
        <v>37515</v>
      </c>
      <c r="C4023" s="7">
        <v>16.82</v>
      </c>
      <c r="D4023" s="6">
        <f t="shared" si="128"/>
        <v>-0.33306899286280728</v>
      </c>
      <c r="E4023" s="6">
        <v>-4.733727810650787E-3</v>
      </c>
      <c r="F4023" s="6"/>
      <c r="G4023" s="6">
        <v>4016</v>
      </c>
      <c r="H4023" s="6">
        <f t="shared" ca="1" si="129"/>
        <v>1.8702881264775633E-2</v>
      </c>
    </row>
    <row r="4024" spans="2:8" x14ac:dyDescent="0.3">
      <c r="B4024" s="4">
        <v>38260</v>
      </c>
      <c r="C4024" s="7">
        <v>25.22</v>
      </c>
      <c r="D4024" s="6">
        <f t="shared" si="128"/>
        <v>-0.98044612605348236</v>
      </c>
      <c r="E4024" s="6">
        <v>-4.7355958958169297E-3</v>
      </c>
      <c r="F4024" s="6"/>
      <c r="G4024" s="6">
        <v>4017</v>
      </c>
      <c r="H4024" s="6">
        <f t="shared" ca="1" si="129"/>
        <v>2.585165567313303E-2</v>
      </c>
    </row>
    <row r="4025" spans="2:8" x14ac:dyDescent="0.3">
      <c r="B4025" s="4">
        <v>43462</v>
      </c>
      <c r="C4025" s="5">
        <v>1289.77</v>
      </c>
      <c r="D4025" s="6">
        <f t="shared" si="128"/>
        <v>46.27895894428152</v>
      </c>
      <c r="E4025" s="6">
        <v>-4.7379833476090929E-3</v>
      </c>
      <c r="F4025" s="6"/>
      <c r="G4025" s="6">
        <v>4018</v>
      </c>
      <c r="H4025" s="6">
        <f t="shared" ca="1" si="129"/>
        <v>2.8046776295392865E-2</v>
      </c>
    </row>
    <row r="4026" spans="2:8" x14ac:dyDescent="0.3">
      <c r="B4026" s="4">
        <v>38387</v>
      </c>
      <c r="C4026" s="7">
        <v>27.28</v>
      </c>
      <c r="D4026" s="6">
        <f t="shared" si="128"/>
        <v>-0.82420415001933234</v>
      </c>
      <c r="E4026" s="6">
        <v>-4.742794600510726E-3</v>
      </c>
      <c r="F4026" s="6"/>
      <c r="G4026" s="6">
        <v>4019</v>
      </c>
      <c r="H4026" s="6">
        <f t="shared" ca="1" si="129"/>
        <v>-1.602783565542951E-2</v>
      </c>
    </row>
    <row r="4027" spans="2:8" x14ac:dyDescent="0.3">
      <c r="B4027" s="4">
        <v>40182</v>
      </c>
      <c r="C4027" s="7">
        <v>155.18</v>
      </c>
      <c r="D4027" s="6">
        <f t="shared" si="128"/>
        <v>-0.45879398737488231</v>
      </c>
      <c r="E4027" s="6">
        <v>-4.7460236018469779E-3</v>
      </c>
      <c r="F4027" s="6"/>
      <c r="G4027" s="6">
        <v>4020</v>
      </c>
      <c r="H4027" s="6">
        <f t="shared" ca="1" si="129"/>
        <v>5.8488046111135651E-3</v>
      </c>
    </row>
    <row r="4028" spans="2:8" x14ac:dyDescent="0.3">
      <c r="B4028" s="4">
        <v>40772</v>
      </c>
      <c r="C4028" s="7">
        <v>286.73</v>
      </c>
      <c r="D4028" s="6">
        <f t="shared" si="128"/>
        <v>2.6125740204107344</v>
      </c>
      <c r="E4028" s="6">
        <v>-4.7552933009371899E-3</v>
      </c>
      <c r="F4028" s="6"/>
      <c r="G4028" s="6">
        <v>4021</v>
      </c>
      <c r="H4028" s="6">
        <f t="shared" ca="1" si="129"/>
        <v>8.860931393505158E-3</v>
      </c>
    </row>
    <row r="4029" spans="2:8" x14ac:dyDescent="0.3">
      <c r="B4029" s="4">
        <v>39833</v>
      </c>
      <c r="C4029" s="7">
        <v>79.37</v>
      </c>
      <c r="D4029" s="6">
        <f t="shared" si="128"/>
        <v>2.4568815331010452</v>
      </c>
      <c r="E4029" s="6">
        <v>-4.7648902821316045E-3</v>
      </c>
      <c r="F4029" s="6"/>
      <c r="G4029" s="6">
        <v>4022</v>
      </c>
      <c r="H4029" s="6">
        <f t="shared" ca="1" si="129"/>
        <v>3.8257791398801033E-2</v>
      </c>
    </row>
    <row r="4030" spans="2:8" x14ac:dyDescent="0.3">
      <c r="B4030" s="4">
        <v>38310</v>
      </c>
      <c r="C4030" s="7">
        <v>22.96</v>
      </c>
      <c r="D4030" s="6">
        <f t="shared" si="128"/>
        <v>0.37649880095923272</v>
      </c>
      <c r="E4030" s="6">
        <v>-4.768097095795381E-3</v>
      </c>
      <c r="F4030" s="6"/>
      <c r="G4030" s="6">
        <v>4023</v>
      </c>
      <c r="H4030" s="6">
        <f t="shared" ca="1" si="129"/>
        <v>1.021750048904925E-2</v>
      </c>
    </row>
    <row r="4031" spans="2:8" x14ac:dyDescent="0.3">
      <c r="B4031" s="4">
        <v>37530</v>
      </c>
      <c r="C4031" s="7">
        <v>16.68</v>
      </c>
      <c r="D4031" s="6">
        <f t="shared" si="128"/>
        <v>-0.78920763300897256</v>
      </c>
      <c r="E4031" s="6">
        <v>-4.7732696897375797E-3</v>
      </c>
      <c r="F4031" s="6"/>
      <c r="G4031" s="6">
        <v>4024</v>
      </c>
      <c r="H4031" s="6">
        <f t="shared" ca="1" si="129"/>
        <v>1.0978666550459347E-3</v>
      </c>
    </row>
    <row r="4032" spans="2:8" x14ac:dyDescent="0.3">
      <c r="B4032" s="4">
        <v>39329</v>
      </c>
      <c r="C4032" s="7">
        <v>79.13</v>
      </c>
      <c r="D4032" s="6">
        <f t="shared" si="128"/>
        <v>7.5882129758444766E-4</v>
      </c>
      <c r="E4032" s="6">
        <v>-4.7792730474155408E-3</v>
      </c>
      <c r="F4032" s="6"/>
      <c r="G4032" s="6">
        <v>4025</v>
      </c>
      <c r="H4032" s="6">
        <f t="shared" ca="1" si="129"/>
        <v>1.3987871215240147E-4</v>
      </c>
    </row>
    <row r="4033" spans="2:8" x14ac:dyDescent="0.3">
      <c r="B4033" s="4">
        <v>39342</v>
      </c>
      <c r="C4033" s="7">
        <v>79.069999999999993</v>
      </c>
      <c r="D4033" s="6">
        <f t="shared" si="128"/>
        <v>0.46997583193902204</v>
      </c>
      <c r="E4033" s="6">
        <v>-4.782882315922085E-3</v>
      </c>
      <c r="F4033" s="6"/>
      <c r="G4033" s="6">
        <v>4026</v>
      </c>
      <c r="H4033" s="6">
        <f t="shared" ca="1" si="129"/>
        <v>2.1691075957339535E-2</v>
      </c>
    </row>
    <row r="4034" spans="2:8" x14ac:dyDescent="0.3">
      <c r="B4034" s="4">
        <v>39008</v>
      </c>
      <c r="C4034" s="7">
        <v>53.79</v>
      </c>
      <c r="D4034" s="6">
        <f t="shared" si="128"/>
        <v>-0.97754221012374953</v>
      </c>
      <c r="E4034" s="6">
        <v>-4.8103607770582429E-3</v>
      </c>
      <c r="F4034" s="6"/>
      <c r="G4034" s="6">
        <v>4027</v>
      </c>
      <c r="H4034" s="6">
        <f t="shared" ca="1" si="129"/>
        <v>-5.7880009788771874E-3</v>
      </c>
    </row>
    <row r="4035" spans="2:8" x14ac:dyDescent="0.3">
      <c r="B4035" s="4">
        <v>45855</v>
      </c>
      <c r="C4035" s="5">
        <v>2395.16</v>
      </c>
      <c r="D4035" s="6">
        <f t="shared" si="128"/>
        <v>9.6272073830863416</v>
      </c>
      <c r="E4035" s="6">
        <v>-4.8114877386007332E-3</v>
      </c>
      <c r="F4035" s="6"/>
      <c r="G4035" s="6">
        <v>4028</v>
      </c>
      <c r="H4035" s="6">
        <f t="shared" ca="1" si="129"/>
        <v>2.8170919532269209E-3</v>
      </c>
    </row>
    <row r="4036" spans="2:8" x14ac:dyDescent="0.3">
      <c r="B4036" s="4">
        <v>40652</v>
      </c>
      <c r="C4036" s="7">
        <v>225.38</v>
      </c>
      <c r="D4036" s="6">
        <f t="shared" si="128"/>
        <v>4.1906955320128967</v>
      </c>
      <c r="E4036" s="6">
        <v>-4.8129995142844675E-3</v>
      </c>
      <c r="F4036" s="6"/>
      <c r="G4036" s="6">
        <v>4029</v>
      </c>
      <c r="H4036" s="6">
        <f t="shared" ca="1" si="129"/>
        <v>-1.2974580320303448E-2</v>
      </c>
    </row>
    <row r="4037" spans="2:8" x14ac:dyDescent="0.3">
      <c r="B4037" s="4">
        <v>38694</v>
      </c>
      <c r="C4037" s="7">
        <v>43.42</v>
      </c>
      <c r="D4037" s="6">
        <f t="shared" si="128"/>
        <v>-0.98050677010379628</v>
      </c>
      <c r="E4037" s="6">
        <v>-4.8132019252807891E-3</v>
      </c>
      <c r="F4037" s="6"/>
      <c r="G4037" s="6">
        <v>4030</v>
      </c>
      <c r="H4037" s="6">
        <f t="shared" ca="1" si="129"/>
        <v>-4.6045681712581308E-3</v>
      </c>
    </row>
    <row r="4038" spans="2:8" x14ac:dyDescent="0.3">
      <c r="B4038" s="4">
        <v>45684</v>
      </c>
      <c r="C4038" s="5">
        <v>2227.44</v>
      </c>
      <c r="D4038" s="6">
        <f t="shared" si="128"/>
        <v>29.829619377162629</v>
      </c>
      <c r="E4038" s="6">
        <v>-4.8163272600547516E-3</v>
      </c>
      <c r="F4038" s="6"/>
      <c r="G4038" s="6">
        <v>4031</v>
      </c>
      <c r="H4038" s="6">
        <f t="shared" ca="1" si="129"/>
        <v>-1.6865725614428215E-2</v>
      </c>
    </row>
    <row r="4039" spans="2:8" x14ac:dyDescent="0.3">
      <c r="B4039" s="4">
        <v>39251</v>
      </c>
      <c r="C4039" s="7">
        <v>72.25</v>
      </c>
      <c r="D4039" s="6">
        <f t="shared" si="128"/>
        <v>-0.23786919831223627</v>
      </c>
      <c r="E4039" s="6">
        <v>-4.8209366391183794E-3</v>
      </c>
      <c r="F4039" s="6"/>
      <c r="G4039" s="6">
        <v>4032</v>
      </c>
      <c r="H4039" s="6">
        <f t="shared" ca="1" si="129"/>
        <v>-4.5399910811341508E-3</v>
      </c>
    </row>
    <row r="4040" spans="2:8" x14ac:dyDescent="0.3">
      <c r="B4040" s="4">
        <v>39654</v>
      </c>
      <c r="C4040" s="7">
        <v>94.8</v>
      </c>
      <c r="D4040" s="6">
        <f t="shared" ref="D4040:D4103" si="130">((C4040-C4041)/C4041)</f>
        <v>-0.81364261843915864</v>
      </c>
      <c r="E4040" s="6">
        <v>-4.8288893554483299E-3</v>
      </c>
      <c r="F4040" s="6"/>
      <c r="G4040" s="6">
        <v>4033</v>
      </c>
      <c r="H4040" s="6">
        <f t="shared" ca="1" si="129"/>
        <v>9.9465132085658735E-3</v>
      </c>
    </row>
    <row r="4041" spans="2:8" x14ac:dyDescent="0.3">
      <c r="B4041" s="4">
        <v>41808</v>
      </c>
      <c r="C4041" s="7">
        <v>508.7</v>
      </c>
      <c r="D4041" s="6">
        <f t="shared" si="130"/>
        <v>-0.77097965063929408</v>
      </c>
      <c r="E4041" s="6">
        <v>-4.8320519592308375E-3</v>
      </c>
      <c r="F4041" s="6"/>
      <c r="G4041" s="6">
        <v>4034</v>
      </c>
      <c r="H4041" s="6">
        <f t="shared" ref="H4041:H4104" ca="1" si="131">_xlfn.NORM.INV(RAND(),N$10,N$11)</f>
        <v>2.2465175726286726E-2</v>
      </c>
    </row>
    <row r="4042" spans="2:8" x14ac:dyDescent="0.3">
      <c r="B4042" s="4">
        <v>46093</v>
      </c>
      <c r="C4042" s="5">
        <v>2221.1999999999998</v>
      </c>
      <c r="D4042" s="6">
        <f t="shared" si="130"/>
        <v>-0.31800178083453601</v>
      </c>
      <c r="E4042" s="6">
        <v>-4.8387096774194366E-3</v>
      </c>
      <c r="F4042" s="6"/>
      <c r="G4042" s="6">
        <v>4035</v>
      </c>
      <c r="H4042" s="6">
        <f t="shared" ca="1" si="131"/>
        <v>1.5449513224041927E-2</v>
      </c>
    </row>
    <row r="4043" spans="2:8" x14ac:dyDescent="0.3">
      <c r="B4043" s="4">
        <v>44798</v>
      </c>
      <c r="C4043" s="5">
        <v>3256.9</v>
      </c>
      <c r="D4043" s="6">
        <f t="shared" si="130"/>
        <v>131.01864612890148</v>
      </c>
      <c r="E4043" s="6">
        <v>-4.8399811778508809E-3</v>
      </c>
      <c r="F4043" s="6"/>
      <c r="G4043" s="6">
        <v>4036</v>
      </c>
      <c r="H4043" s="6">
        <f t="shared" ca="1" si="131"/>
        <v>-1.1664005299992848E-2</v>
      </c>
    </row>
    <row r="4044" spans="2:8" x14ac:dyDescent="0.3">
      <c r="B4044" s="4">
        <v>38244</v>
      </c>
      <c r="C4044" s="7">
        <v>24.67</v>
      </c>
      <c r="D4044" s="6">
        <f t="shared" si="130"/>
        <v>-0.92939728693263113</v>
      </c>
      <c r="E4044" s="6">
        <v>-4.8406615570793649E-3</v>
      </c>
      <c r="F4044" s="6"/>
      <c r="G4044" s="6">
        <v>4037</v>
      </c>
      <c r="H4044" s="6">
        <f t="shared" ca="1" si="131"/>
        <v>-9.4171922844438725E-3</v>
      </c>
    </row>
    <row r="4045" spans="2:8" x14ac:dyDescent="0.3">
      <c r="B4045" s="4">
        <v>41205</v>
      </c>
      <c r="C4045" s="7">
        <v>349.42</v>
      </c>
      <c r="D4045" s="6">
        <f t="shared" si="130"/>
        <v>20.254257907542577</v>
      </c>
      <c r="E4045" s="6">
        <v>-4.8416495784916512E-3</v>
      </c>
      <c r="F4045" s="6"/>
      <c r="G4045" s="6">
        <v>4038</v>
      </c>
      <c r="H4045" s="6">
        <f t="shared" ca="1" si="131"/>
        <v>-1.7795517207248826E-2</v>
      </c>
    </row>
    <row r="4046" spans="2:8" x14ac:dyDescent="0.3">
      <c r="B4046" s="4">
        <v>37692</v>
      </c>
      <c r="C4046" s="7">
        <v>16.440000000000001</v>
      </c>
      <c r="D4046" s="6">
        <f t="shared" si="130"/>
        <v>-0.98487441346950033</v>
      </c>
      <c r="E4046" s="6">
        <v>-4.8426150121064345E-3</v>
      </c>
      <c r="F4046" s="6"/>
      <c r="G4046" s="6">
        <v>4039</v>
      </c>
      <c r="H4046" s="6">
        <f t="shared" ca="1" si="131"/>
        <v>6.1996827764695638E-3</v>
      </c>
    </row>
    <row r="4047" spans="2:8" x14ac:dyDescent="0.3">
      <c r="B4047" s="4">
        <v>43210</v>
      </c>
      <c r="C4047" s="5">
        <v>1086.9000000000001</v>
      </c>
      <c r="D4047" s="6">
        <f t="shared" si="130"/>
        <v>3.0075955901331075</v>
      </c>
      <c r="E4047" s="6">
        <v>-4.8434796143527808E-3</v>
      </c>
      <c r="F4047" s="6"/>
      <c r="G4047" s="6">
        <v>4040</v>
      </c>
      <c r="H4047" s="6">
        <f t="shared" ca="1" si="131"/>
        <v>-3.3673853164988112E-3</v>
      </c>
    </row>
    <row r="4048" spans="2:8" x14ac:dyDescent="0.3">
      <c r="B4048" s="4">
        <v>40962</v>
      </c>
      <c r="C4048" s="7">
        <v>271.20999999999998</v>
      </c>
      <c r="D4048" s="6">
        <f t="shared" si="130"/>
        <v>15.506999391357272</v>
      </c>
      <c r="E4048" s="6">
        <v>-4.8435034675081397E-3</v>
      </c>
      <c r="F4048" s="6"/>
      <c r="G4048" s="6">
        <v>4041</v>
      </c>
      <c r="H4048" s="6">
        <f t="shared" ca="1" si="131"/>
        <v>2.368708492084752E-2</v>
      </c>
    </row>
    <row r="4049" spans="2:8" x14ac:dyDescent="0.3">
      <c r="B4049" s="4">
        <v>37697</v>
      </c>
      <c r="C4049" s="7">
        <v>16.43</v>
      </c>
      <c r="D4049" s="6">
        <f t="shared" si="130"/>
        <v>-0.99263756945689197</v>
      </c>
      <c r="E4049" s="6">
        <v>-4.8455481526348786E-3</v>
      </c>
      <c r="F4049" s="6"/>
      <c r="G4049" s="6">
        <v>4042</v>
      </c>
      <c r="H4049" s="6">
        <f t="shared" ca="1" si="131"/>
        <v>3.4466583237536342E-3</v>
      </c>
    </row>
    <row r="4050" spans="2:8" x14ac:dyDescent="0.3">
      <c r="B4050" s="4">
        <v>45811</v>
      </c>
      <c r="C4050" s="5">
        <v>2231.6</v>
      </c>
      <c r="D4050" s="6">
        <f t="shared" si="130"/>
        <v>135.07317073170731</v>
      </c>
      <c r="E4050" s="6">
        <v>-4.8517712532553728E-3</v>
      </c>
      <c r="F4050" s="6"/>
      <c r="G4050" s="6">
        <v>4043</v>
      </c>
      <c r="H4050" s="6">
        <f t="shared" ca="1" si="131"/>
        <v>-1.0105115244182295E-2</v>
      </c>
    </row>
    <row r="4051" spans="2:8" x14ac:dyDescent="0.3">
      <c r="B4051" s="4">
        <v>37634</v>
      </c>
      <c r="C4051" s="7">
        <v>16.399999999999999</v>
      </c>
      <c r="D4051" s="6">
        <f t="shared" si="130"/>
        <v>-0.33306222041480282</v>
      </c>
      <c r="E4051" s="6">
        <v>-4.8543689320389473E-3</v>
      </c>
      <c r="F4051" s="6"/>
      <c r="G4051" s="6">
        <v>4044</v>
      </c>
      <c r="H4051" s="6">
        <f t="shared" ca="1" si="131"/>
        <v>3.2196707330151418E-2</v>
      </c>
    </row>
    <row r="4052" spans="2:8" x14ac:dyDescent="0.3">
      <c r="B4052" s="4">
        <v>38265</v>
      </c>
      <c r="C4052" s="7">
        <v>24.59</v>
      </c>
      <c r="D4052" s="6">
        <f t="shared" si="130"/>
        <v>-0.99183848226969185</v>
      </c>
      <c r="E4052" s="6">
        <v>-4.8563334682315256E-3</v>
      </c>
      <c r="F4052" s="6"/>
      <c r="G4052" s="6">
        <v>4045</v>
      </c>
      <c r="H4052" s="6">
        <f t="shared" ca="1" si="131"/>
        <v>-2.1123243024267706E-2</v>
      </c>
    </row>
    <row r="4053" spans="2:8" x14ac:dyDescent="0.3">
      <c r="B4053" s="4">
        <v>45239</v>
      </c>
      <c r="C4053" s="5">
        <v>3012.92</v>
      </c>
      <c r="D4053" s="6">
        <f t="shared" si="130"/>
        <v>1.8392434765400454</v>
      </c>
      <c r="E4053" s="6">
        <v>-4.8618726136528123E-3</v>
      </c>
      <c r="F4053" s="6"/>
      <c r="G4053" s="6">
        <v>4046</v>
      </c>
      <c r="H4053" s="6">
        <f t="shared" ca="1" si="131"/>
        <v>-2.0335457208746056E-2</v>
      </c>
    </row>
    <row r="4054" spans="2:8" x14ac:dyDescent="0.3">
      <c r="B4054" s="4">
        <v>42968</v>
      </c>
      <c r="C4054" s="5">
        <v>1061.17</v>
      </c>
      <c r="D4054" s="6">
        <f t="shared" si="130"/>
        <v>1.7191359606416239</v>
      </c>
      <c r="E4054" s="6">
        <v>-4.867024269477313E-3</v>
      </c>
      <c r="F4054" s="6"/>
      <c r="G4054" s="6">
        <v>4047</v>
      </c>
      <c r="H4054" s="6">
        <f t="shared" ca="1" si="131"/>
        <v>1.7296428543879343E-2</v>
      </c>
    </row>
    <row r="4055" spans="2:8" x14ac:dyDescent="0.3">
      <c r="B4055" s="4">
        <v>41249</v>
      </c>
      <c r="C4055" s="7">
        <v>390.26</v>
      </c>
      <c r="D4055" s="6">
        <f t="shared" si="130"/>
        <v>22.912990196078432</v>
      </c>
      <c r="E4055" s="6">
        <v>-4.8703368437157989E-3</v>
      </c>
      <c r="F4055" s="6"/>
      <c r="G4055" s="6">
        <v>4048</v>
      </c>
      <c r="H4055" s="6">
        <f t="shared" ca="1" si="131"/>
        <v>-8.5238521584673557E-3</v>
      </c>
    </row>
    <row r="4056" spans="2:8" x14ac:dyDescent="0.3">
      <c r="B4056" s="4">
        <v>37659</v>
      </c>
      <c r="C4056" s="7">
        <v>16.32</v>
      </c>
      <c r="D4056" s="6">
        <f t="shared" si="130"/>
        <v>-0.99462567426053616</v>
      </c>
      <c r="E4056" s="6">
        <v>-4.8780487804877017E-3</v>
      </c>
      <c r="F4056" s="6"/>
      <c r="G4056" s="6">
        <v>4049</v>
      </c>
      <c r="H4056" s="6">
        <f t="shared" ca="1" si="131"/>
        <v>-2.5064425918749453E-2</v>
      </c>
    </row>
    <row r="4057" spans="2:8" x14ac:dyDescent="0.3">
      <c r="B4057" s="4">
        <v>44910</v>
      </c>
      <c r="C4057" s="5">
        <v>3036.66</v>
      </c>
      <c r="D4057" s="6">
        <f t="shared" si="130"/>
        <v>1.8226731486043075</v>
      </c>
      <c r="E4057" s="6">
        <v>-4.8794874735791074E-3</v>
      </c>
      <c r="F4057" s="6"/>
      <c r="G4057" s="6">
        <v>4050</v>
      </c>
      <c r="H4057" s="6">
        <f t="shared" ca="1" si="131"/>
        <v>-2.8066780152396394E-3</v>
      </c>
    </row>
    <row r="4058" spans="2:8" x14ac:dyDescent="0.3">
      <c r="B4058" s="4">
        <v>42941</v>
      </c>
      <c r="C4058" s="5">
        <v>1075.81</v>
      </c>
      <c r="D4058" s="6">
        <f t="shared" si="130"/>
        <v>43.090573770491801</v>
      </c>
      <c r="E4058" s="6">
        <v>-4.8839597073323899E-3</v>
      </c>
      <c r="F4058" s="6"/>
      <c r="G4058" s="6">
        <v>4051</v>
      </c>
      <c r="H4058" s="6">
        <f t="shared" ca="1" si="131"/>
        <v>-2.4715982332131958E-2</v>
      </c>
    </row>
    <row r="4059" spans="2:8" x14ac:dyDescent="0.3">
      <c r="B4059" s="4">
        <v>38167</v>
      </c>
      <c r="C4059" s="7">
        <v>24.4</v>
      </c>
      <c r="D4059" s="6">
        <f t="shared" si="130"/>
        <v>-0.9899811119323314</v>
      </c>
      <c r="E4059" s="6">
        <v>-4.8939641109298935E-3</v>
      </c>
      <c r="F4059" s="6"/>
      <c r="G4059" s="6">
        <v>4052</v>
      </c>
      <c r="H4059" s="6">
        <f t="shared" ca="1" si="131"/>
        <v>-2.6108580426574136E-2</v>
      </c>
    </row>
    <row r="4060" spans="2:8" x14ac:dyDescent="0.3">
      <c r="B4060" s="4">
        <v>45849</v>
      </c>
      <c r="C4060" s="5">
        <v>2435.4</v>
      </c>
      <c r="D4060" s="6">
        <f t="shared" si="130"/>
        <v>148.77859778597784</v>
      </c>
      <c r="E4060" s="6">
        <v>-4.8950306041562882E-3</v>
      </c>
      <c r="F4060" s="6"/>
      <c r="G4060" s="6">
        <v>4053</v>
      </c>
      <c r="H4060" s="6">
        <f t="shared" ca="1" si="131"/>
        <v>-1.0528314615913368E-2</v>
      </c>
    </row>
    <row r="4061" spans="2:8" x14ac:dyDescent="0.3">
      <c r="B4061" s="4">
        <v>37719</v>
      </c>
      <c r="C4061" s="7">
        <v>16.260000000000002</v>
      </c>
      <c r="D4061" s="6">
        <f t="shared" si="130"/>
        <v>-0.8427770257203635</v>
      </c>
      <c r="E4061" s="6">
        <v>-4.895960832313237E-3</v>
      </c>
      <c r="F4061" s="6"/>
      <c r="G4061" s="6">
        <v>4054</v>
      </c>
      <c r="H4061" s="6">
        <f t="shared" ca="1" si="131"/>
        <v>-4.1828687462521705E-3</v>
      </c>
    </row>
    <row r="4062" spans="2:8" x14ac:dyDescent="0.3">
      <c r="B4062" s="4">
        <v>39561</v>
      </c>
      <c r="C4062" s="7">
        <v>103.42</v>
      </c>
      <c r="D4062" s="6">
        <f t="shared" si="130"/>
        <v>2.0122312093115075E-2</v>
      </c>
      <c r="E4062" s="6">
        <v>-4.9071490426248927E-3</v>
      </c>
      <c r="F4062" s="6"/>
      <c r="G4062" s="6">
        <v>4055</v>
      </c>
      <c r="H4062" s="6">
        <f t="shared" ca="1" si="131"/>
        <v>1.0774862957077566E-2</v>
      </c>
    </row>
    <row r="4063" spans="2:8" x14ac:dyDescent="0.3">
      <c r="B4063" s="4">
        <v>39687</v>
      </c>
      <c r="C4063" s="7">
        <v>101.38</v>
      </c>
      <c r="D4063" s="6">
        <f t="shared" si="130"/>
        <v>-0.93752118474328705</v>
      </c>
      <c r="E4063" s="6">
        <v>-4.9077345897133888E-3</v>
      </c>
      <c r="F4063" s="6"/>
      <c r="G4063" s="6">
        <v>4056</v>
      </c>
      <c r="H4063" s="6">
        <f t="shared" ca="1" si="131"/>
        <v>-3.574509524942788E-3</v>
      </c>
    </row>
    <row r="4064" spans="2:8" x14ac:dyDescent="0.3">
      <c r="B4064" s="4">
        <v>43798</v>
      </c>
      <c r="C4064" s="5">
        <v>1622.63</v>
      </c>
      <c r="D4064" s="6">
        <f t="shared" si="130"/>
        <v>-0.39761366462855507</v>
      </c>
      <c r="E4064" s="6">
        <v>-4.9243864447524148E-3</v>
      </c>
      <c r="F4064" s="6"/>
      <c r="G4064" s="6">
        <v>4057</v>
      </c>
      <c r="H4064" s="6">
        <f t="shared" ca="1" si="131"/>
        <v>1.9222730751922629E-2</v>
      </c>
    </row>
    <row r="4065" spans="2:8" x14ac:dyDescent="0.3">
      <c r="B4065" s="4">
        <v>44971</v>
      </c>
      <c r="C4065" s="5">
        <v>2693.67</v>
      </c>
      <c r="D4065" s="6">
        <f t="shared" si="130"/>
        <v>-4.9279463319308551E-3</v>
      </c>
      <c r="E4065" s="6">
        <v>-4.9279463319308551E-3</v>
      </c>
      <c r="F4065" s="6"/>
      <c r="G4065" s="6">
        <v>4058</v>
      </c>
      <c r="H4065" s="6">
        <f t="shared" ca="1" si="131"/>
        <v>7.251286349625752E-3</v>
      </c>
    </row>
    <row r="4066" spans="2:8" x14ac:dyDescent="0.3">
      <c r="B4066" s="4">
        <v>44970</v>
      </c>
      <c r="C4066" s="5">
        <v>2707.01</v>
      </c>
      <c r="D4066" s="6">
        <f t="shared" si="130"/>
        <v>1.0027299764733735</v>
      </c>
      <c r="E4066" s="6">
        <v>-4.9367014159473598E-3</v>
      </c>
      <c r="F4066" s="6"/>
      <c r="G4066" s="6">
        <v>4059</v>
      </c>
      <c r="H4066" s="6">
        <f t="shared" ca="1" si="131"/>
        <v>-1.5888932851714721E-2</v>
      </c>
    </row>
    <row r="4067" spans="2:8" x14ac:dyDescent="0.3">
      <c r="B4067" s="4">
        <v>43570</v>
      </c>
      <c r="C4067" s="5">
        <v>1351.66</v>
      </c>
      <c r="D4067" s="6">
        <f t="shared" si="130"/>
        <v>23.901621223286664</v>
      </c>
      <c r="E4067" s="6">
        <v>-4.9397439578316733E-3</v>
      </c>
      <c r="F4067" s="6"/>
      <c r="G4067" s="6">
        <v>4060</v>
      </c>
      <c r="H4067" s="6">
        <f t="shared" ca="1" si="131"/>
        <v>9.1147086150964955E-3</v>
      </c>
    </row>
    <row r="4068" spans="2:8" x14ac:dyDescent="0.3">
      <c r="B4068" s="4">
        <v>38985</v>
      </c>
      <c r="C4068" s="7">
        <v>54.28</v>
      </c>
      <c r="D4068" s="6">
        <f t="shared" si="130"/>
        <v>0</v>
      </c>
      <c r="E4068" s="6">
        <v>-4.9495875343720632E-3</v>
      </c>
      <c r="F4068" s="6"/>
      <c r="G4068" s="6">
        <v>4061</v>
      </c>
      <c r="H4068" s="6">
        <f t="shared" ca="1" si="131"/>
        <v>-1.1870906100447708E-2</v>
      </c>
    </row>
    <row r="4069" spans="2:8" x14ac:dyDescent="0.3">
      <c r="B4069" s="4">
        <v>38979</v>
      </c>
      <c r="C4069" s="7">
        <v>54.28</v>
      </c>
      <c r="D4069" s="6">
        <f t="shared" si="130"/>
        <v>-0.95844975007080691</v>
      </c>
      <c r="E4069" s="6">
        <v>-4.9495875343720632E-3</v>
      </c>
      <c r="F4069" s="6"/>
      <c r="G4069" s="6">
        <v>4062</v>
      </c>
      <c r="H4069" s="6">
        <f t="shared" ca="1" si="131"/>
        <v>3.1284674695470568E-2</v>
      </c>
    </row>
    <row r="4070" spans="2:8" x14ac:dyDescent="0.3">
      <c r="B4070" s="4">
        <v>43640</v>
      </c>
      <c r="C4070" s="5">
        <v>1306.3699999999999</v>
      </c>
      <c r="D4070" s="6">
        <f t="shared" si="130"/>
        <v>0.60253437848845026</v>
      </c>
      <c r="E4070" s="6">
        <v>-4.9509852460639676E-3</v>
      </c>
      <c r="F4070" s="6"/>
      <c r="G4070" s="6">
        <v>4063</v>
      </c>
      <c r="H4070" s="6">
        <f t="shared" ca="1" si="131"/>
        <v>-1.7457873369969414E-3</v>
      </c>
    </row>
    <row r="4071" spans="2:8" x14ac:dyDescent="0.3">
      <c r="B4071" s="4">
        <v>42409</v>
      </c>
      <c r="C4071" s="7">
        <v>815.19</v>
      </c>
      <c r="D4071" s="6">
        <f t="shared" si="130"/>
        <v>49.822319201995022</v>
      </c>
      <c r="E4071" s="6">
        <v>-4.9557522123893135E-3</v>
      </c>
      <c r="F4071" s="6"/>
      <c r="G4071" s="6">
        <v>4064</v>
      </c>
      <c r="H4071" s="6">
        <f t="shared" ca="1" si="131"/>
        <v>9.1442178716149847E-3</v>
      </c>
    </row>
    <row r="4072" spans="2:8" x14ac:dyDescent="0.3">
      <c r="B4072" s="4">
        <v>37669</v>
      </c>
      <c r="C4072" s="7">
        <v>16.04</v>
      </c>
      <c r="D4072" s="6">
        <f t="shared" si="130"/>
        <v>-0.80943328977070206</v>
      </c>
      <c r="E4072" s="6">
        <v>-4.9627791563276579E-3</v>
      </c>
      <c r="F4072" s="6"/>
      <c r="G4072" s="6">
        <v>4065</v>
      </c>
      <c r="H4072" s="6">
        <f t="shared" ca="1" si="131"/>
        <v>1.3011218934862357E-3</v>
      </c>
    </row>
    <row r="4073" spans="2:8" x14ac:dyDescent="0.3">
      <c r="B4073" s="4">
        <v>39407</v>
      </c>
      <c r="C4073" s="7">
        <v>84.17</v>
      </c>
      <c r="D4073" s="6">
        <f t="shared" si="130"/>
        <v>-0.19012797074954299</v>
      </c>
      <c r="E4073" s="6">
        <v>-4.9651259014068059E-3</v>
      </c>
      <c r="F4073" s="6"/>
      <c r="G4073" s="6">
        <v>4066</v>
      </c>
      <c r="H4073" s="6">
        <f t="shared" ca="1" si="131"/>
        <v>-1.3561119190241397E-2</v>
      </c>
    </row>
    <row r="4074" spans="2:8" x14ac:dyDescent="0.3">
      <c r="B4074" s="4">
        <v>39560</v>
      </c>
      <c r="C4074" s="7">
        <v>103.93</v>
      </c>
      <c r="D4074" s="6">
        <f t="shared" si="130"/>
        <v>-0.87021242054522518</v>
      </c>
      <c r="E4074" s="6">
        <v>-4.9784585926280133E-3</v>
      </c>
      <c r="F4074" s="6"/>
      <c r="G4074" s="6">
        <v>4067</v>
      </c>
      <c r="H4074" s="6">
        <f t="shared" ca="1" si="131"/>
        <v>1.9635915372691166E-2</v>
      </c>
    </row>
    <row r="4075" spans="2:8" x14ac:dyDescent="0.3">
      <c r="B4075" s="4">
        <v>42382</v>
      </c>
      <c r="C4075" s="7">
        <v>800.77</v>
      </c>
      <c r="D4075" s="6">
        <f t="shared" si="130"/>
        <v>-0.52315818307410145</v>
      </c>
      <c r="E4075" s="6">
        <v>-4.9827281990108985E-3</v>
      </c>
      <c r="F4075" s="6"/>
      <c r="G4075" s="6">
        <v>4068</v>
      </c>
      <c r="H4075" s="6">
        <f t="shared" ca="1" si="131"/>
        <v>3.9654122110137479E-3</v>
      </c>
    </row>
    <row r="4076" spans="2:8" x14ac:dyDescent="0.3">
      <c r="B4076" s="4">
        <v>43951</v>
      </c>
      <c r="C4076" s="5">
        <v>1679.32</v>
      </c>
      <c r="D4076" s="6">
        <f t="shared" si="130"/>
        <v>-0.23318721461187217</v>
      </c>
      <c r="E4076" s="6">
        <v>-4.9830245359151534E-3</v>
      </c>
      <c r="F4076" s="6"/>
      <c r="G4076" s="6">
        <v>4069</v>
      </c>
      <c r="H4076" s="6">
        <f t="shared" ca="1" si="131"/>
        <v>2.2477933048117484E-3</v>
      </c>
    </row>
    <row r="4077" spans="2:8" x14ac:dyDescent="0.3">
      <c r="B4077" s="4">
        <v>45715</v>
      </c>
      <c r="C4077" s="5">
        <v>2190</v>
      </c>
      <c r="D4077" s="6">
        <f t="shared" si="130"/>
        <v>1.0616809760506101</v>
      </c>
      <c r="E4077" s="6">
        <v>-4.9886868576724998E-3</v>
      </c>
      <c r="F4077" s="6"/>
      <c r="G4077" s="6">
        <v>4070</v>
      </c>
      <c r="H4077" s="6">
        <f t="shared" ca="1" si="131"/>
        <v>1.4533600060352401E-2</v>
      </c>
    </row>
    <row r="4078" spans="2:8" x14ac:dyDescent="0.3">
      <c r="B4078" s="4">
        <v>42971</v>
      </c>
      <c r="C4078" s="5">
        <v>1062.24</v>
      </c>
      <c r="D4078" s="6">
        <f t="shared" si="130"/>
        <v>-0.60472878688085374</v>
      </c>
      <c r="E4078" s="6">
        <v>-5.0019670656999181E-3</v>
      </c>
      <c r="F4078" s="6"/>
      <c r="G4078" s="6">
        <v>4071</v>
      </c>
      <c r="H4078" s="6">
        <f t="shared" ca="1" si="131"/>
        <v>3.2200426070939795E-3</v>
      </c>
    </row>
    <row r="4079" spans="2:8" x14ac:dyDescent="0.3">
      <c r="B4079" s="4">
        <v>45014</v>
      </c>
      <c r="C4079" s="5">
        <v>2687.37</v>
      </c>
      <c r="D4079" s="6">
        <f t="shared" si="130"/>
        <v>41.327453142227121</v>
      </c>
      <c r="E4079" s="6">
        <v>-5.0094412973454034E-3</v>
      </c>
      <c r="F4079" s="6"/>
      <c r="G4079" s="6">
        <v>4072</v>
      </c>
      <c r="H4079" s="6">
        <f t="shared" ca="1" si="131"/>
        <v>-1.3050863755608887E-2</v>
      </c>
    </row>
    <row r="4080" spans="2:8" x14ac:dyDescent="0.3">
      <c r="B4080" s="4">
        <v>39120</v>
      </c>
      <c r="C4080" s="7">
        <v>63.49</v>
      </c>
      <c r="D4080" s="6">
        <f t="shared" si="130"/>
        <v>-0.97467379900992868</v>
      </c>
      <c r="E4080" s="6">
        <v>-5.0148879485974029E-3</v>
      </c>
      <c r="F4080" s="6"/>
      <c r="G4080" s="6">
        <v>4073</v>
      </c>
      <c r="H4080" s="6">
        <f t="shared" ca="1" si="131"/>
        <v>-1.177519789246304E-2</v>
      </c>
    </row>
    <row r="4081" spans="2:8" x14ac:dyDescent="0.3">
      <c r="B4081" s="4">
        <v>45961</v>
      </c>
      <c r="C4081" s="5">
        <v>2506.89</v>
      </c>
      <c r="D4081" s="6">
        <f t="shared" si="130"/>
        <v>0.12811178111781121</v>
      </c>
      <c r="E4081" s="6">
        <v>-5.0326047698616393E-3</v>
      </c>
      <c r="F4081" s="6"/>
      <c r="G4081" s="6">
        <v>4074</v>
      </c>
      <c r="H4081" s="6">
        <f t="shared" ca="1" si="131"/>
        <v>-3.022661793913411E-3</v>
      </c>
    </row>
    <row r="4082" spans="2:8" x14ac:dyDescent="0.3">
      <c r="B4082" s="4">
        <v>45712</v>
      </c>
      <c r="C4082" s="5">
        <v>2222.1999999999998</v>
      </c>
      <c r="D4082" s="6">
        <f t="shared" si="130"/>
        <v>1.0216888953583578</v>
      </c>
      <c r="E4082" s="6">
        <v>-5.0504145996383221E-3</v>
      </c>
      <c r="F4082" s="6"/>
      <c r="G4082" s="6">
        <v>4075</v>
      </c>
      <c r="H4082" s="6">
        <f t="shared" ca="1" si="131"/>
        <v>4.5701633984424565E-3</v>
      </c>
    </row>
    <row r="4083" spans="2:8" x14ac:dyDescent="0.3">
      <c r="B4083" s="4">
        <v>43042</v>
      </c>
      <c r="C4083" s="5">
        <v>1099.18</v>
      </c>
      <c r="D4083" s="6">
        <f t="shared" si="130"/>
        <v>-0.54829827978729528</v>
      </c>
      <c r="E4083" s="6">
        <v>-5.0508707773633437E-3</v>
      </c>
      <c r="F4083" s="6"/>
      <c r="G4083" s="6">
        <v>4076</v>
      </c>
      <c r="H4083" s="6">
        <f t="shared" ca="1" si="131"/>
        <v>-4.8866308947255688E-2</v>
      </c>
    </row>
    <row r="4084" spans="2:8" x14ac:dyDescent="0.3">
      <c r="B4084" s="4">
        <v>45621</v>
      </c>
      <c r="C4084" s="5">
        <v>2433.42</v>
      </c>
      <c r="D4084" s="6">
        <f t="shared" si="130"/>
        <v>-0.12093144231950227</v>
      </c>
      <c r="E4084" s="6">
        <v>-5.0536025317077281E-3</v>
      </c>
      <c r="F4084" s="6"/>
      <c r="G4084" s="6">
        <v>4077</v>
      </c>
      <c r="H4084" s="6">
        <f t="shared" ca="1" si="131"/>
        <v>-5.8341397081209008E-3</v>
      </c>
    </row>
    <row r="4085" spans="2:8" x14ac:dyDescent="0.3">
      <c r="B4085" s="4">
        <v>45398</v>
      </c>
      <c r="C4085" s="5">
        <v>2768.18</v>
      </c>
      <c r="D4085" s="6">
        <f t="shared" si="130"/>
        <v>43.142560995056606</v>
      </c>
      <c r="E4085" s="6">
        <v>-5.0642101593303835E-3</v>
      </c>
      <c r="F4085" s="6"/>
      <c r="G4085" s="6">
        <v>4078</v>
      </c>
      <c r="H4085" s="6">
        <f t="shared" ca="1" si="131"/>
        <v>1.1193719695197233E-2</v>
      </c>
    </row>
    <row r="4086" spans="2:8" x14ac:dyDescent="0.3">
      <c r="B4086" s="4">
        <v>39134</v>
      </c>
      <c r="C4086" s="7">
        <v>62.71</v>
      </c>
      <c r="D4086" s="6">
        <f t="shared" si="130"/>
        <v>-0.94861310279837752</v>
      </c>
      <c r="E4086" s="6">
        <v>-5.0769474853244534E-3</v>
      </c>
      <c r="F4086" s="6"/>
      <c r="G4086" s="6">
        <v>4079</v>
      </c>
      <c r="H4086" s="6">
        <f t="shared" ca="1" si="131"/>
        <v>2.2081970500542294E-2</v>
      </c>
    </row>
    <row r="4087" spans="2:8" x14ac:dyDescent="0.3">
      <c r="B4087" s="4">
        <v>43241</v>
      </c>
      <c r="C4087" s="5">
        <v>1220.3499999999999</v>
      </c>
      <c r="D4087" s="6">
        <f t="shared" si="130"/>
        <v>4.2842729713345449</v>
      </c>
      <c r="E4087" s="6">
        <v>-5.0791632017479649E-3</v>
      </c>
      <c r="F4087" s="6"/>
      <c r="G4087" s="6">
        <v>4080</v>
      </c>
      <c r="H4087" s="6">
        <f t="shared" ca="1" si="131"/>
        <v>-8.5716423272422498E-4</v>
      </c>
    </row>
    <row r="4088" spans="2:8" x14ac:dyDescent="0.3">
      <c r="B4088" s="4">
        <v>40406</v>
      </c>
      <c r="C4088" s="7">
        <v>230.94</v>
      </c>
      <c r="D4088" s="6">
        <f t="shared" si="130"/>
        <v>-0.92899746661091565</v>
      </c>
      <c r="E4088" s="6">
        <v>-5.0835774599345459E-3</v>
      </c>
      <c r="F4088" s="6"/>
      <c r="G4088" s="6">
        <v>4081</v>
      </c>
      <c r="H4088" s="6">
        <f t="shared" ca="1" si="131"/>
        <v>1.3941149861682876E-2</v>
      </c>
    </row>
    <row r="4089" spans="2:8" x14ac:dyDescent="0.3">
      <c r="B4089" s="4">
        <v>45147</v>
      </c>
      <c r="C4089" s="5">
        <v>3252.56</v>
      </c>
      <c r="D4089" s="6">
        <f t="shared" si="130"/>
        <v>31.168529324498071</v>
      </c>
      <c r="E4089" s="6">
        <v>-5.0929735318318769E-3</v>
      </c>
      <c r="F4089" s="6"/>
      <c r="G4089" s="6">
        <v>4082</v>
      </c>
      <c r="H4089" s="6">
        <f t="shared" ca="1" si="131"/>
        <v>-8.1709802539191422E-3</v>
      </c>
    </row>
    <row r="4090" spans="2:8" x14ac:dyDescent="0.3">
      <c r="B4090" s="4">
        <v>40004</v>
      </c>
      <c r="C4090" s="7">
        <v>101.11</v>
      </c>
      <c r="D4090" s="6">
        <f t="shared" si="130"/>
        <v>-0.96393874115498746</v>
      </c>
      <c r="E4090" s="6">
        <v>-5.1165994293023327E-3</v>
      </c>
      <c r="F4090" s="6"/>
      <c r="G4090" s="6">
        <v>4083</v>
      </c>
      <c r="H4090" s="6">
        <f t="shared" ca="1" si="131"/>
        <v>-4.8230792489602639E-3</v>
      </c>
    </row>
    <row r="4091" spans="2:8" x14ac:dyDescent="0.3">
      <c r="B4091" s="4">
        <v>45446</v>
      </c>
      <c r="C4091" s="5">
        <v>2803.84</v>
      </c>
      <c r="D4091" s="6">
        <f t="shared" si="130"/>
        <v>10.278519710378118</v>
      </c>
      <c r="E4091" s="6">
        <v>-5.1201623691129088E-3</v>
      </c>
      <c r="F4091" s="6"/>
      <c r="G4091" s="6">
        <v>4084</v>
      </c>
      <c r="H4091" s="6">
        <f t="shared" ca="1" si="131"/>
        <v>-2.0407516881099878E-2</v>
      </c>
    </row>
    <row r="4092" spans="2:8" x14ac:dyDescent="0.3">
      <c r="B4092" s="4">
        <v>40932</v>
      </c>
      <c r="C4092" s="7">
        <v>248.6</v>
      </c>
      <c r="D4092" s="6">
        <f t="shared" si="130"/>
        <v>-0.91825003781675651</v>
      </c>
      <c r="E4092" s="6">
        <v>-5.1224587802145075E-3</v>
      </c>
      <c r="F4092" s="6"/>
      <c r="G4092" s="6">
        <v>4085</v>
      </c>
      <c r="H4092" s="6">
        <f t="shared" ca="1" si="131"/>
        <v>4.4692181019590216E-3</v>
      </c>
    </row>
    <row r="4093" spans="2:8" x14ac:dyDescent="0.3">
      <c r="B4093" s="4">
        <v>44894</v>
      </c>
      <c r="C4093" s="5">
        <v>3040.98</v>
      </c>
      <c r="D4093" s="6">
        <f t="shared" si="130"/>
        <v>6.8745144751152312</v>
      </c>
      <c r="E4093" s="6">
        <v>-5.123272613065279E-3</v>
      </c>
      <c r="F4093" s="6"/>
      <c r="G4093" s="6">
        <v>4086</v>
      </c>
      <c r="H4093" s="6">
        <f t="shared" ca="1" si="131"/>
        <v>-1.2347429621520181E-2</v>
      </c>
    </row>
    <row r="4094" spans="2:8" x14ac:dyDescent="0.3">
      <c r="B4094" s="4">
        <v>41292</v>
      </c>
      <c r="C4094" s="7">
        <v>386.18</v>
      </c>
      <c r="D4094" s="6">
        <f t="shared" si="130"/>
        <v>0.43172802432061685</v>
      </c>
      <c r="E4094" s="6">
        <v>-5.1266197799933249E-3</v>
      </c>
      <c r="F4094" s="6"/>
      <c r="G4094" s="6">
        <v>4087</v>
      </c>
      <c r="H4094" s="6">
        <f t="shared" ca="1" si="131"/>
        <v>-1.0947931658563368E-2</v>
      </c>
    </row>
    <row r="4095" spans="2:8" x14ac:dyDescent="0.3">
      <c r="B4095" s="4">
        <v>40757</v>
      </c>
      <c r="C4095" s="7">
        <v>269.73</v>
      </c>
      <c r="D4095" s="6">
        <f t="shared" si="130"/>
        <v>3.095505617977528</v>
      </c>
      <c r="E4095" s="6">
        <v>-5.1268810858659869E-3</v>
      </c>
      <c r="F4095" s="6"/>
      <c r="G4095" s="6">
        <v>4088</v>
      </c>
      <c r="H4095" s="6">
        <f t="shared" ca="1" si="131"/>
        <v>7.3550248936306573E-3</v>
      </c>
    </row>
    <row r="4096" spans="2:8" x14ac:dyDescent="0.3">
      <c r="B4096" s="4">
        <v>39113</v>
      </c>
      <c r="C4096" s="7">
        <v>65.86</v>
      </c>
      <c r="D4096" s="6">
        <f t="shared" si="130"/>
        <v>-0.53419619492184733</v>
      </c>
      <c r="E4096" s="6">
        <v>-5.1359516616314715E-3</v>
      </c>
      <c r="F4096" s="6"/>
      <c r="G4096" s="6">
        <v>4089</v>
      </c>
      <c r="H4096" s="6">
        <f t="shared" ca="1" si="131"/>
        <v>4.1281566875258661E-3</v>
      </c>
    </row>
    <row r="4097" spans="2:8" x14ac:dyDescent="0.3">
      <c r="B4097" s="4">
        <v>40114</v>
      </c>
      <c r="C4097" s="7">
        <v>141.38999999999999</v>
      </c>
      <c r="D4097" s="6">
        <f t="shared" si="130"/>
        <v>5.0865260439087381</v>
      </c>
      <c r="E4097" s="6">
        <v>-5.1365043625106821E-3</v>
      </c>
      <c r="F4097" s="6"/>
      <c r="G4097" s="6">
        <v>4090</v>
      </c>
      <c r="H4097" s="6">
        <f t="shared" ca="1" si="131"/>
        <v>-3.1683260288084499E-2</v>
      </c>
    </row>
    <row r="4098" spans="2:8" x14ac:dyDescent="0.3">
      <c r="B4098" s="4">
        <v>38076</v>
      </c>
      <c r="C4098" s="7">
        <v>23.23</v>
      </c>
      <c r="D4098" s="6">
        <f t="shared" si="130"/>
        <v>-0.99188825840244432</v>
      </c>
      <c r="E4098" s="6">
        <v>-5.1391862955032543E-3</v>
      </c>
      <c r="F4098" s="6"/>
      <c r="G4098" s="6">
        <v>4091</v>
      </c>
      <c r="H4098" s="6">
        <f t="shared" ca="1" si="131"/>
        <v>-3.3363896306242364E-3</v>
      </c>
    </row>
    <row r="4099" spans="2:8" x14ac:dyDescent="0.3">
      <c r="B4099" s="4">
        <v>44418</v>
      </c>
      <c r="C4099" s="5">
        <v>2863.75</v>
      </c>
      <c r="D4099" s="6">
        <f t="shared" si="130"/>
        <v>16.632842805245982</v>
      </c>
      <c r="E4099" s="6">
        <v>-5.144933577900042E-3</v>
      </c>
      <c r="F4099" s="6"/>
      <c r="G4099" s="6">
        <v>4092</v>
      </c>
      <c r="H4099" s="6">
        <f t="shared" ca="1" si="131"/>
        <v>1.7875499463146049E-2</v>
      </c>
    </row>
    <row r="4100" spans="2:8" x14ac:dyDescent="0.3">
      <c r="B4100" s="4">
        <v>40193</v>
      </c>
      <c r="C4100" s="7">
        <v>162.41</v>
      </c>
      <c r="D4100" s="6">
        <f t="shared" si="130"/>
        <v>-8.6249578035332577E-2</v>
      </c>
      <c r="E4100" s="6">
        <v>-5.1454823889739874E-3</v>
      </c>
      <c r="F4100" s="6"/>
      <c r="G4100" s="6">
        <v>4093</v>
      </c>
      <c r="H4100" s="6">
        <f t="shared" ca="1" si="131"/>
        <v>-9.5216301073315582E-3</v>
      </c>
    </row>
    <row r="4101" spans="2:8" x14ac:dyDescent="0.3">
      <c r="B4101" s="4">
        <v>40283</v>
      </c>
      <c r="C4101" s="7">
        <v>177.74</v>
      </c>
      <c r="D4101" s="6">
        <f t="shared" si="130"/>
        <v>-0.85644943747627544</v>
      </c>
      <c r="E4101" s="6">
        <v>-5.1494458748460063E-3</v>
      </c>
      <c r="F4101" s="6"/>
      <c r="G4101" s="6">
        <v>4094</v>
      </c>
      <c r="H4101" s="6">
        <f t="shared" ca="1" si="131"/>
        <v>-3.6550779841303241E-2</v>
      </c>
    </row>
    <row r="4102" spans="2:8" x14ac:dyDescent="0.3">
      <c r="B4102" s="4">
        <v>43349</v>
      </c>
      <c r="C4102" s="5">
        <v>1238.17</v>
      </c>
      <c r="D4102" s="6">
        <f t="shared" si="130"/>
        <v>3.2182059755391279</v>
      </c>
      <c r="E4102" s="6">
        <v>-5.1503318388531512E-3</v>
      </c>
      <c r="F4102" s="6"/>
      <c r="G4102" s="6">
        <v>4095</v>
      </c>
      <c r="H4102" s="6">
        <f t="shared" ca="1" si="131"/>
        <v>1.2674194257696124E-3</v>
      </c>
    </row>
    <row r="4103" spans="2:8" x14ac:dyDescent="0.3">
      <c r="B4103" s="4">
        <v>41017</v>
      </c>
      <c r="C4103" s="7">
        <v>293.52999999999997</v>
      </c>
      <c r="D4103" s="6">
        <f t="shared" si="130"/>
        <v>1.9233144109152474</v>
      </c>
      <c r="E4103" s="6">
        <v>-5.1516692086088414E-3</v>
      </c>
      <c r="F4103" s="6"/>
      <c r="G4103" s="6">
        <v>4096</v>
      </c>
      <c r="H4103" s="6">
        <f t="shared" ca="1" si="131"/>
        <v>-5.2820807574537427E-3</v>
      </c>
    </row>
    <row r="4104" spans="2:8" x14ac:dyDescent="0.3">
      <c r="B4104" s="4">
        <v>39720</v>
      </c>
      <c r="C4104" s="7">
        <v>100.41</v>
      </c>
      <c r="D4104" s="6">
        <f t="shared" ref="D4104:D4167" si="132">((C4104-C4105)/C4105)</f>
        <v>-0.65299281172242196</v>
      </c>
      <c r="E4104" s="6">
        <v>-5.1520856038839808E-3</v>
      </c>
      <c r="F4104" s="6"/>
      <c r="G4104" s="6">
        <v>4097</v>
      </c>
      <c r="H4104" s="6">
        <f t="shared" ca="1" si="131"/>
        <v>3.2068109950548389E-3</v>
      </c>
    </row>
    <row r="4105" spans="2:8" x14ac:dyDescent="0.3">
      <c r="B4105" s="4">
        <v>40778</v>
      </c>
      <c r="C4105" s="7">
        <v>289.36</v>
      </c>
      <c r="D4105" s="6">
        <f t="shared" si="132"/>
        <v>11.520986585893553</v>
      </c>
      <c r="E4105" s="6">
        <v>-5.1571202640445573E-3</v>
      </c>
      <c r="F4105" s="6"/>
      <c r="G4105" s="6">
        <v>4098</v>
      </c>
      <c r="H4105" s="6">
        <f t="shared" ref="H4105:H4168" ca="1" si="133">_xlfn.NORM.INV(RAND(),N$10,N$11)</f>
        <v>2.4260152884173793E-2</v>
      </c>
    </row>
    <row r="4106" spans="2:8" x14ac:dyDescent="0.3">
      <c r="B4106" s="4">
        <v>38077</v>
      </c>
      <c r="C4106" s="7">
        <v>23.11</v>
      </c>
      <c r="D4106" s="6">
        <f t="shared" si="132"/>
        <v>-0.98634168828789437</v>
      </c>
      <c r="E4106" s="6">
        <v>-5.1657339647008605E-3</v>
      </c>
      <c r="F4106" s="6"/>
      <c r="G4106" s="6">
        <v>4099</v>
      </c>
      <c r="H4106" s="6">
        <f t="shared" ca="1" si="133"/>
        <v>2.0676839329663868E-2</v>
      </c>
    </row>
    <row r="4107" spans="2:8" x14ac:dyDescent="0.3">
      <c r="B4107" s="4">
        <v>43858</v>
      </c>
      <c r="C4107" s="5">
        <v>1692.01</v>
      </c>
      <c r="D4107" s="6">
        <f t="shared" si="132"/>
        <v>1.8314841775858894</v>
      </c>
      <c r="E4107" s="6">
        <v>-5.1681561618061875E-3</v>
      </c>
      <c r="F4107" s="6"/>
      <c r="G4107" s="6">
        <v>4100</v>
      </c>
      <c r="H4107" s="6">
        <f t="shared" ca="1" si="133"/>
        <v>-1.9510119337832341E-2</v>
      </c>
    </row>
    <row r="4108" spans="2:8" x14ac:dyDescent="0.3">
      <c r="B4108" s="4">
        <v>41946</v>
      </c>
      <c r="C4108" s="7">
        <v>597.57000000000005</v>
      </c>
      <c r="D4108" s="6">
        <f t="shared" si="132"/>
        <v>-0.65008344312692135</v>
      </c>
      <c r="E4108" s="6">
        <v>-5.177465539055571E-3</v>
      </c>
      <c r="F4108" s="6"/>
      <c r="G4108" s="6">
        <v>4101</v>
      </c>
      <c r="H4108" s="6">
        <f t="shared" ca="1" si="133"/>
        <v>-2.4762597995837653E-2</v>
      </c>
    </row>
    <row r="4109" spans="2:8" x14ac:dyDescent="0.3">
      <c r="B4109" s="4">
        <v>43861</v>
      </c>
      <c r="C4109" s="5">
        <v>1707.75</v>
      </c>
      <c r="D4109" s="6">
        <f t="shared" si="132"/>
        <v>1.8993073240297444</v>
      </c>
      <c r="E4109" s="6">
        <v>-5.1787212228540051E-3</v>
      </c>
      <c r="F4109" s="6"/>
      <c r="G4109" s="6">
        <v>4102</v>
      </c>
      <c r="H4109" s="6">
        <f t="shared" ca="1" si="133"/>
        <v>-2.5405753206507002E-2</v>
      </c>
    </row>
    <row r="4110" spans="2:8" x14ac:dyDescent="0.3">
      <c r="B4110" s="4">
        <v>41933</v>
      </c>
      <c r="C4110" s="7">
        <v>589.02</v>
      </c>
      <c r="D4110" s="6">
        <f t="shared" si="132"/>
        <v>-0.45851680931062061</v>
      </c>
      <c r="E4110" s="6">
        <v>-5.1850225472479692E-3</v>
      </c>
      <c r="F4110" s="6"/>
      <c r="G4110" s="6">
        <v>4103</v>
      </c>
      <c r="H4110" s="6">
        <f t="shared" ca="1" si="133"/>
        <v>1.2443096046741086E-2</v>
      </c>
    </row>
    <row r="4111" spans="2:8" x14ac:dyDescent="0.3">
      <c r="B4111" s="4">
        <v>43060</v>
      </c>
      <c r="C4111" s="5">
        <v>1087.79</v>
      </c>
      <c r="D4111" s="6">
        <f t="shared" si="132"/>
        <v>-8.2057640933998303E-3</v>
      </c>
      <c r="E4111" s="6">
        <v>-5.1853748651071573E-3</v>
      </c>
      <c r="F4111" s="6"/>
      <c r="G4111" s="6">
        <v>4104</v>
      </c>
      <c r="H4111" s="6">
        <f t="shared" ca="1" si="133"/>
        <v>-2.8570978272718399E-3</v>
      </c>
    </row>
    <row r="4112" spans="2:8" x14ac:dyDescent="0.3">
      <c r="B4112" s="4">
        <v>43123</v>
      </c>
      <c r="C4112" s="5">
        <v>1096.79</v>
      </c>
      <c r="D4112" s="6">
        <f t="shared" si="132"/>
        <v>-0.51018886125017304</v>
      </c>
      <c r="E4112" s="6">
        <v>-5.1881615586253432E-3</v>
      </c>
      <c r="F4112" s="6"/>
      <c r="G4112" s="6">
        <v>4105</v>
      </c>
      <c r="H4112" s="6">
        <f t="shared" ca="1" si="133"/>
        <v>9.2107759100162126E-3</v>
      </c>
    </row>
    <row r="4113" spans="2:8" x14ac:dyDescent="0.3">
      <c r="B4113" s="4">
        <v>45694</v>
      </c>
      <c r="C4113" s="5">
        <v>2239.21</v>
      </c>
      <c r="D4113" s="6">
        <f t="shared" si="132"/>
        <v>-0.24998157787200972</v>
      </c>
      <c r="E4113" s="6">
        <v>-5.1890585501734145E-3</v>
      </c>
      <c r="F4113" s="6"/>
      <c r="G4113" s="6">
        <v>4106</v>
      </c>
      <c r="H4113" s="6">
        <f t="shared" ca="1" si="133"/>
        <v>6.2093111126084056E-3</v>
      </c>
    </row>
    <row r="4114" spans="2:8" x14ac:dyDescent="0.3">
      <c r="B4114" s="4">
        <v>44498</v>
      </c>
      <c r="C4114" s="5">
        <v>2985.54</v>
      </c>
      <c r="D4114" s="6">
        <f t="shared" si="132"/>
        <v>-9.528542597227864E-2</v>
      </c>
      <c r="E4114" s="6">
        <v>-5.1980247505947442E-3</v>
      </c>
      <c r="F4114" s="6"/>
      <c r="G4114" s="6">
        <v>4107</v>
      </c>
      <c r="H4114" s="6">
        <f t="shared" ca="1" si="133"/>
        <v>2.7551242419656091E-2</v>
      </c>
    </row>
    <row r="4115" spans="2:8" x14ac:dyDescent="0.3">
      <c r="B4115" s="4">
        <v>44466</v>
      </c>
      <c r="C4115" s="5">
        <v>3299.98</v>
      </c>
      <c r="D4115" s="6">
        <f t="shared" si="132"/>
        <v>5.799736251056026</v>
      </c>
      <c r="E4115" s="6">
        <v>-5.2031206665781688E-3</v>
      </c>
      <c r="F4115" s="6"/>
      <c r="G4115" s="6">
        <v>4108</v>
      </c>
      <c r="H4115" s="6">
        <f t="shared" ca="1" si="133"/>
        <v>-2.9022425634670185E-4</v>
      </c>
    </row>
    <row r="4116" spans="2:8" x14ac:dyDescent="0.3">
      <c r="B4116" s="4">
        <v>41751</v>
      </c>
      <c r="C4116" s="7">
        <v>485.31</v>
      </c>
      <c r="D4116" s="6">
        <f t="shared" si="132"/>
        <v>0.6658428586139431</v>
      </c>
      <c r="E4116" s="6">
        <v>-5.2065183970483146E-3</v>
      </c>
      <c r="F4116" s="6"/>
      <c r="G4116" s="6">
        <v>4109</v>
      </c>
      <c r="H4116" s="6">
        <f t="shared" ca="1" si="133"/>
        <v>2.1743892692696387E-2</v>
      </c>
    </row>
    <row r="4117" spans="2:8" x14ac:dyDescent="0.3">
      <c r="B4117" s="4">
        <v>40728</v>
      </c>
      <c r="C4117" s="7">
        <v>291.33</v>
      </c>
      <c r="D4117" s="6">
        <f t="shared" si="132"/>
        <v>-0.88182633139574973</v>
      </c>
      <c r="E4117" s="6">
        <v>-5.2243392747388841E-3</v>
      </c>
      <c r="F4117" s="6"/>
      <c r="G4117" s="6">
        <v>4110</v>
      </c>
      <c r="H4117" s="6">
        <f t="shared" ca="1" si="133"/>
        <v>7.1387369254244173E-3</v>
      </c>
    </row>
    <row r="4118" spans="2:8" x14ac:dyDescent="0.3">
      <c r="B4118" s="4">
        <v>45623</v>
      </c>
      <c r="C4118" s="5">
        <v>2465.27</v>
      </c>
      <c r="D4118" s="6">
        <f t="shared" si="132"/>
        <v>-0.25292811016058009</v>
      </c>
      <c r="E4118" s="6">
        <v>-5.2295388240801042E-3</v>
      </c>
      <c r="F4118" s="6"/>
      <c r="G4118" s="6">
        <v>4111</v>
      </c>
      <c r="H4118" s="6">
        <f t="shared" ca="1" si="133"/>
        <v>4.392084072879718E-3</v>
      </c>
    </row>
    <row r="4119" spans="2:8" x14ac:dyDescent="0.3">
      <c r="B4119" s="4">
        <v>45294</v>
      </c>
      <c r="C4119" s="5">
        <v>3299.91</v>
      </c>
      <c r="D4119" s="6">
        <f t="shared" si="132"/>
        <v>12.91075794621027</v>
      </c>
      <c r="E4119" s="6">
        <v>-5.2332188817913912E-3</v>
      </c>
      <c r="F4119" s="6"/>
      <c r="G4119" s="6">
        <v>4112</v>
      </c>
      <c r="H4119" s="6">
        <f t="shared" ca="1" si="133"/>
        <v>-2.0175442698109201E-2</v>
      </c>
    </row>
    <row r="4120" spans="2:8" x14ac:dyDescent="0.3">
      <c r="B4120" s="4">
        <v>40420</v>
      </c>
      <c r="C4120" s="7">
        <v>237.22</v>
      </c>
      <c r="D4120" s="6">
        <f t="shared" si="132"/>
        <v>-0.84575671668964081</v>
      </c>
      <c r="E4120" s="6">
        <v>-5.2417494863085503E-3</v>
      </c>
      <c r="F4120" s="6"/>
      <c r="G4120" s="6">
        <v>4113</v>
      </c>
      <c r="H4120" s="6">
        <f t="shared" ca="1" si="133"/>
        <v>7.2575903058846305E-5</v>
      </c>
    </row>
    <row r="4121" spans="2:8" x14ac:dyDescent="0.3">
      <c r="B4121" s="4">
        <v>43957</v>
      </c>
      <c r="C4121" s="5">
        <v>1537.96</v>
      </c>
      <c r="D4121" s="6">
        <f t="shared" si="132"/>
        <v>-0.44373553240740743</v>
      </c>
      <c r="E4121" s="6">
        <v>-5.2455580924537053E-3</v>
      </c>
      <c r="F4121" s="6"/>
      <c r="G4121" s="6">
        <v>4114</v>
      </c>
      <c r="H4121" s="6">
        <f t="shared" ca="1" si="133"/>
        <v>-6.3580674261911876E-3</v>
      </c>
    </row>
    <row r="4122" spans="2:8" x14ac:dyDescent="0.3">
      <c r="B4122" s="4">
        <v>46003</v>
      </c>
      <c r="C4122" s="5">
        <v>2764.8</v>
      </c>
      <c r="D4122" s="6">
        <f t="shared" si="132"/>
        <v>0.25911386582750046</v>
      </c>
      <c r="E4122" s="6">
        <v>-5.2529322875440416E-3</v>
      </c>
      <c r="F4122" s="6"/>
      <c r="G4122" s="6">
        <v>4115</v>
      </c>
      <c r="H4122" s="6">
        <f t="shared" ca="1" si="133"/>
        <v>1.8108701858664689E-2</v>
      </c>
    </row>
    <row r="4123" spans="2:8" x14ac:dyDescent="0.3">
      <c r="B4123" s="4">
        <v>45733</v>
      </c>
      <c r="C4123" s="5">
        <v>2195.83</v>
      </c>
      <c r="D4123" s="6">
        <f t="shared" si="132"/>
        <v>12.083656080557706</v>
      </c>
      <c r="E4123" s="6">
        <v>-5.2684986364419329E-3</v>
      </c>
      <c r="F4123" s="6"/>
      <c r="G4123" s="6">
        <v>4116</v>
      </c>
      <c r="H4123" s="6">
        <f t="shared" ca="1" si="133"/>
        <v>9.431260071753678E-3</v>
      </c>
    </row>
    <row r="4124" spans="2:8" x14ac:dyDescent="0.3">
      <c r="B4124" s="4">
        <v>40224</v>
      </c>
      <c r="C4124" s="7">
        <v>167.83</v>
      </c>
      <c r="D4124" s="6">
        <f t="shared" si="132"/>
        <v>-0.86198644781421674</v>
      </c>
      <c r="E4124" s="6">
        <v>-5.2750118539591417E-3</v>
      </c>
      <c r="F4124" s="6"/>
      <c r="G4124" s="6">
        <v>4117</v>
      </c>
      <c r="H4124" s="6">
        <f t="shared" ca="1" si="133"/>
        <v>-3.0306240768541805E-2</v>
      </c>
    </row>
    <row r="4125" spans="2:8" x14ac:dyDescent="0.3">
      <c r="B4125" s="4">
        <v>43355</v>
      </c>
      <c r="C4125" s="5">
        <v>1216.04</v>
      </c>
      <c r="D4125" s="6">
        <f t="shared" si="132"/>
        <v>42.091424521615878</v>
      </c>
      <c r="E4125" s="6">
        <v>-5.2761167780513915E-3</v>
      </c>
      <c r="F4125" s="6"/>
      <c r="G4125" s="6">
        <v>4118</v>
      </c>
      <c r="H4125" s="6">
        <f t="shared" ca="1" si="133"/>
        <v>-2.1789836355278385E-3</v>
      </c>
    </row>
    <row r="4126" spans="2:8" x14ac:dyDescent="0.3">
      <c r="B4126" s="4">
        <v>38422</v>
      </c>
      <c r="C4126" s="7">
        <v>28.22</v>
      </c>
      <c r="D4126" s="6">
        <f t="shared" si="132"/>
        <v>-0.93014159817803754</v>
      </c>
      <c r="E4126" s="6">
        <v>-5.2872752908002156E-3</v>
      </c>
      <c r="F4126" s="6"/>
      <c r="G4126" s="6">
        <v>4119</v>
      </c>
      <c r="H4126" s="6">
        <f t="shared" ca="1" si="133"/>
        <v>2.7263486641991967E-2</v>
      </c>
    </row>
    <row r="4127" spans="2:8" x14ac:dyDescent="0.3">
      <c r="B4127" s="4">
        <v>41317</v>
      </c>
      <c r="C4127" s="7">
        <v>403.96</v>
      </c>
      <c r="D4127" s="6">
        <f t="shared" si="132"/>
        <v>4.1224955617550085</v>
      </c>
      <c r="E4127" s="6">
        <v>-5.2941321316885429E-3</v>
      </c>
      <c r="F4127" s="6"/>
      <c r="G4127" s="6">
        <v>4120</v>
      </c>
      <c r="H4127" s="6">
        <f t="shared" ca="1" si="133"/>
        <v>-6.4680844957033167E-3</v>
      </c>
    </row>
    <row r="4128" spans="2:8" x14ac:dyDescent="0.3">
      <c r="B4128" s="4">
        <v>39325</v>
      </c>
      <c r="C4128" s="7">
        <v>78.86</v>
      </c>
      <c r="D4128" s="6">
        <f t="shared" si="132"/>
        <v>-0.91711423856720931</v>
      </c>
      <c r="E4128" s="6">
        <v>-5.2976791120080942E-3</v>
      </c>
      <c r="F4128" s="6"/>
      <c r="G4128" s="6">
        <v>4121</v>
      </c>
      <c r="H4128" s="6">
        <f t="shared" ca="1" si="133"/>
        <v>-4.2062876583826951E-2</v>
      </c>
    </row>
    <row r="4129" spans="2:8" x14ac:dyDescent="0.3">
      <c r="B4129" s="4">
        <v>42801</v>
      </c>
      <c r="C4129" s="7">
        <v>951.43</v>
      </c>
      <c r="D4129" s="6">
        <f t="shared" si="132"/>
        <v>-0.60894780106863966</v>
      </c>
      <c r="E4129" s="6">
        <v>-5.3005750130685307E-3</v>
      </c>
      <c r="F4129" s="6"/>
      <c r="G4129" s="6">
        <v>4122</v>
      </c>
      <c r="H4129" s="6">
        <f t="shared" ca="1" si="133"/>
        <v>-2.6533781193561036E-3</v>
      </c>
    </row>
    <row r="4130" spans="2:8" x14ac:dyDescent="0.3">
      <c r="B4130" s="4">
        <v>45874</v>
      </c>
      <c r="C4130" s="5">
        <v>2433</v>
      </c>
      <c r="D4130" s="6">
        <f t="shared" si="132"/>
        <v>1.1217742237147717E-2</v>
      </c>
      <c r="E4130" s="6">
        <v>-5.3066664486218279E-3</v>
      </c>
      <c r="F4130" s="6"/>
      <c r="G4130" s="6">
        <v>4123</v>
      </c>
      <c r="H4130" s="6">
        <f t="shared" ca="1" si="133"/>
        <v>-7.7220076885205005E-3</v>
      </c>
    </row>
    <row r="4131" spans="2:8" x14ac:dyDescent="0.3">
      <c r="B4131" s="4">
        <v>45769</v>
      </c>
      <c r="C4131" s="5">
        <v>2406.0100000000002</v>
      </c>
      <c r="D4131" s="6">
        <f t="shared" si="132"/>
        <v>1.3016970879730612</v>
      </c>
      <c r="E4131" s="6">
        <v>-5.316532099699311E-3</v>
      </c>
      <c r="F4131" s="6"/>
      <c r="G4131" s="6">
        <v>4124</v>
      </c>
      <c r="H4131" s="6">
        <f t="shared" ca="1" si="133"/>
        <v>3.8643791606239389E-3</v>
      </c>
    </row>
    <row r="4132" spans="2:8" x14ac:dyDescent="0.3">
      <c r="B4132" s="4">
        <v>43074</v>
      </c>
      <c r="C4132" s="5">
        <v>1045.32</v>
      </c>
      <c r="D4132" s="6">
        <f t="shared" si="132"/>
        <v>14.641478377973963</v>
      </c>
      <c r="E4132" s="6">
        <v>-5.347593582887813E-3</v>
      </c>
      <c r="F4132" s="6"/>
      <c r="G4132" s="6">
        <v>4125</v>
      </c>
      <c r="H4132" s="6">
        <f t="shared" ca="1" si="133"/>
        <v>-7.555699132934017E-3</v>
      </c>
    </row>
    <row r="4133" spans="2:8" x14ac:dyDescent="0.3">
      <c r="B4133" s="4">
        <v>39198</v>
      </c>
      <c r="C4133" s="7">
        <v>66.83</v>
      </c>
      <c r="D4133" s="6">
        <f t="shared" si="132"/>
        <v>-0.82601338158340065</v>
      </c>
      <c r="E4133" s="6">
        <v>-5.3579401696680967E-3</v>
      </c>
      <c r="F4133" s="6"/>
      <c r="G4133" s="6">
        <v>4126</v>
      </c>
      <c r="H4133" s="6">
        <f t="shared" ca="1" si="133"/>
        <v>4.2158343363171764E-2</v>
      </c>
    </row>
    <row r="4134" spans="2:8" x14ac:dyDescent="0.3">
      <c r="B4134" s="4">
        <v>41295</v>
      </c>
      <c r="C4134" s="7">
        <v>384.11</v>
      </c>
      <c r="D4134" s="6">
        <f t="shared" si="132"/>
        <v>16.255615453728662</v>
      </c>
      <c r="E4134" s="6">
        <v>-5.3601947278470998E-3</v>
      </c>
      <c r="F4134" s="6"/>
      <c r="G4134" s="6">
        <v>4127</v>
      </c>
      <c r="H4134" s="6">
        <f t="shared" ca="1" si="133"/>
        <v>-6.4146755274040275E-3</v>
      </c>
    </row>
    <row r="4135" spans="2:8" x14ac:dyDescent="0.3">
      <c r="B4135" s="4">
        <v>38126</v>
      </c>
      <c r="C4135" s="7">
        <v>22.26</v>
      </c>
      <c r="D4135" s="6">
        <f t="shared" si="132"/>
        <v>-0.99266612414874644</v>
      </c>
      <c r="E4135" s="6">
        <v>-5.3619302949060518E-3</v>
      </c>
      <c r="F4135" s="6"/>
      <c r="G4135" s="6">
        <v>4128</v>
      </c>
      <c r="H4135" s="6">
        <f t="shared" ca="1" si="133"/>
        <v>-1.8595932013986488E-2</v>
      </c>
    </row>
    <row r="4136" spans="2:8" x14ac:dyDescent="0.3">
      <c r="B4136" s="4">
        <v>44516</v>
      </c>
      <c r="C4136" s="5">
        <v>3035.23</v>
      </c>
      <c r="D4136" s="6">
        <f t="shared" si="132"/>
        <v>41.132565241532483</v>
      </c>
      <c r="E4136" s="6">
        <v>-5.364399003801249E-3</v>
      </c>
      <c r="F4136" s="6"/>
      <c r="G4136" s="6">
        <v>4129</v>
      </c>
      <c r="H4136" s="6">
        <f t="shared" ca="1" si="133"/>
        <v>-5.8546617449862738E-3</v>
      </c>
    </row>
    <row r="4137" spans="2:8" x14ac:dyDescent="0.3">
      <c r="B4137" s="4">
        <v>39237</v>
      </c>
      <c r="C4137" s="7">
        <v>72.040000000000006</v>
      </c>
      <c r="D4137" s="6">
        <f t="shared" si="132"/>
        <v>-0.30322081439210752</v>
      </c>
      <c r="E4137" s="6">
        <v>-5.3845091812784835E-3</v>
      </c>
      <c r="F4137" s="6"/>
      <c r="G4137" s="6">
        <v>4130</v>
      </c>
      <c r="H4137" s="6">
        <f t="shared" ca="1" si="133"/>
        <v>-5.4365874767649041E-3</v>
      </c>
    </row>
    <row r="4138" spans="2:8" x14ac:dyDescent="0.3">
      <c r="B4138" s="4">
        <v>39582</v>
      </c>
      <c r="C4138" s="7">
        <v>103.39</v>
      </c>
      <c r="D4138" s="6">
        <f t="shared" si="132"/>
        <v>-0.91820346679957898</v>
      </c>
      <c r="E4138" s="6">
        <v>-5.3872053872054092E-3</v>
      </c>
      <c r="F4138" s="6"/>
      <c r="G4138" s="6">
        <v>4131</v>
      </c>
      <c r="H4138" s="6">
        <f t="shared" ca="1" si="133"/>
        <v>8.9555135661516705E-4</v>
      </c>
    </row>
    <row r="4139" spans="2:8" x14ac:dyDescent="0.3">
      <c r="B4139" s="4">
        <v>43437</v>
      </c>
      <c r="C4139" s="5">
        <v>1263.99</v>
      </c>
      <c r="D4139" s="6">
        <f t="shared" si="132"/>
        <v>0.62170588386235925</v>
      </c>
      <c r="E4139" s="6">
        <v>-5.390135658304672E-3</v>
      </c>
      <c r="F4139" s="6"/>
      <c r="G4139" s="6">
        <v>4132</v>
      </c>
      <c r="H4139" s="6">
        <f t="shared" ca="1" si="133"/>
        <v>9.6639695979097023E-3</v>
      </c>
    </row>
    <row r="4140" spans="2:8" x14ac:dyDescent="0.3">
      <c r="B4140" s="4">
        <v>42457</v>
      </c>
      <c r="C4140" s="7">
        <v>779.42</v>
      </c>
      <c r="D4140" s="6">
        <f t="shared" si="132"/>
        <v>16.689968225147524</v>
      </c>
      <c r="E4140" s="6">
        <v>-5.4105096598014565E-3</v>
      </c>
      <c r="F4140" s="6"/>
      <c r="G4140" s="6">
        <v>4133</v>
      </c>
      <c r="H4140" s="6">
        <f t="shared" ca="1" si="133"/>
        <v>-2.5534492682209857E-2</v>
      </c>
    </row>
    <row r="4141" spans="2:8" x14ac:dyDescent="0.3">
      <c r="B4141" s="4">
        <v>38860</v>
      </c>
      <c r="C4141" s="7">
        <v>44.06</v>
      </c>
      <c r="D4141" s="6">
        <f t="shared" si="132"/>
        <v>-0.98344293713126152</v>
      </c>
      <c r="E4141" s="6">
        <v>-5.4176072234761825E-3</v>
      </c>
      <c r="F4141" s="6"/>
      <c r="G4141" s="6">
        <v>4134</v>
      </c>
      <c r="H4141" s="6">
        <f t="shared" ca="1" si="133"/>
        <v>-1.1059338276847155E-2</v>
      </c>
    </row>
    <row r="4142" spans="2:8" x14ac:dyDescent="0.3">
      <c r="B4142" s="4">
        <v>46043</v>
      </c>
      <c r="C4142" s="5">
        <v>2661.1</v>
      </c>
      <c r="D4142" s="6">
        <f t="shared" si="132"/>
        <v>10.435262773408963</v>
      </c>
      <c r="E4142" s="6">
        <v>-5.4193451936014351E-3</v>
      </c>
      <c r="F4142" s="6"/>
      <c r="G4142" s="6">
        <v>4135</v>
      </c>
      <c r="H4142" s="6">
        <f t="shared" ca="1" si="133"/>
        <v>6.3737095555591906E-3</v>
      </c>
    </row>
    <row r="4143" spans="2:8" x14ac:dyDescent="0.3">
      <c r="B4143" s="4">
        <v>40462</v>
      </c>
      <c r="C4143" s="7">
        <v>232.71</v>
      </c>
      <c r="D4143" s="6">
        <f t="shared" si="132"/>
        <v>8.7736245275094511</v>
      </c>
      <c r="E4143" s="6">
        <v>-5.4278143431061706E-3</v>
      </c>
      <c r="F4143" s="6"/>
      <c r="G4143" s="6">
        <v>4136</v>
      </c>
      <c r="H4143" s="6">
        <f t="shared" ca="1" si="133"/>
        <v>4.1317341654488618E-3</v>
      </c>
    </row>
    <row r="4144" spans="2:8" x14ac:dyDescent="0.3">
      <c r="B4144" s="4">
        <v>38114</v>
      </c>
      <c r="C4144" s="7">
        <v>23.81</v>
      </c>
      <c r="D4144" s="6">
        <f t="shared" si="132"/>
        <v>-0.91027621811056258</v>
      </c>
      <c r="E4144" s="6">
        <v>-5.4302422723476419E-3</v>
      </c>
      <c r="F4144" s="6"/>
      <c r="G4144" s="6">
        <v>4137</v>
      </c>
      <c r="H4144" s="6">
        <f t="shared" ca="1" si="133"/>
        <v>-2.1398803817478881E-2</v>
      </c>
    </row>
    <row r="4145" spans="2:8" x14ac:dyDescent="0.3">
      <c r="B4145" s="4">
        <v>40711</v>
      </c>
      <c r="C4145" s="7">
        <v>265.37</v>
      </c>
      <c r="D4145" s="6">
        <f t="shared" si="132"/>
        <v>-0.67245146080452245</v>
      </c>
      <c r="E4145" s="6">
        <v>-5.4343752342402695E-3</v>
      </c>
      <c r="F4145" s="6"/>
      <c r="G4145" s="6">
        <v>4138</v>
      </c>
      <c r="H4145" s="6">
        <f t="shared" ca="1" si="133"/>
        <v>7.1727967344328951E-3</v>
      </c>
    </row>
    <row r="4146" spans="2:8" x14ac:dyDescent="0.3">
      <c r="B4146" s="4">
        <v>42370</v>
      </c>
      <c r="C4146" s="7">
        <v>810.17</v>
      </c>
      <c r="D4146" s="6">
        <f t="shared" si="132"/>
        <v>30.647265624999996</v>
      </c>
      <c r="E4146" s="6">
        <v>-5.4382519027744462E-3</v>
      </c>
      <c r="F4146" s="6"/>
      <c r="G4146" s="6">
        <v>4139</v>
      </c>
      <c r="H4146" s="6">
        <f t="shared" ca="1" si="133"/>
        <v>-1.9795978014961867E-2</v>
      </c>
    </row>
    <row r="4147" spans="2:8" x14ac:dyDescent="0.3">
      <c r="B4147" s="4">
        <v>38343</v>
      </c>
      <c r="C4147" s="7">
        <v>25.6</v>
      </c>
      <c r="D4147" s="6">
        <f t="shared" si="132"/>
        <v>-0.88961234961838642</v>
      </c>
      <c r="E4147" s="6">
        <v>-5.4390054390053236E-3</v>
      </c>
      <c r="F4147" s="6"/>
      <c r="G4147" s="6">
        <v>4140</v>
      </c>
      <c r="H4147" s="6">
        <f t="shared" ca="1" si="133"/>
        <v>-4.7109860658187241E-3</v>
      </c>
    </row>
    <row r="4148" spans="2:8" x14ac:dyDescent="0.3">
      <c r="B4148" s="4">
        <v>40521</v>
      </c>
      <c r="C4148" s="7">
        <v>231.91</v>
      </c>
      <c r="D4148" s="6">
        <f t="shared" si="132"/>
        <v>-0.47079092693167818</v>
      </c>
      <c r="E4148" s="6">
        <v>-5.4464362295223012E-3</v>
      </c>
      <c r="F4148" s="6"/>
      <c r="G4148" s="6">
        <v>4141</v>
      </c>
      <c r="H4148" s="6">
        <f t="shared" ca="1" si="133"/>
        <v>1.0856375476363669E-2</v>
      </c>
    </row>
    <row r="4149" spans="2:8" x14ac:dyDescent="0.3">
      <c r="B4149" s="4">
        <v>41681</v>
      </c>
      <c r="C4149" s="7">
        <v>438.22</v>
      </c>
      <c r="D4149" s="6">
        <f t="shared" si="132"/>
        <v>20.889110889110892</v>
      </c>
      <c r="E4149" s="6">
        <v>-5.4468703190957675E-3</v>
      </c>
      <c r="F4149" s="6"/>
      <c r="G4149" s="6">
        <v>4142</v>
      </c>
      <c r="H4149" s="6">
        <f t="shared" ca="1" si="133"/>
        <v>8.5965882433712438E-3</v>
      </c>
    </row>
    <row r="4150" spans="2:8" x14ac:dyDescent="0.3">
      <c r="B4150" s="4">
        <v>37819</v>
      </c>
      <c r="C4150" s="7">
        <v>20.02</v>
      </c>
      <c r="D4150" s="6">
        <f t="shared" si="132"/>
        <v>-0.57683365039103784</v>
      </c>
      <c r="E4150" s="6">
        <v>-5.4644808743169121E-3</v>
      </c>
      <c r="F4150" s="6"/>
      <c r="G4150" s="6">
        <v>4143</v>
      </c>
      <c r="H4150" s="6">
        <f t="shared" ca="1" si="133"/>
        <v>-3.049754461123784E-2</v>
      </c>
    </row>
    <row r="4151" spans="2:8" x14ac:dyDescent="0.3">
      <c r="B4151" s="4">
        <v>38902</v>
      </c>
      <c r="C4151" s="7">
        <v>47.31</v>
      </c>
      <c r="D4151" s="6">
        <f t="shared" si="132"/>
        <v>-0.95091712661327132</v>
      </c>
      <c r="E4151" s="6">
        <v>-5.465629598486399E-3</v>
      </c>
      <c r="F4151" s="6"/>
      <c r="G4151" s="6">
        <v>4144</v>
      </c>
      <c r="H4151" s="6">
        <f t="shared" ca="1" si="133"/>
        <v>-8.3469433160306E-3</v>
      </c>
    </row>
    <row r="4152" spans="2:8" x14ac:dyDescent="0.3">
      <c r="B4152" s="4">
        <v>42681</v>
      </c>
      <c r="C4152" s="7">
        <v>963.88</v>
      </c>
      <c r="D4152" s="6">
        <f t="shared" si="132"/>
        <v>36.873477406679761</v>
      </c>
      <c r="E4152" s="6">
        <v>-5.4685404156090247E-3</v>
      </c>
      <c r="F4152" s="6"/>
      <c r="G4152" s="6">
        <v>4145</v>
      </c>
      <c r="H4152" s="6">
        <f t="shared" ca="1" si="133"/>
        <v>-5.7174924874512003E-3</v>
      </c>
    </row>
    <row r="4153" spans="2:8" x14ac:dyDescent="0.3">
      <c r="B4153" s="4">
        <v>38348</v>
      </c>
      <c r="C4153" s="7">
        <v>25.45</v>
      </c>
      <c r="D4153" s="6">
        <f t="shared" si="132"/>
        <v>-0.49970513072537842</v>
      </c>
      <c r="E4153" s="6">
        <v>-5.4708870652598893E-3</v>
      </c>
      <c r="F4153" s="6"/>
      <c r="G4153" s="6">
        <v>4146</v>
      </c>
      <c r="H4153" s="6">
        <f t="shared" ca="1" si="133"/>
        <v>-2.0084146877179625E-2</v>
      </c>
    </row>
    <row r="4154" spans="2:8" x14ac:dyDescent="0.3">
      <c r="B4154" s="4">
        <v>38952</v>
      </c>
      <c r="C4154" s="7">
        <v>50.87</v>
      </c>
      <c r="D4154" s="6">
        <f t="shared" si="132"/>
        <v>-0.31626344086021513</v>
      </c>
      <c r="E4154" s="6">
        <v>-5.4740957966764644E-3</v>
      </c>
      <c r="F4154" s="6"/>
      <c r="G4154" s="6">
        <v>4147</v>
      </c>
      <c r="H4154" s="6">
        <f t="shared" ca="1" si="133"/>
        <v>-2.6613279739817379E-3</v>
      </c>
    </row>
    <row r="4155" spans="2:8" x14ac:dyDescent="0.3">
      <c r="B4155" s="4">
        <v>39784</v>
      </c>
      <c r="C4155" s="7">
        <v>74.400000000000006</v>
      </c>
      <c r="D4155" s="6">
        <f t="shared" si="132"/>
        <v>-0.95826976577223366</v>
      </c>
      <c r="E4155" s="6">
        <v>-5.4805507285121853E-3</v>
      </c>
      <c r="F4155" s="6"/>
      <c r="G4155" s="6">
        <v>4148</v>
      </c>
      <c r="H4155" s="6">
        <f t="shared" ca="1" si="133"/>
        <v>1.0405213078813437E-2</v>
      </c>
    </row>
    <row r="4156" spans="2:8" x14ac:dyDescent="0.3">
      <c r="B4156" s="4">
        <v>43899</v>
      </c>
      <c r="C4156" s="5">
        <v>1782.88</v>
      </c>
      <c r="D4156" s="6">
        <f t="shared" si="132"/>
        <v>4.0144218147450325E-2</v>
      </c>
      <c r="E4156" s="6">
        <v>-5.4833185512436072E-3</v>
      </c>
      <c r="F4156" s="6"/>
      <c r="G4156" s="6">
        <v>4149</v>
      </c>
      <c r="H4156" s="6">
        <f t="shared" ca="1" si="133"/>
        <v>7.890806382245999E-3</v>
      </c>
    </row>
    <row r="4157" spans="2:8" x14ac:dyDescent="0.3">
      <c r="B4157" s="4">
        <v>43829</v>
      </c>
      <c r="C4157" s="5">
        <v>1714.07</v>
      </c>
      <c r="D4157" s="6">
        <f t="shared" si="132"/>
        <v>-0.43309167399802884</v>
      </c>
      <c r="E4157" s="6">
        <v>-5.488735328076701E-3</v>
      </c>
      <c r="F4157" s="6"/>
      <c r="G4157" s="6">
        <v>4150</v>
      </c>
      <c r="H4157" s="6">
        <f t="shared" ca="1" si="133"/>
        <v>-1.9983976243099947E-2</v>
      </c>
    </row>
    <row r="4158" spans="2:8" x14ac:dyDescent="0.3">
      <c r="B4158" s="4">
        <v>45217</v>
      </c>
      <c r="C4158" s="5">
        <v>3023.54</v>
      </c>
      <c r="D4158" s="6">
        <f t="shared" si="132"/>
        <v>9.9068766951246716E-3</v>
      </c>
      <c r="E4158" s="6">
        <v>-5.4897162385740732E-3</v>
      </c>
      <c r="F4158" s="6"/>
      <c r="G4158" s="6">
        <v>4151</v>
      </c>
      <c r="H4158" s="6">
        <f t="shared" ca="1" si="133"/>
        <v>-1.5404561985047248E-2</v>
      </c>
    </row>
    <row r="4159" spans="2:8" x14ac:dyDescent="0.3">
      <c r="B4159" s="4">
        <v>44874</v>
      </c>
      <c r="C4159" s="5">
        <v>2993.88</v>
      </c>
      <c r="D4159" s="6">
        <f t="shared" si="132"/>
        <v>3.5751105329800019E-2</v>
      </c>
      <c r="E4159" s="6">
        <v>-5.4942499717647248E-3</v>
      </c>
      <c r="F4159" s="6"/>
      <c r="G4159" s="6">
        <v>4152</v>
      </c>
      <c r="H4159" s="6">
        <f t="shared" ca="1" si="133"/>
        <v>6.3707587934076846E-4</v>
      </c>
    </row>
    <row r="4160" spans="2:8" x14ac:dyDescent="0.3">
      <c r="B4160" s="4">
        <v>44379</v>
      </c>
      <c r="C4160" s="5">
        <v>2890.54</v>
      </c>
      <c r="D4160" s="6">
        <f t="shared" si="132"/>
        <v>31.643026538678711</v>
      </c>
      <c r="E4160" s="6">
        <v>-5.4945622069080286E-3</v>
      </c>
      <c r="F4160" s="6"/>
      <c r="G4160" s="6">
        <v>4153</v>
      </c>
      <c r="H4160" s="6">
        <f t="shared" ca="1" si="133"/>
        <v>-1.9990781705989429E-2</v>
      </c>
    </row>
    <row r="4161" spans="2:8" x14ac:dyDescent="0.3">
      <c r="B4161" s="4">
        <v>39391</v>
      </c>
      <c r="C4161" s="7">
        <v>88.55</v>
      </c>
      <c r="D4161" s="6">
        <f t="shared" si="132"/>
        <v>0.88604898828540979</v>
      </c>
      <c r="E4161" s="6">
        <v>-5.5031446540881523E-3</v>
      </c>
      <c r="F4161" s="6"/>
      <c r="G4161" s="6">
        <v>4154</v>
      </c>
      <c r="H4161" s="6">
        <f t="shared" ca="1" si="133"/>
        <v>4.7620663596762737E-3</v>
      </c>
    </row>
    <row r="4162" spans="2:8" x14ac:dyDescent="0.3">
      <c r="B4162" s="4">
        <v>38909</v>
      </c>
      <c r="C4162" s="7">
        <v>46.95</v>
      </c>
      <c r="D4162" s="6">
        <f t="shared" si="132"/>
        <v>-0.78675568878593805</v>
      </c>
      <c r="E4162" s="6">
        <v>-5.5073077737767002E-3</v>
      </c>
      <c r="F4162" s="6"/>
      <c r="G4162" s="6">
        <v>4155</v>
      </c>
      <c r="H4162" s="6">
        <f t="shared" ca="1" si="133"/>
        <v>-3.7056010949404524E-3</v>
      </c>
    </row>
    <row r="4163" spans="2:8" x14ac:dyDescent="0.3">
      <c r="B4163" s="4">
        <v>40624</v>
      </c>
      <c r="C4163" s="7">
        <v>220.17</v>
      </c>
      <c r="D4163" s="6">
        <f t="shared" si="132"/>
        <v>-0.72939788355886592</v>
      </c>
      <c r="E4163" s="6">
        <v>-5.5106373368264102E-3</v>
      </c>
      <c r="F4163" s="6"/>
      <c r="G4163" s="6">
        <v>4156</v>
      </c>
      <c r="H4163" s="6">
        <f t="shared" ca="1" si="133"/>
        <v>1.0792356382491408E-2</v>
      </c>
    </row>
    <row r="4164" spans="2:8" x14ac:dyDescent="0.3">
      <c r="B4164" s="4">
        <v>42402</v>
      </c>
      <c r="C4164" s="7">
        <v>813.63</v>
      </c>
      <c r="D4164" s="6">
        <f t="shared" si="132"/>
        <v>3.6121535060370729</v>
      </c>
      <c r="E4164" s="6">
        <v>-5.5125039724252464E-3</v>
      </c>
      <c r="F4164" s="6"/>
      <c r="G4164" s="6">
        <v>4157</v>
      </c>
      <c r="H4164" s="6">
        <f t="shared" ca="1" si="133"/>
        <v>5.7405088840169777E-3</v>
      </c>
    </row>
    <row r="4165" spans="2:8" x14ac:dyDescent="0.3">
      <c r="B4165" s="4">
        <v>40276</v>
      </c>
      <c r="C4165" s="7">
        <v>176.41</v>
      </c>
      <c r="D4165" s="6">
        <f t="shared" si="132"/>
        <v>-0.84078950930931473</v>
      </c>
      <c r="E4165" s="6">
        <v>-5.5245504256158174E-3</v>
      </c>
      <c r="F4165" s="6"/>
      <c r="G4165" s="6">
        <v>4158</v>
      </c>
      <c r="H4165" s="6">
        <f t="shared" ca="1" si="133"/>
        <v>1.1394710308442047E-2</v>
      </c>
    </row>
    <row r="4166" spans="2:8" x14ac:dyDescent="0.3">
      <c r="B4166" s="4">
        <v>43035</v>
      </c>
      <c r="C4166" s="5">
        <v>1108.03</v>
      </c>
      <c r="D4166" s="6">
        <f t="shared" si="132"/>
        <v>12.445334304089309</v>
      </c>
      <c r="E4166" s="6">
        <v>-5.5465307258057844E-3</v>
      </c>
      <c r="F4166" s="6"/>
      <c r="G4166" s="6">
        <v>4159</v>
      </c>
      <c r="H4166" s="6">
        <f t="shared" ca="1" si="133"/>
        <v>3.6956833231760362E-2</v>
      </c>
    </row>
    <row r="4167" spans="2:8" x14ac:dyDescent="0.3">
      <c r="B4167" s="4">
        <v>39359</v>
      </c>
      <c r="C4167" s="7">
        <v>82.41</v>
      </c>
      <c r="D4167" s="6">
        <f t="shared" si="132"/>
        <v>-0.88128268291628853</v>
      </c>
      <c r="E4167" s="6">
        <v>-5.5508627971522619E-3</v>
      </c>
      <c r="F4167" s="6"/>
      <c r="G4167" s="6">
        <v>4160</v>
      </c>
      <c r="H4167" s="6">
        <f t="shared" ca="1" si="133"/>
        <v>-3.7332532302162659E-3</v>
      </c>
    </row>
    <row r="4168" spans="2:8" x14ac:dyDescent="0.3">
      <c r="B4168" s="4">
        <v>42151</v>
      </c>
      <c r="C4168" s="7">
        <v>694.17</v>
      </c>
      <c r="D4168" s="6">
        <f t="shared" ref="D4168:D4231" si="134">((C4168-C4169)/C4169)</f>
        <v>-0.32367154465207831</v>
      </c>
      <c r="E4168" s="6">
        <v>-5.5583410930449047E-3</v>
      </c>
      <c r="F4168" s="6"/>
      <c r="G4168" s="6">
        <v>4161</v>
      </c>
      <c r="H4168" s="6">
        <f t="shared" ca="1" si="133"/>
        <v>-1.0690303826197404E-2</v>
      </c>
    </row>
    <row r="4169" spans="2:8" x14ac:dyDescent="0.3">
      <c r="B4169" s="4">
        <v>42600</v>
      </c>
      <c r="C4169" s="5">
        <v>1026.3800000000001</v>
      </c>
      <c r="D4169" s="6">
        <f t="shared" si="134"/>
        <v>-0.63313173772554399</v>
      </c>
      <c r="E4169" s="6">
        <v>-5.5613688330812139E-3</v>
      </c>
      <c r="F4169" s="6"/>
      <c r="G4169" s="6">
        <v>4162</v>
      </c>
      <c r="H4169" s="6">
        <f t="shared" ref="H4169:H4232" ca="1" si="135">_xlfn.NORM.INV(RAND(),N$10,N$11)</f>
        <v>2.5132202735454374E-2</v>
      </c>
    </row>
    <row r="4170" spans="2:8" x14ac:dyDescent="0.3">
      <c r="B4170" s="4">
        <v>45364</v>
      </c>
      <c r="C4170" s="5">
        <v>2797.68</v>
      </c>
      <c r="D4170" s="6">
        <f t="shared" si="134"/>
        <v>1.6352435853961791</v>
      </c>
      <c r="E4170" s="6">
        <v>-5.5628027995294161E-3</v>
      </c>
      <c r="F4170" s="6"/>
      <c r="G4170" s="6">
        <v>4163</v>
      </c>
      <c r="H4170" s="6">
        <f t="shared" ca="1" si="135"/>
        <v>2.2577019028666205E-2</v>
      </c>
    </row>
    <row r="4171" spans="2:8" x14ac:dyDescent="0.3">
      <c r="B4171" s="4">
        <v>42964</v>
      </c>
      <c r="C4171" s="5">
        <v>1061.6400000000001</v>
      </c>
      <c r="D4171" s="6">
        <f t="shared" si="134"/>
        <v>-0.29165443433238136</v>
      </c>
      <c r="E4171" s="6">
        <v>-5.5639858371267989E-3</v>
      </c>
      <c r="F4171" s="6"/>
      <c r="G4171" s="6">
        <v>4164</v>
      </c>
      <c r="H4171" s="6">
        <f t="shared" ca="1" si="135"/>
        <v>-9.7837344812534473E-3</v>
      </c>
    </row>
    <row r="4172" spans="2:8" x14ac:dyDescent="0.3">
      <c r="B4172" s="4">
        <v>43962</v>
      </c>
      <c r="C4172" s="5">
        <v>1498.76</v>
      </c>
      <c r="D4172" s="6">
        <f t="shared" si="134"/>
        <v>20.020476858345024</v>
      </c>
      <c r="E4172" s="6">
        <v>-5.5733963215584877E-3</v>
      </c>
      <c r="F4172" s="6"/>
      <c r="G4172" s="6">
        <v>4165</v>
      </c>
      <c r="H4172" s="6">
        <f t="shared" ca="1" si="135"/>
        <v>1.561507914404253E-2</v>
      </c>
    </row>
    <row r="4173" spans="2:8" x14ac:dyDescent="0.3">
      <c r="B4173" s="4">
        <v>39273</v>
      </c>
      <c r="C4173" s="7">
        <v>71.3</v>
      </c>
      <c r="D4173" s="6">
        <f t="shared" si="134"/>
        <v>-0.90853814972548619</v>
      </c>
      <c r="E4173" s="6">
        <v>-5.5788005578801345E-3</v>
      </c>
      <c r="F4173" s="6"/>
      <c r="G4173" s="6">
        <v>4166</v>
      </c>
      <c r="H4173" s="6">
        <f t="shared" ca="1" si="135"/>
        <v>1.1796861562234182E-4</v>
      </c>
    </row>
    <row r="4174" spans="2:8" x14ac:dyDescent="0.3">
      <c r="B4174" s="4">
        <v>42388</v>
      </c>
      <c r="C4174" s="7">
        <v>779.56</v>
      </c>
      <c r="D4174" s="6">
        <f t="shared" si="134"/>
        <v>9.1929916317991616</v>
      </c>
      <c r="E4174" s="6">
        <v>-5.5871622828279066E-3</v>
      </c>
      <c r="F4174" s="6"/>
      <c r="G4174" s="6">
        <v>4167</v>
      </c>
      <c r="H4174" s="6">
        <f t="shared" ca="1" si="135"/>
        <v>2.697624080081314E-3</v>
      </c>
    </row>
    <row r="4175" spans="2:8" x14ac:dyDescent="0.3">
      <c r="B4175" s="4">
        <v>39777</v>
      </c>
      <c r="C4175" s="7">
        <v>76.48</v>
      </c>
      <c r="D4175" s="6">
        <f t="shared" si="134"/>
        <v>-0.64726501245272572</v>
      </c>
      <c r="E4175" s="6">
        <v>-5.5909504615783727E-3</v>
      </c>
      <c r="F4175" s="6"/>
      <c r="G4175" s="6">
        <v>4168</v>
      </c>
      <c r="H4175" s="6">
        <f t="shared" ca="1" si="135"/>
        <v>1.2111774059343993E-3</v>
      </c>
    </row>
    <row r="4176" spans="2:8" x14ac:dyDescent="0.3">
      <c r="B4176" s="4">
        <v>40577</v>
      </c>
      <c r="C4176" s="7">
        <v>216.82</v>
      </c>
      <c r="D4176" s="6">
        <f t="shared" si="134"/>
        <v>0.4896599106836137</v>
      </c>
      <c r="E4176" s="6">
        <v>-5.5953036140157716E-3</v>
      </c>
      <c r="F4176" s="6"/>
      <c r="G4176" s="6">
        <v>4169</v>
      </c>
      <c r="H4176" s="6">
        <f t="shared" ca="1" si="135"/>
        <v>1.7849775443809529E-2</v>
      </c>
    </row>
    <row r="4177" spans="2:8" x14ac:dyDescent="0.3">
      <c r="B4177" s="4">
        <v>40151</v>
      </c>
      <c r="C4177" s="7">
        <v>145.55000000000001</v>
      </c>
      <c r="D4177" s="6">
        <f t="shared" si="134"/>
        <v>-0.93586975678533657</v>
      </c>
      <c r="E4177" s="6">
        <v>-5.6022408963584966E-3</v>
      </c>
      <c r="F4177" s="6"/>
      <c r="G4177" s="6">
        <v>4170</v>
      </c>
      <c r="H4177" s="6">
        <f t="shared" ca="1" si="135"/>
        <v>5.4586176521200539E-3</v>
      </c>
    </row>
    <row r="4178" spans="2:8" x14ac:dyDescent="0.3">
      <c r="B4178" s="4">
        <v>46121</v>
      </c>
      <c r="C4178" s="5">
        <v>2269.6</v>
      </c>
      <c r="D4178" s="6">
        <f t="shared" si="134"/>
        <v>141.29467084639501</v>
      </c>
      <c r="E4178" s="6">
        <v>-5.6081317910971701E-3</v>
      </c>
      <c r="F4178" s="6"/>
      <c r="G4178" s="6">
        <v>4171</v>
      </c>
      <c r="H4178" s="6">
        <f t="shared" ca="1" si="135"/>
        <v>-1.074591031395687E-2</v>
      </c>
    </row>
    <row r="4179" spans="2:8" x14ac:dyDescent="0.3">
      <c r="B4179" s="4">
        <v>37670</v>
      </c>
      <c r="C4179" s="7">
        <v>15.95</v>
      </c>
      <c r="D4179" s="6">
        <f t="shared" si="134"/>
        <v>-0.9422164257508242</v>
      </c>
      <c r="E4179" s="6">
        <v>-5.610972568578545E-3</v>
      </c>
      <c r="F4179" s="6"/>
      <c r="G4179" s="6">
        <v>4172</v>
      </c>
      <c r="H4179" s="6">
        <f t="shared" ca="1" si="135"/>
        <v>4.2774210326147919E-3</v>
      </c>
    </row>
    <row r="4180" spans="2:8" x14ac:dyDescent="0.3">
      <c r="B4180" s="4">
        <v>40744</v>
      </c>
      <c r="C4180" s="7">
        <v>276.02999999999997</v>
      </c>
      <c r="D4180" s="6">
        <f t="shared" si="134"/>
        <v>-0.75961228630896915</v>
      </c>
      <c r="E4180" s="6">
        <v>-5.6197989841132697E-3</v>
      </c>
      <c r="F4180" s="6"/>
      <c r="G4180" s="6">
        <v>4173</v>
      </c>
      <c r="H4180" s="6">
        <f t="shared" ca="1" si="135"/>
        <v>1.7896002624221388E-2</v>
      </c>
    </row>
    <row r="4181" spans="2:8" x14ac:dyDescent="0.3">
      <c r="B4181" s="4">
        <v>43384</v>
      </c>
      <c r="C4181" s="5">
        <v>1148.27</v>
      </c>
      <c r="D4181" s="6">
        <f t="shared" si="134"/>
        <v>-0.47911034094826804</v>
      </c>
      <c r="E4181" s="6">
        <v>-5.6202154560255025E-3</v>
      </c>
      <c r="F4181" s="6"/>
      <c r="G4181" s="6">
        <v>4174</v>
      </c>
      <c r="H4181" s="6">
        <f t="shared" ca="1" si="135"/>
        <v>-1.6522485019269968E-2</v>
      </c>
    </row>
    <row r="4182" spans="2:8" x14ac:dyDescent="0.3">
      <c r="B4182" s="4">
        <v>45700</v>
      </c>
      <c r="C4182" s="5">
        <v>2204.44</v>
      </c>
      <c r="D4182" s="6">
        <f t="shared" si="134"/>
        <v>-0.1995235864643361</v>
      </c>
      <c r="E4182" s="6">
        <v>-5.6204610041048469E-3</v>
      </c>
      <c r="F4182" s="6"/>
      <c r="G4182" s="6">
        <v>4175</v>
      </c>
      <c r="H4182" s="6">
        <f t="shared" ca="1" si="135"/>
        <v>3.2804583977988931E-2</v>
      </c>
    </row>
    <row r="4183" spans="2:8" x14ac:dyDescent="0.3">
      <c r="B4183" s="4">
        <v>45006</v>
      </c>
      <c r="C4183" s="5">
        <v>2753.91</v>
      </c>
      <c r="D4183" s="6">
        <f t="shared" si="134"/>
        <v>0.24273356167165291</v>
      </c>
      <c r="E4183" s="6">
        <v>-5.6219940205382108E-3</v>
      </c>
      <c r="F4183" s="6"/>
      <c r="G4183" s="6">
        <v>4176</v>
      </c>
      <c r="H4183" s="6">
        <f t="shared" ca="1" si="135"/>
        <v>2.3655479183616063E-2</v>
      </c>
    </row>
    <row r="4184" spans="2:8" x14ac:dyDescent="0.3">
      <c r="B4184" s="4">
        <v>45671</v>
      </c>
      <c r="C4184" s="5">
        <v>2216.0100000000002</v>
      </c>
      <c r="D4184" s="6">
        <f t="shared" si="134"/>
        <v>95.85358391608392</v>
      </c>
      <c r="E4184" s="6">
        <v>-5.6403629216809402E-3</v>
      </c>
      <c r="F4184" s="6"/>
      <c r="G4184" s="6">
        <v>4177</v>
      </c>
      <c r="H4184" s="6">
        <f t="shared" ca="1" si="135"/>
        <v>1.5333080834295161E-2</v>
      </c>
    </row>
    <row r="4185" spans="2:8" x14ac:dyDescent="0.3">
      <c r="B4185" s="4">
        <v>37883</v>
      </c>
      <c r="C4185" s="7">
        <v>22.88</v>
      </c>
      <c r="D4185" s="6">
        <f t="shared" si="134"/>
        <v>2.6292725679228188E-3</v>
      </c>
      <c r="E4185" s="6">
        <v>-5.6497175141244048E-3</v>
      </c>
      <c r="F4185" s="6"/>
      <c r="G4185" s="6">
        <v>4178</v>
      </c>
      <c r="H4185" s="6">
        <f t="shared" ca="1" si="135"/>
        <v>1.0724350560058306E-2</v>
      </c>
    </row>
    <row r="4186" spans="2:8" x14ac:dyDescent="0.3">
      <c r="B4186" s="4">
        <v>38300</v>
      </c>
      <c r="C4186" s="7">
        <v>22.82</v>
      </c>
      <c r="D4186" s="6">
        <f t="shared" si="134"/>
        <v>-0.99190983830312218</v>
      </c>
      <c r="E4186" s="6">
        <v>-5.6644880174291506E-3</v>
      </c>
      <c r="F4186" s="6"/>
      <c r="G4186" s="6">
        <v>4179</v>
      </c>
      <c r="H4186" s="6">
        <f t="shared" ca="1" si="135"/>
        <v>-1.578476529826482E-3</v>
      </c>
    </row>
    <row r="4187" spans="2:8" x14ac:dyDescent="0.3">
      <c r="B4187" s="4">
        <v>45442</v>
      </c>
      <c r="C4187" s="5">
        <v>2820.71</v>
      </c>
      <c r="D4187" s="6">
        <f t="shared" si="134"/>
        <v>1.6218919345993328</v>
      </c>
      <c r="E4187" s="6">
        <v>-5.6718838127468082E-3</v>
      </c>
      <c r="F4187" s="6"/>
      <c r="G4187" s="6">
        <v>4180</v>
      </c>
      <c r="H4187" s="6">
        <f t="shared" ca="1" si="135"/>
        <v>4.2163764910944984E-3</v>
      </c>
    </row>
    <row r="4188" spans="2:8" x14ac:dyDescent="0.3">
      <c r="B4188" s="4">
        <v>42643</v>
      </c>
      <c r="C4188" s="5">
        <v>1075.83</v>
      </c>
      <c r="D4188" s="6">
        <f t="shared" si="134"/>
        <v>2.1157288076689156</v>
      </c>
      <c r="E4188" s="6">
        <v>-5.6932134308081235E-3</v>
      </c>
      <c r="F4188" s="6"/>
      <c r="G4188" s="6">
        <v>4181</v>
      </c>
      <c r="H4188" s="6">
        <f t="shared" ca="1" si="135"/>
        <v>-2.4935785831996543E-2</v>
      </c>
    </row>
    <row r="4189" spans="2:8" x14ac:dyDescent="0.3">
      <c r="B4189" s="4">
        <v>41078</v>
      </c>
      <c r="C4189" s="7">
        <v>345.29</v>
      </c>
      <c r="D4189" s="6">
        <f t="shared" si="134"/>
        <v>5.3883441258094358</v>
      </c>
      <c r="E4189" s="6">
        <v>-5.7016154577129077E-3</v>
      </c>
      <c r="F4189" s="6"/>
      <c r="G4189" s="6">
        <v>4182</v>
      </c>
      <c r="H4189" s="6">
        <f t="shared" ca="1" si="135"/>
        <v>3.4835130410481918E-2</v>
      </c>
    </row>
    <row r="4190" spans="2:8" x14ac:dyDescent="0.3">
      <c r="B4190" s="4">
        <v>39007</v>
      </c>
      <c r="C4190" s="7">
        <v>54.05</v>
      </c>
      <c r="D4190" s="6">
        <f t="shared" si="134"/>
        <v>-0.98169465809143519</v>
      </c>
      <c r="E4190" s="6">
        <v>-5.7027225901398505E-3</v>
      </c>
      <c r="F4190" s="6"/>
      <c r="G4190" s="6">
        <v>4183</v>
      </c>
      <c r="H4190" s="6">
        <f t="shared" ca="1" si="135"/>
        <v>-6.9339336358003288E-3</v>
      </c>
    </row>
    <row r="4191" spans="2:8" x14ac:dyDescent="0.3">
      <c r="B4191" s="4">
        <v>45588</v>
      </c>
      <c r="C4191" s="5">
        <v>2952.69</v>
      </c>
      <c r="D4191" s="6">
        <f t="shared" si="134"/>
        <v>42.460259052104803</v>
      </c>
      <c r="E4191" s="6">
        <v>-5.7044143546502611E-3</v>
      </c>
      <c r="F4191" s="6"/>
      <c r="G4191" s="6">
        <v>4184</v>
      </c>
      <c r="H4191" s="6">
        <f t="shared" ca="1" si="135"/>
        <v>1.0011257453722198E-2</v>
      </c>
    </row>
    <row r="4192" spans="2:8" x14ac:dyDescent="0.3">
      <c r="B4192" s="4">
        <v>39862</v>
      </c>
      <c r="C4192" s="7">
        <v>67.94</v>
      </c>
      <c r="D4192" s="6">
        <f t="shared" si="134"/>
        <v>-0.97013140598690772</v>
      </c>
      <c r="E4192" s="6">
        <v>-5.7075954924630558E-3</v>
      </c>
      <c r="F4192" s="6"/>
      <c r="G4192" s="6">
        <v>4185</v>
      </c>
      <c r="H4192" s="6">
        <f t="shared" ca="1" si="135"/>
        <v>8.0752139106272085E-3</v>
      </c>
    </row>
    <row r="4193" spans="2:8" x14ac:dyDescent="0.3">
      <c r="B4193" s="4">
        <v>45799</v>
      </c>
      <c r="C4193" s="5">
        <v>2274.63</v>
      </c>
      <c r="D4193" s="6">
        <f t="shared" si="134"/>
        <v>1.329322492114857</v>
      </c>
      <c r="E4193" s="6">
        <v>-5.7088154426517337E-3</v>
      </c>
      <c r="F4193" s="6"/>
      <c r="G4193" s="6">
        <v>4186</v>
      </c>
      <c r="H4193" s="6">
        <f t="shared" ca="1" si="135"/>
        <v>5.5657026235374934E-4</v>
      </c>
    </row>
    <row r="4194" spans="2:8" x14ac:dyDescent="0.3">
      <c r="B4194" s="4">
        <v>42683</v>
      </c>
      <c r="C4194" s="7">
        <v>976.52</v>
      </c>
      <c r="D4194" s="6">
        <f t="shared" si="134"/>
        <v>39.16947758124229</v>
      </c>
      <c r="E4194" s="6">
        <v>-5.7221984645773561E-3</v>
      </c>
      <c r="F4194" s="6"/>
      <c r="G4194" s="6">
        <v>4187</v>
      </c>
      <c r="H4194" s="6">
        <f t="shared" ca="1" si="135"/>
        <v>6.9488625221600774E-3</v>
      </c>
    </row>
    <row r="4195" spans="2:8" x14ac:dyDescent="0.3">
      <c r="B4195" s="4">
        <v>38181</v>
      </c>
      <c r="C4195" s="7">
        <v>24.31</v>
      </c>
      <c r="D4195" s="6">
        <f t="shared" si="134"/>
        <v>-0.98643309187101669</v>
      </c>
      <c r="E4195" s="6">
        <v>-5.7259713701431729E-3</v>
      </c>
      <c r="F4195" s="6"/>
      <c r="G4195" s="6">
        <v>4188</v>
      </c>
      <c r="H4195" s="6">
        <f t="shared" ca="1" si="135"/>
        <v>7.776318288939035E-3</v>
      </c>
    </row>
    <row r="4196" spans="2:8" x14ac:dyDescent="0.3">
      <c r="B4196" s="4">
        <v>44063</v>
      </c>
      <c r="C4196" s="5">
        <v>1791.86</v>
      </c>
      <c r="D4196" s="6">
        <f t="shared" si="134"/>
        <v>0.17656405946315062</v>
      </c>
      <c r="E4196" s="6">
        <v>-5.7319150589006454E-3</v>
      </c>
      <c r="F4196" s="6"/>
      <c r="G4196" s="6">
        <v>4189</v>
      </c>
      <c r="H4196" s="6">
        <f t="shared" ca="1" si="135"/>
        <v>7.1764563457287133E-3</v>
      </c>
    </row>
    <row r="4197" spans="2:8" x14ac:dyDescent="0.3">
      <c r="B4197" s="4">
        <v>43920</v>
      </c>
      <c r="C4197" s="5">
        <v>1522.96</v>
      </c>
      <c r="D4197" s="6">
        <f t="shared" si="134"/>
        <v>5.3863798381347756</v>
      </c>
      <c r="E4197" s="6">
        <v>-5.7385343561285876E-3</v>
      </c>
      <c r="F4197" s="6"/>
      <c r="G4197" s="6">
        <v>4190</v>
      </c>
      <c r="H4197" s="6">
        <f t="shared" ca="1" si="135"/>
        <v>3.1651776909400117E-2</v>
      </c>
    </row>
    <row r="4198" spans="2:8" x14ac:dyDescent="0.3">
      <c r="B4198" s="4">
        <v>40417</v>
      </c>
      <c r="C4198" s="7">
        <v>238.47</v>
      </c>
      <c r="D4198" s="6">
        <f t="shared" si="134"/>
        <v>-0.67716300919219674</v>
      </c>
      <c r="E4198" s="6">
        <v>-5.7535959974984174E-3</v>
      </c>
      <c r="F4198" s="6"/>
      <c r="G4198" s="6">
        <v>4191</v>
      </c>
      <c r="H4198" s="6">
        <f t="shared" ca="1" si="135"/>
        <v>-3.469244496978368E-3</v>
      </c>
    </row>
    <row r="4199" spans="2:8" x14ac:dyDescent="0.3">
      <c r="B4199" s="4">
        <v>42314</v>
      </c>
      <c r="C4199" s="7">
        <v>738.67</v>
      </c>
      <c r="D4199" s="6">
        <f t="shared" si="134"/>
        <v>-2.7074957018635009E-5</v>
      </c>
      <c r="E4199" s="6">
        <v>-5.7742004953161372E-3</v>
      </c>
      <c r="F4199" s="6"/>
      <c r="G4199" s="6">
        <v>4192</v>
      </c>
      <c r="H4199" s="6">
        <f t="shared" ca="1" si="135"/>
        <v>8.0244190828719694E-3</v>
      </c>
    </row>
    <row r="4200" spans="2:8" x14ac:dyDescent="0.3">
      <c r="B4200" s="4">
        <v>42073</v>
      </c>
      <c r="C4200" s="7">
        <v>738.69</v>
      </c>
      <c r="D4200" s="6">
        <f t="shared" si="134"/>
        <v>-0.74155593341310322</v>
      </c>
      <c r="E4200" s="6">
        <v>-5.7874264794949525E-3</v>
      </c>
      <c r="F4200" s="6"/>
      <c r="G4200" s="6">
        <v>4193</v>
      </c>
      <c r="H4200" s="6">
        <f t="shared" ca="1" si="135"/>
        <v>2.5721930302929235E-5</v>
      </c>
    </row>
    <row r="4201" spans="2:8" x14ac:dyDescent="0.3">
      <c r="B4201" s="4">
        <v>44424</v>
      </c>
      <c r="C4201" s="5">
        <v>2858.22</v>
      </c>
      <c r="D4201" s="6">
        <f t="shared" si="134"/>
        <v>150.54931071049839</v>
      </c>
      <c r="E4201" s="6">
        <v>-5.7881079426477557E-3</v>
      </c>
      <c r="F4201" s="6"/>
      <c r="G4201" s="6">
        <v>4194</v>
      </c>
      <c r="H4201" s="6">
        <f t="shared" ca="1" si="135"/>
        <v>-1.7109268435410066E-2</v>
      </c>
    </row>
    <row r="4202" spans="2:8" x14ac:dyDescent="0.3">
      <c r="B4202" s="4">
        <v>37795</v>
      </c>
      <c r="C4202" s="7">
        <v>18.86</v>
      </c>
      <c r="D4202" s="6">
        <f t="shared" si="134"/>
        <v>-0.31192995257205403</v>
      </c>
      <c r="E4202" s="6">
        <v>-5.7986294148655478E-3</v>
      </c>
      <c r="F4202" s="6"/>
      <c r="G4202" s="6">
        <v>4195</v>
      </c>
      <c r="H4202" s="6">
        <f t="shared" ca="1" si="135"/>
        <v>7.8524129166945688E-3</v>
      </c>
    </row>
    <row r="4203" spans="2:8" x14ac:dyDescent="0.3">
      <c r="B4203" s="4">
        <v>38386</v>
      </c>
      <c r="C4203" s="7">
        <v>27.41</v>
      </c>
      <c r="D4203" s="6">
        <f t="shared" si="134"/>
        <v>-0.11035378123985715</v>
      </c>
      <c r="E4203" s="6">
        <v>-5.8034095030830663E-3</v>
      </c>
      <c r="F4203" s="6"/>
      <c r="G4203" s="6">
        <v>4196</v>
      </c>
      <c r="H4203" s="6">
        <f t="shared" ca="1" si="135"/>
        <v>-2.0954483076764164E-2</v>
      </c>
    </row>
    <row r="4204" spans="2:8" x14ac:dyDescent="0.3">
      <c r="B4204" s="4">
        <v>38467</v>
      </c>
      <c r="C4204" s="7">
        <v>30.81</v>
      </c>
      <c r="D4204" s="6">
        <f t="shared" si="134"/>
        <v>-0.90987011467353152</v>
      </c>
      <c r="E4204" s="6">
        <v>-5.8083252662148996E-3</v>
      </c>
      <c r="F4204" s="6"/>
      <c r="G4204" s="6">
        <v>4197</v>
      </c>
      <c r="H4204" s="6">
        <f t="shared" ca="1" si="135"/>
        <v>1.5232868723433973E-2</v>
      </c>
    </row>
    <row r="4205" spans="2:8" x14ac:dyDescent="0.3">
      <c r="B4205" s="4">
        <v>41068</v>
      </c>
      <c r="C4205" s="7">
        <v>341.84</v>
      </c>
      <c r="D4205" s="6">
        <f t="shared" si="134"/>
        <v>-0.79027834868126412</v>
      </c>
      <c r="E4205" s="6">
        <v>-5.8166589111214523E-3</v>
      </c>
      <c r="F4205" s="6"/>
      <c r="G4205" s="6">
        <v>4198</v>
      </c>
      <c r="H4205" s="6">
        <f t="shared" ca="1" si="135"/>
        <v>-1.9959388384984459E-2</v>
      </c>
    </row>
    <row r="4206" spans="2:8" x14ac:dyDescent="0.3">
      <c r="B4206" s="4">
        <v>44046</v>
      </c>
      <c r="C4206" s="5">
        <v>1629.97</v>
      </c>
      <c r="D4206" s="6">
        <f t="shared" si="134"/>
        <v>1.0679649835067242</v>
      </c>
      <c r="E4206" s="6">
        <v>-5.8248755733385105E-3</v>
      </c>
      <c r="F4206" s="6"/>
      <c r="G4206" s="6">
        <v>4199</v>
      </c>
      <c r="H4206" s="6">
        <f t="shared" ca="1" si="135"/>
        <v>-1.2350112627543368E-2</v>
      </c>
    </row>
    <row r="4207" spans="2:8" x14ac:dyDescent="0.3">
      <c r="B4207" s="4">
        <v>42027</v>
      </c>
      <c r="C4207" s="7">
        <v>788.2</v>
      </c>
      <c r="D4207" s="6">
        <f t="shared" si="134"/>
        <v>4.3849832615973217</v>
      </c>
      <c r="E4207" s="6">
        <v>-5.8273000176584907E-3</v>
      </c>
      <c r="F4207" s="6"/>
      <c r="G4207" s="6">
        <v>4200</v>
      </c>
      <c r="H4207" s="6">
        <f t="shared" ca="1" si="135"/>
        <v>-8.1674166551325648E-3</v>
      </c>
    </row>
    <row r="4208" spans="2:8" x14ac:dyDescent="0.3">
      <c r="B4208" s="4">
        <v>40150</v>
      </c>
      <c r="C4208" s="7">
        <v>146.37</v>
      </c>
      <c r="D4208" s="6">
        <f t="shared" si="134"/>
        <v>-0.80180363163667379</v>
      </c>
      <c r="E4208" s="6">
        <v>-5.8412008422195566E-3</v>
      </c>
      <c r="F4208" s="6"/>
      <c r="G4208" s="6">
        <v>4201</v>
      </c>
      <c r="H4208" s="6">
        <f t="shared" ca="1" si="135"/>
        <v>-1.8893406862563789E-2</v>
      </c>
    </row>
    <row r="4209" spans="2:8" x14ac:dyDescent="0.3">
      <c r="B4209" s="4">
        <v>42016</v>
      </c>
      <c r="C4209" s="7">
        <v>738.51</v>
      </c>
      <c r="D4209" s="6">
        <f t="shared" si="134"/>
        <v>-0.74498347681055832</v>
      </c>
      <c r="E4209" s="6">
        <v>-5.8423638688833972E-3</v>
      </c>
      <c r="F4209" s="6"/>
      <c r="G4209" s="6">
        <v>4202</v>
      </c>
      <c r="H4209" s="6">
        <f t="shared" ca="1" si="135"/>
        <v>1.946720573644953E-3</v>
      </c>
    </row>
    <row r="4210" spans="2:8" x14ac:dyDescent="0.3">
      <c r="B4210" s="4">
        <v>44386</v>
      </c>
      <c r="C4210" s="5">
        <v>2895.93</v>
      </c>
      <c r="D4210" s="6">
        <f t="shared" si="134"/>
        <v>1.4262757944653435</v>
      </c>
      <c r="E4210" s="6">
        <v>-5.8428740623766226E-3</v>
      </c>
      <c r="F4210" s="6"/>
      <c r="G4210" s="6">
        <v>4203</v>
      </c>
      <c r="H4210" s="6">
        <f t="shared" ca="1" si="135"/>
        <v>-1.5711660396816179E-2</v>
      </c>
    </row>
    <row r="4211" spans="2:8" x14ac:dyDescent="0.3">
      <c r="B4211" s="4">
        <v>43278</v>
      </c>
      <c r="C4211" s="5">
        <v>1193.57</v>
      </c>
      <c r="D4211" s="6">
        <f t="shared" si="134"/>
        <v>1.6292404617146883</v>
      </c>
      <c r="E4211" s="6">
        <v>-5.8471251634612835E-3</v>
      </c>
      <c r="F4211" s="6"/>
      <c r="G4211" s="6">
        <v>4204</v>
      </c>
      <c r="H4211" s="6">
        <f t="shared" ca="1" si="135"/>
        <v>1.8117970676092686E-2</v>
      </c>
    </row>
    <row r="4212" spans="2:8" x14ac:dyDescent="0.3">
      <c r="B4212" s="4">
        <v>41619</v>
      </c>
      <c r="C4212" s="7">
        <v>453.96</v>
      </c>
      <c r="D4212" s="6">
        <f t="shared" si="134"/>
        <v>-0.42628938289079582</v>
      </c>
      <c r="E4212" s="6">
        <v>-5.8471848104592692E-3</v>
      </c>
      <c r="F4212" s="6"/>
      <c r="G4212" s="6">
        <v>4205</v>
      </c>
      <c r="H4212" s="6">
        <f t="shared" ca="1" si="135"/>
        <v>9.3836502243514527E-3</v>
      </c>
    </row>
    <row r="4213" spans="2:8" x14ac:dyDescent="0.3">
      <c r="B4213" s="4">
        <v>42467</v>
      </c>
      <c r="C4213" s="7">
        <v>791.27</v>
      </c>
      <c r="D4213" s="6">
        <f t="shared" si="134"/>
        <v>1.2878332273174116</v>
      </c>
      <c r="E4213" s="6">
        <v>-5.8547862249192376E-3</v>
      </c>
      <c r="F4213" s="6"/>
      <c r="G4213" s="6">
        <v>4206</v>
      </c>
      <c r="H4213" s="6">
        <f t="shared" ca="1" si="135"/>
        <v>1.116697140439248E-3</v>
      </c>
    </row>
    <row r="4214" spans="2:8" x14ac:dyDescent="0.3">
      <c r="B4214" s="4">
        <v>41179</v>
      </c>
      <c r="C4214" s="7">
        <v>345.86</v>
      </c>
      <c r="D4214" s="6">
        <f t="shared" si="134"/>
        <v>-0.84726668933569438</v>
      </c>
      <c r="E4214" s="6">
        <v>-5.8637539522850349E-3</v>
      </c>
      <c r="F4214" s="6"/>
      <c r="G4214" s="6">
        <v>4207</v>
      </c>
      <c r="H4214" s="6">
        <f t="shared" ca="1" si="135"/>
        <v>4.0010377851686547E-3</v>
      </c>
    </row>
    <row r="4215" spans="2:8" x14ac:dyDescent="0.3">
      <c r="B4215" s="4">
        <v>45827</v>
      </c>
      <c r="C4215" s="5">
        <v>2264.4699999999998</v>
      </c>
      <c r="D4215" s="6">
        <f t="shared" si="134"/>
        <v>2.2939074576837654E-2</v>
      </c>
      <c r="E4215" s="6">
        <v>-5.8695957573843402E-3</v>
      </c>
      <c r="F4215" s="6"/>
      <c r="G4215" s="6">
        <v>4208</v>
      </c>
      <c r="H4215" s="6">
        <f t="shared" ca="1" si="135"/>
        <v>-4.5546609511980307E-2</v>
      </c>
    </row>
    <row r="4216" spans="2:8" x14ac:dyDescent="0.3">
      <c r="B4216" s="4">
        <v>45706</v>
      </c>
      <c r="C4216" s="5">
        <v>2213.69</v>
      </c>
      <c r="D4216" s="6">
        <f t="shared" si="134"/>
        <v>8.5706441850410719</v>
      </c>
      <c r="E4216" s="6">
        <v>-5.8873720136519338E-3</v>
      </c>
      <c r="F4216" s="6"/>
      <c r="G4216" s="6">
        <v>4209</v>
      </c>
      <c r="H4216" s="6">
        <f t="shared" ca="1" si="135"/>
        <v>2.1330601499587364E-3</v>
      </c>
    </row>
    <row r="4217" spans="2:8" x14ac:dyDescent="0.3">
      <c r="B4217" s="4">
        <v>40501</v>
      </c>
      <c r="C4217" s="7">
        <v>231.3</v>
      </c>
      <c r="D4217" s="6">
        <f t="shared" si="134"/>
        <v>-7.4096313198030464E-2</v>
      </c>
      <c r="E4217" s="6">
        <v>-5.8881677912922857E-3</v>
      </c>
      <c r="F4217" s="6"/>
      <c r="G4217" s="6">
        <v>4210</v>
      </c>
      <c r="H4217" s="6">
        <f t="shared" ca="1" si="135"/>
        <v>1.6253297708888489E-2</v>
      </c>
    </row>
    <row r="4218" spans="2:8" x14ac:dyDescent="0.3">
      <c r="B4218" s="4">
        <v>40682</v>
      </c>
      <c r="C4218" s="7">
        <v>249.81</v>
      </c>
      <c r="D4218" s="6">
        <f t="shared" si="134"/>
        <v>-0.81288341260626951</v>
      </c>
      <c r="E4218" s="6">
        <v>-5.889609614389708E-3</v>
      </c>
      <c r="F4218" s="6"/>
      <c r="G4218" s="6">
        <v>4211</v>
      </c>
      <c r="H4218" s="6">
        <f t="shared" ca="1" si="135"/>
        <v>-9.1193173697539705E-3</v>
      </c>
    </row>
    <row r="4219" spans="2:8" x14ac:dyDescent="0.3">
      <c r="B4219" s="4">
        <v>43321</v>
      </c>
      <c r="C4219" s="5">
        <v>1335.05</v>
      </c>
      <c r="D4219" s="6">
        <f t="shared" si="134"/>
        <v>1.4811827457394016</v>
      </c>
      <c r="E4219" s="6">
        <v>-5.8899743849407885E-3</v>
      </c>
      <c r="F4219" s="6"/>
      <c r="G4219" s="6">
        <v>4212</v>
      </c>
      <c r="H4219" s="6">
        <f t="shared" ca="1" si="135"/>
        <v>5.0107567541724197E-3</v>
      </c>
    </row>
    <row r="4220" spans="2:8" x14ac:dyDescent="0.3">
      <c r="B4220" s="4">
        <v>41828</v>
      </c>
      <c r="C4220" s="7">
        <v>538.07000000000005</v>
      </c>
      <c r="D4220" s="6">
        <f t="shared" si="134"/>
        <v>0.19515337287043841</v>
      </c>
      <c r="E4220" s="6">
        <v>-5.8936555444702009E-3</v>
      </c>
      <c r="F4220" s="6"/>
      <c r="G4220" s="6">
        <v>4213</v>
      </c>
      <c r="H4220" s="6">
        <f t="shared" ca="1" si="135"/>
        <v>7.2029031696223276E-3</v>
      </c>
    </row>
    <row r="4221" spans="2:8" x14ac:dyDescent="0.3">
      <c r="B4221" s="4">
        <v>41758</v>
      </c>
      <c r="C4221" s="7">
        <v>450.21</v>
      </c>
      <c r="D4221" s="6">
        <f t="shared" si="134"/>
        <v>0.62848151631339078</v>
      </c>
      <c r="E4221" s="6">
        <v>-5.8956014838368129E-3</v>
      </c>
      <c r="F4221" s="6"/>
      <c r="G4221" s="6">
        <v>4214</v>
      </c>
      <c r="H4221" s="6">
        <f t="shared" ca="1" si="135"/>
        <v>2.7971885100564874E-2</v>
      </c>
    </row>
    <row r="4222" spans="2:8" x14ac:dyDescent="0.3">
      <c r="B4222" s="4">
        <v>40800</v>
      </c>
      <c r="C4222" s="7">
        <v>276.45999999999998</v>
      </c>
      <c r="D4222" s="6">
        <f t="shared" si="134"/>
        <v>2.8158730158730156</v>
      </c>
      <c r="E4222" s="6">
        <v>-5.8971592952177026E-3</v>
      </c>
      <c r="F4222" s="6"/>
      <c r="G4222" s="6">
        <v>4215</v>
      </c>
      <c r="H4222" s="6">
        <f t="shared" ca="1" si="135"/>
        <v>2.1361514310637604E-2</v>
      </c>
    </row>
    <row r="4223" spans="2:8" x14ac:dyDescent="0.3">
      <c r="B4223" s="4">
        <v>39289</v>
      </c>
      <c r="C4223" s="7">
        <v>72.45</v>
      </c>
      <c r="D4223" s="6">
        <f t="shared" si="134"/>
        <v>-0.9019873104343944</v>
      </c>
      <c r="E4223" s="6">
        <v>-5.9001097694839823E-3</v>
      </c>
      <c r="F4223" s="6"/>
      <c r="G4223" s="6">
        <v>4216</v>
      </c>
      <c r="H4223" s="6">
        <f t="shared" ca="1" si="135"/>
        <v>1.9714774674144529E-2</v>
      </c>
    </row>
    <row r="4224" spans="2:8" x14ac:dyDescent="0.3">
      <c r="B4224" s="4">
        <v>42088</v>
      </c>
      <c r="C4224" s="7">
        <v>739.19</v>
      </c>
      <c r="D4224" s="6">
        <f t="shared" si="134"/>
        <v>-0.75266924752481867</v>
      </c>
      <c r="E4224" s="6">
        <v>-5.9038704645095162E-3</v>
      </c>
      <c r="F4224" s="6"/>
      <c r="G4224" s="6">
        <v>4217</v>
      </c>
      <c r="H4224" s="6">
        <f t="shared" ca="1" si="135"/>
        <v>9.0077596012578774E-3</v>
      </c>
    </row>
    <row r="4225" spans="2:8" x14ac:dyDescent="0.3">
      <c r="B4225" s="4">
        <v>44502</v>
      </c>
      <c r="C4225" s="5">
        <v>2988.67</v>
      </c>
      <c r="D4225" s="6">
        <f t="shared" si="134"/>
        <v>29.643596841997333</v>
      </c>
      <c r="E4225" s="6">
        <v>-5.9106451484147301E-3</v>
      </c>
      <c r="F4225" s="6"/>
      <c r="G4225" s="6">
        <v>4218</v>
      </c>
      <c r="H4225" s="6">
        <f t="shared" ca="1" si="135"/>
        <v>2.8497096329111526E-2</v>
      </c>
    </row>
    <row r="4226" spans="2:8" x14ac:dyDescent="0.3">
      <c r="B4226" s="4">
        <v>39629</v>
      </c>
      <c r="C4226" s="7">
        <v>97.53</v>
      </c>
      <c r="D4226" s="6">
        <f t="shared" si="134"/>
        <v>4.8019036287923855</v>
      </c>
      <c r="E4226" s="6">
        <v>-5.911731729691146E-3</v>
      </c>
      <c r="F4226" s="6"/>
      <c r="G4226" s="6">
        <v>4219</v>
      </c>
      <c r="H4226" s="6">
        <f t="shared" ca="1" si="135"/>
        <v>-4.9002251966448595E-3</v>
      </c>
    </row>
    <row r="4227" spans="2:8" x14ac:dyDescent="0.3">
      <c r="B4227" s="4">
        <v>37754</v>
      </c>
      <c r="C4227" s="7">
        <v>16.809999999999999</v>
      </c>
      <c r="D4227" s="6">
        <f t="shared" si="134"/>
        <v>-0.96182582037016007</v>
      </c>
      <c r="E4227" s="6">
        <v>-5.9136605558841766E-3</v>
      </c>
      <c r="F4227" s="6"/>
      <c r="G4227" s="6">
        <v>4220</v>
      </c>
      <c r="H4227" s="6">
        <f t="shared" ca="1" si="135"/>
        <v>-1.4018905417847101E-2</v>
      </c>
    </row>
    <row r="4228" spans="2:8" x14ac:dyDescent="0.3">
      <c r="B4228" s="4">
        <v>41631</v>
      </c>
      <c r="C4228" s="7">
        <v>440.35</v>
      </c>
      <c r="D4228" s="6">
        <f t="shared" si="134"/>
        <v>-0.84997666265786775</v>
      </c>
      <c r="E4228" s="6">
        <v>-5.9146217576811167E-3</v>
      </c>
      <c r="F4228" s="6"/>
      <c r="G4228" s="6">
        <v>4221</v>
      </c>
      <c r="H4228" s="6">
        <f t="shared" ca="1" si="135"/>
        <v>1.7986263328632675E-2</v>
      </c>
    </row>
    <row r="4229" spans="2:8" x14ac:dyDescent="0.3">
      <c r="B4229" s="4">
        <v>45589</v>
      </c>
      <c r="C4229" s="5">
        <v>2935.21</v>
      </c>
      <c r="D4229" s="6">
        <f t="shared" si="134"/>
        <v>173.92312276519664</v>
      </c>
      <c r="E4229" s="6">
        <v>-5.9200254683017921E-3</v>
      </c>
      <c r="F4229" s="6"/>
      <c r="G4229" s="6">
        <v>4222</v>
      </c>
      <c r="H4229" s="6">
        <f t="shared" ca="1" si="135"/>
        <v>-6.8893719076059349E-3</v>
      </c>
    </row>
    <row r="4230" spans="2:8" x14ac:dyDescent="0.3">
      <c r="B4230" s="4">
        <v>37538</v>
      </c>
      <c r="C4230" s="7">
        <v>16.78</v>
      </c>
      <c r="D4230" s="6">
        <f t="shared" si="134"/>
        <v>-0.41019332161687166</v>
      </c>
      <c r="E4230" s="6">
        <v>-5.9241706161136179E-3</v>
      </c>
      <c r="F4230" s="6"/>
      <c r="G4230" s="6">
        <v>4223</v>
      </c>
      <c r="H4230" s="6">
        <f t="shared" ca="1" si="135"/>
        <v>3.1267792490795336E-3</v>
      </c>
    </row>
    <row r="4231" spans="2:8" x14ac:dyDescent="0.3">
      <c r="B4231" s="4">
        <v>38414</v>
      </c>
      <c r="C4231" s="7">
        <v>28.45</v>
      </c>
      <c r="D4231" s="6">
        <f t="shared" si="134"/>
        <v>-0.622077577045696</v>
      </c>
      <c r="E4231" s="6">
        <v>-5.9399021663173197E-3</v>
      </c>
      <c r="F4231" s="6"/>
      <c r="G4231" s="6">
        <v>4224</v>
      </c>
      <c r="H4231" s="6">
        <f t="shared" ca="1" si="135"/>
        <v>6.119036912760961E-3</v>
      </c>
    </row>
    <row r="4232" spans="2:8" x14ac:dyDescent="0.3">
      <c r="B4232" s="4">
        <v>39790</v>
      </c>
      <c r="C4232" s="7">
        <v>75.28</v>
      </c>
      <c r="D4232" s="6">
        <f t="shared" ref="D4232:D4295" si="136">((C4232-C4233)/C4233)</f>
        <v>-0.71216639902118228</v>
      </c>
      <c r="E4232" s="6">
        <v>-5.9421629473128592E-3</v>
      </c>
      <c r="F4232" s="6"/>
      <c r="G4232" s="6">
        <v>4225</v>
      </c>
      <c r="H4232" s="6">
        <f t="shared" ca="1" si="135"/>
        <v>-7.422922940243817E-3</v>
      </c>
    </row>
    <row r="4233" spans="2:8" x14ac:dyDescent="0.3">
      <c r="B4233" s="4">
        <v>40942</v>
      </c>
      <c r="C4233" s="7">
        <v>261.54000000000002</v>
      </c>
      <c r="D4233" s="6">
        <f t="shared" si="136"/>
        <v>-0.89432044091739271</v>
      </c>
      <c r="E4233" s="6">
        <v>-5.9670860096537309E-3</v>
      </c>
      <c r="F4233" s="6"/>
      <c r="G4233" s="6">
        <v>4226</v>
      </c>
      <c r="H4233" s="6">
        <f t="shared" ref="H4233:H4296" ca="1" si="137">_xlfn.NORM.INV(RAND(),N$10,N$11)</f>
        <v>-8.6239259747241358E-4</v>
      </c>
    </row>
    <row r="4234" spans="2:8" x14ac:dyDescent="0.3">
      <c r="B4234" s="4">
        <v>45918</v>
      </c>
      <c r="C4234" s="5">
        <v>2474.84</v>
      </c>
      <c r="D4234" s="6">
        <f t="shared" si="136"/>
        <v>147.90734055354994</v>
      </c>
      <c r="E4234" s="6">
        <v>-5.972583152254636E-3</v>
      </c>
      <c r="F4234" s="6"/>
      <c r="G4234" s="6">
        <v>4227</v>
      </c>
      <c r="H4234" s="6">
        <f t="shared" ca="1" si="137"/>
        <v>2.7819268646467777E-4</v>
      </c>
    </row>
    <row r="4235" spans="2:8" x14ac:dyDescent="0.3">
      <c r="B4235" s="4">
        <v>37638</v>
      </c>
      <c r="C4235" s="7">
        <v>16.62</v>
      </c>
      <c r="D4235" s="6">
        <f t="shared" si="136"/>
        <v>-9.0809628008752738E-2</v>
      </c>
      <c r="E4235" s="6">
        <v>-5.9808612440190121E-3</v>
      </c>
      <c r="F4235" s="6"/>
      <c r="G4235" s="6">
        <v>4228</v>
      </c>
      <c r="H4235" s="6">
        <f t="shared" ca="1" si="137"/>
        <v>4.5194618854985909E-3</v>
      </c>
    </row>
    <row r="4236" spans="2:8" x14ac:dyDescent="0.3">
      <c r="B4236" s="4">
        <v>37761</v>
      </c>
      <c r="C4236" s="7">
        <v>18.28</v>
      </c>
      <c r="D4236" s="6">
        <f t="shared" si="136"/>
        <v>-0.98569091435683476</v>
      </c>
      <c r="E4236" s="6">
        <v>-5.9815116911364563E-3</v>
      </c>
      <c r="F4236" s="6"/>
      <c r="G4236" s="6">
        <v>4229</v>
      </c>
      <c r="H4236" s="6">
        <f t="shared" ca="1" si="137"/>
        <v>-1.9759837980376904E-2</v>
      </c>
    </row>
    <row r="4237" spans="2:8" x14ac:dyDescent="0.3">
      <c r="B4237" s="4">
        <v>43648</v>
      </c>
      <c r="C4237" s="5">
        <v>1277.51</v>
      </c>
      <c r="D4237" s="6">
        <f t="shared" si="136"/>
        <v>-0.49296506943645152</v>
      </c>
      <c r="E4237" s="6">
        <v>-5.9835045129163203E-3</v>
      </c>
      <c r="F4237" s="6"/>
      <c r="G4237" s="6">
        <v>4230</v>
      </c>
      <c r="H4237" s="6">
        <f t="shared" ca="1" si="137"/>
        <v>5.9912390429040273E-3</v>
      </c>
    </row>
    <row r="4238" spans="2:8" x14ac:dyDescent="0.3">
      <c r="B4238" s="4">
        <v>45960</v>
      </c>
      <c r="C4238" s="5">
        <v>2519.5700000000002</v>
      </c>
      <c r="D4238" s="6">
        <f t="shared" si="136"/>
        <v>5.8774941995359633</v>
      </c>
      <c r="E4238" s="6">
        <v>-5.9848347365014237E-3</v>
      </c>
      <c r="F4238" s="6"/>
      <c r="G4238" s="6">
        <v>4231</v>
      </c>
      <c r="H4238" s="6">
        <f t="shared" ca="1" si="137"/>
        <v>-1.1063508876756532E-2</v>
      </c>
    </row>
    <row r="4239" spans="2:8" x14ac:dyDescent="0.3">
      <c r="B4239" s="4">
        <v>41225</v>
      </c>
      <c r="C4239" s="7">
        <v>366.35</v>
      </c>
      <c r="D4239" s="6">
        <f t="shared" si="136"/>
        <v>-0.54596155514519062</v>
      </c>
      <c r="E4239" s="6">
        <v>-5.9963099630995758E-3</v>
      </c>
      <c r="F4239" s="6"/>
      <c r="G4239" s="6">
        <v>4232</v>
      </c>
      <c r="H4239" s="6">
        <f t="shared" ca="1" si="137"/>
        <v>-1.6725470292625638E-2</v>
      </c>
    </row>
    <row r="4240" spans="2:8" x14ac:dyDescent="0.3">
      <c r="B4240" s="4">
        <v>42219</v>
      </c>
      <c r="C4240" s="7">
        <v>806.87</v>
      </c>
      <c r="D4240" s="6">
        <f t="shared" si="136"/>
        <v>26.067091580006711</v>
      </c>
      <c r="E4240" s="6">
        <v>-5.9994579545174622E-3</v>
      </c>
      <c r="F4240" s="6"/>
      <c r="G4240" s="6">
        <v>4233</v>
      </c>
      <c r="H4240" s="6">
        <f t="shared" ca="1" si="137"/>
        <v>-1.4251849804424486E-2</v>
      </c>
    </row>
    <row r="4241" spans="2:8" x14ac:dyDescent="0.3">
      <c r="B4241" s="4">
        <v>38476</v>
      </c>
      <c r="C4241" s="7">
        <v>29.81</v>
      </c>
      <c r="D4241" s="6">
        <f t="shared" si="136"/>
        <v>-0.97230248915235029</v>
      </c>
      <c r="E4241" s="6">
        <v>-6.0020006668889542E-3</v>
      </c>
      <c r="F4241" s="6"/>
      <c r="G4241" s="6">
        <v>4234</v>
      </c>
      <c r="H4241" s="6">
        <f t="shared" ca="1" si="137"/>
        <v>-1.5894973954372948E-2</v>
      </c>
    </row>
    <row r="4242" spans="2:8" x14ac:dyDescent="0.3">
      <c r="B4242" s="4">
        <v>42865</v>
      </c>
      <c r="C4242" s="5">
        <v>1076.27</v>
      </c>
      <c r="D4242" s="6">
        <f t="shared" si="136"/>
        <v>3.2223224794036875</v>
      </c>
      <c r="E4242" s="6">
        <v>-6.0031216232440867E-3</v>
      </c>
      <c r="F4242" s="6"/>
      <c r="G4242" s="6">
        <v>4235</v>
      </c>
      <c r="H4242" s="6">
        <f t="shared" ca="1" si="137"/>
        <v>-2.1526810546188008E-2</v>
      </c>
    </row>
    <row r="4243" spans="2:8" x14ac:dyDescent="0.3">
      <c r="B4243" s="4">
        <v>40871</v>
      </c>
      <c r="C4243" s="7">
        <v>254.9</v>
      </c>
      <c r="D4243" s="6">
        <f t="shared" si="136"/>
        <v>-8.1970755600374617E-2</v>
      </c>
      <c r="E4243" s="6">
        <v>-6.005303384807331E-3</v>
      </c>
      <c r="F4243" s="6"/>
      <c r="G4243" s="6">
        <v>4236</v>
      </c>
      <c r="H4243" s="6">
        <f t="shared" ca="1" si="137"/>
        <v>1.1286634845517927E-2</v>
      </c>
    </row>
    <row r="4244" spans="2:8" x14ac:dyDescent="0.3">
      <c r="B4244" s="4">
        <v>40723</v>
      </c>
      <c r="C4244" s="7">
        <v>277.66000000000003</v>
      </c>
      <c r="D4244" s="6">
        <f t="shared" si="136"/>
        <v>-0.74535015958032202</v>
      </c>
      <c r="E4244" s="6">
        <v>-6.0141762726424793E-3</v>
      </c>
      <c r="F4244" s="6"/>
      <c r="G4244" s="6">
        <v>4237</v>
      </c>
      <c r="H4244" s="6">
        <f t="shared" ca="1" si="137"/>
        <v>-1.8685875873337553E-2</v>
      </c>
    </row>
    <row r="4245" spans="2:8" x14ac:dyDescent="0.3">
      <c r="B4245" s="4">
        <v>43215</v>
      </c>
      <c r="C4245" s="5">
        <v>1090.3599999999999</v>
      </c>
      <c r="D4245" s="6">
        <f t="shared" si="136"/>
        <v>-0.1485620134154817</v>
      </c>
      <c r="E4245" s="6">
        <v>-6.025688943179966E-3</v>
      </c>
      <c r="F4245" s="6"/>
      <c r="G4245" s="6">
        <v>4238</v>
      </c>
      <c r="H4245" s="6">
        <f t="shared" ca="1" si="137"/>
        <v>-7.2058403266928861E-3</v>
      </c>
    </row>
    <row r="4246" spans="2:8" x14ac:dyDescent="0.3">
      <c r="B4246" s="4">
        <v>43297</v>
      </c>
      <c r="C4246" s="5">
        <v>1280.6099999999999</v>
      </c>
      <c r="D4246" s="6">
        <f t="shared" si="136"/>
        <v>76.754098360655732</v>
      </c>
      <c r="E4246" s="6">
        <v>-6.0308294136824604E-3</v>
      </c>
      <c r="F4246" s="6"/>
      <c r="G4246" s="6">
        <v>4239</v>
      </c>
      <c r="H4246" s="6">
        <f t="shared" ca="1" si="137"/>
        <v>4.3137525130382175E-3</v>
      </c>
    </row>
    <row r="4247" spans="2:8" x14ac:dyDescent="0.3">
      <c r="B4247" s="4">
        <v>37558</v>
      </c>
      <c r="C4247" s="7">
        <v>16.47</v>
      </c>
      <c r="D4247" s="6">
        <f t="shared" si="136"/>
        <v>-0.97039846151081066</v>
      </c>
      <c r="E4247" s="6">
        <v>-6.0350030175015945E-3</v>
      </c>
      <c r="F4247" s="6"/>
      <c r="G4247" s="6">
        <v>4240</v>
      </c>
      <c r="H4247" s="6">
        <f t="shared" ca="1" si="137"/>
        <v>-2.0664941851268302E-2</v>
      </c>
    </row>
    <row r="4248" spans="2:8" x14ac:dyDescent="0.3">
      <c r="B4248" s="4">
        <v>41873</v>
      </c>
      <c r="C4248" s="7">
        <v>556.39</v>
      </c>
      <c r="D4248" s="6">
        <f t="shared" si="136"/>
        <v>-0.76142717480790345</v>
      </c>
      <c r="E4248" s="6">
        <v>-6.0381942583561023E-3</v>
      </c>
      <c r="F4248" s="6"/>
      <c r="G4248" s="6">
        <v>4241</v>
      </c>
      <c r="H4248" s="6">
        <f t="shared" ca="1" si="137"/>
        <v>1.4867595700179106E-2</v>
      </c>
    </row>
    <row r="4249" spans="2:8" x14ac:dyDescent="0.3">
      <c r="B4249" s="4">
        <v>45931</v>
      </c>
      <c r="C4249" s="5">
        <v>2332.16</v>
      </c>
      <c r="D4249" s="6">
        <f t="shared" si="136"/>
        <v>-0.16170566097418085</v>
      </c>
      <c r="E4249" s="6">
        <v>-6.0434549127578651E-3</v>
      </c>
      <c r="F4249" s="6"/>
      <c r="G4249" s="6">
        <v>4242</v>
      </c>
      <c r="H4249" s="6">
        <f t="shared" ca="1" si="137"/>
        <v>1.0255745902934162E-2</v>
      </c>
    </row>
    <row r="4250" spans="2:8" x14ac:dyDescent="0.3">
      <c r="B4250" s="4">
        <v>45408</v>
      </c>
      <c r="C4250" s="5">
        <v>2782.03</v>
      </c>
      <c r="D4250" s="6">
        <f t="shared" si="136"/>
        <v>140.29151853732859</v>
      </c>
      <c r="E4250" s="6">
        <v>-6.0451240643811495E-3</v>
      </c>
      <c r="F4250" s="6"/>
      <c r="G4250" s="6">
        <v>4243</v>
      </c>
      <c r="H4250" s="6">
        <f t="shared" ca="1" si="137"/>
        <v>1.2013996736818468E-2</v>
      </c>
    </row>
    <row r="4251" spans="2:8" x14ac:dyDescent="0.3">
      <c r="B4251" s="4">
        <v>37812</v>
      </c>
      <c r="C4251" s="7">
        <v>19.690000000000001</v>
      </c>
      <c r="D4251" s="6">
        <f t="shared" si="136"/>
        <v>-0.82851419613307786</v>
      </c>
      <c r="E4251" s="6">
        <v>-6.057546693588968E-3</v>
      </c>
      <c r="F4251" s="6"/>
      <c r="G4251" s="6">
        <v>4244</v>
      </c>
      <c r="H4251" s="6">
        <f t="shared" ca="1" si="137"/>
        <v>1.1026433469356358E-2</v>
      </c>
    </row>
    <row r="4252" spans="2:8" x14ac:dyDescent="0.3">
      <c r="B4252" s="4">
        <v>40035</v>
      </c>
      <c r="C4252" s="7">
        <v>114.82</v>
      </c>
      <c r="D4252" s="6">
        <f t="shared" si="136"/>
        <v>4.0008710801393716</v>
      </c>
      <c r="E4252" s="6">
        <v>-6.0595567867036257E-3</v>
      </c>
      <c r="F4252" s="6"/>
      <c r="G4252" s="6">
        <v>4245</v>
      </c>
      <c r="H4252" s="6">
        <f t="shared" ca="1" si="137"/>
        <v>5.1112815803046512E-3</v>
      </c>
    </row>
    <row r="4253" spans="2:8" x14ac:dyDescent="0.3">
      <c r="B4253" s="4">
        <v>38119</v>
      </c>
      <c r="C4253" s="7">
        <v>22.96</v>
      </c>
      <c r="D4253" s="6">
        <f t="shared" si="136"/>
        <v>-0.91998327176413197</v>
      </c>
      <c r="E4253" s="6">
        <v>-6.0606060606060849E-3</v>
      </c>
      <c r="F4253" s="6"/>
      <c r="G4253" s="6">
        <v>4246</v>
      </c>
      <c r="H4253" s="6">
        <f t="shared" ca="1" si="137"/>
        <v>6.0001654067247476E-3</v>
      </c>
    </row>
    <row r="4254" spans="2:8" x14ac:dyDescent="0.3">
      <c r="B4254" s="4">
        <v>41010</v>
      </c>
      <c r="C4254" s="7">
        <v>286.94</v>
      </c>
      <c r="D4254" s="6">
        <f t="shared" si="136"/>
        <v>11.513737461840384</v>
      </c>
      <c r="E4254" s="6">
        <v>-6.061865669056774E-3</v>
      </c>
      <c r="F4254" s="6"/>
      <c r="G4254" s="6">
        <v>4247</v>
      </c>
      <c r="H4254" s="6">
        <f t="shared" ca="1" si="137"/>
        <v>1.4031677929820442E-2</v>
      </c>
    </row>
    <row r="4255" spans="2:8" x14ac:dyDescent="0.3">
      <c r="B4255" s="4">
        <v>38314</v>
      </c>
      <c r="C4255" s="7">
        <v>22.93</v>
      </c>
      <c r="D4255" s="6">
        <f t="shared" si="136"/>
        <v>-0.84425728452081772</v>
      </c>
      <c r="E4255" s="6">
        <v>-6.0684872128305405E-3</v>
      </c>
      <c r="F4255" s="6"/>
      <c r="G4255" s="6">
        <v>4248</v>
      </c>
      <c r="H4255" s="6">
        <f t="shared" ca="1" si="137"/>
        <v>-1.4716560814700632E-2</v>
      </c>
    </row>
    <row r="4256" spans="2:8" x14ac:dyDescent="0.3">
      <c r="B4256" s="4">
        <v>40149</v>
      </c>
      <c r="C4256" s="7">
        <v>147.22999999999999</v>
      </c>
      <c r="D4256" s="6">
        <f t="shared" si="136"/>
        <v>-0.95342886063136589</v>
      </c>
      <c r="E4256" s="6">
        <v>-6.0757442786741759E-3</v>
      </c>
      <c r="F4256" s="6"/>
      <c r="G4256" s="6">
        <v>4249</v>
      </c>
      <c r="H4256" s="6">
        <f t="shared" ca="1" si="137"/>
        <v>-1.5630864876323567E-2</v>
      </c>
    </row>
    <row r="4257" spans="2:8" x14ac:dyDescent="0.3">
      <c r="B4257" s="4">
        <v>45268</v>
      </c>
      <c r="C4257" s="5">
        <v>3161.4</v>
      </c>
      <c r="D4257" s="6">
        <f t="shared" si="136"/>
        <v>1.4063755937157472</v>
      </c>
      <c r="E4257" s="6">
        <v>-6.0897204136105068E-3</v>
      </c>
      <c r="F4257" s="6"/>
      <c r="G4257" s="6">
        <v>4250</v>
      </c>
      <c r="H4257" s="6">
        <f t="shared" ca="1" si="137"/>
        <v>-3.3683232348500668E-3</v>
      </c>
    </row>
    <row r="4258" spans="2:8" x14ac:dyDescent="0.3">
      <c r="B4258" s="4">
        <v>43335</v>
      </c>
      <c r="C4258" s="5">
        <v>1313.76</v>
      </c>
      <c r="D4258" s="6">
        <f t="shared" si="136"/>
        <v>-0.3221682196699997</v>
      </c>
      <c r="E4258" s="6">
        <v>-6.0976532356901434E-3</v>
      </c>
      <c r="F4258" s="6"/>
      <c r="G4258" s="6">
        <v>4251</v>
      </c>
      <c r="H4258" s="6">
        <f t="shared" ca="1" si="137"/>
        <v>3.044993342672004E-2</v>
      </c>
    </row>
    <row r="4259" spans="2:8" x14ac:dyDescent="0.3">
      <c r="B4259" s="4">
        <v>44109</v>
      </c>
      <c r="C4259" s="5">
        <v>1938.18</v>
      </c>
      <c r="D4259" s="6">
        <f t="shared" si="136"/>
        <v>28.763206388206385</v>
      </c>
      <c r="E4259" s="6">
        <v>-6.1023137512306487E-3</v>
      </c>
      <c r="F4259" s="6"/>
      <c r="G4259" s="6">
        <v>4252</v>
      </c>
      <c r="H4259" s="6">
        <f t="shared" ca="1" si="137"/>
        <v>-9.5199055577442435E-3</v>
      </c>
    </row>
    <row r="4260" spans="2:8" x14ac:dyDescent="0.3">
      <c r="B4260" s="4">
        <v>39125</v>
      </c>
      <c r="C4260" s="7">
        <v>65.12</v>
      </c>
      <c r="D4260" s="6">
        <f t="shared" si="136"/>
        <v>1.1074433656957932</v>
      </c>
      <c r="E4260" s="6">
        <v>-6.1050061050059749E-3</v>
      </c>
      <c r="F4260" s="6"/>
      <c r="G4260" s="6">
        <v>4253</v>
      </c>
      <c r="H4260" s="6">
        <f t="shared" ca="1" si="137"/>
        <v>-4.3173497686175969E-4</v>
      </c>
    </row>
    <row r="4261" spans="2:8" x14ac:dyDescent="0.3">
      <c r="B4261" s="4">
        <v>38446</v>
      </c>
      <c r="C4261" s="7">
        <v>30.9</v>
      </c>
      <c r="D4261" s="6">
        <f t="shared" si="136"/>
        <v>-0.98923326190351746</v>
      </c>
      <c r="E4261" s="6">
        <v>-6.1112898037954735E-3</v>
      </c>
      <c r="F4261" s="6"/>
      <c r="G4261" s="6">
        <v>4254</v>
      </c>
      <c r="H4261" s="6">
        <f t="shared" ca="1" si="137"/>
        <v>1.1662050007824599E-2</v>
      </c>
    </row>
    <row r="4262" spans="2:8" x14ac:dyDescent="0.3">
      <c r="B4262" s="4">
        <v>44392</v>
      </c>
      <c r="C4262" s="5">
        <v>2869.95</v>
      </c>
      <c r="D4262" s="6">
        <f t="shared" si="136"/>
        <v>-4.6030653862645973E-2</v>
      </c>
      <c r="E4262" s="6">
        <v>-6.1123424296994364E-3</v>
      </c>
      <c r="F4262" s="6"/>
      <c r="G4262" s="6">
        <v>4255</v>
      </c>
      <c r="H4262" s="6">
        <f t="shared" ca="1" si="137"/>
        <v>2.3093647577165932E-2</v>
      </c>
    </row>
    <row r="4263" spans="2:8" x14ac:dyDescent="0.3">
      <c r="B4263" s="4">
        <v>45070</v>
      </c>
      <c r="C4263" s="5">
        <v>3008.43</v>
      </c>
      <c r="D4263" s="6">
        <f t="shared" si="136"/>
        <v>28.416544441185099</v>
      </c>
      <c r="E4263" s="6">
        <v>-6.1216534080398158E-3</v>
      </c>
      <c r="F4263" s="6"/>
      <c r="G4263" s="6">
        <v>4256</v>
      </c>
      <c r="H4263" s="6">
        <f t="shared" ca="1" si="137"/>
        <v>2.293216418885977E-2</v>
      </c>
    </row>
    <row r="4264" spans="2:8" x14ac:dyDescent="0.3">
      <c r="B4264" s="4">
        <v>39548</v>
      </c>
      <c r="C4264" s="7">
        <v>102.27</v>
      </c>
      <c r="D4264" s="6">
        <f t="shared" si="136"/>
        <v>-0.91530855609659145</v>
      </c>
      <c r="E4264" s="6">
        <v>-6.1224489795919301E-3</v>
      </c>
      <c r="F4264" s="6"/>
      <c r="G4264" s="6">
        <v>4257</v>
      </c>
      <c r="H4264" s="6">
        <f t="shared" ca="1" si="137"/>
        <v>-8.9752598961378195E-3</v>
      </c>
    </row>
    <row r="4265" spans="2:8" x14ac:dyDescent="0.3">
      <c r="B4265" s="4">
        <v>43369</v>
      </c>
      <c r="C4265" s="5">
        <v>1207.56</v>
      </c>
      <c r="D4265" s="6">
        <f t="shared" si="136"/>
        <v>-0.4365752945293363</v>
      </c>
      <c r="E4265" s="6">
        <v>-6.1234567901235016E-3</v>
      </c>
      <c r="F4265" s="6"/>
      <c r="G4265" s="6">
        <v>4258</v>
      </c>
      <c r="H4265" s="6">
        <f t="shared" ca="1" si="137"/>
        <v>2.2293075478297064E-2</v>
      </c>
    </row>
    <row r="4266" spans="2:8" x14ac:dyDescent="0.3">
      <c r="B4266" s="4">
        <v>45719</v>
      </c>
      <c r="C4266" s="5">
        <v>2143.25</v>
      </c>
      <c r="D4266" s="6">
        <f t="shared" si="136"/>
        <v>-4.2431038950594586E-2</v>
      </c>
      <c r="E4266" s="6">
        <v>-6.1257802138690431E-3</v>
      </c>
      <c r="F4266" s="6"/>
      <c r="G4266" s="6">
        <v>4259</v>
      </c>
      <c r="H4266" s="6">
        <f t="shared" ca="1" si="137"/>
        <v>-2.5339491785648809E-2</v>
      </c>
    </row>
    <row r="4267" spans="2:8" x14ac:dyDescent="0.3">
      <c r="B4267" s="4">
        <v>45681</v>
      </c>
      <c r="C4267" s="5">
        <v>2238.2199999999998</v>
      </c>
      <c r="D4267" s="6">
        <f t="shared" si="136"/>
        <v>0.99623624266424049</v>
      </c>
      <c r="E4267" s="6">
        <v>-6.1322451299496003E-3</v>
      </c>
      <c r="F4267" s="6"/>
      <c r="G4267" s="6">
        <v>4260</v>
      </c>
      <c r="H4267" s="6">
        <f t="shared" ca="1" si="137"/>
        <v>3.1486345562327864E-3</v>
      </c>
    </row>
    <row r="4268" spans="2:8" x14ac:dyDescent="0.3">
      <c r="B4268" s="4">
        <v>42985</v>
      </c>
      <c r="C4268" s="5">
        <v>1121.22</v>
      </c>
      <c r="D4268" s="6">
        <f t="shared" si="136"/>
        <v>15.109482758620693</v>
      </c>
      <c r="E4268" s="6">
        <v>-6.1339904621767445E-3</v>
      </c>
      <c r="F4268" s="6"/>
      <c r="G4268" s="6">
        <v>4261</v>
      </c>
      <c r="H4268" s="6">
        <f t="shared" ca="1" si="137"/>
        <v>1.3867507224478822E-2</v>
      </c>
    </row>
    <row r="4269" spans="2:8" x14ac:dyDescent="0.3">
      <c r="B4269" s="4">
        <v>39258</v>
      </c>
      <c r="C4269" s="7">
        <v>69.599999999999994</v>
      </c>
      <c r="D4269" s="6">
        <f t="shared" si="136"/>
        <v>-0.91016688823779957</v>
      </c>
      <c r="E4269" s="6">
        <v>-6.1402256175925578E-3</v>
      </c>
      <c r="F4269" s="6"/>
      <c r="G4269" s="6">
        <v>4262</v>
      </c>
      <c r="H4269" s="6">
        <f t="shared" ca="1" si="137"/>
        <v>-2.0320383191802108E-3</v>
      </c>
    </row>
    <row r="4270" spans="2:8" x14ac:dyDescent="0.3">
      <c r="B4270" s="4">
        <v>42389</v>
      </c>
      <c r="C4270" s="7">
        <v>774.77</v>
      </c>
      <c r="D4270" s="6">
        <f t="shared" si="136"/>
        <v>-0.2793373516389478</v>
      </c>
      <c r="E4270" s="6">
        <v>-6.1444917645851046E-3</v>
      </c>
      <c r="F4270" s="6"/>
      <c r="G4270" s="6">
        <v>4263</v>
      </c>
      <c r="H4270" s="6">
        <f t="shared" ca="1" si="137"/>
        <v>1.9887611463030785E-3</v>
      </c>
    </row>
    <row r="4271" spans="2:8" x14ac:dyDescent="0.3">
      <c r="B4271" s="4">
        <v>43069</v>
      </c>
      <c r="C4271" s="5">
        <v>1075.08</v>
      </c>
      <c r="D4271" s="6">
        <f t="shared" si="136"/>
        <v>1.3458508804468785</v>
      </c>
      <c r="E4271" s="6">
        <v>-6.15674746242173E-3</v>
      </c>
      <c r="F4271" s="6"/>
      <c r="G4271" s="6">
        <v>4264</v>
      </c>
      <c r="H4271" s="6">
        <f t="shared" ca="1" si="137"/>
        <v>3.0022418165936805E-2</v>
      </c>
    </row>
    <row r="4272" spans="2:8" x14ac:dyDescent="0.3">
      <c r="B4272" s="4">
        <v>41486</v>
      </c>
      <c r="C4272" s="7">
        <v>458.29</v>
      </c>
      <c r="D4272" s="6">
        <f t="shared" si="136"/>
        <v>-0.83385056012761483</v>
      </c>
      <c r="E4272" s="6">
        <v>-6.1587838570467653E-3</v>
      </c>
      <c r="F4272" s="6"/>
      <c r="G4272" s="6">
        <v>4265</v>
      </c>
      <c r="H4272" s="6">
        <f t="shared" ca="1" si="137"/>
        <v>-6.1257891182171847E-3</v>
      </c>
    </row>
    <row r="4273" spans="2:8" x14ac:dyDescent="0.3">
      <c r="B4273" s="4">
        <v>46021</v>
      </c>
      <c r="C4273" s="5">
        <v>2758.3</v>
      </c>
      <c r="D4273" s="6">
        <f t="shared" si="136"/>
        <v>113.02645721372468</v>
      </c>
      <c r="E4273" s="6">
        <v>-6.1612740505872701E-3</v>
      </c>
      <c r="F4273" s="6"/>
      <c r="G4273" s="6">
        <v>4266</v>
      </c>
      <c r="H4273" s="6">
        <f t="shared" ca="1" si="137"/>
        <v>-2.8505954659023879E-3</v>
      </c>
    </row>
    <row r="4274" spans="2:8" x14ac:dyDescent="0.3">
      <c r="B4274" s="4">
        <v>38223</v>
      </c>
      <c r="C4274" s="7">
        <v>24.19</v>
      </c>
      <c r="D4274" s="6">
        <f t="shared" si="136"/>
        <v>0.50248447204968938</v>
      </c>
      <c r="E4274" s="6">
        <v>-6.1626951520130889E-3</v>
      </c>
      <c r="F4274" s="6"/>
      <c r="G4274" s="6">
        <v>4267</v>
      </c>
      <c r="H4274" s="6">
        <f t="shared" ca="1" si="137"/>
        <v>1.136085815366168E-2</v>
      </c>
    </row>
    <row r="4275" spans="2:8" x14ac:dyDescent="0.3">
      <c r="B4275" s="4">
        <v>37655</v>
      </c>
      <c r="C4275" s="7">
        <v>16.100000000000001</v>
      </c>
      <c r="D4275" s="6">
        <f t="shared" si="136"/>
        <v>-0.99478805850323404</v>
      </c>
      <c r="E4275" s="6">
        <v>-6.1728395061727082E-3</v>
      </c>
      <c r="F4275" s="6"/>
      <c r="G4275" s="6">
        <v>4268</v>
      </c>
      <c r="H4275" s="6">
        <f t="shared" ca="1" si="137"/>
        <v>-1.2129259315170069E-2</v>
      </c>
    </row>
    <row r="4276" spans="2:8" x14ac:dyDescent="0.3">
      <c r="B4276" s="4">
        <v>45156</v>
      </c>
      <c r="C4276" s="5">
        <v>3089.06</v>
      </c>
      <c r="D4276" s="6">
        <f t="shared" si="136"/>
        <v>2.2659780298785193</v>
      </c>
      <c r="E4276" s="6">
        <v>-6.1866814229045615E-3</v>
      </c>
      <c r="F4276" s="6"/>
      <c r="G4276" s="6">
        <v>4269</v>
      </c>
      <c r="H4276" s="6">
        <f t="shared" ca="1" si="137"/>
        <v>-1.8516683188901654E-2</v>
      </c>
    </row>
    <row r="4277" spans="2:8" x14ac:dyDescent="0.3">
      <c r="B4277" s="4">
        <v>42563</v>
      </c>
      <c r="C4277" s="7">
        <v>945.83</v>
      </c>
      <c r="D4277" s="6">
        <f t="shared" si="136"/>
        <v>-0.63451833532980417</v>
      </c>
      <c r="E4277" s="6">
        <v>-6.1887950237464653E-3</v>
      </c>
      <c r="F4277" s="6"/>
      <c r="G4277" s="6">
        <v>4270</v>
      </c>
      <c r="H4277" s="6">
        <f t="shared" ca="1" si="137"/>
        <v>1.3161166281273403E-3</v>
      </c>
    </row>
    <row r="4278" spans="2:8" x14ac:dyDescent="0.3">
      <c r="B4278" s="4">
        <v>44209</v>
      </c>
      <c r="C4278" s="5">
        <v>2587.9</v>
      </c>
      <c r="D4278" s="6">
        <f t="shared" si="136"/>
        <v>0.52289431717206203</v>
      </c>
      <c r="E4278" s="6">
        <v>-6.1942450739815242E-3</v>
      </c>
      <c r="F4278" s="6"/>
      <c r="G4278" s="6">
        <v>4271</v>
      </c>
      <c r="H4278" s="6">
        <f t="shared" ca="1" si="137"/>
        <v>1.8291467605407626E-2</v>
      </c>
    </row>
    <row r="4279" spans="2:8" x14ac:dyDescent="0.3">
      <c r="B4279" s="4">
        <v>43892</v>
      </c>
      <c r="C4279" s="5">
        <v>1699.33</v>
      </c>
      <c r="D4279" s="6">
        <f t="shared" si="136"/>
        <v>-0.30563069505168972</v>
      </c>
      <c r="E4279" s="6">
        <v>-6.1990841730364026E-3</v>
      </c>
      <c r="F4279" s="6"/>
      <c r="G4279" s="6">
        <v>4272</v>
      </c>
      <c r="H4279" s="6">
        <f t="shared" ca="1" si="137"/>
        <v>1.8474525660292763E-3</v>
      </c>
    </row>
    <row r="4280" spans="2:8" x14ac:dyDescent="0.3">
      <c r="B4280" s="4">
        <v>46141</v>
      </c>
      <c r="C4280" s="5">
        <v>2447.3000000000002</v>
      </c>
      <c r="D4280" s="6">
        <f t="shared" si="136"/>
        <v>7.7820840306527028E-2</v>
      </c>
      <c r="E4280" s="6">
        <v>-6.2129456671809174E-3</v>
      </c>
      <c r="F4280" s="6"/>
      <c r="G4280" s="6">
        <v>4273</v>
      </c>
      <c r="H4280" s="6">
        <f t="shared" ca="1" si="137"/>
        <v>-3.0183557622175328E-2</v>
      </c>
    </row>
    <row r="4281" spans="2:8" x14ac:dyDescent="0.3">
      <c r="B4281" s="4">
        <v>44250</v>
      </c>
      <c r="C4281" s="5">
        <v>2270.6</v>
      </c>
      <c r="D4281" s="6">
        <f t="shared" si="136"/>
        <v>1.0789423085726841</v>
      </c>
      <c r="E4281" s="6">
        <v>-6.2236850167629197E-3</v>
      </c>
      <c r="F4281" s="6"/>
      <c r="G4281" s="6">
        <v>4274</v>
      </c>
      <c r="H4281" s="6">
        <f t="shared" ca="1" si="137"/>
        <v>-1.7144043510001528E-2</v>
      </c>
    </row>
    <row r="4282" spans="2:8" x14ac:dyDescent="0.3">
      <c r="B4282" s="4">
        <v>43209</v>
      </c>
      <c r="C4282" s="5">
        <v>1092.19</v>
      </c>
      <c r="D4282" s="6">
        <f t="shared" si="136"/>
        <v>-0.62817544886940058</v>
      </c>
      <c r="E4282" s="6">
        <v>-6.2327121851797106E-3</v>
      </c>
      <c r="F4282" s="6"/>
      <c r="G4282" s="6">
        <v>4275</v>
      </c>
      <c r="H4282" s="6">
        <f t="shared" ca="1" si="137"/>
        <v>-2.9095190212670957E-2</v>
      </c>
    </row>
    <row r="4283" spans="2:8" x14ac:dyDescent="0.3">
      <c r="B4283" s="4">
        <v>44929</v>
      </c>
      <c r="C4283" s="5">
        <v>2937.38</v>
      </c>
      <c r="D4283" s="6">
        <f t="shared" si="136"/>
        <v>0.26811810061606084</v>
      </c>
      <c r="E4283" s="6">
        <v>-6.2351774978770076E-3</v>
      </c>
      <c r="F4283" s="6"/>
      <c r="G4283" s="6">
        <v>4276</v>
      </c>
      <c r="H4283" s="6">
        <f t="shared" ca="1" si="137"/>
        <v>7.8155890895631585E-3</v>
      </c>
    </row>
    <row r="4284" spans="2:8" x14ac:dyDescent="0.3">
      <c r="B4284" s="4">
        <v>45754</v>
      </c>
      <c r="C4284" s="5">
        <v>2316.33</v>
      </c>
      <c r="D4284" s="6">
        <f t="shared" si="136"/>
        <v>1.1647741609891495</v>
      </c>
      <c r="E4284" s="6">
        <v>-6.2380141320622622E-3</v>
      </c>
      <c r="F4284" s="6"/>
      <c r="G4284" s="6">
        <v>4277</v>
      </c>
      <c r="H4284" s="6">
        <f t="shared" ca="1" si="137"/>
        <v>-1.4356182957004554E-2</v>
      </c>
    </row>
    <row r="4285" spans="2:8" x14ac:dyDescent="0.3">
      <c r="B4285" s="4">
        <v>42958</v>
      </c>
      <c r="C4285" s="5">
        <v>1070.01</v>
      </c>
      <c r="D4285" s="6">
        <f t="shared" si="136"/>
        <v>19.427835051546392</v>
      </c>
      <c r="E4285" s="6">
        <v>-6.2503482734922247E-3</v>
      </c>
      <c r="F4285" s="6"/>
      <c r="G4285" s="6">
        <v>4278</v>
      </c>
      <c r="H4285" s="6">
        <f t="shared" ca="1" si="137"/>
        <v>1.1387387224367575E-2</v>
      </c>
    </row>
    <row r="4286" spans="2:8" x14ac:dyDescent="0.3">
      <c r="B4286" s="4">
        <v>38785</v>
      </c>
      <c r="C4286" s="7">
        <v>52.38</v>
      </c>
      <c r="D4286" s="6">
        <f t="shared" si="136"/>
        <v>-0.46708719096551021</v>
      </c>
      <c r="E4286" s="6">
        <v>-6.2606715993169856E-3</v>
      </c>
      <c r="F4286" s="6"/>
      <c r="G4286" s="6">
        <v>4279</v>
      </c>
      <c r="H4286" s="6">
        <f t="shared" ca="1" si="137"/>
        <v>-6.7999265878540566E-3</v>
      </c>
    </row>
    <row r="4287" spans="2:8" x14ac:dyDescent="0.3">
      <c r="B4287" s="4">
        <v>39531</v>
      </c>
      <c r="C4287" s="7">
        <v>98.29</v>
      </c>
      <c r="D4287" s="6">
        <f t="shared" si="136"/>
        <v>-0.95356626574325154</v>
      </c>
      <c r="E4287" s="6">
        <v>-6.2683247396622217E-3</v>
      </c>
      <c r="F4287" s="6"/>
      <c r="G4287" s="6">
        <v>4280</v>
      </c>
      <c r="H4287" s="6">
        <f t="shared" ca="1" si="137"/>
        <v>1.2710421581873067E-2</v>
      </c>
    </row>
    <row r="4288" spans="2:8" x14ac:dyDescent="0.3">
      <c r="B4288" s="4">
        <v>44134</v>
      </c>
      <c r="C4288" s="5">
        <v>2116.7800000000002</v>
      </c>
      <c r="D4288" s="6">
        <f t="shared" si="136"/>
        <v>0.2641190557237641</v>
      </c>
      <c r="E4288" s="6">
        <v>-6.2718882326981669E-3</v>
      </c>
      <c r="F4288" s="6"/>
      <c r="G4288" s="6">
        <v>4281</v>
      </c>
      <c r="H4288" s="6">
        <f t="shared" ca="1" si="137"/>
        <v>-7.8382673441752815E-3</v>
      </c>
    </row>
    <row r="4289" spans="2:8" x14ac:dyDescent="0.3">
      <c r="B4289" s="4">
        <v>43784</v>
      </c>
      <c r="C4289" s="5">
        <v>1674.51</v>
      </c>
      <c r="D4289" s="6">
        <f t="shared" si="136"/>
        <v>5.7523287229323756</v>
      </c>
      <c r="E4289" s="6">
        <v>-6.2903905383030843E-3</v>
      </c>
      <c r="F4289" s="6"/>
      <c r="G4289" s="6">
        <v>4282</v>
      </c>
      <c r="H4289" s="6">
        <f t="shared" ca="1" si="137"/>
        <v>1.0335847537921194E-2</v>
      </c>
    </row>
    <row r="4290" spans="2:8" x14ac:dyDescent="0.3">
      <c r="B4290" s="4">
        <v>40429</v>
      </c>
      <c r="C4290" s="7">
        <v>247.99</v>
      </c>
      <c r="D4290" s="6">
        <f t="shared" si="136"/>
        <v>-0.71488848011037021</v>
      </c>
      <c r="E4290" s="6">
        <v>-6.2910722872254899E-3</v>
      </c>
      <c r="F4290" s="6"/>
      <c r="G4290" s="6">
        <v>4283</v>
      </c>
      <c r="H4290" s="6">
        <f t="shared" ca="1" si="137"/>
        <v>-1.1894605345503155E-2</v>
      </c>
    </row>
    <row r="4291" spans="2:8" x14ac:dyDescent="0.3">
      <c r="B4291" s="4">
        <v>42698</v>
      </c>
      <c r="C4291" s="7">
        <v>869.8</v>
      </c>
      <c r="D4291" s="6">
        <f t="shared" si="136"/>
        <v>-0.68393895348837208</v>
      </c>
      <c r="E4291" s="6">
        <v>-6.3176173557402196E-3</v>
      </c>
      <c r="F4291" s="6"/>
      <c r="G4291" s="6">
        <v>4284</v>
      </c>
      <c r="H4291" s="6">
        <f t="shared" ca="1" si="137"/>
        <v>9.2280476323732558E-3</v>
      </c>
    </row>
    <row r="4292" spans="2:8" x14ac:dyDescent="0.3">
      <c r="B4292" s="4">
        <v>46023</v>
      </c>
      <c r="C4292" s="5">
        <v>2752</v>
      </c>
      <c r="D4292" s="6">
        <f t="shared" si="136"/>
        <v>1.5399872631452647</v>
      </c>
      <c r="E4292" s="6">
        <v>-6.318830113738942E-3</v>
      </c>
      <c r="F4292" s="6"/>
      <c r="G4292" s="6">
        <v>4285</v>
      </c>
      <c r="H4292" s="6">
        <f t="shared" ca="1" si="137"/>
        <v>2.2862582043660765E-2</v>
      </c>
    </row>
    <row r="4293" spans="2:8" x14ac:dyDescent="0.3">
      <c r="B4293" s="4">
        <v>43216</v>
      </c>
      <c r="C4293" s="5">
        <v>1083.47</v>
      </c>
      <c r="D4293" s="6">
        <f t="shared" si="136"/>
        <v>19.274513473053894</v>
      </c>
      <c r="E4293" s="6">
        <v>-6.3190139036647282E-3</v>
      </c>
      <c r="F4293" s="6"/>
      <c r="G4293" s="6">
        <v>4286</v>
      </c>
      <c r="H4293" s="6">
        <f t="shared" ca="1" si="137"/>
        <v>3.8644291965686233E-3</v>
      </c>
    </row>
    <row r="4294" spans="2:8" x14ac:dyDescent="0.3">
      <c r="B4294" s="4">
        <v>38806</v>
      </c>
      <c r="C4294" s="7">
        <v>53.44</v>
      </c>
      <c r="D4294" s="6">
        <f t="shared" si="136"/>
        <v>-0.9756195481586919</v>
      </c>
      <c r="E4294" s="6">
        <v>-6.3220528077352805E-3</v>
      </c>
      <c r="F4294" s="6"/>
      <c r="G4294" s="6">
        <v>4287</v>
      </c>
      <c r="H4294" s="6">
        <f t="shared" ca="1" si="137"/>
        <v>-2.5040496865557687E-2</v>
      </c>
    </row>
    <row r="4295" spans="2:8" x14ac:dyDescent="0.3">
      <c r="B4295" s="4">
        <v>45673</v>
      </c>
      <c r="C4295" s="5">
        <v>2191.92</v>
      </c>
      <c r="D4295" s="6">
        <f t="shared" si="136"/>
        <v>21.899289594651069</v>
      </c>
      <c r="E4295" s="6">
        <v>-6.3240354145982398E-3</v>
      </c>
      <c r="F4295" s="6"/>
      <c r="G4295" s="6">
        <v>4288</v>
      </c>
      <c r="H4295" s="6">
        <f t="shared" ca="1" si="137"/>
        <v>3.8048246854550678E-3</v>
      </c>
    </row>
    <row r="4296" spans="2:8" x14ac:dyDescent="0.3">
      <c r="B4296" s="4">
        <v>39966</v>
      </c>
      <c r="C4296" s="7">
        <v>95.72</v>
      </c>
      <c r="D4296" s="6">
        <f t="shared" ref="D4296:D4359" si="138">((C4296-C4297)/C4297)</f>
        <v>4.0833775889537973</v>
      </c>
      <c r="E4296" s="6">
        <v>-6.3323990449496463E-3</v>
      </c>
      <c r="F4296" s="6"/>
      <c r="G4296" s="6">
        <v>4289</v>
      </c>
      <c r="H4296" s="6">
        <f t="shared" ca="1" si="137"/>
        <v>-8.8599522909701446E-3</v>
      </c>
    </row>
    <row r="4297" spans="2:8" x14ac:dyDescent="0.3">
      <c r="B4297" s="4">
        <v>37770</v>
      </c>
      <c r="C4297" s="7">
        <v>18.829999999999998</v>
      </c>
      <c r="D4297" s="6">
        <f t="shared" si="138"/>
        <v>-0.94976255269195886</v>
      </c>
      <c r="E4297" s="6">
        <v>-6.3324538258575725E-3</v>
      </c>
      <c r="F4297" s="6"/>
      <c r="G4297" s="6">
        <v>4290</v>
      </c>
      <c r="H4297" s="6">
        <f t="shared" ref="H4297:H4360" ca="1" si="139">_xlfn.NORM.INV(RAND(),N$10,N$11)</f>
        <v>-3.6995903828572728E-3</v>
      </c>
    </row>
    <row r="4298" spans="2:8" x14ac:dyDescent="0.3">
      <c r="B4298" s="4">
        <v>41507</v>
      </c>
      <c r="C4298" s="7">
        <v>374.82</v>
      </c>
      <c r="D4298" s="6">
        <f t="shared" si="138"/>
        <v>-0.8375341883861348</v>
      </c>
      <c r="E4298" s="6">
        <v>-6.3359932133294095E-3</v>
      </c>
      <c r="F4298" s="6"/>
      <c r="G4298" s="6">
        <v>4291</v>
      </c>
      <c r="H4298" s="6">
        <f t="shared" ca="1" si="139"/>
        <v>1.17546711419441E-2</v>
      </c>
    </row>
    <row r="4299" spans="2:8" x14ac:dyDescent="0.3">
      <c r="B4299" s="4">
        <v>44278</v>
      </c>
      <c r="C4299" s="5">
        <v>2307.0700000000002</v>
      </c>
      <c r="D4299" s="6">
        <f t="shared" si="138"/>
        <v>30.367369136641742</v>
      </c>
      <c r="E4299" s="6">
        <v>-6.3484953549169752E-3</v>
      </c>
      <c r="F4299" s="6"/>
      <c r="G4299" s="6">
        <v>4292</v>
      </c>
      <c r="H4299" s="6">
        <f t="shared" ca="1" si="139"/>
        <v>4.2433594261469566E-3</v>
      </c>
    </row>
    <row r="4300" spans="2:8" x14ac:dyDescent="0.3">
      <c r="B4300" s="4">
        <v>39800</v>
      </c>
      <c r="C4300" s="7">
        <v>73.55</v>
      </c>
      <c r="D4300" s="6">
        <f t="shared" si="138"/>
        <v>-0.77613076033359707</v>
      </c>
      <c r="E4300" s="6">
        <v>-6.3496352337206012E-3</v>
      </c>
      <c r="F4300" s="6"/>
      <c r="G4300" s="6">
        <v>4293</v>
      </c>
      <c r="H4300" s="6">
        <f t="shared" ca="1" si="139"/>
        <v>-2.9173564537212975E-2</v>
      </c>
    </row>
    <row r="4301" spans="2:8" x14ac:dyDescent="0.3">
      <c r="B4301" s="4">
        <v>41145</v>
      </c>
      <c r="C4301" s="7">
        <v>328.54</v>
      </c>
      <c r="D4301" s="6">
        <f t="shared" si="138"/>
        <v>-0.83349972886818946</v>
      </c>
      <c r="E4301" s="6">
        <v>-6.3513186547301172E-3</v>
      </c>
      <c r="F4301" s="6"/>
      <c r="G4301" s="6">
        <v>4294</v>
      </c>
      <c r="H4301" s="6">
        <f t="shared" ca="1" si="139"/>
        <v>3.4796065213531721E-2</v>
      </c>
    </row>
    <row r="4302" spans="2:8" x14ac:dyDescent="0.3">
      <c r="B4302" s="4">
        <v>44117</v>
      </c>
      <c r="C4302" s="5">
        <v>1973.21</v>
      </c>
      <c r="D4302" s="6">
        <f t="shared" si="138"/>
        <v>4.9642425341554839</v>
      </c>
      <c r="E4302" s="6">
        <v>-6.3550253546375531E-3</v>
      </c>
      <c r="F4302" s="6"/>
      <c r="G4302" s="6">
        <v>4295</v>
      </c>
      <c r="H4302" s="6">
        <f t="shared" ca="1" si="139"/>
        <v>1.0888107355117612E-2</v>
      </c>
    </row>
    <row r="4303" spans="2:8" x14ac:dyDescent="0.3">
      <c r="B4303" s="4">
        <v>41150</v>
      </c>
      <c r="C4303" s="7">
        <v>330.84</v>
      </c>
      <c r="D4303" s="6">
        <f t="shared" si="138"/>
        <v>-0.73704039296103785</v>
      </c>
      <c r="E4303" s="6">
        <v>-6.3671311869293746E-3</v>
      </c>
      <c r="F4303" s="6"/>
      <c r="G4303" s="6">
        <v>4296</v>
      </c>
      <c r="H4303" s="6">
        <f t="shared" ca="1" si="139"/>
        <v>1.4262709992224157E-2</v>
      </c>
    </row>
    <row r="4304" spans="2:8" x14ac:dyDescent="0.3">
      <c r="B4304" s="4">
        <v>43598</v>
      </c>
      <c r="C4304" s="5">
        <v>1258.1400000000001</v>
      </c>
      <c r="D4304" s="6">
        <f t="shared" si="138"/>
        <v>-0.63235715245837454</v>
      </c>
      <c r="E4304" s="6">
        <v>-6.3733503921150018E-3</v>
      </c>
      <c r="F4304" s="6"/>
      <c r="G4304" s="6">
        <v>4297</v>
      </c>
      <c r="H4304" s="6">
        <f t="shared" ca="1" si="139"/>
        <v>-2.1041807787308981E-2</v>
      </c>
    </row>
    <row r="4305" spans="2:8" x14ac:dyDescent="0.3">
      <c r="B4305" s="4">
        <v>44571</v>
      </c>
      <c r="C4305" s="5">
        <v>3422.18</v>
      </c>
      <c r="D4305" s="6">
        <f t="shared" si="138"/>
        <v>1.2130551747329212</v>
      </c>
      <c r="E4305" s="6">
        <v>-6.3760474312890992E-3</v>
      </c>
      <c r="F4305" s="6"/>
      <c r="G4305" s="6">
        <v>4298</v>
      </c>
      <c r="H4305" s="6">
        <f t="shared" ca="1" si="139"/>
        <v>-1.5239639863125585E-3</v>
      </c>
    </row>
    <row r="4306" spans="2:8" x14ac:dyDescent="0.3">
      <c r="B4306" s="4">
        <v>43978</v>
      </c>
      <c r="C4306" s="5">
        <v>1546.36</v>
      </c>
      <c r="D4306" s="6">
        <f t="shared" si="138"/>
        <v>11.755588550688772</v>
      </c>
      <c r="E4306" s="6">
        <v>-6.3805588932654353E-3</v>
      </c>
      <c r="F4306" s="6"/>
      <c r="G4306" s="6">
        <v>4299</v>
      </c>
      <c r="H4306" s="6">
        <f t="shared" ca="1" si="139"/>
        <v>4.037696445140547E-2</v>
      </c>
    </row>
    <row r="4307" spans="2:8" x14ac:dyDescent="0.3">
      <c r="B4307" s="4">
        <v>40091</v>
      </c>
      <c r="C4307" s="7">
        <v>121.23</v>
      </c>
      <c r="D4307" s="6">
        <f t="shared" si="138"/>
        <v>-0.95841979441412828</v>
      </c>
      <c r="E4307" s="6">
        <v>-6.3929186132284333E-3</v>
      </c>
      <c r="F4307" s="6"/>
      <c r="G4307" s="6">
        <v>4300</v>
      </c>
      <c r="H4307" s="6">
        <f t="shared" ca="1" si="139"/>
        <v>2.4078153923999285E-4</v>
      </c>
    </row>
    <row r="4308" spans="2:8" x14ac:dyDescent="0.3">
      <c r="B4308" s="4">
        <v>44648</v>
      </c>
      <c r="C4308" s="5">
        <v>2915.57</v>
      </c>
      <c r="D4308" s="6">
        <f t="shared" si="138"/>
        <v>1.4322969241421886</v>
      </c>
      <c r="E4308" s="6">
        <v>-6.4000545265560501E-3</v>
      </c>
      <c r="F4308" s="6"/>
      <c r="G4308" s="6">
        <v>4301</v>
      </c>
      <c r="H4308" s="6">
        <f t="shared" ca="1" si="139"/>
        <v>2.3966503479996674E-2</v>
      </c>
    </row>
    <row r="4309" spans="2:8" x14ac:dyDescent="0.3">
      <c r="B4309" s="4">
        <v>43243</v>
      </c>
      <c r="C4309" s="5">
        <v>1198.69</v>
      </c>
      <c r="D4309" s="6">
        <f t="shared" si="138"/>
        <v>-0.60324437398013386</v>
      </c>
      <c r="E4309" s="6">
        <v>-6.4156229536732412E-3</v>
      </c>
      <c r="F4309" s="6"/>
      <c r="G4309" s="6">
        <v>4302</v>
      </c>
      <c r="H4309" s="6">
        <f t="shared" ca="1" si="139"/>
        <v>1.331406150710064E-2</v>
      </c>
    </row>
    <row r="4310" spans="2:8" x14ac:dyDescent="0.3">
      <c r="B4310" s="4">
        <v>45575</v>
      </c>
      <c r="C4310" s="5">
        <v>3021.23</v>
      </c>
      <c r="D4310" s="6">
        <f t="shared" si="138"/>
        <v>149.08594138102336</v>
      </c>
      <c r="E4310" s="6">
        <v>-6.416201319415591E-3</v>
      </c>
      <c r="F4310" s="6"/>
      <c r="G4310" s="6">
        <v>4303</v>
      </c>
      <c r="H4310" s="6">
        <f t="shared" ca="1" si="139"/>
        <v>2.2346866817006782E-3</v>
      </c>
    </row>
    <row r="4311" spans="2:8" x14ac:dyDescent="0.3">
      <c r="B4311" s="4">
        <v>37833</v>
      </c>
      <c r="C4311" s="7">
        <v>20.13</v>
      </c>
      <c r="D4311" s="6">
        <f t="shared" si="138"/>
        <v>0</v>
      </c>
      <c r="E4311" s="6">
        <v>-6.416584402764193E-3</v>
      </c>
      <c r="F4311" s="6"/>
      <c r="G4311" s="6">
        <v>4304</v>
      </c>
      <c r="H4311" s="6">
        <f t="shared" ca="1" si="139"/>
        <v>-1.4559170441694275E-2</v>
      </c>
    </row>
    <row r="4312" spans="2:8" x14ac:dyDescent="0.3">
      <c r="B4312" s="4">
        <v>37818</v>
      </c>
      <c r="C4312" s="7">
        <v>20.13</v>
      </c>
      <c r="D4312" s="6">
        <f t="shared" si="138"/>
        <v>-0.98830337999198137</v>
      </c>
      <c r="E4312" s="6">
        <v>-6.416584402764193E-3</v>
      </c>
      <c r="F4312" s="6"/>
      <c r="G4312" s="6">
        <v>4305</v>
      </c>
      <c r="H4312" s="6">
        <f t="shared" ca="1" si="139"/>
        <v>3.195598275166945E-2</v>
      </c>
    </row>
    <row r="4313" spans="2:8" x14ac:dyDescent="0.3">
      <c r="B4313" s="4">
        <v>43769</v>
      </c>
      <c r="C4313" s="5">
        <v>1721.01</v>
      </c>
      <c r="D4313" s="6">
        <f t="shared" si="138"/>
        <v>35.034547738693469</v>
      </c>
      <c r="E4313" s="6">
        <v>-6.4255776092002424E-3</v>
      </c>
      <c r="F4313" s="6"/>
      <c r="G4313" s="6">
        <v>4306</v>
      </c>
      <c r="H4313" s="6">
        <f t="shared" ca="1" si="139"/>
        <v>5.4271434015351321E-3</v>
      </c>
    </row>
    <row r="4314" spans="2:8" x14ac:dyDescent="0.3">
      <c r="B4314" s="4">
        <v>38721</v>
      </c>
      <c r="C4314" s="7">
        <v>47.76</v>
      </c>
      <c r="D4314" s="6">
        <f t="shared" si="138"/>
        <v>-0.9832634223778135</v>
      </c>
      <c r="E4314" s="6">
        <v>-6.4489286457250321E-3</v>
      </c>
      <c r="F4314" s="6"/>
      <c r="G4314" s="6">
        <v>4307</v>
      </c>
      <c r="H4314" s="6">
        <f t="shared" ca="1" si="139"/>
        <v>-3.2119602272593542E-2</v>
      </c>
    </row>
    <row r="4315" spans="2:8" x14ac:dyDescent="0.3">
      <c r="B4315" s="4">
        <v>45327</v>
      </c>
      <c r="C4315" s="5">
        <v>2853.63</v>
      </c>
      <c r="D4315" s="6">
        <f t="shared" si="138"/>
        <v>7.24343530635237</v>
      </c>
      <c r="E4315" s="6">
        <v>-6.4515904406438869E-3</v>
      </c>
      <c r="F4315" s="6"/>
      <c r="G4315" s="6">
        <v>4308</v>
      </c>
      <c r="H4315" s="6">
        <f t="shared" ca="1" si="139"/>
        <v>7.7189901033774787E-3</v>
      </c>
    </row>
    <row r="4316" spans="2:8" x14ac:dyDescent="0.3">
      <c r="B4316" s="4">
        <v>41197</v>
      </c>
      <c r="C4316" s="7">
        <v>346.17</v>
      </c>
      <c r="D4316" s="6">
        <f t="shared" si="138"/>
        <v>-0.73050843499178686</v>
      </c>
      <c r="E4316" s="6">
        <v>-6.457723437230928E-3</v>
      </c>
      <c r="F4316" s="6"/>
      <c r="G4316" s="6">
        <v>4309</v>
      </c>
      <c r="H4316" s="6">
        <f t="shared" ca="1" si="139"/>
        <v>-8.4482737441930896E-4</v>
      </c>
    </row>
    <row r="4317" spans="2:8" x14ac:dyDescent="0.3">
      <c r="B4317" s="4">
        <v>43661</v>
      </c>
      <c r="C4317" s="5">
        <v>1284.53</v>
      </c>
      <c r="D4317" s="6">
        <f t="shared" si="138"/>
        <v>-0.46124357764496177</v>
      </c>
      <c r="E4317" s="6">
        <v>-6.466134009853991E-3</v>
      </c>
      <c r="F4317" s="6"/>
      <c r="G4317" s="6">
        <v>4310</v>
      </c>
      <c r="H4317" s="6">
        <f t="shared" ca="1" si="139"/>
        <v>-3.8153150303599746E-3</v>
      </c>
    </row>
    <row r="4318" spans="2:8" x14ac:dyDescent="0.3">
      <c r="B4318" s="4">
        <v>45779</v>
      </c>
      <c r="C4318" s="5">
        <v>2384.25</v>
      </c>
      <c r="D4318" s="6">
        <f t="shared" si="138"/>
        <v>8.2006251447094236</v>
      </c>
      <c r="E4318" s="6">
        <v>-6.4714265474335973E-3</v>
      </c>
      <c r="F4318" s="6"/>
      <c r="G4318" s="6">
        <v>4311</v>
      </c>
      <c r="H4318" s="6">
        <f t="shared" ca="1" si="139"/>
        <v>-2.6907500108532927E-3</v>
      </c>
    </row>
    <row r="4319" spans="2:8" x14ac:dyDescent="0.3">
      <c r="B4319" s="4">
        <v>40716</v>
      </c>
      <c r="C4319" s="7">
        <v>259.14</v>
      </c>
      <c r="D4319" s="6">
        <f t="shared" si="138"/>
        <v>4.1274238227146816</v>
      </c>
      <c r="E4319" s="6">
        <v>-6.4793160295978144E-3</v>
      </c>
      <c r="F4319" s="6"/>
      <c r="G4319" s="6">
        <v>4312</v>
      </c>
      <c r="H4319" s="6">
        <f t="shared" ca="1" si="139"/>
        <v>-1.7518454893778016E-2</v>
      </c>
    </row>
    <row r="4320" spans="2:8" x14ac:dyDescent="0.3">
      <c r="B4320" s="4">
        <v>38953</v>
      </c>
      <c r="C4320" s="7">
        <v>50.54</v>
      </c>
      <c r="D4320" s="6">
        <f t="shared" si="138"/>
        <v>-0.96150418548675809</v>
      </c>
      <c r="E4320" s="6">
        <v>-6.4871240416748245E-3</v>
      </c>
      <c r="F4320" s="6"/>
      <c r="G4320" s="6">
        <v>4313</v>
      </c>
      <c r="H4320" s="6">
        <f t="shared" ca="1" si="139"/>
        <v>2.3421628156566839E-2</v>
      </c>
    </row>
    <row r="4321" spans="2:8" x14ac:dyDescent="0.3">
      <c r="B4321" s="4">
        <v>43637</v>
      </c>
      <c r="C4321" s="5">
        <v>1312.87</v>
      </c>
      <c r="D4321" s="6">
        <f t="shared" si="138"/>
        <v>6.6883930662918711</v>
      </c>
      <c r="E4321" s="6">
        <v>-6.500385936767019E-3</v>
      </c>
      <c r="F4321" s="6"/>
      <c r="G4321" s="6">
        <v>4314</v>
      </c>
      <c r="H4321" s="6">
        <f t="shared" ca="1" si="139"/>
        <v>2.104115635688626E-3</v>
      </c>
    </row>
    <row r="4322" spans="2:8" x14ac:dyDescent="0.3">
      <c r="B4322" s="4">
        <v>40241</v>
      </c>
      <c r="C4322" s="7">
        <v>170.76</v>
      </c>
      <c r="D4322" s="6">
        <f t="shared" si="138"/>
        <v>9.1885441527446297</v>
      </c>
      <c r="E4322" s="6">
        <v>-6.5161740749360283E-3</v>
      </c>
      <c r="F4322" s="6"/>
      <c r="G4322" s="6">
        <v>4315</v>
      </c>
      <c r="H4322" s="6">
        <f t="shared" ca="1" si="139"/>
        <v>-2.7748283710630336E-3</v>
      </c>
    </row>
    <row r="4323" spans="2:8" x14ac:dyDescent="0.3">
      <c r="B4323" s="4">
        <v>37529</v>
      </c>
      <c r="C4323" s="7">
        <v>16.760000000000002</v>
      </c>
      <c r="D4323" s="6">
        <f t="shared" si="138"/>
        <v>-0.84926702041550495</v>
      </c>
      <c r="E4323" s="6">
        <v>-6.520450503852959E-3</v>
      </c>
      <c r="F4323" s="6"/>
      <c r="G4323" s="6">
        <v>4316</v>
      </c>
      <c r="H4323" s="6">
        <f t="shared" ca="1" si="139"/>
        <v>-1.0798726090414474E-2</v>
      </c>
    </row>
    <row r="4324" spans="2:8" x14ac:dyDescent="0.3">
      <c r="B4324" s="4">
        <v>40017</v>
      </c>
      <c r="C4324" s="7">
        <v>111.19</v>
      </c>
      <c r="D4324" s="6">
        <f t="shared" si="138"/>
        <v>-3.931225159841021E-2</v>
      </c>
      <c r="E4324" s="6">
        <v>-6.5225160829164045E-3</v>
      </c>
      <c r="F4324" s="6"/>
      <c r="G4324" s="6">
        <v>4317</v>
      </c>
      <c r="H4324" s="6">
        <f t="shared" ca="1" si="139"/>
        <v>-1.3192060091197281E-2</v>
      </c>
    </row>
    <row r="4325" spans="2:8" x14ac:dyDescent="0.3">
      <c r="B4325" s="4">
        <v>40037</v>
      </c>
      <c r="C4325" s="7">
        <v>115.74</v>
      </c>
      <c r="D4325" s="6">
        <f t="shared" si="138"/>
        <v>5.9098507462686563</v>
      </c>
      <c r="E4325" s="6">
        <v>-6.5236051502146359E-3</v>
      </c>
      <c r="F4325" s="6"/>
      <c r="G4325" s="6">
        <v>4318</v>
      </c>
      <c r="H4325" s="6">
        <f t="shared" ca="1" si="139"/>
        <v>1.4453012264802683E-2</v>
      </c>
    </row>
    <row r="4326" spans="2:8" x14ac:dyDescent="0.3">
      <c r="B4326" s="4">
        <v>37503</v>
      </c>
      <c r="C4326" s="7">
        <v>16.75</v>
      </c>
      <c r="D4326" s="6">
        <f t="shared" si="138"/>
        <v>-0.99416132180702732</v>
      </c>
      <c r="E4326" s="6">
        <v>-6.5243179122182349E-3</v>
      </c>
      <c r="F4326" s="6"/>
      <c r="G4326" s="6">
        <v>4319</v>
      </c>
      <c r="H4326" s="6">
        <f t="shared" ca="1" si="139"/>
        <v>-8.1523205948722064E-3</v>
      </c>
    </row>
    <row r="4327" spans="2:8" x14ac:dyDescent="0.3">
      <c r="B4327" s="4">
        <v>44491</v>
      </c>
      <c r="C4327" s="5">
        <v>2868.8</v>
      </c>
      <c r="D4327" s="6">
        <f t="shared" si="138"/>
        <v>6.8190512288682382E-3</v>
      </c>
      <c r="E4327" s="6">
        <v>-6.5277994216750325E-3</v>
      </c>
      <c r="F4327" s="6"/>
      <c r="G4327" s="6">
        <v>4320</v>
      </c>
      <c r="H4327" s="6">
        <f t="shared" ca="1" si="139"/>
        <v>5.2902774303975825E-3</v>
      </c>
    </row>
    <row r="4328" spans="2:8" x14ac:dyDescent="0.3">
      <c r="B4328" s="4">
        <v>45419</v>
      </c>
      <c r="C4328" s="5">
        <v>2849.37</v>
      </c>
      <c r="D4328" s="6">
        <f t="shared" si="138"/>
        <v>4.078728789391131</v>
      </c>
      <c r="E4328" s="6">
        <v>-6.5304557023813737E-3</v>
      </c>
      <c r="F4328" s="6"/>
      <c r="G4328" s="6">
        <v>4321</v>
      </c>
      <c r="H4328" s="6">
        <f t="shared" ca="1" si="139"/>
        <v>1.4413998110990927E-2</v>
      </c>
    </row>
    <row r="4329" spans="2:8" x14ac:dyDescent="0.3">
      <c r="B4329" s="4">
        <v>41870</v>
      </c>
      <c r="C4329" s="7">
        <v>561.04</v>
      </c>
      <c r="D4329" s="6">
        <f t="shared" si="138"/>
        <v>32.655668866226755</v>
      </c>
      <c r="E4329" s="6">
        <v>-6.5516875022134883E-3</v>
      </c>
      <c r="F4329" s="6"/>
      <c r="G4329" s="6">
        <v>4322</v>
      </c>
      <c r="H4329" s="6">
        <f t="shared" ca="1" si="139"/>
        <v>2.5442083097308331E-3</v>
      </c>
    </row>
    <row r="4330" spans="2:8" x14ac:dyDescent="0.3">
      <c r="B4330" s="4">
        <v>37522</v>
      </c>
      <c r="C4330" s="7">
        <v>16.670000000000002</v>
      </c>
      <c r="D4330" s="6">
        <f t="shared" si="138"/>
        <v>-0.98392540307027698</v>
      </c>
      <c r="E4330" s="6">
        <v>-6.5554231227651621E-3</v>
      </c>
      <c r="F4330" s="6"/>
      <c r="G4330" s="6">
        <v>4323</v>
      </c>
      <c r="H4330" s="6">
        <f t="shared" ca="1" si="139"/>
        <v>-6.0308754157288309E-4</v>
      </c>
    </row>
    <row r="4331" spans="2:8" x14ac:dyDescent="0.3">
      <c r="B4331" s="4">
        <v>42606</v>
      </c>
      <c r="C4331" s="5">
        <v>1037.04</v>
      </c>
      <c r="D4331" s="6">
        <f t="shared" si="138"/>
        <v>61.58539529269764</v>
      </c>
      <c r="E4331" s="6">
        <v>-6.5715106810998432E-3</v>
      </c>
      <c r="F4331" s="6"/>
      <c r="G4331" s="6">
        <v>4324</v>
      </c>
      <c r="H4331" s="6">
        <f t="shared" ca="1" si="139"/>
        <v>-4.6884563585826017E-3</v>
      </c>
    </row>
    <row r="4332" spans="2:8" x14ac:dyDescent="0.3">
      <c r="B4332" s="4">
        <v>37644</v>
      </c>
      <c r="C4332" s="7">
        <v>16.57</v>
      </c>
      <c r="D4332" s="6">
        <f t="shared" si="138"/>
        <v>-0.98477889438004085</v>
      </c>
      <c r="E4332" s="6">
        <v>-6.5947242206234671E-3</v>
      </c>
      <c r="F4332" s="6"/>
      <c r="G4332" s="6">
        <v>4325</v>
      </c>
      <c r="H4332" s="6">
        <f t="shared" ca="1" si="139"/>
        <v>4.7181870149685095E-3</v>
      </c>
    </row>
    <row r="4333" spans="2:8" x14ac:dyDescent="0.3">
      <c r="B4333" s="4">
        <v>42661</v>
      </c>
      <c r="C4333" s="5">
        <v>1088.6199999999999</v>
      </c>
      <c r="D4333" s="6">
        <f t="shared" si="138"/>
        <v>0.22581298982073669</v>
      </c>
      <c r="E4333" s="6">
        <v>-6.5976182871743567E-3</v>
      </c>
      <c r="F4333" s="6"/>
      <c r="G4333" s="6">
        <v>4326</v>
      </c>
      <c r="H4333" s="6">
        <f t="shared" ca="1" si="139"/>
        <v>3.1429101493358064E-2</v>
      </c>
    </row>
    <row r="4334" spans="2:8" x14ac:dyDescent="0.3">
      <c r="B4334" s="4">
        <v>42508</v>
      </c>
      <c r="C4334" s="7">
        <v>888.08</v>
      </c>
      <c r="D4334" s="6">
        <f t="shared" si="138"/>
        <v>0.21189956331877743</v>
      </c>
      <c r="E4334" s="6">
        <v>-6.599700217007066E-3</v>
      </c>
      <c r="F4334" s="6"/>
      <c r="G4334" s="6">
        <v>4327</v>
      </c>
      <c r="H4334" s="6">
        <f t="shared" ca="1" si="139"/>
        <v>-9.8588661024859633E-3</v>
      </c>
    </row>
    <row r="4335" spans="2:8" x14ac:dyDescent="0.3">
      <c r="B4335" s="4">
        <v>42194</v>
      </c>
      <c r="C4335" s="7">
        <v>732.8</v>
      </c>
      <c r="D4335" s="6">
        <f t="shared" si="138"/>
        <v>-0.31857279684579559</v>
      </c>
      <c r="E4335" s="6">
        <v>-6.6018680439763099E-3</v>
      </c>
      <c r="F4335" s="6"/>
      <c r="G4335" s="6">
        <v>4328</v>
      </c>
      <c r="H4335" s="6">
        <f t="shared" ca="1" si="139"/>
        <v>-1.6467623039259855E-4</v>
      </c>
    </row>
    <row r="4336" spans="2:8" x14ac:dyDescent="0.3">
      <c r="B4336" s="4">
        <v>42954</v>
      </c>
      <c r="C4336" s="5">
        <v>1075.3900000000001</v>
      </c>
      <c r="D4336" s="6">
        <f t="shared" si="138"/>
        <v>0.88853766046748539</v>
      </c>
      <c r="E4336" s="6">
        <v>-6.6048367727750143E-3</v>
      </c>
      <c r="F4336" s="6"/>
      <c r="G4336" s="6">
        <v>4329</v>
      </c>
      <c r="H4336" s="6">
        <f t="shared" ca="1" si="139"/>
        <v>-2.8367861157745474E-2</v>
      </c>
    </row>
    <row r="4337" spans="2:8" x14ac:dyDescent="0.3">
      <c r="B4337" s="4">
        <v>41852</v>
      </c>
      <c r="C4337" s="7">
        <v>569.42999999999995</v>
      </c>
      <c r="D4337" s="6">
        <f t="shared" si="138"/>
        <v>1.0394326850757494</v>
      </c>
      <c r="E4337" s="6">
        <v>-6.6117720944839278E-3</v>
      </c>
      <c r="F4337" s="6"/>
      <c r="G4337" s="6">
        <v>4330</v>
      </c>
      <c r="H4337" s="6">
        <f t="shared" ca="1" si="139"/>
        <v>-2.257989722277905E-2</v>
      </c>
    </row>
    <row r="4338" spans="2:8" x14ac:dyDescent="0.3">
      <c r="B4338" s="4">
        <v>40969</v>
      </c>
      <c r="C4338" s="7">
        <v>279.20999999999998</v>
      </c>
      <c r="D4338" s="6">
        <f t="shared" si="138"/>
        <v>-0.91524991576896109</v>
      </c>
      <c r="E4338" s="6">
        <v>-6.6175685772228042E-3</v>
      </c>
      <c r="F4338" s="6"/>
      <c r="G4338" s="6">
        <v>4331</v>
      </c>
      <c r="H4338" s="6">
        <f t="shared" ca="1" si="139"/>
        <v>2.5032285006028228E-2</v>
      </c>
    </row>
    <row r="4339" spans="2:8" x14ac:dyDescent="0.3">
      <c r="B4339" s="4">
        <v>45551</v>
      </c>
      <c r="C4339" s="5">
        <v>3294.51</v>
      </c>
      <c r="D4339" s="6">
        <f t="shared" si="138"/>
        <v>1.8655388362181442</v>
      </c>
      <c r="E4339" s="6">
        <v>-6.6244934388266473E-3</v>
      </c>
      <c r="F4339" s="6"/>
      <c r="G4339" s="6">
        <v>4332</v>
      </c>
      <c r="H4339" s="6">
        <f t="shared" ca="1" si="139"/>
        <v>-1.3074949040873833E-2</v>
      </c>
    </row>
    <row r="4340" spans="2:8" x14ac:dyDescent="0.3">
      <c r="B4340" s="4">
        <v>42999</v>
      </c>
      <c r="C4340" s="5">
        <v>1149.7</v>
      </c>
      <c r="D4340" s="6">
        <f t="shared" si="138"/>
        <v>0.53954310506440994</v>
      </c>
      <c r="E4340" s="6">
        <v>-6.6356771328345597E-3</v>
      </c>
      <c r="F4340" s="6"/>
      <c r="G4340" s="6">
        <v>4333</v>
      </c>
      <c r="H4340" s="6">
        <f t="shared" ca="1" si="139"/>
        <v>1.0523300235601701E-2</v>
      </c>
    </row>
    <row r="4341" spans="2:8" x14ac:dyDescent="0.3">
      <c r="B4341" s="4">
        <v>42111</v>
      </c>
      <c r="C4341" s="7">
        <v>746.78</v>
      </c>
      <c r="D4341" s="6">
        <f t="shared" si="138"/>
        <v>-0.29169512102587447</v>
      </c>
      <c r="E4341" s="6">
        <v>-6.6376684358247992E-3</v>
      </c>
      <c r="F4341" s="6"/>
      <c r="G4341" s="6">
        <v>4334</v>
      </c>
      <c r="H4341" s="6">
        <f t="shared" ca="1" si="139"/>
        <v>9.182130214137647E-3</v>
      </c>
    </row>
    <row r="4342" spans="2:8" x14ac:dyDescent="0.3">
      <c r="B4342" s="4">
        <v>42594</v>
      </c>
      <c r="C4342" s="5">
        <v>1054.32</v>
      </c>
      <c r="D4342" s="6">
        <f t="shared" si="138"/>
        <v>-0.12444983308143311</v>
      </c>
      <c r="E4342" s="6">
        <v>-6.6423584612340233E-3</v>
      </c>
      <c r="F4342" s="6"/>
      <c r="G4342" s="6">
        <v>4335</v>
      </c>
      <c r="H4342" s="6">
        <f t="shared" ca="1" si="139"/>
        <v>-1.701529268177978E-2</v>
      </c>
    </row>
    <row r="4343" spans="2:8" x14ac:dyDescent="0.3">
      <c r="B4343" s="4">
        <v>43255</v>
      </c>
      <c r="C4343" s="5">
        <v>1204.18</v>
      </c>
      <c r="D4343" s="6">
        <f t="shared" si="138"/>
        <v>2.1401376864504016</v>
      </c>
      <c r="E4343" s="6">
        <v>-6.6488484128554952E-3</v>
      </c>
      <c r="F4343" s="6"/>
      <c r="G4343" s="6">
        <v>4336</v>
      </c>
      <c r="H4343" s="6">
        <f t="shared" ca="1" si="139"/>
        <v>4.4361787493349088E-4</v>
      </c>
    </row>
    <row r="4344" spans="2:8" x14ac:dyDescent="0.3">
      <c r="B4344" s="4">
        <v>41257</v>
      </c>
      <c r="C4344" s="7">
        <v>383.48</v>
      </c>
      <c r="D4344" s="6">
        <f t="shared" si="138"/>
        <v>0.71449009701792843</v>
      </c>
      <c r="E4344" s="6">
        <v>-6.6571687605232301E-3</v>
      </c>
      <c r="F4344" s="6"/>
      <c r="G4344" s="6">
        <v>4337</v>
      </c>
      <c r="H4344" s="6">
        <f t="shared" ca="1" si="139"/>
        <v>-1.8458714781429856E-2</v>
      </c>
    </row>
    <row r="4345" spans="2:8" x14ac:dyDescent="0.3">
      <c r="B4345" s="4">
        <v>40639</v>
      </c>
      <c r="C4345" s="7">
        <v>223.67</v>
      </c>
      <c r="D4345" s="6">
        <f t="shared" si="138"/>
        <v>0.46103599190018929</v>
      </c>
      <c r="E4345" s="6">
        <v>-6.6616334325176538E-3</v>
      </c>
      <c r="F4345" s="6"/>
      <c r="G4345" s="6">
        <v>4338</v>
      </c>
      <c r="H4345" s="6">
        <f t="shared" ca="1" si="139"/>
        <v>-5.7999082337481436E-3</v>
      </c>
    </row>
    <row r="4346" spans="2:8" x14ac:dyDescent="0.3">
      <c r="B4346" s="4">
        <v>40205</v>
      </c>
      <c r="C4346" s="7">
        <v>153.09</v>
      </c>
      <c r="D4346" s="6">
        <f t="shared" si="138"/>
        <v>-0.82645415074875583</v>
      </c>
      <c r="E4346" s="6">
        <v>-6.6831040747469574E-3</v>
      </c>
      <c r="F4346" s="6"/>
      <c r="G4346" s="6">
        <v>4339</v>
      </c>
      <c r="H4346" s="6">
        <f t="shared" ca="1" si="139"/>
        <v>-9.9659557004729091E-3</v>
      </c>
    </row>
    <row r="4347" spans="2:8" x14ac:dyDescent="0.3">
      <c r="B4347" s="4">
        <v>42509</v>
      </c>
      <c r="C4347" s="7">
        <v>882.13</v>
      </c>
      <c r="D4347" s="6">
        <f t="shared" si="138"/>
        <v>15.091390003648302</v>
      </c>
      <c r="E4347" s="6">
        <v>-6.6998468606432361E-3</v>
      </c>
      <c r="F4347" s="6"/>
      <c r="G4347" s="6">
        <v>4340</v>
      </c>
      <c r="H4347" s="6">
        <f t="shared" ca="1" si="139"/>
        <v>1.6904987740787435E-2</v>
      </c>
    </row>
    <row r="4348" spans="2:8" x14ac:dyDescent="0.3">
      <c r="B4348" s="4">
        <v>38758</v>
      </c>
      <c r="C4348" s="7">
        <v>54.82</v>
      </c>
      <c r="D4348" s="6">
        <f t="shared" si="138"/>
        <v>-0.94550045731101118</v>
      </c>
      <c r="E4348" s="6">
        <v>-6.7041130639608161E-3</v>
      </c>
      <c r="F4348" s="6"/>
      <c r="G4348" s="6">
        <v>4341</v>
      </c>
      <c r="H4348" s="6">
        <f t="shared" ca="1" si="139"/>
        <v>1.811244504636533E-2</v>
      </c>
    </row>
    <row r="4349" spans="2:8" x14ac:dyDescent="0.3">
      <c r="B4349" s="4">
        <v>42830</v>
      </c>
      <c r="C4349" s="5">
        <v>1005.88</v>
      </c>
      <c r="D4349" s="6">
        <f t="shared" si="138"/>
        <v>0.79724128073184697</v>
      </c>
      <c r="E4349" s="6">
        <v>-6.7050470538279634E-3</v>
      </c>
      <c r="F4349" s="6"/>
      <c r="G4349" s="6">
        <v>4342</v>
      </c>
      <c r="H4349" s="6">
        <f t="shared" ca="1" si="139"/>
        <v>2.3811758414364583E-2</v>
      </c>
    </row>
    <row r="4350" spans="2:8" x14ac:dyDescent="0.3">
      <c r="B4350" s="4">
        <v>41862</v>
      </c>
      <c r="C4350" s="7">
        <v>559.67999999999995</v>
      </c>
      <c r="D4350" s="6">
        <f t="shared" si="138"/>
        <v>0.44295769201020946</v>
      </c>
      <c r="E4350" s="6">
        <v>-6.7085507400704326E-3</v>
      </c>
      <c r="F4350" s="6"/>
      <c r="G4350" s="6">
        <v>4343</v>
      </c>
      <c r="H4350" s="6">
        <f t="shared" ca="1" si="139"/>
        <v>-9.1719023009876662E-3</v>
      </c>
    </row>
    <row r="4351" spans="2:8" x14ac:dyDescent="0.3">
      <c r="B4351" s="4">
        <v>41337</v>
      </c>
      <c r="C4351" s="7">
        <v>387.87</v>
      </c>
      <c r="D4351" s="6">
        <f t="shared" si="138"/>
        <v>-0.79884348096670466</v>
      </c>
      <c r="E4351" s="6">
        <v>-6.7095188097006445E-3</v>
      </c>
      <c r="F4351" s="6"/>
      <c r="G4351" s="6">
        <v>4344</v>
      </c>
      <c r="H4351" s="6">
        <f t="shared" ca="1" si="139"/>
        <v>-1.6541626957918061E-2</v>
      </c>
    </row>
    <row r="4352" spans="2:8" x14ac:dyDescent="0.3">
      <c r="B4352" s="4">
        <v>44089</v>
      </c>
      <c r="C4352" s="5">
        <v>1928.2</v>
      </c>
      <c r="D4352" s="6">
        <f t="shared" si="138"/>
        <v>-0.36195417664888618</v>
      </c>
      <c r="E4352" s="6">
        <v>-6.7173559168366426E-3</v>
      </c>
      <c r="F4352" s="6"/>
      <c r="G4352" s="6">
        <v>4345</v>
      </c>
      <c r="H4352" s="6">
        <f t="shared" ca="1" si="139"/>
        <v>1.7160040672288927E-2</v>
      </c>
    </row>
    <row r="4353" spans="2:8" x14ac:dyDescent="0.3">
      <c r="B4353" s="4">
        <v>44508</v>
      </c>
      <c r="C4353" s="5">
        <v>3022.04</v>
      </c>
      <c r="D4353" s="6">
        <f t="shared" si="138"/>
        <v>5.9558160979184233E-2</v>
      </c>
      <c r="E4353" s="6">
        <v>-6.7247329498767577E-3</v>
      </c>
      <c r="F4353" s="6"/>
      <c r="G4353" s="6">
        <v>4346</v>
      </c>
      <c r="H4353" s="6">
        <f t="shared" ca="1" si="139"/>
        <v>1.9239155464509921E-2</v>
      </c>
    </row>
    <row r="4354" spans="2:8" x14ac:dyDescent="0.3">
      <c r="B4354" s="4">
        <v>44937</v>
      </c>
      <c r="C4354" s="5">
        <v>2852.17</v>
      </c>
      <c r="D4354" s="6">
        <f t="shared" si="138"/>
        <v>14.758715951157523</v>
      </c>
      <c r="E4354" s="6">
        <v>-6.7385914080347374E-3</v>
      </c>
      <c r="F4354" s="6"/>
      <c r="G4354" s="6">
        <v>4347</v>
      </c>
      <c r="H4354" s="6">
        <f t="shared" ca="1" si="139"/>
        <v>-1.8613987680805421E-2</v>
      </c>
    </row>
    <row r="4355" spans="2:8" x14ac:dyDescent="0.3">
      <c r="B4355" s="4">
        <v>40329</v>
      </c>
      <c r="C4355" s="7">
        <v>180.99</v>
      </c>
      <c r="D4355" s="6">
        <f t="shared" si="138"/>
        <v>1.1590122867708459</v>
      </c>
      <c r="E4355" s="6">
        <v>-6.7500823180769937E-3</v>
      </c>
      <c r="F4355" s="6"/>
      <c r="G4355" s="6">
        <v>4348</v>
      </c>
      <c r="H4355" s="6">
        <f t="shared" ca="1" si="139"/>
        <v>3.12628487707119E-2</v>
      </c>
    </row>
    <row r="4356" spans="2:8" x14ac:dyDescent="0.3">
      <c r="B4356" s="4">
        <v>39433</v>
      </c>
      <c r="C4356" s="7">
        <v>83.83</v>
      </c>
      <c r="D4356" s="6">
        <f t="shared" si="138"/>
        <v>-0.90834545116604526</v>
      </c>
      <c r="E4356" s="6">
        <v>-6.7535545023697553E-3</v>
      </c>
      <c r="F4356" s="6"/>
      <c r="G4356" s="6">
        <v>4349</v>
      </c>
      <c r="H4356" s="6">
        <f t="shared" ca="1" si="139"/>
        <v>1.0891104899365164E-2</v>
      </c>
    </row>
    <row r="4357" spans="2:8" x14ac:dyDescent="0.3">
      <c r="B4357" s="4">
        <v>42531</v>
      </c>
      <c r="C4357" s="7">
        <v>914.63</v>
      </c>
      <c r="D4357" s="6">
        <f t="shared" si="138"/>
        <v>-0.60788575642212839</v>
      </c>
      <c r="E4357" s="6">
        <v>-6.7546288754954959E-3</v>
      </c>
      <c r="F4357" s="6"/>
      <c r="G4357" s="6">
        <v>4350</v>
      </c>
      <c r="H4357" s="6">
        <f t="shared" ca="1" si="139"/>
        <v>-6.9124650216931677E-3</v>
      </c>
    </row>
    <row r="4358" spans="2:8" x14ac:dyDescent="0.3">
      <c r="B4358" s="4">
        <v>45863</v>
      </c>
      <c r="C4358" s="5">
        <v>2332.56</v>
      </c>
      <c r="D4358" s="6">
        <f t="shared" si="138"/>
        <v>21.707943925233646</v>
      </c>
      <c r="E4358" s="6">
        <v>-6.7619355827698846E-3</v>
      </c>
      <c r="F4358" s="6"/>
      <c r="G4358" s="6">
        <v>4351</v>
      </c>
      <c r="H4358" s="6">
        <f t="shared" ca="1" si="139"/>
        <v>3.994516912570455E-3</v>
      </c>
    </row>
    <row r="4359" spans="2:8" x14ac:dyDescent="0.3">
      <c r="B4359" s="4">
        <v>39562</v>
      </c>
      <c r="C4359" s="7">
        <v>102.72</v>
      </c>
      <c r="D4359" s="6">
        <f t="shared" si="138"/>
        <v>-0.87244980318627141</v>
      </c>
      <c r="E4359" s="6">
        <v>-6.7685167279056546E-3</v>
      </c>
      <c r="F4359" s="6"/>
      <c r="G4359" s="6">
        <v>4352</v>
      </c>
      <c r="H4359" s="6">
        <f t="shared" ca="1" si="139"/>
        <v>-1.2655064392371537E-2</v>
      </c>
    </row>
    <row r="4360" spans="2:8" x14ac:dyDescent="0.3">
      <c r="B4360" s="4">
        <v>42359</v>
      </c>
      <c r="C4360" s="7">
        <v>805.33</v>
      </c>
      <c r="D4360" s="6">
        <f t="shared" ref="D4360:D4423" si="140">((C4360-C4361)/C4361)</f>
        <v>48.958436724565757</v>
      </c>
      <c r="E4360" s="6">
        <v>-6.7709232628696981E-3</v>
      </c>
      <c r="F4360" s="6"/>
      <c r="G4360" s="6">
        <v>4353</v>
      </c>
      <c r="H4360" s="6">
        <f t="shared" ca="1" si="139"/>
        <v>1.2476148877703836E-2</v>
      </c>
    </row>
    <row r="4361" spans="2:8" x14ac:dyDescent="0.3">
      <c r="B4361" s="4">
        <v>37666</v>
      </c>
      <c r="C4361" s="7">
        <v>16.12</v>
      </c>
      <c r="D4361" s="6">
        <f t="shared" si="140"/>
        <v>-0.98640694830930109</v>
      </c>
      <c r="E4361" s="6">
        <v>-6.7775723967960213E-3</v>
      </c>
      <c r="F4361" s="6"/>
      <c r="G4361" s="6">
        <v>4354</v>
      </c>
      <c r="H4361" s="6">
        <f t="shared" ref="H4361:H4424" ca="1" si="141">_xlfn.NORM.INV(RAND(),N$10,N$11)</f>
        <v>-1.7898526808203183E-2</v>
      </c>
    </row>
    <row r="4362" spans="2:8" x14ac:dyDescent="0.3">
      <c r="B4362" s="4">
        <v>43390</v>
      </c>
      <c r="C4362" s="5">
        <v>1185.9000000000001</v>
      </c>
      <c r="D4362" s="6">
        <f t="shared" si="140"/>
        <v>5.6533886894075405</v>
      </c>
      <c r="E4362" s="6">
        <v>-6.783919597989874E-3</v>
      </c>
      <c r="F4362" s="6"/>
      <c r="G4362" s="6">
        <v>4355</v>
      </c>
      <c r="H4362" s="6">
        <f t="shared" ca="1" si="141"/>
        <v>-1.0309047313996846E-2</v>
      </c>
    </row>
    <row r="4363" spans="2:8" x14ac:dyDescent="0.3">
      <c r="B4363" s="4">
        <v>40310</v>
      </c>
      <c r="C4363" s="7">
        <v>178.24</v>
      </c>
      <c r="D4363" s="6">
        <f t="shared" si="140"/>
        <v>-0.57622444127437</v>
      </c>
      <c r="E4363" s="6">
        <v>-6.7981722946617567E-3</v>
      </c>
      <c r="F4363" s="6"/>
      <c r="G4363" s="6">
        <v>4356</v>
      </c>
      <c r="H4363" s="6">
        <f t="shared" ca="1" si="141"/>
        <v>6.3379344844183508E-3</v>
      </c>
    </row>
    <row r="4364" spans="2:8" x14ac:dyDescent="0.3">
      <c r="B4364" s="4">
        <v>41397</v>
      </c>
      <c r="C4364" s="7">
        <v>420.6</v>
      </c>
      <c r="D4364" s="6">
        <f t="shared" si="140"/>
        <v>4.5393125246937966</v>
      </c>
      <c r="E4364" s="6">
        <v>-6.8007934258996769E-3</v>
      </c>
      <c r="F4364" s="6"/>
      <c r="G4364" s="6">
        <v>4357</v>
      </c>
      <c r="H4364" s="6">
        <f t="shared" ca="1" si="141"/>
        <v>-1.3379598714198795E-2</v>
      </c>
    </row>
    <row r="4365" spans="2:8" x14ac:dyDescent="0.3">
      <c r="B4365" s="4">
        <v>39939</v>
      </c>
      <c r="C4365" s="7">
        <v>75.930000000000007</v>
      </c>
      <c r="D4365" s="6">
        <f t="shared" si="140"/>
        <v>-0.80577582237683532</v>
      </c>
      <c r="E4365" s="6">
        <v>-6.8018312622628646E-3</v>
      </c>
      <c r="F4365" s="6"/>
      <c r="G4365" s="6">
        <v>4358</v>
      </c>
      <c r="H4365" s="6">
        <f t="shared" ca="1" si="141"/>
        <v>2.8635669687113511E-2</v>
      </c>
    </row>
    <row r="4366" spans="2:8" x14ac:dyDescent="0.3">
      <c r="B4366" s="4">
        <v>41283</v>
      </c>
      <c r="C4366" s="7">
        <v>390.94</v>
      </c>
      <c r="D4366" s="6">
        <f t="shared" si="140"/>
        <v>-0.80520205291743485</v>
      </c>
      <c r="E4366" s="6">
        <v>-6.8085971241298891E-3</v>
      </c>
      <c r="F4366" s="6"/>
      <c r="G4366" s="6">
        <v>4359</v>
      </c>
      <c r="H4366" s="6">
        <f t="shared" ca="1" si="141"/>
        <v>4.496303456271087E-3</v>
      </c>
    </row>
    <row r="4367" spans="2:8" x14ac:dyDescent="0.3">
      <c r="B4367" s="4">
        <v>44126</v>
      </c>
      <c r="C4367" s="5">
        <v>2006.9</v>
      </c>
      <c r="D4367" s="6">
        <f t="shared" si="140"/>
        <v>4.9319579096713175</v>
      </c>
      <c r="E4367" s="6">
        <v>-6.8096562509279103E-3</v>
      </c>
      <c r="F4367" s="6"/>
      <c r="G4367" s="6">
        <v>4360</v>
      </c>
      <c r="H4367" s="6">
        <f t="shared" ca="1" si="141"/>
        <v>2.8215032867069099E-3</v>
      </c>
    </row>
    <row r="4368" spans="2:8" x14ac:dyDescent="0.3">
      <c r="B4368" s="4">
        <v>41059</v>
      </c>
      <c r="C4368" s="7">
        <v>338.32</v>
      </c>
      <c r="D4368" s="6">
        <f t="shared" si="140"/>
        <v>0.40673596673596668</v>
      </c>
      <c r="E4368" s="6">
        <v>-6.8107092531704827E-3</v>
      </c>
      <c r="F4368" s="6"/>
      <c r="G4368" s="6">
        <v>4361</v>
      </c>
      <c r="H4368" s="6">
        <f t="shared" ca="1" si="141"/>
        <v>9.9016698115735723E-3</v>
      </c>
    </row>
    <row r="4369" spans="2:8" x14ac:dyDescent="0.3">
      <c r="B4369" s="4">
        <v>40415</v>
      </c>
      <c r="C4369" s="7">
        <v>240.5</v>
      </c>
      <c r="D4369" s="6">
        <f t="shared" si="140"/>
        <v>1.0393453743746288</v>
      </c>
      <c r="E4369" s="6">
        <v>-6.8139582903159433E-3</v>
      </c>
      <c r="F4369" s="6"/>
      <c r="G4369" s="6">
        <v>4362</v>
      </c>
      <c r="H4369" s="6">
        <f t="shared" ca="1" si="141"/>
        <v>5.4472505942510484E-3</v>
      </c>
    </row>
    <row r="4370" spans="2:8" x14ac:dyDescent="0.3">
      <c r="B4370" s="4">
        <v>40065</v>
      </c>
      <c r="C4370" s="7">
        <v>117.93</v>
      </c>
      <c r="D4370" s="6">
        <f t="shared" si="140"/>
        <v>-0.49036300777873809</v>
      </c>
      <c r="E4370" s="6">
        <v>-6.8216270843859533E-3</v>
      </c>
      <c r="F4370" s="6"/>
      <c r="G4370" s="6">
        <v>4363</v>
      </c>
      <c r="H4370" s="6">
        <f t="shared" ca="1" si="141"/>
        <v>-6.1716627726656884E-2</v>
      </c>
    </row>
    <row r="4371" spans="2:8" x14ac:dyDescent="0.3">
      <c r="B4371" s="4">
        <v>40455</v>
      </c>
      <c r="C4371" s="7">
        <v>231.4</v>
      </c>
      <c r="D4371" s="6">
        <f t="shared" si="140"/>
        <v>-0.90410675065268742</v>
      </c>
      <c r="E4371" s="6">
        <v>-6.8243272243444066E-3</v>
      </c>
      <c r="F4371" s="6"/>
      <c r="G4371" s="6">
        <v>4364</v>
      </c>
      <c r="H4371" s="6">
        <f t="shared" ca="1" si="141"/>
        <v>-1.4028190298868896E-2</v>
      </c>
    </row>
    <row r="4372" spans="2:8" x14ac:dyDescent="0.3">
      <c r="B4372" s="4">
        <v>46077</v>
      </c>
      <c r="C4372" s="5">
        <v>2413.1</v>
      </c>
      <c r="D4372" s="6">
        <f t="shared" si="140"/>
        <v>22.720633048265015</v>
      </c>
      <c r="E4372" s="6">
        <v>-6.8321191916697168E-3</v>
      </c>
      <c r="F4372" s="6"/>
      <c r="G4372" s="6">
        <v>4365</v>
      </c>
      <c r="H4372" s="6">
        <f t="shared" ca="1" si="141"/>
        <v>3.5866281902541833E-2</v>
      </c>
    </row>
    <row r="4373" spans="2:8" x14ac:dyDescent="0.3">
      <c r="B4373" s="4">
        <v>39707</v>
      </c>
      <c r="C4373" s="7">
        <v>101.73</v>
      </c>
      <c r="D4373" s="6">
        <f t="shared" si="140"/>
        <v>-0.64761508884963104</v>
      </c>
      <c r="E4373" s="6">
        <v>-6.8339353704969519E-3</v>
      </c>
      <c r="F4373" s="6"/>
      <c r="G4373" s="6">
        <v>4366</v>
      </c>
      <c r="H4373" s="6">
        <f t="shared" ca="1" si="141"/>
        <v>-4.7135046983962691E-3</v>
      </c>
    </row>
    <row r="4374" spans="2:8" x14ac:dyDescent="0.3">
      <c r="B4374" s="4">
        <v>41009</v>
      </c>
      <c r="C4374" s="7">
        <v>288.69</v>
      </c>
      <c r="D4374" s="6">
        <f t="shared" si="140"/>
        <v>10.725832656376928</v>
      </c>
      <c r="E4374" s="6">
        <v>-6.8460162377872889E-3</v>
      </c>
      <c r="F4374" s="6"/>
      <c r="G4374" s="6">
        <v>4367</v>
      </c>
      <c r="H4374" s="6">
        <f t="shared" ca="1" si="141"/>
        <v>-1.4401928858257676E-2</v>
      </c>
    </row>
    <row r="4375" spans="2:8" x14ac:dyDescent="0.3">
      <c r="B4375" s="4">
        <v>38240</v>
      </c>
      <c r="C4375" s="7">
        <v>24.62</v>
      </c>
      <c r="D4375" s="6">
        <f t="shared" si="140"/>
        <v>-0.97509836247964476</v>
      </c>
      <c r="E4375" s="6">
        <v>-6.8576038725291716E-3</v>
      </c>
      <c r="F4375" s="6"/>
      <c r="G4375" s="6">
        <v>4368</v>
      </c>
      <c r="H4375" s="6">
        <f t="shared" ca="1" si="141"/>
        <v>-1.8680137016699523E-2</v>
      </c>
    </row>
    <row r="4376" spans="2:8" x14ac:dyDescent="0.3">
      <c r="B4376" s="4">
        <v>42809</v>
      </c>
      <c r="C4376" s="7">
        <v>988.69</v>
      </c>
      <c r="D4376" s="6">
        <f t="shared" si="140"/>
        <v>61.181761006289314</v>
      </c>
      <c r="E4376" s="6">
        <v>-6.8607360977177029E-3</v>
      </c>
      <c r="F4376" s="6"/>
      <c r="G4376" s="6">
        <v>4369</v>
      </c>
      <c r="H4376" s="6">
        <f t="shared" ca="1" si="141"/>
        <v>-1.2885588507926428E-2</v>
      </c>
    </row>
    <row r="4377" spans="2:8" x14ac:dyDescent="0.3">
      <c r="B4377" s="4">
        <v>37572</v>
      </c>
      <c r="C4377" s="7">
        <v>15.9</v>
      </c>
      <c r="D4377" s="6">
        <f t="shared" si="140"/>
        <v>-0.99331564852923249</v>
      </c>
      <c r="E4377" s="6">
        <v>-6.8707058088695316E-3</v>
      </c>
      <c r="F4377" s="6"/>
      <c r="G4377" s="6">
        <v>4370</v>
      </c>
      <c r="H4377" s="6">
        <f t="shared" ca="1" si="141"/>
        <v>8.896562470076301E-3</v>
      </c>
    </row>
    <row r="4378" spans="2:8" x14ac:dyDescent="0.3">
      <c r="B4378" s="4">
        <v>45856</v>
      </c>
      <c r="C4378" s="5">
        <v>2378.69</v>
      </c>
      <c r="D4378" s="6">
        <f t="shared" si="140"/>
        <v>4.7243346007604563</v>
      </c>
      <c r="E4378" s="6">
        <v>-6.8763673408038717E-3</v>
      </c>
      <c r="F4378" s="6"/>
      <c r="G4378" s="6">
        <v>4371</v>
      </c>
      <c r="H4378" s="6">
        <f t="shared" ca="1" si="141"/>
        <v>-2.4408178627546677E-3</v>
      </c>
    </row>
    <row r="4379" spans="2:8" x14ac:dyDescent="0.3">
      <c r="B4379" s="4">
        <v>41404</v>
      </c>
      <c r="C4379" s="7">
        <v>415.54</v>
      </c>
      <c r="D4379" s="6">
        <f t="shared" si="140"/>
        <v>-0.8461475804361509</v>
      </c>
      <c r="E4379" s="6">
        <v>-6.8830361837388162E-3</v>
      </c>
      <c r="F4379" s="6"/>
      <c r="G4379" s="6">
        <v>4372</v>
      </c>
      <c r="H4379" s="6">
        <f t="shared" ca="1" si="141"/>
        <v>1.3346000952857845E-2</v>
      </c>
    </row>
    <row r="4380" spans="2:8" x14ac:dyDescent="0.3">
      <c r="B4380" s="4">
        <v>45013</v>
      </c>
      <c r="C4380" s="5">
        <v>2700.9</v>
      </c>
      <c r="D4380" s="6">
        <f t="shared" si="140"/>
        <v>1.463201094391245</v>
      </c>
      <c r="E4380" s="6">
        <v>-6.8833145807134085E-3</v>
      </c>
      <c r="F4380" s="6"/>
      <c r="G4380" s="6">
        <v>4373</v>
      </c>
      <c r="H4380" s="6">
        <f t="shared" ca="1" si="141"/>
        <v>8.1772708844009365E-3</v>
      </c>
    </row>
    <row r="4381" spans="2:8" x14ac:dyDescent="0.3">
      <c r="B4381" s="4">
        <v>42639</v>
      </c>
      <c r="C4381" s="5">
        <v>1096.5</v>
      </c>
      <c r="D4381" s="6">
        <f t="shared" si="140"/>
        <v>-0.27191235059760954</v>
      </c>
      <c r="E4381" s="6">
        <v>-6.8834344715151792E-3</v>
      </c>
      <c r="F4381" s="6"/>
      <c r="G4381" s="6">
        <v>4374</v>
      </c>
      <c r="H4381" s="6">
        <f t="shared" ca="1" si="141"/>
        <v>-5.0682250268343238E-3</v>
      </c>
    </row>
    <row r="4382" spans="2:8" x14ac:dyDescent="0.3">
      <c r="B4382" s="4">
        <v>43696</v>
      </c>
      <c r="C4382" s="5">
        <v>1506</v>
      </c>
      <c r="D4382" s="6">
        <f t="shared" si="140"/>
        <v>64.279583875162544</v>
      </c>
      <c r="E4382" s="6">
        <v>-6.8845453826066674E-3</v>
      </c>
      <c r="F4382" s="6"/>
      <c r="G4382" s="6">
        <v>4375</v>
      </c>
      <c r="H4382" s="6">
        <f t="shared" ca="1" si="141"/>
        <v>6.2682699863754908E-3</v>
      </c>
    </row>
    <row r="4383" spans="2:8" x14ac:dyDescent="0.3">
      <c r="B4383" s="4">
        <v>38043</v>
      </c>
      <c r="C4383" s="7">
        <v>23.07</v>
      </c>
      <c r="D4383" s="6">
        <f t="shared" si="140"/>
        <v>-0.94498628830332665</v>
      </c>
      <c r="E4383" s="6">
        <v>-6.8876452862677634E-3</v>
      </c>
      <c r="F4383" s="6"/>
      <c r="G4383" s="6">
        <v>4376</v>
      </c>
      <c r="H4383" s="6">
        <f t="shared" ca="1" si="141"/>
        <v>-2.330014017092847E-2</v>
      </c>
    </row>
    <row r="4384" spans="2:8" x14ac:dyDescent="0.3">
      <c r="B4384" s="4">
        <v>41394</v>
      </c>
      <c r="C4384" s="7">
        <v>419.35</v>
      </c>
      <c r="D4384" s="6">
        <f t="shared" si="140"/>
        <v>1.3660009027307605</v>
      </c>
      <c r="E4384" s="6">
        <v>-6.891488656278047E-3</v>
      </c>
      <c r="F4384" s="6"/>
      <c r="G4384" s="6">
        <v>4377</v>
      </c>
      <c r="H4384" s="6">
        <f t="shared" ca="1" si="141"/>
        <v>-1.565351755812848E-2</v>
      </c>
    </row>
    <row r="4385" spans="2:8" x14ac:dyDescent="0.3">
      <c r="B4385" s="4">
        <v>40274</v>
      </c>
      <c r="C4385" s="7">
        <v>177.24</v>
      </c>
      <c r="D4385" s="6">
        <f t="shared" si="140"/>
        <v>-1.5552099533436919E-2</v>
      </c>
      <c r="E4385" s="6">
        <v>-6.8919146074970013E-3</v>
      </c>
      <c r="F4385" s="6"/>
      <c r="G4385" s="6">
        <v>4378</v>
      </c>
      <c r="H4385" s="6">
        <f t="shared" ca="1" si="141"/>
        <v>-3.2978667544447558E-3</v>
      </c>
    </row>
    <row r="4386" spans="2:8" x14ac:dyDescent="0.3">
      <c r="B4386" s="4">
        <v>40297</v>
      </c>
      <c r="C4386" s="7">
        <v>180.04</v>
      </c>
      <c r="D4386" s="6">
        <f t="shared" si="140"/>
        <v>-0.82805023637839648</v>
      </c>
      <c r="E4386" s="6">
        <v>-6.8950300623310716E-3</v>
      </c>
      <c r="F4386" s="6"/>
      <c r="G4386" s="6">
        <v>4379</v>
      </c>
      <c r="H4386" s="6">
        <f t="shared" ca="1" si="141"/>
        <v>-1.6375685225682696E-2</v>
      </c>
    </row>
    <row r="4387" spans="2:8" x14ac:dyDescent="0.3">
      <c r="B4387" s="4">
        <v>42598</v>
      </c>
      <c r="C4387" s="5">
        <v>1047.05</v>
      </c>
      <c r="D4387" s="6">
        <f t="shared" si="140"/>
        <v>-0.67997640435358009</v>
      </c>
      <c r="E4387" s="6">
        <v>-6.8954397146976081E-3</v>
      </c>
      <c r="F4387" s="6"/>
      <c r="G4387" s="6">
        <v>4380</v>
      </c>
      <c r="H4387" s="6">
        <f t="shared" ca="1" si="141"/>
        <v>4.4792905612406446E-3</v>
      </c>
    </row>
    <row r="4388" spans="2:8" x14ac:dyDescent="0.3">
      <c r="B4388" s="4">
        <v>45552</v>
      </c>
      <c r="C4388" s="5">
        <v>3271.79</v>
      </c>
      <c r="D4388" s="6">
        <f t="shared" si="140"/>
        <v>2.5313056523944693</v>
      </c>
      <c r="E4388" s="6">
        <v>-6.896321455998086E-3</v>
      </c>
      <c r="F4388" s="6"/>
      <c r="G4388" s="6">
        <v>4381</v>
      </c>
      <c r="H4388" s="6">
        <f t="shared" ca="1" si="141"/>
        <v>-4.4751619946506328E-3</v>
      </c>
    </row>
    <row r="4389" spans="2:8" x14ac:dyDescent="0.3">
      <c r="B4389" s="4">
        <v>42538</v>
      </c>
      <c r="C4389" s="7">
        <v>926.51</v>
      </c>
      <c r="D4389" s="6">
        <f t="shared" si="140"/>
        <v>-0.26189793349584944</v>
      </c>
      <c r="E4389" s="6">
        <v>-6.9028350929846768E-3</v>
      </c>
      <c r="F4389" s="6"/>
      <c r="G4389" s="6">
        <v>4382</v>
      </c>
      <c r="H4389" s="6">
        <f t="shared" ca="1" si="141"/>
        <v>3.5907361330715939E-2</v>
      </c>
    </row>
    <row r="4390" spans="2:8" x14ac:dyDescent="0.3">
      <c r="B4390" s="4">
        <v>43438</v>
      </c>
      <c r="C4390" s="5">
        <v>1255.26</v>
      </c>
      <c r="D4390" s="6">
        <f t="shared" si="140"/>
        <v>2.6397007654836466</v>
      </c>
      <c r="E4390" s="6">
        <v>-6.906700211235863E-3</v>
      </c>
      <c r="F4390" s="6"/>
      <c r="G4390" s="6">
        <v>4383</v>
      </c>
      <c r="H4390" s="6">
        <f t="shared" ca="1" si="141"/>
        <v>-4.3852555880439749E-3</v>
      </c>
    </row>
    <row r="4391" spans="2:8" x14ac:dyDescent="0.3">
      <c r="B4391" s="4">
        <v>41233</v>
      </c>
      <c r="C4391" s="7">
        <v>344.88</v>
      </c>
      <c r="D4391" s="6">
        <f t="shared" si="140"/>
        <v>13.140221402214022</v>
      </c>
      <c r="E4391" s="6">
        <v>-6.9108500345541855E-3</v>
      </c>
      <c r="F4391" s="6"/>
      <c r="G4391" s="6">
        <v>4384</v>
      </c>
      <c r="H4391" s="6">
        <f t="shared" ca="1" si="141"/>
        <v>1.5398987676399467E-2</v>
      </c>
    </row>
    <row r="4392" spans="2:8" x14ac:dyDescent="0.3">
      <c r="B4392" s="4">
        <v>38250</v>
      </c>
      <c r="C4392" s="7">
        <v>24.39</v>
      </c>
      <c r="D4392" s="6">
        <f t="shared" si="140"/>
        <v>-0.98031365775306101</v>
      </c>
      <c r="E4392" s="6">
        <v>-6.9218241042344527E-3</v>
      </c>
      <c r="F4392" s="6"/>
      <c r="G4392" s="6">
        <v>4385</v>
      </c>
      <c r="H4392" s="6">
        <f t="shared" ca="1" si="141"/>
        <v>3.9141335113779797E-2</v>
      </c>
    </row>
    <row r="4393" spans="2:8" x14ac:dyDescent="0.3">
      <c r="B4393" s="4">
        <v>43423</v>
      </c>
      <c r="C4393" s="5">
        <v>1238.93</v>
      </c>
      <c r="D4393" s="6">
        <f t="shared" si="140"/>
        <v>-0.60001485097370733</v>
      </c>
      <c r="E4393" s="6">
        <v>-6.9254631002668172E-3</v>
      </c>
      <c r="F4393" s="6"/>
      <c r="G4393" s="6">
        <v>4386</v>
      </c>
      <c r="H4393" s="6">
        <f t="shared" ca="1" si="141"/>
        <v>1.3145402856444699E-2</v>
      </c>
    </row>
    <row r="4394" spans="2:8" x14ac:dyDescent="0.3">
      <c r="B4394" s="4">
        <v>44603</v>
      </c>
      <c r="C4394" s="5">
        <v>3097.44</v>
      </c>
      <c r="D4394" s="6">
        <f t="shared" si="140"/>
        <v>30.814297452752669</v>
      </c>
      <c r="E4394" s="6">
        <v>-6.9315755387840856E-3</v>
      </c>
      <c r="F4394" s="6"/>
      <c r="G4394" s="6">
        <v>4387</v>
      </c>
      <c r="H4394" s="6">
        <f t="shared" ca="1" si="141"/>
        <v>9.437811866100751E-3</v>
      </c>
    </row>
    <row r="4395" spans="2:8" x14ac:dyDescent="0.3">
      <c r="B4395" s="4">
        <v>39519</v>
      </c>
      <c r="C4395" s="7">
        <v>97.36</v>
      </c>
      <c r="D4395" s="6">
        <f t="shared" si="140"/>
        <v>-0.96947254221982526</v>
      </c>
      <c r="E4395" s="6">
        <v>-6.9359445124439695E-3</v>
      </c>
      <c r="F4395" s="6"/>
      <c r="G4395" s="6">
        <v>4388</v>
      </c>
      <c r="H4395" s="6">
        <f t="shared" ca="1" si="141"/>
        <v>-1.8286698946339351E-2</v>
      </c>
    </row>
    <row r="4396" spans="2:8" x14ac:dyDescent="0.3">
      <c r="B4396" s="4">
        <v>44445</v>
      </c>
      <c r="C4396" s="5">
        <v>3189.26</v>
      </c>
      <c r="D4396" s="6">
        <f t="shared" si="140"/>
        <v>0.11149989718854238</v>
      </c>
      <c r="E4396" s="6">
        <v>-6.9622184442741271E-3</v>
      </c>
      <c r="F4396" s="6"/>
      <c r="G4396" s="6">
        <v>4389</v>
      </c>
      <c r="H4396" s="6">
        <f t="shared" ca="1" si="141"/>
        <v>9.3687154402434143E-3</v>
      </c>
    </row>
    <row r="4397" spans="2:8" x14ac:dyDescent="0.3">
      <c r="B4397" s="4">
        <v>44375</v>
      </c>
      <c r="C4397" s="5">
        <v>2869.33</v>
      </c>
      <c r="D4397" s="6">
        <f t="shared" si="140"/>
        <v>33.170894367035849</v>
      </c>
      <c r="E4397" s="6">
        <v>-6.9735730996581015E-3</v>
      </c>
      <c r="F4397" s="6"/>
      <c r="G4397" s="6">
        <v>4390</v>
      </c>
      <c r="H4397" s="6">
        <f t="shared" ca="1" si="141"/>
        <v>6.7443256406143751E-4</v>
      </c>
    </row>
    <row r="4398" spans="2:8" x14ac:dyDescent="0.3">
      <c r="B4398" s="4">
        <v>39400</v>
      </c>
      <c r="C4398" s="7">
        <v>83.97</v>
      </c>
      <c r="D4398" s="6">
        <f t="shared" si="140"/>
        <v>-0.90980569071633421</v>
      </c>
      <c r="E4398" s="6">
        <v>-6.9772942289498983E-3</v>
      </c>
      <c r="F4398" s="6"/>
      <c r="G4398" s="6">
        <v>4391</v>
      </c>
      <c r="H4398" s="6">
        <f t="shared" ca="1" si="141"/>
        <v>8.5635424384829864E-3</v>
      </c>
    </row>
    <row r="4399" spans="2:8" x14ac:dyDescent="0.3">
      <c r="B4399" s="4">
        <v>42793</v>
      </c>
      <c r="C4399" s="7">
        <v>930.99</v>
      </c>
      <c r="D4399" s="6">
        <f t="shared" si="140"/>
        <v>-0.152181039978144</v>
      </c>
      <c r="E4399" s="6">
        <v>-6.9863685816071363E-3</v>
      </c>
      <c r="F4399" s="6"/>
      <c r="G4399" s="6">
        <v>4392</v>
      </c>
      <c r="H4399" s="6">
        <f t="shared" ca="1" si="141"/>
        <v>-3.3665694561636525E-2</v>
      </c>
    </row>
    <row r="4400" spans="2:8" x14ac:dyDescent="0.3">
      <c r="B4400" s="4">
        <v>43056</v>
      </c>
      <c r="C4400" s="5">
        <v>1098.0999999999999</v>
      </c>
      <c r="D4400" s="6">
        <f t="shared" si="140"/>
        <v>8.3024301720056759E-2</v>
      </c>
      <c r="E4400" s="6">
        <v>-6.9902245372254496E-3</v>
      </c>
      <c r="F4400" s="6"/>
      <c r="G4400" s="6">
        <v>4393</v>
      </c>
      <c r="H4400" s="6">
        <f t="shared" ca="1" si="141"/>
        <v>5.6395011942607185E-3</v>
      </c>
    </row>
    <row r="4401" spans="2:8" x14ac:dyDescent="0.3">
      <c r="B4401" s="4">
        <v>42879</v>
      </c>
      <c r="C4401" s="5">
        <v>1013.92</v>
      </c>
      <c r="D4401" s="6">
        <f t="shared" si="140"/>
        <v>38.87101848210775</v>
      </c>
      <c r="E4401" s="6">
        <v>-7.0024582056079313E-3</v>
      </c>
      <c r="F4401" s="6"/>
      <c r="G4401" s="6">
        <v>4394</v>
      </c>
      <c r="H4401" s="6">
        <f t="shared" ca="1" si="141"/>
        <v>6.3353612118692668E-4</v>
      </c>
    </row>
    <row r="4402" spans="2:8" x14ac:dyDescent="0.3">
      <c r="B4402" s="4">
        <v>38357</v>
      </c>
      <c r="C4402" s="7">
        <v>25.43</v>
      </c>
      <c r="D4402" s="6">
        <f t="shared" si="140"/>
        <v>-0.89151486711317773</v>
      </c>
      <c r="E4402" s="6">
        <v>-7.0285044904334132E-3</v>
      </c>
      <c r="F4402" s="6"/>
      <c r="G4402" s="6">
        <v>4395</v>
      </c>
      <c r="H4402" s="6">
        <f t="shared" ca="1" si="141"/>
        <v>3.1226292276708388E-2</v>
      </c>
    </row>
    <row r="4403" spans="2:8" x14ac:dyDescent="0.3">
      <c r="B4403" s="4">
        <v>40674</v>
      </c>
      <c r="C4403" s="7">
        <v>234.41</v>
      </c>
      <c r="D4403" s="6">
        <f t="shared" si="140"/>
        <v>6.9192567567567567</v>
      </c>
      <c r="E4403" s="6">
        <v>-7.0318125979582187E-3</v>
      </c>
      <c r="F4403" s="6"/>
      <c r="G4403" s="6">
        <v>4396</v>
      </c>
      <c r="H4403" s="6">
        <f t="shared" ca="1" si="141"/>
        <v>-1.642027331133537E-2</v>
      </c>
    </row>
    <row r="4404" spans="2:8" x14ac:dyDescent="0.3">
      <c r="B4404" s="4">
        <v>38477</v>
      </c>
      <c r="C4404" s="7">
        <v>29.6</v>
      </c>
      <c r="D4404" s="6">
        <f t="shared" si="140"/>
        <v>-0.89267585206671507</v>
      </c>
      <c r="E4404" s="6">
        <v>-7.0446159007043711E-3</v>
      </c>
      <c r="F4404" s="6"/>
      <c r="G4404" s="6">
        <v>4397</v>
      </c>
      <c r="H4404" s="6">
        <f t="shared" ca="1" si="141"/>
        <v>-6.7889611301338382E-3</v>
      </c>
    </row>
    <row r="4405" spans="2:8" x14ac:dyDescent="0.3">
      <c r="B4405" s="4">
        <v>40752</v>
      </c>
      <c r="C4405" s="7">
        <v>275.8</v>
      </c>
      <c r="D4405" s="6">
        <f t="shared" si="140"/>
        <v>15.358244365361804</v>
      </c>
      <c r="E4405" s="6">
        <v>-7.0564516129031528E-3</v>
      </c>
      <c r="F4405" s="6"/>
      <c r="G4405" s="6">
        <v>4398</v>
      </c>
      <c r="H4405" s="6">
        <f t="shared" ca="1" si="141"/>
        <v>-2.6259658244002591E-2</v>
      </c>
    </row>
    <row r="4406" spans="2:8" x14ac:dyDescent="0.3">
      <c r="B4406" s="4">
        <v>37747</v>
      </c>
      <c r="C4406" s="7">
        <v>16.86</v>
      </c>
      <c r="D4406" s="6">
        <f t="shared" si="140"/>
        <v>-0.53795560427514388</v>
      </c>
      <c r="E4406" s="6">
        <v>-7.0671378091873372E-3</v>
      </c>
      <c r="F4406" s="6"/>
      <c r="G4406" s="6">
        <v>4399</v>
      </c>
      <c r="H4406" s="6">
        <f t="shared" ca="1" si="141"/>
        <v>-1.9585541817523904E-2</v>
      </c>
    </row>
    <row r="4407" spans="2:8" x14ac:dyDescent="0.3">
      <c r="B4407" s="4">
        <v>38562</v>
      </c>
      <c r="C4407" s="7">
        <v>36.49</v>
      </c>
      <c r="D4407" s="6">
        <f t="shared" si="140"/>
        <v>-0.51783826638477803</v>
      </c>
      <c r="E4407" s="6">
        <v>-7.0748299319727346E-3</v>
      </c>
      <c r="F4407" s="6"/>
      <c r="G4407" s="6">
        <v>4400</v>
      </c>
      <c r="H4407" s="6">
        <f t="shared" ca="1" si="141"/>
        <v>-2.7405504978638324E-2</v>
      </c>
    </row>
    <row r="4408" spans="2:8" x14ac:dyDescent="0.3">
      <c r="B4408" s="4">
        <v>39937</v>
      </c>
      <c r="C4408" s="7">
        <v>75.680000000000007</v>
      </c>
      <c r="D4408" s="6">
        <f t="shared" si="140"/>
        <v>-0.93506983767459417</v>
      </c>
      <c r="E4408" s="6">
        <v>-7.0847546575700873E-3</v>
      </c>
      <c r="F4408" s="6"/>
      <c r="G4408" s="6">
        <v>4401</v>
      </c>
      <c r="H4408" s="6">
        <f t="shared" ca="1" si="141"/>
        <v>-3.4707712936698741E-3</v>
      </c>
    </row>
    <row r="4409" spans="2:8" x14ac:dyDescent="0.3">
      <c r="B4409" s="4">
        <v>42992</v>
      </c>
      <c r="C4409" s="5">
        <v>1165.56</v>
      </c>
      <c r="D4409" s="6">
        <f t="shared" si="140"/>
        <v>13.354187192118225</v>
      </c>
      <c r="E4409" s="6">
        <v>-7.0876069104168762E-3</v>
      </c>
      <c r="F4409" s="6"/>
      <c r="G4409" s="6">
        <v>4402</v>
      </c>
      <c r="H4409" s="6">
        <f t="shared" ca="1" si="141"/>
        <v>-3.0522969663210435E-3</v>
      </c>
    </row>
    <row r="4410" spans="2:8" x14ac:dyDescent="0.3">
      <c r="B4410" s="4">
        <v>39764</v>
      </c>
      <c r="C4410" s="7">
        <v>81.2</v>
      </c>
      <c r="D4410" s="6">
        <f t="shared" si="140"/>
        <v>-0.89929806285189862</v>
      </c>
      <c r="E4410" s="6">
        <v>-7.0921985815602627E-3</v>
      </c>
      <c r="F4410" s="6"/>
      <c r="G4410" s="6">
        <v>4403</v>
      </c>
      <c r="H4410" s="6">
        <f t="shared" ca="1" si="141"/>
        <v>1.5538117138235385E-3</v>
      </c>
    </row>
    <row r="4411" spans="2:8" x14ac:dyDescent="0.3">
      <c r="B4411" s="4">
        <v>42730</v>
      </c>
      <c r="C4411" s="7">
        <v>806.34</v>
      </c>
      <c r="D4411" s="6">
        <f t="shared" si="140"/>
        <v>-0.67011144386076882</v>
      </c>
      <c r="E4411" s="6">
        <v>-7.0927225711119209E-3</v>
      </c>
      <c r="F4411" s="6"/>
      <c r="G4411" s="6">
        <v>4404</v>
      </c>
      <c r="H4411" s="6">
        <f t="shared" ca="1" si="141"/>
        <v>-1.050441055137441E-2</v>
      </c>
    </row>
    <row r="4412" spans="2:8" x14ac:dyDescent="0.3">
      <c r="B4412" s="4">
        <v>44306</v>
      </c>
      <c r="C4412" s="5">
        <v>2444.2800000000002</v>
      </c>
      <c r="D4412" s="6">
        <f t="shared" si="140"/>
        <v>1.2850785756354763</v>
      </c>
      <c r="E4412" s="6">
        <v>-7.0965776378591654E-3</v>
      </c>
      <c r="F4412" s="6"/>
      <c r="G4412" s="6">
        <v>4405</v>
      </c>
      <c r="H4412" s="6">
        <f t="shared" ca="1" si="141"/>
        <v>8.8920145674642858E-3</v>
      </c>
    </row>
    <row r="4413" spans="2:8" x14ac:dyDescent="0.3">
      <c r="B4413" s="4">
        <v>42886</v>
      </c>
      <c r="C4413" s="5">
        <v>1069.67</v>
      </c>
      <c r="D4413" s="6">
        <f t="shared" si="140"/>
        <v>1.4276474059280106</v>
      </c>
      <c r="E4413" s="6">
        <v>-7.1193866374587838E-3</v>
      </c>
      <c r="F4413" s="6"/>
      <c r="G4413" s="6">
        <v>4406</v>
      </c>
      <c r="H4413" s="6">
        <f t="shared" ca="1" si="141"/>
        <v>2.9207704185999351E-3</v>
      </c>
    </row>
    <row r="4414" spans="2:8" x14ac:dyDescent="0.3">
      <c r="B4414" s="4">
        <v>41680</v>
      </c>
      <c r="C4414" s="7">
        <v>440.62</v>
      </c>
      <c r="D4414" s="6">
        <f t="shared" si="140"/>
        <v>3.1075790062459219</v>
      </c>
      <c r="E4414" s="6">
        <v>-7.1206453648203355E-3</v>
      </c>
      <c r="F4414" s="6"/>
      <c r="G4414" s="6">
        <v>4407</v>
      </c>
      <c r="H4414" s="6">
        <f t="shared" ca="1" si="141"/>
        <v>3.0219001351341149E-2</v>
      </c>
    </row>
    <row r="4415" spans="2:8" x14ac:dyDescent="0.3">
      <c r="B4415" s="4">
        <v>39575</v>
      </c>
      <c r="C4415" s="7">
        <v>107.27</v>
      </c>
      <c r="D4415" s="6">
        <f t="shared" si="140"/>
        <v>5.5183946488294312E-2</v>
      </c>
      <c r="E4415" s="6">
        <v>-7.126990003702427E-3</v>
      </c>
      <c r="F4415" s="6"/>
      <c r="G4415" s="6">
        <v>4408</v>
      </c>
      <c r="H4415" s="6">
        <f t="shared" ca="1" si="141"/>
        <v>1.2825221160241622E-2</v>
      </c>
    </row>
    <row r="4416" spans="2:8" x14ac:dyDescent="0.3">
      <c r="B4416" s="4">
        <v>39484</v>
      </c>
      <c r="C4416" s="7">
        <v>101.66</v>
      </c>
      <c r="D4416" s="6">
        <f t="shared" si="140"/>
        <v>-0.92408900836320185</v>
      </c>
      <c r="E4416" s="6">
        <v>-7.1296025002442033E-3</v>
      </c>
      <c r="F4416" s="6"/>
      <c r="G4416" s="6">
        <v>4409</v>
      </c>
      <c r="H4416" s="6">
        <f t="shared" ca="1" si="141"/>
        <v>-1.8038719238967924E-2</v>
      </c>
    </row>
    <row r="4417" spans="2:8" x14ac:dyDescent="0.3">
      <c r="B4417" s="4">
        <v>43623</v>
      </c>
      <c r="C4417" s="5">
        <v>1339.2</v>
      </c>
      <c r="D4417" s="6">
        <f t="shared" si="140"/>
        <v>23.699372925119881</v>
      </c>
      <c r="E4417" s="6">
        <v>-7.1395209181289582E-3</v>
      </c>
      <c r="F4417" s="6"/>
      <c r="G4417" s="6">
        <v>4410</v>
      </c>
      <c r="H4417" s="6">
        <f t="shared" ca="1" si="141"/>
        <v>-8.5096763698650889E-3</v>
      </c>
    </row>
    <row r="4418" spans="2:8" x14ac:dyDescent="0.3">
      <c r="B4418" s="4">
        <v>38762</v>
      </c>
      <c r="C4418" s="7">
        <v>54.22</v>
      </c>
      <c r="D4418" s="6">
        <f t="shared" si="140"/>
        <v>-0.98192425656754245</v>
      </c>
      <c r="E4418" s="6">
        <v>-7.1415491668192742E-3</v>
      </c>
      <c r="F4418" s="6"/>
      <c r="G4418" s="6">
        <v>4411</v>
      </c>
      <c r="H4418" s="6">
        <f t="shared" ca="1" si="141"/>
        <v>2.848634717202584E-2</v>
      </c>
    </row>
    <row r="4419" spans="2:8" x14ac:dyDescent="0.3">
      <c r="B4419" s="4">
        <v>45576</v>
      </c>
      <c r="C4419" s="5">
        <v>2999.6</v>
      </c>
      <c r="D4419" s="6">
        <f t="shared" si="140"/>
        <v>11.737154989384289</v>
      </c>
      <c r="E4419" s="6">
        <v>-7.1593357672206717E-3</v>
      </c>
      <c r="F4419" s="6"/>
      <c r="G4419" s="6">
        <v>4412</v>
      </c>
      <c r="H4419" s="6">
        <f t="shared" ca="1" si="141"/>
        <v>9.8460144128189736E-3</v>
      </c>
    </row>
    <row r="4420" spans="2:8" x14ac:dyDescent="0.3">
      <c r="B4420" s="4">
        <v>40918</v>
      </c>
      <c r="C4420" s="7">
        <v>235.5</v>
      </c>
      <c r="D4420" s="6">
        <f t="shared" si="140"/>
        <v>-0.85698583218456414</v>
      </c>
      <c r="E4420" s="6">
        <v>-7.1669477234400873E-3</v>
      </c>
      <c r="F4420" s="6"/>
      <c r="G4420" s="6">
        <v>4413</v>
      </c>
      <c r="H4420" s="6">
        <f t="shared" ca="1" si="141"/>
        <v>4.3495995999621637E-4</v>
      </c>
    </row>
    <row r="4421" spans="2:8" x14ac:dyDescent="0.3">
      <c r="B4421" s="4">
        <v>43815</v>
      </c>
      <c r="C4421" s="5">
        <v>1646.69</v>
      </c>
      <c r="D4421" s="6">
        <f t="shared" si="140"/>
        <v>3.9151990925914877</v>
      </c>
      <c r="E4421" s="6">
        <v>-7.1687829347995714E-3</v>
      </c>
      <c r="F4421" s="6"/>
      <c r="G4421" s="6">
        <v>4414</v>
      </c>
      <c r="H4421" s="6">
        <f t="shared" ca="1" si="141"/>
        <v>3.6630514764976561E-3</v>
      </c>
    </row>
    <row r="4422" spans="2:8" x14ac:dyDescent="0.3">
      <c r="B4422" s="4">
        <v>41088</v>
      </c>
      <c r="C4422" s="7">
        <v>335.02</v>
      </c>
      <c r="D4422" s="6">
        <f t="shared" si="140"/>
        <v>-0.80031827962116386</v>
      </c>
      <c r="E4422" s="6">
        <v>-7.1716453295401139E-3</v>
      </c>
      <c r="F4422" s="6"/>
      <c r="G4422" s="6">
        <v>4415</v>
      </c>
      <c r="H4422" s="6">
        <f t="shared" ca="1" si="141"/>
        <v>1.2938531283237529E-2</v>
      </c>
    </row>
    <row r="4423" spans="2:8" x14ac:dyDescent="0.3">
      <c r="B4423" s="4">
        <v>43761</v>
      </c>
      <c r="C4423" s="5">
        <v>1677.77</v>
      </c>
      <c r="D4423" s="6">
        <f t="shared" si="140"/>
        <v>30.220133978414587</v>
      </c>
      <c r="E4423" s="6">
        <v>-7.195564313314801E-3</v>
      </c>
      <c r="F4423" s="6"/>
      <c r="G4423" s="6">
        <v>4416</v>
      </c>
      <c r="H4423" s="6">
        <f t="shared" ca="1" si="141"/>
        <v>2.5928904140327402E-2</v>
      </c>
    </row>
    <row r="4424" spans="2:8" x14ac:dyDescent="0.3">
      <c r="B4424" s="4">
        <v>38799</v>
      </c>
      <c r="C4424" s="7">
        <v>53.74</v>
      </c>
      <c r="D4424" s="6">
        <f t="shared" ref="D4424:D4487" si="142">((C4424-C4425)/C4425)</f>
        <v>-0.86352785819493116</v>
      </c>
      <c r="E4424" s="6">
        <v>-7.2048771476076216E-3</v>
      </c>
      <c r="F4424" s="6"/>
      <c r="G4424" s="6">
        <v>4417</v>
      </c>
      <c r="H4424" s="6">
        <f t="shared" ca="1" si="141"/>
        <v>1.2225189138197553E-2</v>
      </c>
    </row>
    <row r="4425" spans="2:8" x14ac:dyDescent="0.3">
      <c r="B4425" s="4">
        <v>41450</v>
      </c>
      <c r="C4425" s="7">
        <v>393.78</v>
      </c>
      <c r="D4425" s="6">
        <f t="shared" si="142"/>
        <v>3.0296766270978299</v>
      </c>
      <c r="E4425" s="6">
        <v>-7.2105687777329914E-3</v>
      </c>
      <c r="F4425" s="6"/>
      <c r="G4425" s="6">
        <v>4418</v>
      </c>
      <c r="H4425" s="6">
        <f t="shared" ref="H4425:H4488" ca="1" si="143">_xlfn.NORM.INV(RAND(),N$10,N$11)</f>
        <v>1.7654996729459242E-2</v>
      </c>
    </row>
    <row r="4426" spans="2:8" x14ac:dyDescent="0.3">
      <c r="B4426" s="4">
        <v>39713</v>
      </c>
      <c r="C4426" s="7">
        <v>97.72</v>
      </c>
      <c r="D4426" s="6">
        <f t="shared" si="142"/>
        <v>3.4377838328792008</v>
      </c>
      <c r="E4426" s="6">
        <v>-7.2132479934979973E-3</v>
      </c>
      <c r="F4426" s="6"/>
      <c r="G4426" s="6">
        <v>4419</v>
      </c>
      <c r="H4426" s="6">
        <f t="shared" ca="1" si="143"/>
        <v>2.3644431390654211E-2</v>
      </c>
    </row>
    <row r="4427" spans="2:8" x14ac:dyDescent="0.3">
      <c r="B4427" s="4">
        <v>37854</v>
      </c>
      <c r="C4427" s="7">
        <v>22.02</v>
      </c>
      <c r="D4427" s="6">
        <f t="shared" si="142"/>
        <v>-0.99329120788724845</v>
      </c>
      <c r="E4427" s="6">
        <v>-7.2137060414788163E-3</v>
      </c>
      <c r="F4427" s="6"/>
      <c r="G4427" s="6">
        <v>4420</v>
      </c>
      <c r="H4427" s="6">
        <f t="shared" ca="1" si="143"/>
        <v>2.3778205500484588E-2</v>
      </c>
    </row>
    <row r="4428" spans="2:8" x14ac:dyDescent="0.3">
      <c r="B4428" s="4">
        <v>45296</v>
      </c>
      <c r="C4428" s="5">
        <v>3282.26</v>
      </c>
      <c r="D4428" s="6">
        <f t="shared" si="142"/>
        <v>2.1176481762917936</v>
      </c>
      <c r="E4428" s="6">
        <v>-7.2169189261126858E-3</v>
      </c>
      <c r="F4428" s="6"/>
      <c r="G4428" s="6">
        <v>4421</v>
      </c>
      <c r="H4428" s="6">
        <f t="shared" ca="1" si="143"/>
        <v>5.9350524852274144E-3</v>
      </c>
    </row>
    <row r="4429" spans="2:8" x14ac:dyDescent="0.3">
      <c r="B4429" s="4">
        <v>42929</v>
      </c>
      <c r="C4429" s="5">
        <v>1052.8</v>
      </c>
      <c r="D4429" s="6">
        <f t="shared" si="142"/>
        <v>17.265093684941011</v>
      </c>
      <c r="E4429" s="6">
        <v>-7.232642130376222E-3</v>
      </c>
      <c r="F4429" s="6"/>
      <c r="G4429" s="6">
        <v>4422</v>
      </c>
      <c r="H4429" s="6">
        <f t="shared" ca="1" si="143"/>
        <v>3.4947056213284193E-2</v>
      </c>
    </row>
    <row r="4430" spans="2:8" x14ac:dyDescent="0.3">
      <c r="B4430" s="4">
        <v>39030</v>
      </c>
      <c r="C4430" s="7">
        <v>57.64</v>
      </c>
      <c r="D4430" s="6">
        <f t="shared" si="142"/>
        <v>-0.95619794516383971</v>
      </c>
      <c r="E4430" s="6">
        <v>-7.2338959696865599E-3</v>
      </c>
      <c r="F4430" s="6"/>
      <c r="G4430" s="6">
        <v>4423</v>
      </c>
      <c r="H4430" s="6">
        <f t="shared" ca="1" si="143"/>
        <v>9.8146690956327168E-3</v>
      </c>
    </row>
    <row r="4431" spans="2:8" x14ac:dyDescent="0.3">
      <c r="B4431" s="4">
        <v>43530</v>
      </c>
      <c r="C4431" s="5">
        <v>1315.92</v>
      </c>
      <c r="D4431" s="6">
        <f t="shared" si="142"/>
        <v>0.2281330496136186</v>
      </c>
      <c r="E4431" s="6">
        <v>-7.2349510754350539E-3</v>
      </c>
      <c r="F4431" s="6"/>
      <c r="G4431" s="6">
        <v>4424</v>
      </c>
      <c r="H4431" s="6">
        <f t="shared" ca="1" si="143"/>
        <v>-1.3352570833549078E-2</v>
      </c>
    </row>
    <row r="4432" spans="2:8" x14ac:dyDescent="0.3">
      <c r="B4432" s="4">
        <v>42892</v>
      </c>
      <c r="C4432" s="5">
        <v>1071.48</v>
      </c>
      <c r="D4432" s="6">
        <f t="shared" si="142"/>
        <v>-0.56084725478302211</v>
      </c>
      <c r="E4432" s="6">
        <v>-7.2362386383640594E-3</v>
      </c>
      <c r="F4432" s="6"/>
      <c r="G4432" s="6">
        <v>4425</v>
      </c>
      <c r="H4432" s="6">
        <f t="shared" ca="1" si="143"/>
        <v>2.9747462674527856E-2</v>
      </c>
    </row>
    <row r="4433" spans="2:8" x14ac:dyDescent="0.3">
      <c r="B4433" s="4">
        <v>44322</v>
      </c>
      <c r="C4433" s="5">
        <v>2439.88</v>
      </c>
      <c r="D4433" s="6">
        <f t="shared" si="142"/>
        <v>1.3344336328061464</v>
      </c>
      <c r="E4433" s="6">
        <v>-7.2426027798573158E-3</v>
      </c>
      <c r="F4433" s="6"/>
      <c r="G4433" s="6">
        <v>4426</v>
      </c>
      <c r="H4433" s="6">
        <f t="shared" ca="1" si="143"/>
        <v>5.8054933285468504E-3</v>
      </c>
    </row>
    <row r="4434" spans="2:8" x14ac:dyDescent="0.3">
      <c r="B4434" s="4">
        <v>42930</v>
      </c>
      <c r="C4434" s="5">
        <v>1045.17</v>
      </c>
      <c r="D4434" s="6">
        <f t="shared" si="142"/>
        <v>0.34572399763088107</v>
      </c>
      <c r="E4434" s="6">
        <v>-7.2473404255318031E-3</v>
      </c>
      <c r="F4434" s="6"/>
      <c r="G4434" s="6">
        <v>4427</v>
      </c>
      <c r="H4434" s="6">
        <f t="shared" ca="1" si="143"/>
        <v>-6.4769639696259955E-3</v>
      </c>
    </row>
    <row r="4435" spans="2:8" x14ac:dyDescent="0.3">
      <c r="B4435" s="4">
        <v>42341</v>
      </c>
      <c r="C4435" s="7">
        <v>776.66</v>
      </c>
      <c r="D4435" s="6">
        <f t="shared" si="142"/>
        <v>-0.67202135117102058</v>
      </c>
      <c r="E4435" s="6">
        <v>-7.2475809441029651E-3</v>
      </c>
      <c r="F4435" s="6"/>
      <c r="G4435" s="6">
        <v>4428</v>
      </c>
      <c r="H4435" s="6">
        <f t="shared" ca="1" si="143"/>
        <v>-8.1037071968055284E-3</v>
      </c>
    </row>
    <row r="4436" spans="2:8" x14ac:dyDescent="0.3">
      <c r="B4436" s="4">
        <v>45758</v>
      </c>
      <c r="C4436" s="5">
        <v>2368.02</v>
      </c>
      <c r="D4436" s="6">
        <f t="shared" si="142"/>
        <v>31.196057104010876</v>
      </c>
      <c r="E4436" s="6">
        <v>-7.277666451466905E-3</v>
      </c>
      <c r="F4436" s="6"/>
      <c r="G4436" s="6">
        <v>4429</v>
      </c>
      <c r="H4436" s="6">
        <f t="shared" ca="1" si="143"/>
        <v>2.8874858409850677E-2</v>
      </c>
    </row>
    <row r="4437" spans="2:8" x14ac:dyDescent="0.3">
      <c r="B4437" s="4">
        <v>39281</v>
      </c>
      <c r="C4437" s="7">
        <v>73.55</v>
      </c>
      <c r="D4437" s="6">
        <f t="shared" si="142"/>
        <v>0.80004894762604006</v>
      </c>
      <c r="E4437" s="6">
        <v>-7.2884329869078992E-3</v>
      </c>
      <c r="F4437" s="6"/>
      <c r="G4437" s="6">
        <v>4430</v>
      </c>
      <c r="H4437" s="6">
        <f t="shared" ca="1" si="143"/>
        <v>-1.0312043494474199E-2</v>
      </c>
    </row>
    <row r="4438" spans="2:8" x14ac:dyDescent="0.3">
      <c r="B4438" s="4">
        <v>38679</v>
      </c>
      <c r="C4438" s="7">
        <v>40.86</v>
      </c>
      <c r="D4438" s="6">
        <f t="shared" si="142"/>
        <v>-0.96275194399117581</v>
      </c>
      <c r="E4438" s="6">
        <v>-7.2886297376092606E-3</v>
      </c>
      <c r="F4438" s="6"/>
      <c r="G4438" s="6">
        <v>4431</v>
      </c>
      <c r="H4438" s="6">
        <f t="shared" ca="1" si="143"/>
        <v>-6.1928896154583232E-3</v>
      </c>
    </row>
    <row r="4439" spans="2:8" x14ac:dyDescent="0.3">
      <c r="B4439" s="4">
        <v>43214</v>
      </c>
      <c r="C4439" s="5">
        <v>1096.97</v>
      </c>
      <c r="D4439" s="6">
        <f t="shared" si="142"/>
        <v>-0.62746383209943624</v>
      </c>
      <c r="E4439" s="6">
        <v>-7.3029030623325275E-3</v>
      </c>
      <c r="F4439" s="6"/>
      <c r="G4439" s="6">
        <v>4432</v>
      </c>
      <c r="H4439" s="6">
        <f t="shared" ca="1" si="143"/>
        <v>-1.4231696256814996E-3</v>
      </c>
    </row>
    <row r="4440" spans="2:8" x14ac:dyDescent="0.3">
      <c r="B4440" s="4">
        <v>44403</v>
      </c>
      <c r="C4440" s="5">
        <v>2944.6</v>
      </c>
      <c r="D4440" s="6">
        <f t="shared" si="142"/>
        <v>-4.5652836205946644E-2</v>
      </c>
      <c r="E4440" s="6">
        <v>-7.3121643534516364E-3</v>
      </c>
      <c r="F4440" s="6"/>
      <c r="G4440" s="6">
        <v>4433</v>
      </c>
      <c r="H4440" s="6">
        <f t="shared" ca="1" si="143"/>
        <v>-3.2387985928291466E-2</v>
      </c>
    </row>
    <row r="4441" spans="2:8" x14ac:dyDescent="0.3">
      <c r="B4441" s="4">
        <v>44848</v>
      </c>
      <c r="C4441" s="5">
        <v>3085.46</v>
      </c>
      <c r="D4441" s="6">
        <f t="shared" si="142"/>
        <v>2.9217794725135051</v>
      </c>
      <c r="E4441" s="6">
        <v>-7.3225189980116482E-3</v>
      </c>
      <c r="F4441" s="6"/>
      <c r="G4441" s="6">
        <v>4434</v>
      </c>
      <c r="H4441" s="6">
        <f t="shared" ca="1" si="143"/>
        <v>1.5568153995543365E-3</v>
      </c>
    </row>
    <row r="4442" spans="2:8" x14ac:dyDescent="0.3">
      <c r="B4442" s="4">
        <v>42451</v>
      </c>
      <c r="C4442" s="7">
        <v>786.75</v>
      </c>
      <c r="D4442" s="6">
        <f t="shared" si="142"/>
        <v>12.216025533344533</v>
      </c>
      <c r="E4442" s="6">
        <v>-7.3306752801049081E-3</v>
      </c>
      <c r="F4442" s="6"/>
      <c r="G4442" s="6">
        <v>4435</v>
      </c>
      <c r="H4442" s="6">
        <f t="shared" ca="1" si="143"/>
        <v>-9.2805649736747813E-3</v>
      </c>
    </row>
    <row r="4443" spans="2:8" x14ac:dyDescent="0.3">
      <c r="B4443" s="4">
        <v>39057</v>
      </c>
      <c r="C4443" s="7">
        <v>59.53</v>
      </c>
      <c r="D4443" s="6">
        <f t="shared" si="142"/>
        <v>-0.95293475854653553</v>
      </c>
      <c r="E4443" s="6">
        <v>-7.3370018342504206E-3</v>
      </c>
      <c r="F4443" s="6"/>
      <c r="G4443" s="6">
        <v>4436</v>
      </c>
      <c r="H4443" s="6">
        <f t="shared" ca="1" si="143"/>
        <v>5.8002698206143562E-3</v>
      </c>
    </row>
    <row r="4444" spans="2:8" x14ac:dyDescent="0.3">
      <c r="B4444" s="4">
        <v>43431</v>
      </c>
      <c r="C4444" s="5">
        <v>1264.8399999999999</v>
      </c>
      <c r="D4444" s="6">
        <f t="shared" si="142"/>
        <v>-0.54572750258590974</v>
      </c>
      <c r="E4444" s="6">
        <v>-7.3379951184675257E-3</v>
      </c>
      <c r="F4444" s="6"/>
      <c r="G4444" s="6">
        <v>4437</v>
      </c>
      <c r="H4444" s="6">
        <f t="shared" ca="1" si="143"/>
        <v>-1.8830116966097238E-2</v>
      </c>
    </row>
    <row r="4445" spans="2:8" x14ac:dyDescent="0.3">
      <c r="B4445" s="4">
        <v>45369</v>
      </c>
      <c r="C4445" s="5">
        <v>2784.32</v>
      </c>
      <c r="D4445" s="6">
        <f t="shared" si="142"/>
        <v>-2.4230232770040536E-2</v>
      </c>
      <c r="E4445" s="6">
        <v>-7.3406989885592376E-3</v>
      </c>
      <c r="F4445" s="6"/>
      <c r="G4445" s="6">
        <v>4438</v>
      </c>
      <c r="H4445" s="6">
        <f t="shared" ca="1" si="143"/>
        <v>-1.5405339860368584E-2</v>
      </c>
    </row>
    <row r="4446" spans="2:8" x14ac:dyDescent="0.3">
      <c r="B4446" s="4">
        <v>44414</v>
      </c>
      <c r="C4446" s="5">
        <v>2853.46</v>
      </c>
      <c r="D4446" s="6">
        <f t="shared" si="142"/>
        <v>123.33376906318084</v>
      </c>
      <c r="E4446" s="6">
        <v>-7.3437070587949243E-3</v>
      </c>
      <c r="F4446" s="6"/>
      <c r="G4446" s="6">
        <v>4439</v>
      </c>
      <c r="H4446" s="6">
        <f t="shared" ca="1" si="143"/>
        <v>1.2251605429889149E-2</v>
      </c>
    </row>
    <row r="4447" spans="2:8" x14ac:dyDescent="0.3">
      <c r="B4447" s="4">
        <v>38316</v>
      </c>
      <c r="C4447" s="7">
        <v>22.95</v>
      </c>
      <c r="D4447" s="6">
        <f t="shared" si="142"/>
        <v>-0.93970997740766038</v>
      </c>
      <c r="E4447" s="6">
        <v>-7.3529411764706619E-3</v>
      </c>
      <c r="F4447" s="6"/>
      <c r="G4447" s="6">
        <v>4440</v>
      </c>
      <c r="H4447" s="6">
        <f t="shared" ca="1" si="143"/>
        <v>-6.8868042215494852E-3</v>
      </c>
    </row>
    <row r="4448" spans="2:8" x14ac:dyDescent="0.3">
      <c r="B4448" s="4">
        <v>41260</v>
      </c>
      <c r="C4448" s="7">
        <v>380.66</v>
      </c>
      <c r="D4448" s="6">
        <f t="shared" si="142"/>
        <v>-0.11472359822321446</v>
      </c>
      <c r="E4448" s="6">
        <v>-7.3537081464482975E-3</v>
      </c>
      <c r="F4448" s="6"/>
      <c r="G4448" s="6">
        <v>4441</v>
      </c>
      <c r="H4448" s="6">
        <f t="shared" ca="1" si="143"/>
        <v>1.4891024217522886E-2</v>
      </c>
    </row>
    <row r="4449" spans="2:8" x14ac:dyDescent="0.3">
      <c r="B4449" s="4">
        <v>41417</v>
      </c>
      <c r="C4449" s="7">
        <v>429.99</v>
      </c>
      <c r="D4449" s="6">
        <f t="shared" si="142"/>
        <v>-0.86389965056213913</v>
      </c>
      <c r="E4449" s="6">
        <v>-7.3641442356526098E-3</v>
      </c>
      <c r="F4449" s="6"/>
      <c r="G4449" s="6">
        <v>4442</v>
      </c>
      <c r="H4449" s="6">
        <f t="shared" ca="1" si="143"/>
        <v>1.2870156116370147E-2</v>
      </c>
    </row>
    <row r="4450" spans="2:8" x14ac:dyDescent="0.3">
      <c r="B4450" s="4">
        <v>45173</v>
      </c>
      <c r="C4450" s="5">
        <v>3159.36</v>
      </c>
      <c r="D4450" s="6">
        <f t="shared" si="142"/>
        <v>9.3366833127420321E-2</v>
      </c>
      <c r="E4450" s="6">
        <v>-7.364584642453203E-3</v>
      </c>
      <c r="F4450" s="6"/>
      <c r="G4450" s="6">
        <v>4443</v>
      </c>
      <c r="H4450" s="6">
        <f t="shared" ca="1" si="143"/>
        <v>-1.0779706248774813E-3</v>
      </c>
    </row>
    <row r="4451" spans="2:8" x14ac:dyDescent="0.3">
      <c r="B4451" s="4">
        <v>45321</v>
      </c>
      <c r="C4451" s="5">
        <v>2889.57</v>
      </c>
      <c r="D4451" s="6">
        <f t="shared" si="142"/>
        <v>92.453104786545921</v>
      </c>
      <c r="E4451" s="6">
        <v>-7.3753710014289736E-3</v>
      </c>
      <c r="F4451" s="6"/>
      <c r="G4451" s="6">
        <v>4444</v>
      </c>
      <c r="H4451" s="6">
        <f t="shared" ca="1" si="143"/>
        <v>-1.6126854154989576E-2</v>
      </c>
    </row>
    <row r="4452" spans="2:8" x14ac:dyDescent="0.3">
      <c r="B4452" s="4">
        <v>38520</v>
      </c>
      <c r="C4452" s="7">
        <v>30.92</v>
      </c>
      <c r="D4452" s="6">
        <f t="shared" si="142"/>
        <v>-0.97655124296613116</v>
      </c>
      <c r="E4452" s="6">
        <v>-7.3836276083466094E-3</v>
      </c>
      <c r="F4452" s="6"/>
      <c r="G4452" s="6">
        <v>4445</v>
      </c>
      <c r="H4452" s="6">
        <f t="shared" ca="1" si="143"/>
        <v>-8.9052643031594225E-3</v>
      </c>
    </row>
    <row r="4453" spans="2:8" x14ac:dyDescent="0.3">
      <c r="B4453" s="4">
        <v>43488</v>
      </c>
      <c r="C4453" s="5">
        <v>1318.62</v>
      </c>
      <c r="D4453" s="6">
        <f t="shared" si="142"/>
        <v>-0.45735802469135806</v>
      </c>
      <c r="E4453" s="6">
        <v>-7.3921291138479448E-3</v>
      </c>
      <c r="F4453" s="6"/>
      <c r="G4453" s="6">
        <v>4446</v>
      </c>
      <c r="H4453" s="6">
        <f t="shared" ca="1" si="143"/>
        <v>3.3476953872737135E-3</v>
      </c>
    </row>
    <row r="4454" spans="2:8" x14ac:dyDescent="0.3">
      <c r="B4454" s="4">
        <v>46147</v>
      </c>
      <c r="C4454" s="5">
        <v>2430</v>
      </c>
      <c r="D4454" s="6">
        <f t="shared" si="142"/>
        <v>0.95801941904032883</v>
      </c>
      <c r="E4454" s="6">
        <v>-7.393488828070712E-3</v>
      </c>
      <c r="F4454" s="6"/>
      <c r="G4454" s="6">
        <v>4447</v>
      </c>
      <c r="H4454" s="6">
        <f t="shared" ca="1" si="143"/>
        <v>1.3481171326088569E-2</v>
      </c>
    </row>
    <row r="4455" spans="2:8" x14ac:dyDescent="0.3">
      <c r="B4455" s="4">
        <v>43426</v>
      </c>
      <c r="C4455" s="5">
        <v>1241.05</v>
      </c>
      <c r="D4455" s="6">
        <f t="shared" si="142"/>
        <v>-0.58161541858685428</v>
      </c>
      <c r="E4455" s="6">
        <v>-7.3982244261377268E-3</v>
      </c>
      <c r="F4455" s="6"/>
      <c r="G4455" s="6">
        <v>4448</v>
      </c>
      <c r="H4455" s="6">
        <f t="shared" ca="1" si="143"/>
        <v>1.8813123672354371E-2</v>
      </c>
    </row>
    <row r="4456" spans="2:8" x14ac:dyDescent="0.3">
      <c r="B4456" s="4">
        <v>44400</v>
      </c>
      <c r="C4456" s="5">
        <v>2966.29</v>
      </c>
      <c r="D4456" s="6">
        <f t="shared" si="142"/>
        <v>11.023387783227271</v>
      </c>
      <c r="E4456" s="6">
        <v>-7.4019294541243976E-3</v>
      </c>
      <c r="F4456" s="6"/>
      <c r="G4456" s="6">
        <v>4449</v>
      </c>
      <c r="H4456" s="6">
        <f t="shared" ca="1" si="143"/>
        <v>-1.5056331043468178E-2</v>
      </c>
    </row>
    <row r="4457" spans="2:8" x14ac:dyDescent="0.3">
      <c r="B4457" s="4">
        <v>40891</v>
      </c>
      <c r="C4457" s="7">
        <v>246.71</v>
      </c>
      <c r="D4457" s="6">
        <f t="shared" si="142"/>
        <v>-0.41582212540253832</v>
      </c>
      <c r="E4457" s="6">
        <v>-7.4029370348018637E-3</v>
      </c>
      <c r="F4457" s="6"/>
      <c r="G4457" s="6">
        <v>4450</v>
      </c>
      <c r="H4457" s="6">
        <f t="shared" ca="1" si="143"/>
        <v>1.0162800103411744E-2</v>
      </c>
    </row>
    <row r="4458" spans="2:8" x14ac:dyDescent="0.3">
      <c r="B4458" s="4">
        <v>41457</v>
      </c>
      <c r="C4458" s="7">
        <v>422.32</v>
      </c>
      <c r="D4458" s="6">
        <f t="shared" si="142"/>
        <v>-5.5297065139584885E-2</v>
      </c>
      <c r="E4458" s="6">
        <v>-7.4035772204856607E-3</v>
      </c>
      <c r="F4458" s="6"/>
      <c r="G4458" s="6">
        <v>4451</v>
      </c>
      <c r="H4458" s="6">
        <f t="shared" ca="1" si="143"/>
        <v>-1.5805194343761313E-2</v>
      </c>
    </row>
    <row r="4459" spans="2:8" x14ac:dyDescent="0.3">
      <c r="B4459" s="4">
        <v>41621</v>
      </c>
      <c r="C4459" s="7">
        <v>447.04</v>
      </c>
      <c r="D4459" s="6">
        <f t="shared" si="142"/>
        <v>8.3055786844296424</v>
      </c>
      <c r="E4459" s="6">
        <v>-7.4379981793555941E-3</v>
      </c>
      <c r="F4459" s="6"/>
      <c r="G4459" s="6">
        <v>4452</v>
      </c>
      <c r="H4459" s="6">
        <f t="shared" ca="1" si="143"/>
        <v>1.6984977087120511E-2</v>
      </c>
    </row>
    <row r="4460" spans="2:8" x14ac:dyDescent="0.3">
      <c r="B4460" s="4">
        <v>38926</v>
      </c>
      <c r="C4460" s="7">
        <v>48.04</v>
      </c>
      <c r="D4460" s="6">
        <f t="shared" si="142"/>
        <v>-0.8968478914369149</v>
      </c>
      <c r="E4460" s="6">
        <v>-7.4380165289256086E-3</v>
      </c>
      <c r="F4460" s="6"/>
      <c r="G4460" s="6">
        <v>4453</v>
      </c>
      <c r="H4460" s="6">
        <f t="shared" ca="1" si="143"/>
        <v>-8.9859668088603829E-3</v>
      </c>
    </row>
    <row r="4461" spans="2:8" x14ac:dyDescent="0.3">
      <c r="B4461" s="4">
        <v>41765</v>
      </c>
      <c r="C4461" s="7">
        <v>465.72</v>
      </c>
      <c r="D4461" s="6">
        <f t="shared" si="142"/>
        <v>-0.65897308221786122</v>
      </c>
      <c r="E4461" s="6">
        <v>-7.43803414249473E-3</v>
      </c>
      <c r="F4461" s="6"/>
      <c r="G4461" s="6">
        <v>4454</v>
      </c>
      <c r="H4461" s="6">
        <f t="shared" ca="1" si="143"/>
        <v>-5.0499379369596331E-3</v>
      </c>
    </row>
    <row r="4462" spans="2:8" x14ac:dyDescent="0.3">
      <c r="B4462" s="4">
        <v>43500</v>
      </c>
      <c r="C4462" s="5">
        <v>1365.64</v>
      </c>
      <c r="D4462" s="6">
        <f t="shared" si="142"/>
        <v>-0.5088014617548251</v>
      </c>
      <c r="E4462" s="6">
        <v>-7.4425095211791787E-3</v>
      </c>
      <c r="F4462" s="6"/>
      <c r="G4462" s="6">
        <v>4455</v>
      </c>
      <c r="H4462" s="6">
        <f t="shared" ca="1" si="143"/>
        <v>3.5734360086990798E-3</v>
      </c>
    </row>
    <row r="4463" spans="2:8" x14ac:dyDescent="0.3">
      <c r="B4463" s="4">
        <v>44715</v>
      </c>
      <c r="C4463" s="5">
        <v>2780.22</v>
      </c>
      <c r="D4463" s="6">
        <f t="shared" si="142"/>
        <v>-0.16169553261289085</v>
      </c>
      <c r="E4463" s="6">
        <v>-7.443584058949031E-3</v>
      </c>
      <c r="F4463" s="6"/>
      <c r="G4463" s="6">
        <v>4456</v>
      </c>
      <c r="H4463" s="6">
        <f t="shared" ca="1" si="143"/>
        <v>8.2718778377899923E-3</v>
      </c>
    </row>
    <row r="4464" spans="2:8" x14ac:dyDescent="0.3">
      <c r="B4464" s="4">
        <v>45548</v>
      </c>
      <c r="C4464" s="5">
        <v>3316.48</v>
      </c>
      <c r="D4464" s="6">
        <f t="shared" si="142"/>
        <v>2.3065603190428714</v>
      </c>
      <c r="E4464" s="6">
        <v>-7.4490403636831223E-3</v>
      </c>
      <c r="F4464" s="6"/>
      <c r="G4464" s="6">
        <v>4457</v>
      </c>
      <c r="H4464" s="6">
        <f t="shared" ca="1" si="143"/>
        <v>1.7874318635469993E-2</v>
      </c>
    </row>
    <row r="4465" spans="2:8" x14ac:dyDescent="0.3">
      <c r="B4465" s="4">
        <v>42811</v>
      </c>
      <c r="C4465" s="5">
        <v>1003</v>
      </c>
      <c r="D4465" s="6">
        <f t="shared" si="142"/>
        <v>-2.9361100896123173E-2</v>
      </c>
      <c r="E4465" s="6">
        <v>-7.4515353329440721E-3</v>
      </c>
      <c r="F4465" s="6"/>
      <c r="G4465" s="6">
        <v>4458</v>
      </c>
      <c r="H4465" s="6">
        <f t="shared" ca="1" si="143"/>
        <v>5.8090240459298869E-3</v>
      </c>
    </row>
    <row r="4466" spans="2:8" x14ac:dyDescent="0.3">
      <c r="B4466" s="4">
        <v>42857</v>
      </c>
      <c r="C4466" s="5">
        <v>1033.3399999999999</v>
      </c>
      <c r="D4466" s="6">
        <f t="shared" si="142"/>
        <v>63.705072010018775</v>
      </c>
      <c r="E4466" s="6">
        <v>-7.4536547882047754E-3</v>
      </c>
      <c r="F4466" s="6"/>
      <c r="G4466" s="6">
        <v>4459</v>
      </c>
      <c r="H4466" s="6">
        <f t="shared" ca="1" si="143"/>
        <v>1.2180926867573801E-2</v>
      </c>
    </row>
    <row r="4467" spans="2:8" x14ac:dyDescent="0.3">
      <c r="B4467" s="4">
        <v>37580</v>
      </c>
      <c r="C4467" s="7">
        <v>15.97</v>
      </c>
      <c r="D4467" s="6">
        <f t="shared" si="142"/>
        <v>-0.99316776829450903</v>
      </c>
      <c r="E4467" s="6">
        <v>-7.4580484773150539E-3</v>
      </c>
      <c r="F4467" s="6"/>
      <c r="G4467" s="6">
        <v>4460</v>
      </c>
      <c r="H4467" s="6">
        <f t="shared" ca="1" si="143"/>
        <v>1.6163524328043213E-2</v>
      </c>
    </row>
    <row r="4468" spans="2:8" x14ac:dyDescent="0.3">
      <c r="B4468" s="4">
        <v>45838</v>
      </c>
      <c r="C4468" s="5">
        <v>2337.4499999999998</v>
      </c>
      <c r="D4468" s="6">
        <f t="shared" si="142"/>
        <v>31.573160535117051</v>
      </c>
      <c r="E4468" s="6">
        <v>-7.4606585082080679E-3</v>
      </c>
      <c r="F4468" s="6"/>
      <c r="G4468" s="6">
        <v>4461</v>
      </c>
      <c r="H4468" s="6">
        <f t="shared" ca="1" si="143"/>
        <v>1.0494176911041342E-2</v>
      </c>
    </row>
    <row r="4469" spans="2:8" x14ac:dyDescent="0.3">
      <c r="B4469" s="4">
        <v>39246</v>
      </c>
      <c r="C4469" s="7">
        <v>71.760000000000005</v>
      </c>
      <c r="D4469" s="6">
        <f t="shared" si="142"/>
        <v>1.3527868852459017</v>
      </c>
      <c r="E4469" s="6">
        <v>-7.4688796680496827E-3</v>
      </c>
      <c r="F4469" s="6"/>
      <c r="G4469" s="6">
        <v>4462</v>
      </c>
      <c r="H4469" s="6">
        <f t="shared" ca="1" si="143"/>
        <v>2.2970386765849464E-3</v>
      </c>
    </row>
    <row r="4470" spans="2:8" x14ac:dyDescent="0.3">
      <c r="B4470" s="4">
        <v>38505</v>
      </c>
      <c r="C4470" s="7">
        <v>30.5</v>
      </c>
      <c r="D4470" s="6">
        <f t="shared" si="142"/>
        <v>-0.98788783740315234</v>
      </c>
      <c r="E4470" s="6">
        <v>-7.4845427920598902E-3</v>
      </c>
      <c r="F4470" s="6"/>
      <c r="G4470" s="6">
        <v>4463</v>
      </c>
      <c r="H4470" s="6">
        <f t="shared" ca="1" si="143"/>
        <v>1.9807452421090891E-2</v>
      </c>
    </row>
    <row r="4471" spans="2:8" x14ac:dyDescent="0.3">
      <c r="B4471" s="4">
        <v>44295</v>
      </c>
      <c r="C4471" s="5">
        <v>2518.13</v>
      </c>
      <c r="D4471" s="6">
        <f t="shared" si="142"/>
        <v>2.1501038304686131</v>
      </c>
      <c r="E4471" s="6">
        <v>-7.4887766886206067E-3</v>
      </c>
      <c r="F4471" s="6"/>
      <c r="G4471" s="6">
        <v>4464</v>
      </c>
      <c r="H4471" s="6">
        <f t="shared" ca="1" si="143"/>
        <v>-2.5943058513284273E-4</v>
      </c>
    </row>
    <row r="4472" spans="2:8" x14ac:dyDescent="0.3">
      <c r="B4472" s="4">
        <v>42495</v>
      </c>
      <c r="C4472" s="7">
        <v>799.38</v>
      </c>
      <c r="D4472" s="6">
        <f t="shared" si="142"/>
        <v>5.7870606214977078</v>
      </c>
      <c r="E4472" s="6">
        <v>-7.4991929676441653E-3</v>
      </c>
      <c r="F4472" s="6"/>
      <c r="G4472" s="6">
        <v>4465</v>
      </c>
      <c r="H4472" s="6">
        <f t="shared" ca="1" si="143"/>
        <v>1.0211937649998514E-2</v>
      </c>
    </row>
    <row r="4473" spans="2:8" x14ac:dyDescent="0.3">
      <c r="B4473" s="4">
        <v>40073</v>
      </c>
      <c r="C4473" s="7">
        <v>117.78</v>
      </c>
      <c r="D4473" s="6">
        <f t="shared" si="142"/>
        <v>-0.49131899455817568</v>
      </c>
      <c r="E4473" s="6">
        <v>-7.4997893317603481E-3</v>
      </c>
      <c r="F4473" s="6"/>
      <c r="G4473" s="6">
        <v>4466</v>
      </c>
      <c r="H4473" s="6">
        <f t="shared" ca="1" si="143"/>
        <v>-3.5145430629789719E-2</v>
      </c>
    </row>
    <row r="4474" spans="2:8" x14ac:dyDescent="0.3">
      <c r="B4474" s="4">
        <v>40505</v>
      </c>
      <c r="C4474" s="7">
        <v>231.54</v>
      </c>
      <c r="D4474" s="6">
        <f t="shared" si="142"/>
        <v>-0.77897419742833418</v>
      </c>
      <c r="E4474" s="6">
        <v>-7.5013931158643748E-3</v>
      </c>
      <c r="F4474" s="6"/>
      <c r="G4474" s="6">
        <v>4467</v>
      </c>
      <c r="H4474" s="6">
        <f t="shared" ca="1" si="143"/>
        <v>-8.0232762278283597E-3</v>
      </c>
    </row>
    <row r="4475" spans="2:8" x14ac:dyDescent="0.3">
      <c r="B4475" s="4">
        <v>43081</v>
      </c>
      <c r="C4475" s="5">
        <v>1047.57</v>
      </c>
      <c r="D4475" s="6">
        <f t="shared" si="142"/>
        <v>-0.61373499751110794</v>
      </c>
      <c r="E4475" s="6">
        <v>-7.5036239092744345E-3</v>
      </c>
      <c r="F4475" s="6"/>
      <c r="G4475" s="6">
        <v>4468</v>
      </c>
      <c r="H4475" s="6">
        <f t="shared" ca="1" si="143"/>
        <v>-1.9519893401184752E-2</v>
      </c>
    </row>
    <row r="4476" spans="2:8" x14ac:dyDescent="0.3">
      <c r="B4476" s="4">
        <v>44979</v>
      </c>
      <c r="C4476" s="5">
        <v>2712.05</v>
      </c>
      <c r="D4476" s="6">
        <f t="shared" si="142"/>
        <v>2.4073976354704567</v>
      </c>
      <c r="E4476" s="6">
        <v>-7.5094142144574447E-3</v>
      </c>
      <c r="F4476" s="6"/>
      <c r="G4476" s="6">
        <v>4469</v>
      </c>
      <c r="H4476" s="6">
        <f t="shared" ca="1" si="143"/>
        <v>3.7706213263906637E-3</v>
      </c>
    </row>
    <row r="4477" spans="2:8" x14ac:dyDescent="0.3">
      <c r="B4477" s="4">
        <v>42466</v>
      </c>
      <c r="C4477" s="7">
        <v>795.93</v>
      </c>
      <c r="D4477" s="6">
        <f t="shared" si="142"/>
        <v>17.305657773689052</v>
      </c>
      <c r="E4477" s="6">
        <v>-7.519078258267353E-3</v>
      </c>
      <c r="F4477" s="6"/>
      <c r="G4477" s="6">
        <v>4470</v>
      </c>
      <c r="H4477" s="6">
        <f t="shared" ca="1" si="143"/>
        <v>-2.1506344896810192E-2</v>
      </c>
    </row>
    <row r="4478" spans="2:8" x14ac:dyDescent="0.3">
      <c r="B4478" s="4">
        <v>38692</v>
      </c>
      <c r="C4478" s="7">
        <v>43.48</v>
      </c>
      <c r="D4478" s="6">
        <f t="shared" si="142"/>
        <v>-0.98600980086167789</v>
      </c>
      <c r="E4478" s="6">
        <v>-7.532526820360771E-3</v>
      </c>
      <c r="F4478" s="6"/>
      <c r="G4478" s="6">
        <v>4471</v>
      </c>
      <c r="H4478" s="6">
        <f t="shared" ca="1" si="143"/>
        <v>2.8845486541410658E-3</v>
      </c>
    </row>
    <row r="4479" spans="2:8" x14ac:dyDescent="0.3">
      <c r="B4479" s="4">
        <v>44614</v>
      </c>
      <c r="C4479" s="5">
        <v>3107.89</v>
      </c>
      <c r="D4479" s="6">
        <f t="shared" si="142"/>
        <v>0.26456251424107291</v>
      </c>
      <c r="E4479" s="6">
        <v>-7.5363485114114722E-3</v>
      </c>
      <c r="F4479" s="6"/>
      <c r="G4479" s="6">
        <v>4472</v>
      </c>
      <c r="H4479" s="6">
        <f t="shared" ca="1" si="143"/>
        <v>-2.6959092837227701E-2</v>
      </c>
    </row>
    <row r="4480" spans="2:8" x14ac:dyDescent="0.3">
      <c r="B4480" s="4">
        <v>44321</v>
      </c>
      <c r="C4480" s="5">
        <v>2457.6799999999998</v>
      </c>
      <c r="D4480" s="6">
        <f t="shared" si="142"/>
        <v>32.410549211528</v>
      </c>
      <c r="E4480" s="6">
        <v>-7.5393219859874712E-3</v>
      </c>
      <c r="F4480" s="6"/>
      <c r="G4480" s="6">
        <v>4473</v>
      </c>
      <c r="H4480" s="6">
        <f t="shared" ca="1" si="143"/>
        <v>7.0164221414399175E-3</v>
      </c>
    </row>
    <row r="4481" spans="2:8" x14ac:dyDescent="0.3">
      <c r="B4481" s="4">
        <v>39283</v>
      </c>
      <c r="C4481" s="7">
        <v>73.56</v>
      </c>
      <c r="D4481" s="6">
        <f t="shared" si="142"/>
        <v>-0.83943071684274861</v>
      </c>
      <c r="E4481" s="6">
        <v>-7.5553157042633871E-3</v>
      </c>
      <c r="F4481" s="6"/>
      <c r="G4481" s="6">
        <v>4474</v>
      </c>
      <c r="H4481" s="6">
        <f t="shared" ca="1" si="143"/>
        <v>3.7282190981865415E-2</v>
      </c>
    </row>
    <row r="4482" spans="2:8" x14ac:dyDescent="0.3">
      <c r="B4482" s="4">
        <v>41788</v>
      </c>
      <c r="C4482" s="7">
        <v>458.12</v>
      </c>
      <c r="D4482" s="6">
        <f t="shared" si="142"/>
        <v>-0.84533527795220831</v>
      </c>
      <c r="E4482" s="6">
        <v>-7.5604947899742397E-3</v>
      </c>
      <c r="F4482" s="6"/>
      <c r="G4482" s="6">
        <v>4475</v>
      </c>
      <c r="H4482" s="6">
        <f t="shared" ca="1" si="143"/>
        <v>2.4317279376871784E-2</v>
      </c>
    </row>
    <row r="4483" spans="2:8" x14ac:dyDescent="0.3">
      <c r="B4483" s="4">
        <v>45485</v>
      </c>
      <c r="C4483" s="5">
        <v>2962.02</v>
      </c>
      <c r="D4483" s="6">
        <f t="shared" si="142"/>
        <v>0.28695629505076958</v>
      </c>
      <c r="E4483" s="6">
        <v>-7.578803473785747E-3</v>
      </c>
      <c r="F4483" s="6"/>
      <c r="G4483" s="6">
        <v>4476</v>
      </c>
      <c r="H4483" s="6">
        <f t="shared" ca="1" si="143"/>
        <v>6.9755528304707567E-4</v>
      </c>
    </row>
    <row r="4484" spans="2:8" x14ac:dyDescent="0.3">
      <c r="B4484" s="4">
        <v>44273</v>
      </c>
      <c r="C4484" s="5">
        <v>2301.5700000000002</v>
      </c>
      <c r="D4484" s="6">
        <f t="shared" si="142"/>
        <v>145.87747287811104</v>
      </c>
      <c r="E4484" s="6">
        <v>-7.5932010451968688E-3</v>
      </c>
      <c r="F4484" s="6"/>
      <c r="G4484" s="6">
        <v>4477</v>
      </c>
      <c r="H4484" s="6">
        <f t="shared" ca="1" si="143"/>
        <v>1.318153460576244E-2</v>
      </c>
    </row>
    <row r="4485" spans="2:8" x14ac:dyDescent="0.3">
      <c r="B4485" s="4">
        <v>37683</v>
      </c>
      <c r="C4485" s="7">
        <v>15.67</v>
      </c>
      <c r="D4485" s="6">
        <f t="shared" si="142"/>
        <v>-0.98822565859669687</v>
      </c>
      <c r="E4485" s="6">
        <v>-7.5997466751107808E-3</v>
      </c>
      <c r="F4485" s="6"/>
      <c r="G4485" s="6">
        <v>4478</v>
      </c>
      <c r="H4485" s="6">
        <f t="shared" ca="1" si="143"/>
        <v>-4.8497512726180881E-3</v>
      </c>
    </row>
    <row r="4486" spans="2:8" x14ac:dyDescent="0.3">
      <c r="B4486" s="4">
        <v>43633</v>
      </c>
      <c r="C4486" s="5">
        <v>1330.86</v>
      </c>
      <c r="D4486" s="6">
        <f t="shared" si="142"/>
        <v>55.94736842105263</v>
      </c>
      <c r="E4486" s="6">
        <v>-7.6429226536227461E-3</v>
      </c>
      <c r="F4486" s="6"/>
      <c r="G4486" s="6">
        <v>4479</v>
      </c>
      <c r="H4486" s="6">
        <f t="shared" ca="1" si="143"/>
        <v>-3.120911669342373E-2</v>
      </c>
    </row>
    <row r="4487" spans="2:8" x14ac:dyDescent="0.3">
      <c r="B4487" s="4">
        <v>38105</v>
      </c>
      <c r="C4487" s="7">
        <v>23.37</v>
      </c>
      <c r="D4487" s="6">
        <f t="shared" si="142"/>
        <v>-5.1926977687626677E-2</v>
      </c>
      <c r="E4487" s="6">
        <v>-7.6433121019108159E-3</v>
      </c>
      <c r="F4487" s="6"/>
      <c r="G4487" s="6">
        <v>4480</v>
      </c>
      <c r="H4487" s="6">
        <f t="shared" ca="1" si="143"/>
        <v>3.3965640803880286E-5</v>
      </c>
    </row>
    <row r="4488" spans="2:8" x14ac:dyDescent="0.3">
      <c r="B4488" s="4">
        <v>37978</v>
      </c>
      <c r="C4488" s="7">
        <v>24.65</v>
      </c>
      <c r="D4488" s="6">
        <f t="shared" ref="D4488:D4551" si="144">((C4488-C4489)/C4489)</f>
        <v>-0.98487061769616024</v>
      </c>
      <c r="E4488" s="6">
        <v>-7.6489533011272655E-3</v>
      </c>
      <c r="F4488" s="6"/>
      <c r="G4488" s="6">
        <v>4481</v>
      </c>
      <c r="H4488" s="6">
        <f t="shared" ca="1" si="143"/>
        <v>-3.2962146805559311E-2</v>
      </c>
    </row>
    <row r="4489" spans="2:8" x14ac:dyDescent="0.3">
      <c r="B4489" s="4">
        <v>43809</v>
      </c>
      <c r="C4489" s="5">
        <v>1629.28</v>
      </c>
      <c r="D4489" s="6">
        <f t="shared" si="144"/>
        <v>0.50980882748139689</v>
      </c>
      <c r="E4489" s="6">
        <v>-7.6499537104711456E-3</v>
      </c>
      <c r="F4489" s="6"/>
      <c r="G4489" s="6">
        <v>4482</v>
      </c>
      <c r="H4489" s="6">
        <f t="shared" ref="H4489:H4552" ca="1" si="145">_xlfn.NORM.INV(RAND(),N$10,N$11)</f>
        <v>1.8203765278326116E-2</v>
      </c>
    </row>
    <row r="4490" spans="2:8" x14ac:dyDescent="0.3">
      <c r="B4490" s="4">
        <v>42909</v>
      </c>
      <c r="C4490" s="5">
        <v>1079.1300000000001</v>
      </c>
      <c r="D4490" s="6">
        <f t="shared" si="144"/>
        <v>42.992254382388914</v>
      </c>
      <c r="E4490" s="6">
        <v>-7.6509264793783033E-3</v>
      </c>
      <c r="F4490" s="6"/>
      <c r="G4490" s="6">
        <v>4483</v>
      </c>
      <c r="H4490" s="6">
        <f t="shared" ca="1" si="145"/>
        <v>3.2170315233364354E-4</v>
      </c>
    </row>
    <row r="4491" spans="2:8" x14ac:dyDescent="0.3">
      <c r="B4491" s="4">
        <v>38020</v>
      </c>
      <c r="C4491" s="7">
        <v>24.53</v>
      </c>
      <c r="D4491" s="6">
        <f t="shared" si="144"/>
        <v>-0.86691623263888884</v>
      </c>
      <c r="E4491" s="6">
        <v>-7.6860841423947307E-3</v>
      </c>
      <c r="F4491" s="6"/>
      <c r="G4491" s="6">
        <v>4484</v>
      </c>
      <c r="H4491" s="6">
        <f t="shared" ca="1" si="145"/>
        <v>-4.8230025987119228E-3</v>
      </c>
    </row>
    <row r="4492" spans="2:8" x14ac:dyDescent="0.3">
      <c r="B4492" s="4">
        <v>40315</v>
      </c>
      <c r="C4492" s="7">
        <v>184.32</v>
      </c>
      <c r="D4492" s="6">
        <f t="shared" si="144"/>
        <v>-0.5595383181590079</v>
      </c>
      <c r="E4492" s="6">
        <v>-7.6985195154778297E-3</v>
      </c>
      <c r="F4492" s="6"/>
      <c r="G4492" s="6">
        <v>4485</v>
      </c>
      <c r="H4492" s="6">
        <f t="shared" ca="1" si="145"/>
        <v>1.2894264942307684E-2</v>
      </c>
    </row>
    <row r="4493" spans="2:8" x14ac:dyDescent="0.3">
      <c r="B4493" s="4">
        <v>41554</v>
      </c>
      <c r="C4493" s="7">
        <v>418.47</v>
      </c>
      <c r="D4493" s="6">
        <f t="shared" si="144"/>
        <v>24.028110047846891</v>
      </c>
      <c r="E4493" s="6">
        <v>-7.7065351418002465E-3</v>
      </c>
      <c r="F4493" s="6"/>
      <c r="G4493" s="6">
        <v>4486</v>
      </c>
      <c r="H4493" s="6">
        <f t="shared" ca="1" si="145"/>
        <v>3.5697811138343622E-3</v>
      </c>
    </row>
    <row r="4494" spans="2:8" x14ac:dyDescent="0.3">
      <c r="B4494" s="4">
        <v>37510</v>
      </c>
      <c r="C4494" s="7">
        <v>16.72</v>
      </c>
      <c r="D4494" s="6">
        <f t="shared" si="144"/>
        <v>-0.99424186905073497</v>
      </c>
      <c r="E4494" s="6">
        <v>-7.7151335311574209E-3</v>
      </c>
      <c r="F4494" s="6"/>
      <c r="G4494" s="6">
        <v>4487</v>
      </c>
      <c r="H4494" s="6">
        <f t="shared" ca="1" si="145"/>
        <v>-2.1609585501393476E-2</v>
      </c>
    </row>
    <row r="4495" spans="2:8" x14ac:dyDescent="0.3">
      <c r="B4495" s="4">
        <v>44363</v>
      </c>
      <c r="C4495" s="5">
        <v>2903.72</v>
      </c>
      <c r="D4495" s="6">
        <f t="shared" si="144"/>
        <v>8.5734156437072565E-2</v>
      </c>
      <c r="E4495" s="6">
        <v>-7.7230104704886556E-3</v>
      </c>
      <c r="F4495" s="6"/>
      <c r="G4495" s="6">
        <v>4488</v>
      </c>
      <c r="H4495" s="6">
        <f t="shared" ca="1" si="145"/>
        <v>3.4411336972873198E-3</v>
      </c>
    </row>
    <row r="4496" spans="2:8" x14ac:dyDescent="0.3">
      <c r="B4496" s="4">
        <v>44336</v>
      </c>
      <c r="C4496" s="5">
        <v>2674.43</v>
      </c>
      <c r="D4496" s="6">
        <f t="shared" si="144"/>
        <v>108.6077868852459</v>
      </c>
      <c r="E4496" s="6">
        <v>-7.7247008626287594E-3</v>
      </c>
      <c r="F4496" s="6"/>
      <c r="G4496" s="6">
        <v>4489</v>
      </c>
      <c r="H4496" s="6">
        <f t="shared" ca="1" si="145"/>
        <v>2.405002812398857E-2</v>
      </c>
    </row>
    <row r="4497" spans="2:8" x14ac:dyDescent="0.3">
      <c r="B4497" s="4">
        <v>38219</v>
      </c>
      <c r="C4497" s="7">
        <v>24.4</v>
      </c>
      <c r="D4497" s="6">
        <f t="shared" si="144"/>
        <v>-0.9662307106774618</v>
      </c>
      <c r="E4497" s="6">
        <v>-7.7267181781212396E-3</v>
      </c>
      <c r="F4497" s="6"/>
      <c r="G4497" s="6">
        <v>4490</v>
      </c>
      <c r="H4497" s="6">
        <f t="shared" ca="1" si="145"/>
        <v>2.5285439680395025E-2</v>
      </c>
    </row>
    <row r="4498" spans="2:8" x14ac:dyDescent="0.3">
      <c r="B4498" s="4">
        <v>42139</v>
      </c>
      <c r="C4498" s="7">
        <v>722.55</v>
      </c>
      <c r="D4498" s="6">
        <f t="shared" si="144"/>
        <v>-0.77222360577392912</v>
      </c>
      <c r="E4498" s="6">
        <v>-7.7316048229833225E-3</v>
      </c>
      <c r="F4498" s="6"/>
      <c r="G4498" s="6">
        <v>4491</v>
      </c>
      <c r="H4498" s="6">
        <f t="shared" ca="1" si="145"/>
        <v>4.0857940599413264E-2</v>
      </c>
    </row>
    <row r="4499" spans="2:8" x14ac:dyDescent="0.3">
      <c r="B4499" s="4">
        <v>44483</v>
      </c>
      <c r="C4499" s="5">
        <v>3172.19</v>
      </c>
      <c r="D4499" s="6">
        <f t="shared" si="144"/>
        <v>0.33306578361250966</v>
      </c>
      <c r="E4499" s="6">
        <v>-7.7324666631215146E-3</v>
      </c>
      <c r="F4499" s="6"/>
      <c r="G4499" s="6">
        <v>4492</v>
      </c>
      <c r="H4499" s="6">
        <f t="shared" ca="1" si="145"/>
        <v>2.2914064969278548E-2</v>
      </c>
    </row>
    <row r="4500" spans="2:8" x14ac:dyDescent="0.3">
      <c r="B4500" s="4">
        <v>44239</v>
      </c>
      <c r="C4500" s="5">
        <v>2379.62</v>
      </c>
      <c r="D4500" s="6">
        <f t="shared" si="144"/>
        <v>4.9003719315645915</v>
      </c>
      <c r="E4500" s="6">
        <v>-7.7433397687423277E-3</v>
      </c>
      <c r="F4500" s="6"/>
      <c r="G4500" s="6">
        <v>4493</v>
      </c>
      <c r="H4500" s="6">
        <f t="shared" ca="1" si="145"/>
        <v>-4.5191732300820051E-3</v>
      </c>
    </row>
    <row r="4501" spans="2:8" x14ac:dyDescent="0.3">
      <c r="B4501" s="4">
        <v>41330</v>
      </c>
      <c r="C4501" s="7">
        <v>403.3</v>
      </c>
      <c r="D4501" s="6">
        <f t="shared" si="144"/>
        <v>-0.8314075981539697</v>
      </c>
      <c r="E4501" s="6">
        <v>-7.7500307540902379E-3</v>
      </c>
      <c r="F4501" s="6"/>
      <c r="G4501" s="6">
        <v>4494</v>
      </c>
      <c r="H4501" s="6">
        <f t="shared" ca="1" si="145"/>
        <v>-2.5233050370527749E-3</v>
      </c>
    </row>
    <row r="4502" spans="2:8" x14ac:dyDescent="0.3">
      <c r="B4502" s="4">
        <v>45783</v>
      </c>
      <c r="C4502" s="5">
        <v>2392.16</v>
      </c>
      <c r="D4502" s="6">
        <f t="shared" si="144"/>
        <v>0.19838689477243682</v>
      </c>
      <c r="E4502" s="6">
        <v>-7.7565681955817723E-3</v>
      </c>
      <c r="F4502" s="6"/>
      <c r="G4502" s="6">
        <v>4495</v>
      </c>
      <c r="H4502" s="6">
        <f t="shared" ca="1" si="145"/>
        <v>-5.8416666404775552E-3</v>
      </c>
    </row>
    <row r="4503" spans="2:8" x14ac:dyDescent="0.3">
      <c r="B4503" s="4">
        <v>44112</v>
      </c>
      <c r="C4503" s="5">
        <v>1996.15</v>
      </c>
      <c r="D4503" s="6">
        <f t="shared" si="144"/>
        <v>0.55846944192873449</v>
      </c>
      <c r="E4503" s="6">
        <v>-7.7643070529930811E-3</v>
      </c>
      <c r="F4503" s="6"/>
      <c r="G4503" s="6">
        <v>4496</v>
      </c>
      <c r="H4503" s="6">
        <f t="shared" ca="1" si="145"/>
        <v>1.3719937618676169E-2</v>
      </c>
    </row>
    <row r="4504" spans="2:8" x14ac:dyDescent="0.3">
      <c r="B4504" s="4">
        <v>43292</v>
      </c>
      <c r="C4504" s="5">
        <v>1280.8399999999999</v>
      </c>
      <c r="D4504" s="6">
        <f t="shared" si="144"/>
        <v>0.20318635279087677</v>
      </c>
      <c r="E4504" s="6">
        <v>-7.7699535971863729E-3</v>
      </c>
      <c r="F4504" s="6"/>
      <c r="G4504" s="6">
        <v>4497</v>
      </c>
      <c r="H4504" s="6">
        <f t="shared" ca="1" si="145"/>
        <v>-2.6866478354875031E-2</v>
      </c>
    </row>
    <row r="4505" spans="2:8" x14ac:dyDescent="0.3">
      <c r="B4505" s="4">
        <v>43077</v>
      </c>
      <c r="C4505" s="5">
        <v>1064.54</v>
      </c>
      <c r="D4505" s="6">
        <f t="shared" si="144"/>
        <v>-0.62953966508442494</v>
      </c>
      <c r="E4505" s="6">
        <v>-7.7734695399300432E-3</v>
      </c>
      <c r="F4505" s="6"/>
      <c r="G4505" s="6">
        <v>4498</v>
      </c>
      <c r="H4505" s="6">
        <f t="shared" ca="1" si="145"/>
        <v>1.1663783003166664E-2</v>
      </c>
    </row>
    <row r="4506" spans="2:8" x14ac:dyDescent="0.3">
      <c r="B4506" s="4">
        <v>44370</v>
      </c>
      <c r="C4506" s="5">
        <v>2873.56</v>
      </c>
      <c r="D4506" s="6">
        <f t="shared" si="144"/>
        <v>2.4113205755259033</v>
      </c>
      <c r="E4506" s="6">
        <v>-7.7897324696490295E-3</v>
      </c>
      <c r="F4506" s="6"/>
      <c r="G4506" s="6">
        <v>4499</v>
      </c>
      <c r="H4506" s="6">
        <f t="shared" ca="1" si="145"/>
        <v>1.658639048290857E-2</v>
      </c>
    </row>
    <row r="4507" spans="2:8" x14ac:dyDescent="0.3">
      <c r="B4507" s="4">
        <v>42222</v>
      </c>
      <c r="C4507" s="7">
        <v>842.36</v>
      </c>
      <c r="D4507" s="6">
        <f t="shared" si="144"/>
        <v>-0.64550122043599012</v>
      </c>
      <c r="E4507" s="6">
        <v>-7.7975924050036564E-3</v>
      </c>
      <c r="F4507" s="6"/>
      <c r="G4507" s="6">
        <v>4500</v>
      </c>
      <c r="H4507" s="6">
        <f t="shared" ca="1" si="145"/>
        <v>9.8991278668131757E-3</v>
      </c>
    </row>
    <row r="4508" spans="2:8" x14ac:dyDescent="0.3">
      <c r="B4508" s="4">
        <v>46080</v>
      </c>
      <c r="C4508" s="5">
        <v>2376.1999999999998</v>
      </c>
      <c r="D4508" s="6">
        <f t="shared" si="144"/>
        <v>2.0266593638945847</v>
      </c>
      <c r="E4508" s="6">
        <v>-7.8082592175039763E-3</v>
      </c>
      <c r="F4508" s="6"/>
      <c r="G4508" s="6">
        <v>4501</v>
      </c>
      <c r="H4508" s="6">
        <f t="shared" ca="1" si="145"/>
        <v>-2.9313825330356744E-2</v>
      </c>
    </row>
    <row r="4509" spans="2:8" x14ac:dyDescent="0.3">
      <c r="B4509" s="4">
        <v>42468</v>
      </c>
      <c r="C4509" s="7">
        <v>785.09</v>
      </c>
      <c r="D4509" s="6">
        <f t="shared" si="144"/>
        <v>1.6608710388069818</v>
      </c>
      <c r="E4509" s="6">
        <v>-7.8102291253301023E-3</v>
      </c>
      <c r="F4509" s="6"/>
      <c r="G4509" s="6">
        <v>4502</v>
      </c>
      <c r="H4509" s="6">
        <f t="shared" ca="1" si="145"/>
        <v>-4.2557514324559082E-4</v>
      </c>
    </row>
    <row r="4510" spans="2:8" x14ac:dyDescent="0.3">
      <c r="B4510" s="4">
        <v>41016</v>
      </c>
      <c r="C4510" s="7">
        <v>295.05</v>
      </c>
      <c r="D4510" s="6">
        <f t="shared" si="144"/>
        <v>-0.90041716449646625</v>
      </c>
      <c r="E4510" s="6">
        <v>-7.8350931468154691E-3</v>
      </c>
      <c r="F4510" s="6"/>
      <c r="G4510" s="6">
        <v>4503</v>
      </c>
      <c r="H4510" s="6">
        <f t="shared" ca="1" si="145"/>
        <v>-1.271190623007469E-2</v>
      </c>
    </row>
    <row r="4511" spans="2:8" x14ac:dyDescent="0.3">
      <c r="B4511" s="4">
        <v>44686</v>
      </c>
      <c r="C4511" s="5">
        <v>2962.86</v>
      </c>
      <c r="D4511" s="6">
        <f t="shared" si="144"/>
        <v>2.7098353471483128</v>
      </c>
      <c r="E4511" s="6">
        <v>-7.8358883687288071E-3</v>
      </c>
      <c r="F4511" s="6"/>
      <c r="G4511" s="6">
        <v>4504</v>
      </c>
      <c r="H4511" s="6">
        <f t="shared" ca="1" si="145"/>
        <v>-8.9291350640158234E-3</v>
      </c>
    </row>
    <row r="4512" spans="2:8" x14ac:dyDescent="0.3">
      <c r="B4512" s="4">
        <v>42489</v>
      </c>
      <c r="C4512" s="7">
        <v>798.65</v>
      </c>
      <c r="D4512" s="6">
        <f t="shared" si="144"/>
        <v>-0.39253225021297311</v>
      </c>
      <c r="E4512" s="6">
        <v>-7.8388988272709934E-3</v>
      </c>
      <c r="F4512" s="6"/>
      <c r="G4512" s="6">
        <v>4505</v>
      </c>
      <c r="H4512" s="6">
        <f t="shared" ca="1" si="145"/>
        <v>-3.2205593285272978E-3</v>
      </c>
    </row>
    <row r="4513" spans="2:8" x14ac:dyDescent="0.3">
      <c r="B4513" s="4">
        <v>43664</v>
      </c>
      <c r="C4513" s="5">
        <v>1314.72</v>
      </c>
      <c r="D4513" s="6">
        <f t="shared" si="144"/>
        <v>56.815303430079162</v>
      </c>
      <c r="E4513" s="6">
        <v>-7.8408584947663763E-3</v>
      </c>
      <c r="F4513" s="6"/>
      <c r="G4513" s="6">
        <v>4506</v>
      </c>
      <c r="H4513" s="6">
        <f t="shared" ca="1" si="145"/>
        <v>1.5279396341589592E-2</v>
      </c>
    </row>
    <row r="4514" spans="2:8" x14ac:dyDescent="0.3">
      <c r="B4514" s="4">
        <v>37866</v>
      </c>
      <c r="C4514" s="7">
        <v>22.74</v>
      </c>
      <c r="D4514" s="6">
        <f t="shared" si="144"/>
        <v>-0.94607796642321917</v>
      </c>
      <c r="E4514" s="6">
        <v>-7.8534031413613984E-3</v>
      </c>
      <c r="F4514" s="6"/>
      <c r="G4514" s="6">
        <v>4507</v>
      </c>
      <c r="H4514" s="6">
        <f t="shared" ca="1" si="145"/>
        <v>6.5314819674906549E-3</v>
      </c>
    </row>
    <row r="4515" spans="2:8" x14ac:dyDescent="0.3">
      <c r="B4515" s="4">
        <v>41551</v>
      </c>
      <c r="C4515" s="7">
        <v>421.72</v>
      </c>
      <c r="D4515" s="6">
        <f t="shared" si="144"/>
        <v>-0.40532460939703302</v>
      </c>
      <c r="E4515" s="6">
        <v>-7.8577142050533458E-3</v>
      </c>
      <c r="F4515" s="6"/>
      <c r="G4515" s="6">
        <v>4508</v>
      </c>
      <c r="H4515" s="6">
        <f t="shared" ca="1" si="145"/>
        <v>-5.6711582441940182E-3</v>
      </c>
    </row>
    <row r="4516" spans="2:8" x14ac:dyDescent="0.3">
      <c r="B4516" s="4">
        <v>41983</v>
      </c>
      <c r="C4516" s="7">
        <v>709.16</v>
      </c>
      <c r="D4516" s="6">
        <f t="shared" si="144"/>
        <v>0.57454650414085573</v>
      </c>
      <c r="E4516" s="6">
        <v>-7.8625591090965112E-3</v>
      </c>
      <c r="F4516" s="6"/>
      <c r="G4516" s="6">
        <v>4509</v>
      </c>
      <c r="H4516" s="6">
        <f t="shared" ca="1" si="145"/>
        <v>-7.1663694137404158E-3</v>
      </c>
    </row>
    <row r="4517" spans="2:8" x14ac:dyDescent="0.3">
      <c r="B4517" s="4">
        <v>41620</v>
      </c>
      <c r="C4517" s="7">
        <v>450.39</v>
      </c>
      <c r="D4517" s="6">
        <f t="shared" si="144"/>
        <v>17.813283208020049</v>
      </c>
      <c r="E4517" s="6">
        <v>-7.8641289981496026E-3</v>
      </c>
      <c r="F4517" s="6"/>
      <c r="G4517" s="6">
        <v>4510</v>
      </c>
      <c r="H4517" s="6">
        <f t="shared" ca="1" si="145"/>
        <v>3.2875066652011302E-3</v>
      </c>
    </row>
    <row r="4518" spans="2:8" x14ac:dyDescent="0.3">
      <c r="B4518" s="4">
        <v>38056</v>
      </c>
      <c r="C4518" s="7">
        <v>23.94</v>
      </c>
      <c r="D4518" s="6">
        <f t="shared" si="144"/>
        <v>-0.99091723070385773</v>
      </c>
      <c r="E4518" s="6">
        <v>-7.8740157480314023E-3</v>
      </c>
      <c r="F4518" s="6"/>
      <c r="G4518" s="6">
        <v>4511</v>
      </c>
      <c r="H4518" s="6">
        <f t="shared" ca="1" si="145"/>
        <v>-1.6253442337039379E-3</v>
      </c>
    </row>
    <row r="4519" spans="2:8" x14ac:dyDescent="0.3">
      <c r="B4519" s="4">
        <v>44200</v>
      </c>
      <c r="C4519" s="5">
        <v>2635.76</v>
      </c>
      <c r="D4519" s="6">
        <f t="shared" si="144"/>
        <v>160.01160659743434</v>
      </c>
      <c r="E4519" s="6">
        <v>-7.8744899649184769E-3</v>
      </c>
      <c r="F4519" s="6"/>
      <c r="G4519" s="6">
        <v>4512</v>
      </c>
      <c r="H4519" s="6">
        <f t="shared" ca="1" si="145"/>
        <v>-2.8325484592492768E-2</v>
      </c>
    </row>
    <row r="4520" spans="2:8" x14ac:dyDescent="0.3">
      <c r="B4520" s="4">
        <v>37610</v>
      </c>
      <c r="C4520" s="7">
        <v>16.37</v>
      </c>
      <c r="D4520" s="6">
        <f t="shared" si="144"/>
        <v>-0.99403940474153163</v>
      </c>
      <c r="E4520" s="6">
        <v>-7.8787878787878185E-3</v>
      </c>
      <c r="F4520" s="6"/>
      <c r="G4520" s="6">
        <v>4513</v>
      </c>
      <c r="H4520" s="6">
        <f t="shared" ca="1" si="145"/>
        <v>-2.5881745950300647E-3</v>
      </c>
    </row>
    <row r="4521" spans="2:8" x14ac:dyDescent="0.3">
      <c r="B4521" s="4">
        <v>45400</v>
      </c>
      <c r="C4521" s="5">
        <v>2746.37</v>
      </c>
      <c r="D4521" s="6">
        <f t="shared" si="144"/>
        <v>166.87102689486551</v>
      </c>
      <c r="E4521" s="6">
        <v>-7.8788229089148641E-3</v>
      </c>
      <c r="F4521" s="6"/>
      <c r="G4521" s="6">
        <v>4514</v>
      </c>
      <c r="H4521" s="6">
        <f t="shared" ca="1" si="145"/>
        <v>-1.6107730465905287E-2</v>
      </c>
    </row>
    <row r="4522" spans="2:8" x14ac:dyDescent="0.3">
      <c r="B4522" s="4">
        <v>37480</v>
      </c>
      <c r="C4522" s="7">
        <v>16.36</v>
      </c>
      <c r="D4522" s="6">
        <f t="shared" si="144"/>
        <v>-0.94321613272708338</v>
      </c>
      <c r="E4522" s="6">
        <v>-7.8835657974529426E-3</v>
      </c>
      <c r="F4522" s="6"/>
      <c r="G4522" s="6">
        <v>4515</v>
      </c>
      <c r="H4522" s="6">
        <f t="shared" ca="1" si="145"/>
        <v>-7.6259808737451588E-3</v>
      </c>
    </row>
    <row r="4523" spans="2:8" x14ac:dyDescent="0.3">
      <c r="B4523" s="4">
        <v>40788</v>
      </c>
      <c r="C4523" s="7">
        <v>288.11</v>
      </c>
      <c r="D4523" s="6">
        <f t="shared" si="144"/>
        <v>-0.91156274652448432</v>
      </c>
      <c r="E4523" s="6">
        <v>-7.8856749311293512E-3</v>
      </c>
      <c r="F4523" s="6"/>
      <c r="G4523" s="6">
        <v>4516</v>
      </c>
      <c r="H4523" s="6">
        <f t="shared" ca="1" si="145"/>
        <v>-1.0754466708324247E-2</v>
      </c>
    </row>
    <row r="4524" spans="2:8" x14ac:dyDescent="0.3">
      <c r="B4524" s="4">
        <v>45141</v>
      </c>
      <c r="C4524" s="5">
        <v>3257.79</v>
      </c>
      <c r="D4524" s="6">
        <f t="shared" si="144"/>
        <v>1.5401079108643785</v>
      </c>
      <c r="E4524" s="6">
        <v>-7.8935106936970905E-3</v>
      </c>
      <c r="F4524" s="6"/>
      <c r="G4524" s="6">
        <v>4517</v>
      </c>
      <c r="H4524" s="6">
        <f t="shared" ca="1" si="145"/>
        <v>-8.6638064136063623E-3</v>
      </c>
    </row>
    <row r="4525" spans="2:8" x14ac:dyDescent="0.3">
      <c r="B4525" s="4">
        <v>43346</v>
      </c>
      <c r="C4525" s="5">
        <v>1282.54</v>
      </c>
      <c r="D4525" s="6">
        <f t="shared" si="144"/>
        <v>-0.16269626244491597</v>
      </c>
      <c r="E4525" s="6">
        <v>-7.9055663850985704E-3</v>
      </c>
      <c r="F4525" s="6"/>
      <c r="G4525" s="6">
        <v>4518</v>
      </c>
      <c r="H4525" s="6">
        <f t="shared" ca="1" si="145"/>
        <v>-1.0530659717603506E-2</v>
      </c>
    </row>
    <row r="4526" spans="2:8" x14ac:dyDescent="0.3">
      <c r="B4526" s="4">
        <v>43917</v>
      </c>
      <c r="C4526" s="5">
        <v>1531.75</v>
      </c>
      <c r="D4526" s="6">
        <f t="shared" si="144"/>
        <v>-0.48803264825912718</v>
      </c>
      <c r="E4526" s="6">
        <v>-7.9146615543048294E-3</v>
      </c>
      <c r="F4526" s="6"/>
      <c r="G4526" s="6">
        <v>4519</v>
      </c>
      <c r="H4526" s="6">
        <f t="shared" ca="1" si="145"/>
        <v>2.9140427651977441E-4</v>
      </c>
    </row>
    <row r="4527" spans="2:8" x14ac:dyDescent="0.3">
      <c r="B4527" s="4">
        <v>45065</v>
      </c>
      <c r="C4527" s="5">
        <v>2991.89</v>
      </c>
      <c r="D4527" s="6">
        <f t="shared" si="144"/>
        <v>3.2526224521704523</v>
      </c>
      <c r="E4527" s="6">
        <v>-7.9150860811206276E-3</v>
      </c>
      <c r="F4527" s="6"/>
      <c r="G4527" s="6">
        <v>4520</v>
      </c>
      <c r="H4527" s="6">
        <f t="shared" ca="1" si="145"/>
        <v>7.531636358165201E-3</v>
      </c>
    </row>
    <row r="4528" spans="2:8" x14ac:dyDescent="0.3">
      <c r="B4528" s="4">
        <v>41984</v>
      </c>
      <c r="C4528" s="7">
        <v>703.54</v>
      </c>
      <c r="D4528" s="6">
        <f t="shared" si="144"/>
        <v>14.61687014428413</v>
      </c>
      <c r="E4528" s="6">
        <v>-7.9248688589316999E-3</v>
      </c>
      <c r="F4528" s="6"/>
      <c r="G4528" s="6">
        <v>4521</v>
      </c>
      <c r="H4528" s="6">
        <f t="shared" ca="1" si="145"/>
        <v>2.3436906489527624E-2</v>
      </c>
    </row>
    <row r="4529" spans="2:8" x14ac:dyDescent="0.3">
      <c r="B4529" s="4">
        <v>38707</v>
      </c>
      <c r="C4529" s="7">
        <v>45.05</v>
      </c>
      <c r="D4529" s="6">
        <f t="shared" si="144"/>
        <v>-0.46176821983273603</v>
      </c>
      <c r="E4529" s="6">
        <v>-7.9277692138295403E-3</v>
      </c>
      <c r="F4529" s="6"/>
      <c r="G4529" s="6">
        <v>4522</v>
      </c>
      <c r="H4529" s="6">
        <f t="shared" ca="1" si="145"/>
        <v>-1.0050841521474859E-2</v>
      </c>
    </row>
    <row r="4530" spans="2:8" x14ac:dyDescent="0.3">
      <c r="B4530" s="4">
        <v>39422</v>
      </c>
      <c r="C4530" s="7">
        <v>83.7</v>
      </c>
      <c r="D4530" s="6">
        <f t="shared" si="144"/>
        <v>-0.96995153473344109</v>
      </c>
      <c r="E4530" s="6">
        <v>-7.941211331041859E-3</v>
      </c>
      <c r="F4530" s="6"/>
      <c r="G4530" s="6">
        <v>4523</v>
      </c>
      <c r="H4530" s="6">
        <f t="shared" ca="1" si="145"/>
        <v>-7.1447258323683264E-3</v>
      </c>
    </row>
    <row r="4531" spans="2:8" x14ac:dyDescent="0.3">
      <c r="B4531" s="4">
        <v>46015</v>
      </c>
      <c r="C4531" s="5">
        <v>2785.5</v>
      </c>
      <c r="D4531" s="6">
        <f t="shared" si="144"/>
        <v>0.665182120887858</v>
      </c>
      <c r="E4531" s="6">
        <v>-7.9421611225871432E-3</v>
      </c>
      <c r="F4531" s="6"/>
      <c r="G4531" s="6">
        <v>4524</v>
      </c>
      <c r="H4531" s="6">
        <f t="shared" ca="1" si="145"/>
        <v>-2.9327854383272055E-3</v>
      </c>
    </row>
    <row r="4532" spans="2:8" x14ac:dyDescent="0.3">
      <c r="B4532" s="4">
        <v>43738</v>
      </c>
      <c r="C4532" s="5">
        <v>1672.79</v>
      </c>
      <c r="D4532" s="6">
        <f t="shared" si="144"/>
        <v>29.53650967506389</v>
      </c>
      <c r="E4532" s="6">
        <v>-7.9645597846070282E-3</v>
      </c>
      <c r="F4532" s="6"/>
      <c r="G4532" s="6">
        <v>4525</v>
      </c>
      <c r="H4532" s="6">
        <f t="shared" ca="1" si="145"/>
        <v>-9.0056433183727212E-3</v>
      </c>
    </row>
    <row r="4533" spans="2:8" x14ac:dyDescent="0.3">
      <c r="B4533" s="4">
        <v>39020</v>
      </c>
      <c r="C4533" s="7">
        <v>54.78</v>
      </c>
      <c r="D4533" s="6">
        <f t="shared" si="144"/>
        <v>-0.9809229954867108</v>
      </c>
      <c r="E4533" s="6">
        <v>-7.9681274900397989E-3</v>
      </c>
      <c r="F4533" s="6"/>
      <c r="G4533" s="6">
        <v>4526</v>
      </c>
      <c r="H4533" s="6">
        <f t="shared" ca="1" si="145"/>
        <v>1.8523646575832005E-2</v>
      </c>
    </row>
    <row r="4534" spans="2:8" x14ac:dyDescent="0.3">
      <c r="B4534" s="4">
        <v>44936</v>
      </c>
      <c r="C4534" s="5">
        <v>2871.52</v>
      </c>
      <c r="D4534" s="6">
        <f t="shared" si="144"/>
        <v>5.8930817610062896</v>
      </c>
      <c r="E4534" s="6">
        <v>-7.9734678366613441E-3</v>
      </c>
      <c r="F4534" s="6"/>
      <c r="G4534" s="6">
        <v>4527</v>
      </c>
      <c r="H4534" s="6">
        <f t="shared" ca="1" si="145"/>
        <v>2.0429297086329654E-2</v>
      </c>
    </row>
    <row r="4535" spans="2:8" x14ac:dyDescent="0.3">
      <c r="B4535" s="4">
        <v>41381</v>
      </c>
      <c r="C4535" s="7">
        <v>416.58</v>
      </c>
      <c r="D4535" s="6">
        <f t="shared" si="144"/>
        <v>-0.74949638297744403</v>
      </c>
      <c r="E4535" s="6">
        <v>-7.9775200628676747E-3</v>
      </c>
      <c r="F4535" s="6"/>
      <c r="G4535" s="6">
        <v>4528</v>
      </c>
      <c r="H4535" s="6">
        <f t="shared" ca="1" si="145"/>
        <v>-3.1654854718750666E-2</v>
      </c>
    </row>
    <row r="4536" spans="2:8" x14ac:dyDescent="0.3">
      <c r="B4536" s="4">
        <v>43733</v>
      </c>
      <c r="C4536" s="5">
        <v>1662.97</v>
      </c>
      <c r="D4536" s="6">
        <f t="shared" si="144"/>
        <v>4.9806156944544346</v>
      </c>
      <c r="E4536" s="6">
        <v>-7.9816267485906187E-3</v>
      </c>
      <c r="F4536" s="6"/>
      <c r="G4536" s="6">
        <v>4529</v>
      </c>
      <c r="H4536" s="6">
        <f t="shared" ca="1" si="145"/>
        <v>1.5002255789076921E-2</v>
      </c>
    </row>
    <row r="4537" spans="2:8" x14ac:dyDescent="0.3">
      <c r="B4537" s="4">
        <v>40830</v>
      </c>
      <c r="C4537" s="7">
        <v>278.06</v>
      </c>
      <c r="D4537" s="6">
        <f t="shared" si="144"/>
        <v>0.19791487161812854</v>
      </c>
      <c r="E4537" s="6">
        <v>-7.9914377452729533E-3</v>
      </c>
      <c r="F4537" s="6"/>
      <c r="G4537" s="6">
        <v>4530</v>
      </c>
      <c r="H4537" s="6">
        <f t="shared" ca="1" si="145"/>
        <v>-3.8930023711199122E-3</v>
      </c>
    </row>
    <row r="4538" spans="2:8" x14ac:dyDescent="0.3">
      <c r="B4538" s="4">
        <v>40403</v>
      </c>
      <c r="C4538" s="7">
        <v>232.12</v>
      </c>
      <c r="D4538" s="6">
        <f t="shared" si="144"/>
        <v>1.7912457912457913</v>
      </c>
      <c r="E4538" s="6">
        <v>-7.9917945211334003E-3</v>
      </c>
      <c r="F4538" s="6"/>
      <c r="G4538" s="6">
        <v>4531</v>
      </c>
      <c r="H4538" s="6">
        <f t="shared" ca="1" si="145"/>
        <v>-5.811836690691569E-3</v>
      </c>
    </row>
    <row r="4539" spans="2:8" x14ac:dyDescent="0.3">
      <c r="B4539" s="4">
        <v>39434</v>
      </c>
      <c r="C4539" s="7">
        <v>83.16</v>
      </c>
      <c r="D4539" s="6">
        <f t="shared" si="144"/>
        <v>-0.79860993388709944</v>
      </c>
      <c r="E4539" s="6">
        <v>-7.9923655016104229E-3</v>
      </c>
      <c r="F4539" s="6"/>
      <c r="G4539" s="6">
        <v>4532</v>
      </c>
      <c r="H4539" s="6">
        <f t="shared" ca="1" si="145"/>
        <v>-1.5569214080282648E-2</v>
      </c>
    </row>
    <row r="4540" spans="2:8" x14ac:dyDescent="0.3">
      <c r="B4540" s="4">
        <v>41445</v>
      </c>
      <c r="C4540" s="7">
        <v>412.93</v>
      </c>
      <c r="D4540" s="6">
        <f t="shared" si="144"/>
        <v>16.526740237691001</v>
      </c>
      <c r="E4540" s="6">
        <v>-7.9998078124248889E-3</v>
      </c>
      <c r="F4540" s="6"/>
      <c r="G4540" s="6">
        <v>4533</v>
      </c>
      <c r="H4540" s="6">
        <f t="shared" ca="1" si="145"/>
        <v>4.348569895003737E-3</v>
      </c>
    </row>
    <row r="4541" spans="2:8" x14ac:dyDescent="0.3">
      <c r="B4541" s="4">
        <v>38322</v>
      </c>
      <c r="C4541" s="7">
        <v>23.56</v>
      </c>
      <c r="D4541" s="6">
        <f t="shared" si="144"/>
        <v>-0.98551597791739931</v>
      </c>
      <c r="E4541" s="6">
        <v>-8.0000000000000539E-3</v>
      </c>
      <c r="F4541" s="6"/>
      <c r="G4541" s="6">
        <v>4534</v>
      </c>
      <c r="H4541" s="6">
        <f t="shared" ca="1" si="145"/>
        <v>1.1232355789709688E-2</v>
      </c>
    </row>
    <row r="4542" spans="2:8" x14ac:dyDescent="0.3">
      <c r="B4542" s="4">
        <v>44022</v>
      </c>
      <c r="C4542" s="5">
        <v>1626.62</v>
      </c>
      <c r="D4542" s="6">
        <f t="shared" si="144"/>
        <v>24.258074534161487</v>
      </c>
      <c r="E4542" s="6">
        <v>-8.0012684937856727E-3</v>
      </c>
      <c r="F4542" s="6"/>
      <c r="G4542" s="6">
        <v>4535</v>
      </c>
      <c r="H4542" s="6">
        <f t="shared" ca="1" si="145"/>
        <v>-2.6902288608025423E-3</v>
      </c>
    </row>
    <row r="4543" spans="2:8" x14ac:dyDescent="0.3">
      <c r="B4543" s="4">
        <v>39127</v>
      </c>
      <c r="C4543" s="7">
        <v>64.400000000000006</v>
      </c>
      <c r="D4543" s="6">
        <f t="shared" si="144"/>
        <v>-0.81559430747644823</v>
      </c>
      <c r="E4543" s="6">
        <v>-8.0098582871225513E-3</v>
      </c>
      <c r="F4543" s="6"/>
      <c r="G4543" s="6">
        <v>4536</v>
      </c>
      <c r="H4543" s="6">
        <f t="shared" ca="1" si="145"/>
        <v>-6.9769850637483571E-3</v>
      </c>
    </row>
    <row r="4544" spans="2:8" x14ac:dyDescent="0.3">
      <c r="B4544" s="4">
        <v>41185</v>
      </c>
      <c r="C4544" s="7">
        <v>349.23</v>
      </c>
      <c r="D4544" s="6">
        <f t="shared" si="144"/>
        <v>16.628975265017669</v>
      </c>
      <c r="E4544" s="6">
        <v>-8.0102258201959747E-3</v>
      </c>
      <c r="F4544" s="6"/>
      <c r="G4544" s="6">
        <v>4537</v>
      </c>
      <c r="H4544" s="6">
        <f t="shared" ca="1" si="145"/>
        <v>1.7697678495098432E-2</v>
      </c>
    </row>
    <row r="4545" spans="2:8" x14ac:dyDescent="0.3">
      <c r="B4545" s="4">
        <v>37811</v>
      </c>
      <c r="C4545" s="7">
        <v>19.809999999999999</v>
      </c>
      <c r="D4545" s="6">
        <f t="shared" si="144"/>
        <v>-0.98410788348455314</v>
      </c>
      <c r="E4545" s="6">
        <v>-8.0120180270405687E-3</v>
      </c>
      <c r="F4545" s="6"/>
      <c r="G4545" s="6">
        <v>4538</v>
      </c>
      <c r="H4545" s="6">
        <f t="shared" ca="1" si="145"/>
        <v>2.2586108104011545E-3</v>
      </c>
    </row>
    <row r="4546" spans="2:8" x14ac:dyDescent="0.3">
      <c r="B4546" s="4">
        <v>43447</v>
      </c>
      <c r="C4546" s="5">
        <v>1246.53</v>
      </c>
      <c r="D4546" s="6">
        <f t="shared" si="144"/>
        <v>76.762320648783529</v>
      </c>
      <c r="E4546" s="6">
        <v>-8.0373697906306035E-3</v>
      </c>
      <c r="F4546" s="6"/>
      <c r="G4546" s="6">
        <v>4539</v>
      </c>
      <c r="H4546" s="6">
        <f t="shared" ca="1" si="145"/>
        <v>-1.3955773961292866E-2</v>
      </c>
    </row>
    <row r="4547" spans="2:8" x14ac:dyDescent="0.3">
      <c r="B4547" s="4">
        <v>37614</v>
      </c>
      <c r="C4547" s="7">
        <v>16.03</v>
      </c>
      <c r="D4547" s="6">
        <f t="shared" si="144"/>
        <v>-0.9297145613188933</v>
      </c>
      <c r="E4547" s="6">
        <v>-8.0445544554454823E-3</v>
      </c>
      <c r="F4547" s="6"/>
      <c r="G4547" s="6">
        <v>4540</v>
      </c>
      <c r="H4547" s="6">
        <f t="shared" ca="1" si="145"/>
        <v>3.6512267656620676E-4</v>
      </c>
    </row>
    <row r="4548" spans="2:8" x14ac:dyDescent="0.3">
      <c r="B4548" s="4">
        <v>40568</v>
      </c>
      <c r="C4548" s="7">
        <v>228.07</v>
      </c>
      <c r="D4548" s="6">
        <f t="shared" si="144"/>
        <v>-0.93075295196397823</v>
      </c>
      <c r="E4548" s="6">
        <v>-8.0462769659011592E-3</v>
      </c>
      <c r="F4548" s="6"/>
      <c r="G4548" s="6">
        <v>4541</v>
      </c>
      <c r="H4548" s="6">
        <f t="shared" ca="1" si="145"/>
        <v>9.740450873055178E-3</v>
      </c>
    </row>
    <row r="4549" spans="2:8" x14ac:dyDescent="0.3">
      <c r="B4549" s="4">
        <v>45133</v>
      </c>
      <c r="C4549" s="5">
        <v>3293.57</v>
      </c>
      <c r="D4549" s="6">
        <f t="shared" si="144"/>
        <v>13.55721546961326</v>
      </c>
      <c r="E4549" s="6">
        <v>-8.0594398749521175E-3</v>
      </c>
      <c r="F4549" s="6"/>
      <c r="G4549" s="6">
        <v>4542</v>
      </c>
      <c r="H4549" s="6">
        <f t="shared" ca="1" si="145"/>
        <v>-9.8391066294196902E-3</v>
      </c>
    </row>
    <row r="4550" spans="2:8" x14ac:dyDescent="0.3">
      <c r="B4550" s="4">
        <v>40571</v>
      </c>
      <c r="C4550" s="7">
        <v>226.25</v>
      </c>
      <c r="D4550" s="6">
        <f t="shared" si="144"/>
        <v>-0.40965427266797128</v>
      </c>
      <c r="E4550" s="6">
        <v>-8.0669911000043996E-3</v>
      </c>
      <c r="F4550" s="6"/>
      <c r="G4550" s="6">
        <v>4543</v>
      </c>
      <c r="H4550" s="6">
        <f t="shared" ca="1" si="145"/>
        <v>-2.6730370669614846E-3</v>
      </c>
    </row>
    <row r="4551" spans="2:8" x14ac:dyDescent="0.3">
      <c r="B4551" s="4">
        <v>41290</v>
      </c>
      <c r="C4551" s="7">
        <v>383.25</v>
      </c>
      <c r="D4551" s="6">
        <f t="shared" si="144"/>
        <v>-0.71755472031837275</v>
      </c>
      <c r="E4551" s="6">
        <v>-8.0751611149934115E-3</v>
      </c>
      <c r="F4551" s="6"/>
      <c r="G4551" s="6">
        <v>4544</v>
      </c>
      <c r="H4551" s="6">
        <f t="shared" ca="1" si="145"/>
        <v>-1.4611695357976437E-4</v>
      </c>
    </row>
    <row r="4552" spans="2:8" x14ac:dyDescent="0.3">
      <c r="B4552" s="4">
        <v>43507</v>
      </c>
      <c r="C4552" s="5">
        <v>1356.9</v>
      </c>
      <c r="D4552" s="6">
        <f t="shared" ref="D4552:D4615" si="146">((C4552-C4553)/C4553)</f>
        <v>47.048866855524082</v>
      </c>
      <c r="E4552" s="6">
        <v>-8.0777806206366858E-3</v>
      </c>
      <c r="F4552" s="6"/>
      <c r="G4552" s="6">
        <v>4545</v>
      </c>
      <c r="H4552" s="6">
        <f t="shared" ca="1" si="145"/>
        <v>2.682000402451595E-3</v>
      </c>
    </row>
    <row r="4553" spans="2:8" x14ac:dyDescent="0.3">
      <c r="B4553" s="4">
        <v>38406</v>
      </c>
      <c r="C4553" s="7">
        <v>28.24</v>
      </c>
      <c r="D4553" s="6">
        <f t="shared" si="146"/>
        <v>-0.97305909064890961</v>
      </c>
      <c r="E4553" s="6">
        <v>-8.0786793115560397E-3</v>
      </c>
      <c r="F4553" s="6"/>
      <c r="G4553" s="6">
        <v>4546</v>
      </c>
      <c r="H4553" s="6">
        <f t="shared" ref="H4553:H4616" ca="1" si="147">_xlfn.NORM.INV(RAND(),N$10,N$11)</f>
        <v>-1.1486938673417922E-2</v>
      </c>
    </row>
    <row r="4554" spans="2:8" x14ac:dyDescent="0.3">
      <c r="B4554" s="4">
        <v>43153</v>
      </c>
      <c r="C4554" s="5">
        <v>1048.22</v>
      </c>
      <c r="D4554" s="6">
        <f t="shared" si="146"/>
        <v>43.949399656946831</v>
      </c>
      <c r="E4554" s="6">
        <v>-8.0813051213141709E-3</v>
      </c>
      <c r="F4554" s="6"/>
      <c r="G4554" s="6">
        <v>4547</v>
      </c>
      <c r="H4554" s="6">
        <f t="shared" ca="1" si="147"/>
        <v>7.6356246980947007E-3</v>
      </c>
    </row>
    <row r="4555" spans="2:8" x14ac:dyDescent="0.3">
      <c r="B4555" s="4">
        <v>37935</v>
      </c>
      <c r="C4555" s="7">
        <v>23.32</v>
      </c>
      <c r="D4555" s="6">
        <f t="shared" si="146"/>
        <v>-0.72014880595223807</v>
      </c>
      <c r="E4555" s="6">
        <v>-8.0816673755849111E-3</v>
      </c>
      <c r="F4555" s="6"/>
      <c r="G4555" s="6">
        <v>4548</v>
      </c>
      <c r="H4555" s="6">
        <f t="shared" ca="1" si="147"/>
        <v>1.9316630474524442E-2</v>
      </c>
    </row>
    <row r="4556" spans="2:8" x14ac:dyDescent="0.3">
      <c r="B4556" s="4">
        <v>39416</v>
      </c>
      <c r="C4556" s="7">
        <v>83.33</v>
      </c>
      <c r="D4556" s="6">
        <f t="shared" si="146"/>
        <v>-0.90932535364526657</v>
      </c>
      <c r="E4556" s="6">
        <v>-8.0942744911320884E-3</v>
      </c>
      <c r="F4556" s="6"/>
      <c r="G4556" s="6">
        <v>4549</v>
      </c>
      <c r="H4556" s="6">
        <f t="shared" ca="1" si="147"/>
        <v>-2.1504187289478435E-2</v>
      </c>
    </row>
    <row r="4557" spans="2:8" x14ac:dyDescent="0.3">
      <c r="B4557" s="4">
        <v>42541</v>
      </c>
      <c r="C4557" s="7">
        <v>919</v>
      </c>
      <c r="D4557" s="6">
        <f t="shared" si="146"/>
        <v>-0.68197060564009038</v>
      </c>
      <c r="E4557" s="6">
        <v>-8.1056869326828537E-3</v>
      </c>
      <c r="F4557" s="6"/>
      <c r="G4557" s="6">
        <v>4550</v>
      </c>
      <c r="H4557" s="6">
        <f t="shared" ca="1" si="147"/>
        <v>-1.0338986525202012E-2</v>
      </c>
    </row>
    <row r="4558" spans="2:8" x14ac:dyDescent="0.3">
      <c r="B4558" s="4">
        <v>44405</v>
      </c>
      <c r="C4558" s="5">
        <v>2889.67</v>
      </c>
      <c r="D4558" s="6">
        <f t="shared" si="146"/>
        <v>8.1799361328556391E-2</v>
      </c>
      <c r="E4558" s="6">
        <v>-8.1076720820789875E-3</v>
      </c>
      <c r="F4558" s="6"/>
      <c r="G4558" s="6">
        <v>4551</v>
      </c>
      <c r="H4558" s="6">
        <f t="shared" ca="1" si="147"/>
        <v>9.0905826929830527E-3</v>
      </c>
    </row>
    <row r="4559" spans="2:8" x14ac:dyDescent="0.3">
      <c r="B4559" s="4">
        <v>45027</v>
      </c>
      <c r="C4559" s="5">
        <v>2671.17</v>
      </c>
      <c r="D4559" s="6">
        <f t="shared" si="146"/>
        <v>0.10415426587301599</v>
      </c>
      <c r="E4559" s="6">
        <v>-8.1209339631048514E-3</v>
      </c>
      <c r="F4559" s="6"/>
      <c r="G4559" s="6">
        <v>4552</v>
      </c>
      <c r="H4559" s="6">
        <f t="shared" ca="1" si="147"/>
        <v>1.0544556774604551E-2</v>
      </c>
    </row>
    <row r="4560" spans="2:8" x14ac:dyDescent="0.3">
      <c r="B4560" s="4">
        <v>44180</v>
      </c>
      <c r="C4560" s="5">
        <v>2419.1999999999998</v>
      </c>
      <c r="D4560" s="6">
        <f t="shared" si="146"/>
        <v>1.1577266808184232</v>
      </c>
      <c r="E4560" s="6">
        <v>-8.1262146271863962E-3</v>
      </c>
      <c r="F4560" s="6"/>
      <c r="G4560" s="6">
        <v>4553</v>
      </c>
      <c r="H4560" s="6">
        <f t="shared" ca="1" si="147"/>
        <v>4.563265750681062E-3</v>
      </c>
    </row>
    <row r="4561" spans="2:8" x14ac:dyDescent="0.3">
      <c r="B4561" s="4">
        <v>43399</v>
      </c>
      <c r="C4561" s="5">
        <v>1121.18</v>
      </c>
      <c r="D4561" s="6">
        <f t="shared" si="146"/>
        <v>3.4647180630774135</v>
      </c>
      <c r="E4561" s="6">
        <v>-8.1300813008128563E-3</v>
      </c>
      <c r="F4561" s="6"/>
      <c r="G4561" s="6">
        <v>4554</v>
      </c>
      <c r="H4561" s="6">
        <f t="shared" ca="1" si="147"/>
        <v>-1.7091578069451075E-3</v>
      </c>
    </row>
    <row r="4562" spans="2:8" x14ac:dyDescent="0.3">
      <c r="B4562" s="4">
        <v>40885</v>
      </c>
      <c r="C4562" s="7">
        <v>251.12</v>
      </c>
      <c r="D4562" s="6">
        <f t="shared" si="146"/>
        <v>0.59735385789708029</v>
      </c>
      <c r="E4562" s="6">
        <v>-8.1365036732759383E-3</v>
      </c>
      <c r="F4562" s="6"/>
      <c r="G4562" s="6">
        <v>4555</v>
      </c>
      <c r="H4562" s="6">
        <f t="shared" ca="1" si="147"/>
        <v>9.2107751092964704E-3</v>
      </c>
    </row>
    <row r="4563" spans="2:8" x14ac:dyDescent="0.3">
      <c r="B4563" s="4">
        <v>40199</v>
      </c>
      <c r="C4563" s="7">
        <v>157.21</v>
      </c>
      <c r="D4563" s="6">
        <f t="shared" si="146"/>
        <v>-0.63236050699218926</v>
      </c>
      <c r="E4563" s="6">
        <v>-8.1388012618296025E-3</v>
      </c>
      <c r="F4563" s="6"/>
      <c r="G4563" s="6">
        <v>4556</v>
      </c>
      <c r="H4563" s="6">
        <f t="shared" ca="1" si="147"/>
        <v>-1.3693115886331982E-2</v>
      </c>
    </row>
    <row r="4564" spans="2:8" x14ac:dyDescent="0.3">
      <c r="B4564" s="4">
        <v>41414</v>
      </c>
      <c r="C4564" s="7">
        <v>427.62</v>
      </c>
      <c r="D4564" s="6">
        <f t="shared" si="146"/>
        <v>7.1684813753581658</v>
      </c>
      <c r="E4564" s="6">
        <v>-8.1413958666759229E-3</v>
      </c>
      <c r="F4564" s="6"/>
      <c r="G4564" s="6">
        <v>4557</v>
      </c>
      <c r="H4564" s="6">
        <f t="shared" ca="1" si="147"/>
        <v>1.5709587053767217E-2</v>
      </c>
    </row>
    <row r="4565" spans="2:8" x14ac:dyDescent="0.3">
      <c r="B4565" s="4">
        <v>38965</v>
      </c>
      <c r="C4565" s="7">
        <v>52.35</v>
      </c>
      <c r="D4565" s="6">
        <f t="shared" si="146"/>
        <v>-0.98121299120760819</v>
      </c>
      <c r="E4565" s="6">
        <v>-8.1470253884046925E-3</v>
      </c>
      <c r="F4565" s="6"/>
      <c r="G4565" s="6">
        <v>4558</v>
      </c>
      <c r="H4565" s="6">
        <f t="shared" ca="1" si="147"/>
        <v>9.370328407981748E-3</v>
      </c>
    </row>
    <row r="4566" spans="2:8" x14ac:dyDescent="0.3">
      <c r="B4566" s="4">
        <v>46030</v>
      </c>
      <c r="C4566" s="5">
        <v>2786.5</v>
      </c>
      <c r="D4566" s="6">
        <f t="shared" si="146"/>
        <v>3.7325067934782608</v>
      </c>
      <c r="E4566" s="6">
        <v>-8.1512066633445193E-3</v>
      </c>
      <c r="F4566" s="6"/>
      <c r="G4566" s="6">
        <v>4559</v>
      </c>
      <c r="H4566" s="6">
        <f t="shared" ca="1" si="147"/>
        <v>1.0459429762991385E-2</v>
      </c>
    </row>
    <row r="4567" spans="2:8" x14ac:dyDescent="0.3">
      <c r="B4567" s="4">
        <v>41955</v>
      </c>
      <c r="C4567" s="7">
        <v>588.79999999999995</v>
      </c>
      <c r="D4567" s="6">
        <f t="shared" si="146"/>
        <v>-0.75388422359417651</v>
      </c>
      <c r="E4567" s="6">
        <v>-8.1530894144599964E-3</v>
      </c>
      <c r="F4567" s="6"/>
      <c r="G4567" s="6">
        <v>4560</v>
      </c>
      <c r="H4567" s="6">
        <f t="shared" ca="1" si="147"/>
        <v>-5.987142821700828E-3</v>
      </c>
    </row>
    <row r="4568" spans="2:8" x14ac:dyDescent="0.3">
      <c r="B4568" s="4">
        <v>45869</v>
      </c>
      <c r="C4568" s="5">
        <v>2392.37</v>
      </c>
      <c r="D4568" s="6">
        <f t="shared" si="146"/>
        <v>43.842924086223057</v>
      </c>
      <c r="E4568" s="6">
        <v>-8.1549228039336299E-3</v>
      </c>
      <c r="F4568" s="6"/>
      <c r="G4568" s="6">
        <v>4561</v>
      </c>
      <c r="H4568" s="6">
        <f t="shared" ca="1" si="147"/>
        <v>5.1862085635791593E-3</v>
      </c>
    </row>
    <row r="4569" spans="2:8" x14ac:dyDescent="0.3">
      <c r="B4569" s="4">
        <v>39009</v>
      </c>
      <c r="C4569" s="7">
        <v>53.35</v>
      </c>
      <c r="D4569" s="6">
        <f t="shared" si="146"/>
        <v>-0.83700467446763005</v>
      </c>
      <c r="E4569" s="6">
        <v>-8.1799591002044564E-3</v>
      </c>
      <c r="F4569" s="6"/>
      <c r="G4569" s="6">
        <v>4562</v>
      </c>
      <c r="H4569" s="6">
        <f t="shared" ca="1" si="147"/>
        <v>2.4322397104681055E-2</v>
      </c>
    </row>
    <row r="4570" spans="2:8" x14ac:dyDescent="0.3">
      <c r="B4570" s="4">
        <v>41107</v>
      </c>
      <c r="C4570" s="7">
        <v>327.31</v>
      </c>
      <c r="D4570" s="6">
        <f t="shared" si="146"/>
        <v>-0.88077311157008242</v>
      </c>
      <c r="E4570" s="6">
        <v>-8.1815702554467705E-3</v>
      </c>
      <c r="F4570" s="6"/>
      <c r="G4570" s="6">
        <v>4563</v>
      </c>
      <c r="H4570" s="6">
        <f t="shared" ca="1" si="147"/>
        <v>3.5186449453471741E-2</v>
      </c>
    </row>
    <row r="4571" spans="2:8" x14ac:dyDescent="0.3">
      <c r="B4571" s="4">
        <v>44995</v>
      </c>
      <c r="C4571" s="5">
        <v>2745.27</v>
      </c>
      <c r="D4571" s="6">
        <f t="shared" si="146"/>
        <v>5.1728914172644069</v>
      </c>
      <c r="E4571" s="6">
        <v>-8.1830399722535654E-3</v>
      </c>
      <c r="F4571" s="6"/>
      <c r="G4571" s="6">
        <v>4564</v>
      </c>
      <c r="H4571" s="6">
        <f t="shared" ca="1" si="147"/>
        <v>-4.3141618533755824E-4</v>
      </c>
    </row>
    <row r="4572" spans="2:8" x14ac:dyDescent="0.3">
      <c r="B4572" s="4">
        <v>41656</v>
      </c>
      <c r="C4572" s="7">
        <v>444.73</v>
      </c>
      <c r="D4572" s="6">
        <f t="shared" si="146"/>
        <v>8.4182549767047856</v>
      </c>
      <c r="E4572" s="6">
        <v>-8.184656556645761E-3</v>
      </c>
      <c r="F4572" s="6"/>
      <c r="G4572" s="6">
        <v>4565</v>
      </c>
      <c r="H4572" s="6">
        <f t="shared" ca="1" si="147"/>
        <v>-9.3311011755135911E-3</v>
      </c>
    </row>
    <row r="4573" spans="2:8" x14ac:dyDescent="0.3">
      <c r="B4573" s="4">
        <v>38897</v>
      </c>
      <c r="C4573" s="7">
        <v>47.22</v>
      </c>
      <c r="D4573" s="6">
        <f t="shared" si="146"/>
        <v>1.7858407079646019</v>
      </c>
      <c r="E4573" s="6">
        <v>-8.1915563957151976E-3</v>
      </c>
      <c r="F4573" s="6"/>
      <c r="G4573" s="6">
        <v>4566</v>
      </c>
      <c r="H4573" s="6">
        <f t="shared" ca="1" si="147"/>
        <v>-5.2220798723500661E-2</v>
      </c>
    </row>
    <row r="4574" spans="2:8" x14ac:dyDescent="0.3">
      <c r="B4574" s="4">
        <v>37749</v>
      </c>
      <c r="C4574" s="7">
        <v>16.95</v>
      </c>
      <c r="D4574" s="6">
        <f t="shared" si="146"/>
        <v>-0.95916056283731688</v>
      </c>
      <c r="E4574" s="6">
        <v>-8.1919251023990971E-3</v>
      </c>
      <c r="F4574" s="6"/>
      <c r="G4574" s="6">
        <v>4567</v>
      </c>
      <c r="H4574" s="6">
        <f t="shared" ca="1" si="147"/>
        <v>6.9691575744186916E-3</v>
      </c>
    </row>
    <row r="4575" spans="2:8" x14ac:dyDescent="0.3">
      <c r="B4575" s="4">
        <v>41555</v>
      </c>
      <c r="C4575" s="7">
        <v>415.04</v>
      </c>
      <c r="D4575" s="6">
        <f t="shared" si="146"/>
        <v>-0.80125080210318644</v>
      </c>
      <c r="E4575" s="6">
        <v>-8.1965254379047642E-3</v>
      </c>
      <c r="F4575" s="6"/>
      <c r="G4575" s="6">
        <v>4568</v>
      </c>
      <c r="H4575" s="6">
        <f t="shared" ca="1" si="147"/>
        <v>-1.3001231381848104E-2</v>
      </c>
    </row>
    <row r="4576" spans="2:8" x14ac:dyDescent="0.3">
      <c r="B4576" s="4">
        <v>44146</v>
      </c>
      <c r="C4576" s="5">
        <v>2088.2600000000002</v>
      </c>
      <c r="D4576" s="6">
        <f t="shared" si="146"/>
        <v>5.5004202334630357</v>
      </c>
      <c r="E4576" s="6">
        <v>-8.2069207899160054E-3</v>
      </c>
      <c r="F4576" s="6"/>
      <c r="G4576" s="6">
        <v>4569</v>
      </c>
      <c r="H4576" s="6">
        <f t="shared" ca="1" si="147"/>
        <v>-1.1864930628011297E-2</v>
      </c>
    </row>
    <row r="4577" spans="2:8" x14ac:dyDescent="0.3">
      <c r="B4577" s="4">
        <v>41040</v>
      </c>
      <c r="C4577" s="7">
        <v>321.25</v>
      </c>
      <c r="D4577" s="6">
        <f t="shared" si="146"/>
        <v>13.022261021388038</v>
      </c>
      <c r="E4577" s="6">
        <v>-8.2121576981260998E-3</v>
      </c>
      <c r="F4577" s="6"/>
      <c r="G4577" s="6">
        <v>4570</v>
      </c>
      <c r="H4577" s="6">
        <f t="shared" ca="1" si="147"/>
        <v>-7.8904683571285432E-3</v>
      </c>
    </row>
    <row r="4578" spans="2:8" x14ac:dyDescent="0.3">
      <c r="B4578" s="4">
        <v>37889</v>
      </c>
      <c r="C4578" s="7">
        <v>22.91</v>
      </c>
      <c r="D4578" s="6">
        <f t="shared" si="146"/>
        <v>-0.43985330073349632</v>
      </c>
      <c r="E4578" s="6">
        <v>-8.2251082251082793E-3</v>
      </c>
      <c r="F4578" s="6"/>
      <c r="G4578" s="6">
        <v>4571</v>
      </c>
      <c r="H4578" s="6">
        <f t="shared" ca="1" si="147"/>
        <v>-1.6163353079692421E-2</v>
      </c>
    </row>
    <row r="4579" spans="2:8" x14ac:dyDescent="0.3">
      <c r="B4579" s="4">
        <v>38667</v>
      </c>
      <c r="C4579" s="7">
        <v>40.9</v>
      </c>
      <c r="D4579" s="6">
        <f t="shared" si="146"/>
        <v>-0.71870701513067392</v>
      </c>
      <c r="E4579" s="6">
        <v>-8.244422890397755E-3</v>
      </c>
      <c r="F4579" s="6"/>
      <c r="G4579" s="6">
        <v>4572</v>
      </c>
      <c r="H4579" s="6">
        <f t="shared" ca="1" si="147"/>
        <v>-9.90870076147367E-3</v>
      </c>
    </row>
    <row r="4580" spans="2:8" x14ac:dyDescent="0.3">
      <c r="B4580" s="4">
        <v>40127</v>
      </c>
      <c r="C4580" s="7">
        <v>145.4</v>
      </c>
      <c r="D4580" s="6">
        <f t="shared" si="146"/>
        <v>0.73074633972146175</v>
      </c>
      <c r="E4580" s="6">
        <v>-8.2531887320101485E-3</v>
      </c>
      <c r="F4580" s="6"/>
      <c r="G4580" s="6">
        <v>4573</v>
      </c>
      <c r="H4580" s="6">
        <f t="shared" ca="1" si="147"/>
        <v>-1.1660552590669782E-2</v>
      </c>
    </row>
    <row r="4581" spans="2:8" x14ac:dyDescent="0.3">
      <c r="B4581" s="4">
        <v>39415</v>
      </c>
      <c r="C4581" s="7">
        <v>84.01</v>
      </c>
      <c r="D4581" s="6">
        <f t="shared" si="146"/>
        <v>2.6895037329819944</v>
      </c>
      <c r="E4581" s="6">
        <v>-8.2634871915947192E-3</v>
      </c>
      <c r="F4581" s="6"/>
      <c r="G4581" s="6">
        <v>4574</v>
      </c>
      <c r="H4581" s="6">
        <f t="shared" ca="1" si="147"/>
        <v>-7.352521780573806E-3</v>
      </c>
    </row>
    <row r="4582" spans="2:8" x14ac:dyDescent="0.3">
      <c r="B4582" s="4">
        <v>38120</v>
      </c>
      <c r="C4582" s="7">
        <v>22.77</v>
      </c>
      <c r="D4582" s="6">
        <f t="shared" si="146"/>
        <v>-0.97472611634644202</v>
      </c>
      <c r="E4582" s="6">
        <v>-8.275261324041867E-3</v>
      </c>
      <c r="F4582" s="6"/>
      <c r="G4582" s="6">
        <v>4575</v>
      </c>
      <c r="H4582" s="6">
        <f t="shared" ca="1" si="147"/>
        <v>1.41126770671579E-2</v>
      </c>
    </row>
    <row r="4583" spans="2:8" x14ac:dyDescent="0.3">
      <c r="B4583" s="4">
        <v>42762</v>
      </c>
      <c r="C4583" s="7">
        <v>900.93</v>
      </c>
      <c r="D4583" s="6">
        <f t="shared" si="146"/>
        <v>0.29760910269336022</v>
      </c>
      <c r="E4583" s="6">
        <v>-8.2887523941616425E-3</v>
      </c>
      <c r="F4583" s="6"/>
      <c r="G4583" s="6">
        <v>4576</v>
      </c>
      <c r="H4583" s="6">
        <f t="shared" ca="1" si="147"/>
        <v>2.3573250510237561E-2</v>
      </c>
    </row>
    <row r="4584" spans="2:8" x14ac:dyDescent="0.3">
      <c r="B4584" s="4">
        <v>42132</v>
      </c>
      <c r="C4584" s="7">
        <v>694.3</v>
      </c>
      <c r="D4584" s="6">
        <f t="shared" si="146"/>
        <v>-0.75452986618112383</v>
      </c>
      <c r="E4584" s="6">
        <v>-8.2986959192127788E-3</v>
      </c>
      <c r="F4584" s="6"/>
      <c r="G4584" s="6">
        <v>4577</v>
      </c>
      <c r="H4584" s="6">
        <f t="shared" ca="1" si="147"/>
        <v>-5.7354750163476301E-3</v>
      </c>
    </row>
    <row r="4585" spans="2:8" x14ac:dyDescent="0.3">
      <c r="B4585" s="4">
        <v>44938</v>
      </c>
      <c r="C4585" s="5">
        <v>2828.45</v>
      </c>
      <c r="D4585" s="6">
        <f t="shared" si="146"/>
        <v>0.28601566798066735</v>
      </c>
      <c r="E4585" s="6">
        <v>-8.316474824432013E-3</v>
      </c>
      <c r="F4585" s="6"/>
      <c r="G4585" s="6">
        <v>4578</v>
      </c>
      <c r="H4585" s="6">
        <f t="shared" ca="1" si="147"/>
        <v>1.5871818723247392E-2</v>
      </c>
    </row>
    <row r="4586" spans="2:8" x14ac:dyDescent="0.3">
      <c r="B4586" s="4">
        <v>45686</v>
      </c>
      <c r="C4586" s="5">
        <v>2199.39</v>
      </c>
      <c r="D4586" s="6">
        <f t="shared" si="146"/>
        <v>5.68182646737149</v>
      </c>
      <c r="E4586" s="6">
        <v>-8.3189048804243187E-3</v>
      </c>
      <c r="F4586" s="6"/>
      <c r="G4586" s="6">
        <v>4579</v>
      </c>
      <c r="H4586" s="6">
        <f t="shared" ca="1" si="147"/>
        <v>7.6431417931197738E-3</v>
      </c>
    </row>
    <row r="4587" spans="2:8" x14ac:dyDescent="0.3">
      <c r="B4587" s="4">
        <v>41099</v>
      </c>
      <c r="C4587" s="7">
        <v>329.16</v>
      </c>
      <c r="D4587" s="6">
        <f t="shared" si="146"/>
        <v>-0.88567697389214406</v>
      </c>
      <c r="E4587" s="6">
        <v>-8.3451330099719272E-3</v>
      </c>
      <c r="F4587" s="6"/>
      <c r="G4587" s="6">
        <v>4580</v>
      </c>
      <c r="H4587" s="6">
        <f t="shared" ca="1" si="147"/>
        <v>9.3829802778224117E-3</v>
      </c>
    </row>
    <row r="4588" spans="2:8" x14ac:dyDescent="0.3">
      <c r="B4588" s="4">
        <v>45600</v>
      </c>
      <c r="C4588" s="5">
        <v>2879.21</v>
      </c>
      <c r="D4588" s="6">
        <f t="shared" si="146"/>
        <v>4.9018345803013226</v>
      </c>
      <c r="E4588" s="6">
        <v>-8.3521040413851062E-3</v>
      </c>
      <c r="F4588" s="6"/>
      <c r="G4588" s="6">
        <v>4581</v>
      </c>
      <c r="H4588" s="6">
        <f t="shared" ca="1" si="147"/>
        <v>-1.0727351165019043E-2</v>
      </c>
    </row>
    <row r="4589" spans="2:8" x14ac:dyDescent="0.3">
      <c r="B4589" s="4">
        <v>41750</v>
      </c>
      <c r="C4589" s="7">
        <v>487.85</v>
      </c>
      <c r="D4589" s="6">
        <f t="shared" si="146"/>
        <v>6.7547289779049446</v>
      </c>
      <c r="E4589" s="6">
        <v>-8.3543377510365818E-3</v>
      </c>
      <c r="F4589" s="6"/>
      <c r="G4589" s="6">
        <v>4582</v>
      </c>
      <c r="H4589" s="6">
        <f t="shared" ca="1" si="147"/>
        <v>-3.8721515224001059E-2</v>
      </c>
    </row>
    <row r="4590" spans="2:8" x14ac:dyDescent="0.3">
      <c r="B4590" s="4">
        <v>39876</v>
      </c>
      <c r="C4590" s="7">
        <v>62.91</v>
      </c>
      <c r="D4590" s="6">
        <f t="shared" si="146"/>
        <v>-0.77350135013501353</v>
      </c>
      <c r="E4590" s="6">
        <v>-8.3543505674653403E-3</v>
      </c>
      <c r="F4590" s="6"/>
      <c r="G4590" s="6">
        <v>4583</v>
      </c>
      <c r="H4590" s="6">
        <f t="shared" ca="1" si="147"/>
        <v>-1.3296557049405265E-2</v>
      </c>
    </row>
    <row r="4591" spans="2:8" x14ac:dyDescent="0.3">
      <c r="B4591" s="4">
        <v>40848</v>
      </c>
      <c r="C4591" s="7">
        <v>277.75</v>
      </c>
      <c r="D4591" s="6">
        <f t="shared" si="146"/>
        <v>-0.69645140490267865</v>
      </c>
      <c r="E4591" s="6">
        <v>-8.3544574958048321E-3</v>
      </c>
      <c r="F4591" s="6"/>
      <c r="G4591" s="6">
        <v>4584</v>
      </c>
      <c r="H4591" s="6">
        <f t="shared" ca="1" si="147"/>
        <v>-8.4420303621688345E-3</v>
      </c>
    </row>
    <row r="4592" spans="2:8" x14ac:dyDescent="0.3">
      <c r="B4592" s="4">
        <v>42779</v>
      </c>
      <c r="C4592" s="7">
        <v>915.01</v>
      </c>
      <c r="D4592" s="6">
        <f t="shared" si="146"/>
        <v>-0.5563308232761337</v>
      </c>
      <c r="E4592" s="6">
        <v>-8.3557308826079802E-3</v>
      </c>
      <c r="F4592" s="6"/>
      <c r="G4592" s="6">
        <v>4585</v>
      </c>
      <c r="H4592" s="6">
        <f t="shared" ca="1" si="147"/>
        <v>3.0637243938618993E-2</v>
      </c>
    </row>
    <row r="4593" spans="2:8" x14ac:dyDescent="0.3">
      <c r="B4593" s="4">
        <v>44138</v>
      </c>
      <c r="C4593" s="5">
        <v>2062.37</v>
      </c>
      <c r="D4593" s="6">
        <f t="shared" si="146"/>
        <v>33.843216759587769</v>
      </c>
      <c r="E4593" s="6">
        <v>-8.375845638261591E-3</v>
      </c>
      <c r="F4593" s="6"/>
      <c r="G4593" s="6">
        <v>4586</v>
      </c>
      <c r="H4593" s="6">
        <f t="shared" ca="1" si="147"/>
        <v>1.1345597208324879E-2</v>
      </c>
    </row>
    <row r="4594" spans="2:8" x14ac:dyDescent="0.3">
      <c r="B4594" s="4">
        <v>39069</v>
      </c>
      <c r="C4594" s="7">
        <v>59.19</v>
      </c>
      <c r="D4594" s="6">
        <f t="shared" si="146"/>
        <v>-0.97566300727766131</v>
      </c>
      <c r="E4594" s="6">
        <v>-8.3766124979058471E-3</v>
      </c>
      <c r="F4594" s="6"/>
      <c r="G4594" s="6">
        <v>4587</v>
      </c>
      <c r="H4594" s="6">
        <f t="shared" ca="1" si="147"/>
        <v>-6.9731910641879506E-4</v>
      </c>
    </row>
    <row r="4595" spans="2:8" x14ac:dyDescent="0.3">
      <c r="B4595" s="4">
        <v>46058</v>
      </c>
      <c r="C4595" s="5">
        <v>2432.1</v>
      </c>
      <c r="D4595" s="6">
        <f t="shared" si="146"/>
        <v>5.1633004738856076</v>
      </c>
      <c r="E4595" s="6">
        <v>-8.398907326619607E-3</v>
      </c>
      <c r="F4595" s="6"/>
      <c r="G4595" s="6">
        <v>4588</v>
      </c>
      <c r="H4595" s="6">
        <f t="shared" ca="1" si="147"/>
        <v>1.0303591817166285E-4</v>
      </c>
    </row>
    <row r="4596" spans="2:8" x14ac:dyDescent="0.3">
      <c r="B4596" s="4">
        <v>41298</v>
      </c>
      <c r="C4596" s="7">
        <v>394.61</v>
      </c>
      <c r="D4596" s="6">
        <f t="shared" si="146"/>
        <v>-2.1983741449390314E-2</v>
      </c>
      <c r="E4596" s="6">
        <v>-8.4179314503969403E-3</v>
      </c>
      <c r="F4596" s="6"/>
      <c r="G4596" s="6">
        <v>4589</v>
      </c>
      <c r="H4596" s="6">
        <f t="shared" ca="1" si="147"/>
        <v>-9.7455003180054976E-3</v>
      </c>
    </row>
    <row r="4597" spans="2:8" x14ac:dyDescent="0.3">
      <c r="B4597" s="4">
        <v>41323</v>
      </c>
      <c r="C4597" s="7">
        <v>403.48</v>
      </c>
      <c r="D4597" s="6">
        <f t="shared" si="146"/>
        <v>-0.66207988207803958</v>
      </c>
      <c r="E4597" s="6">
        <v>-8.4293824187166855E-3</v>
      </c>
      <c r="F4597" s="6"/>
      <c r="G4597" s="6">
        <v>4590</v>
      </c>
      <c r="H4597" s="6">
        <f t="shared" ca="1" si="147"/>
        <v>5.4416579069671523E-4</v>
      </c>
    </row>
    <row r="4598" spans="2:8" x14ac:dyDescent="0.3">
      <c r="B4598" s="4">
        <v>43256</v>
      </c>
      <c r="C4598" s="5">
        <v>1194.01</v>
      </c>
      <c r="D4598" s="6">
        <f t="shared" si="146"/>
        <v>66.802952867688816</v>
      </c>
      <c r="E4598" s="6">
        <v>-8.4455812253982562E-3</v>
      </c>
      <c r="F4598" s="6"/>
      <c r="G4598" s="6">
        <v>4591</v>
      </c>
      <c r="H4598" s="6">
        <f t="shared" ca="1" si="147"/>
        <v>7.1148921105037184E-3</v>
      </c>
    </row>
    <row r="4599" spans="2:8" x14ac:dyDescent="0.3">
      <c r="B4599" s="4">
        <v>37446</v>
      </c>
      <c r="C4599" s="7">
        <v>17.61</v>
      </c>
      <c r="D4599" s="6">
        <f t="shared" si="146"/>
        <v>-0.98063792591615262</v>
      </c>
      <c r="E4599" s="6">
        <v>-8.4459459459460644E-3</v>
      </c>
      <c r="F4599" s="6"/>
      <c r="G4599" s="6">
        <v>4592</v>
      </c>
      <c r="H4599" s="6">
        <f t="shared" ca="1" si="147"/>
        <v>1.3732499232001989E-2</v>
      </c>
    </row>
    <row r="4600" spans="2:8" x14ac:dyDescent="0.3">
      <c r="B4600" s="4">
        <v>42535</v>
      </c>
      <c r="C4600" s="7">
        <v>909.51</v>
      </c>
      <c r="D4600" s="6">
        <f t="shared" si="146"/>
        <v>0.34566787003610105</v>
      </c>
      <c r="E4600" s="6">
        <v>-8.4490765976931292E-3</v>
      </c>
      <c r="F4600" s="6"/>
      <c r="G4600" s="6">
        <v>4593</v>
      </c>
      <c r="H4600" s="6">
        <f t="shared" ca="1" si="147"/>
        <v>9.5130120489851609E-3</v>
      </c>
    </row>
    <row r="4601" spans="2:8" x14ac:dyDescent="0.3">
      <c r="B4601" s="4">
        <v>41996</v>
      </c>
      <c r="C4601" s="7">
        <v>675.88</v>
      </c>
      <c r="D4601" s="6">
        <f t="shared" si="146"/>
        <v>-0.76327025256823822</v>
      </c>
      <c r="E4601" s="6">
        <v>-8.4502083211079031E-3</v>
      </c>
      <c r="F4601" s="6"/>
      <c r="G4601" s="6">
        <v>4594</v>
      </c>
      <c r="H4601" s="6">
        <f t="shared" ca="1" si="147"/>
        <v>2.746797678679018E-3</v>
      </c>
    </row>
    <row r="4602" spans="2:8" x14ac:dyDescent="0.3">
      <c r="B4602" s="4">
        <v>45464</v>
      </c>
      <c r="C4602" s="5">
        <v>2855.07</v>
      </c>
      <c r="D4602" s="6">
        <f t="shared" si="146"/>
        <v>7.5458110090095492</v>
      </c>
      <c r="E4602" s="6">
        <v>-8.4531206045681904E-3</v>
      </c>
      <c r="F4602" s="6"/>
      <c r="G4602" s="6">
        <v>4595</v>
      </c>
      <c r="H4602" s="6">
        <f t="shared" ca="1" si="147"/>
        <v>-7.8611780747467894E-4</v>
      </c>
    </row>
    <row r="4603" spans="2:8" x14ac:dyDescent="0.3">
      <c r="B4603" s="4">
        <v>41162</v>
      </c>
      <c r="C4603" s="7">
        <v>334.09</v>
      </c>
      <c r="D4603" s="6">
        <f t="shared" si="146"/>
        <v>0.37113190511368294</v>
      </c>
      <c r="E4603" s="6">
        <v>-8.458479254466739E-3</v>
      </c>
      <c r="F4603" s="6"/>
      <c r="G4603" s="6">
        <v>4596</v>
      </c>
      <c r="H4603" s="6">
        <f t="shared" ca="1" si="147"/>
        <v>-1.922623810892525E-2</v>
      </c>
    </row>
    <row r="4604" spans="2:8" x14ac:dyDescent="0.3">
      <c r="B4604" s="4">
        <v>40924</v>
      </c>
      <c r="C4604" s="7">
        <v>243.66</v>
      </c>
      <c r="D4604" s="6">
        <f t="shared" si="146"/>
        <v>2.3029686864579095</v>
      </c>
      <c r="E4604" s="6">
        <v>-8.4642304875071715E-3</v>
      </c>
      <c r="F4604" s="6"/>
      <c r="G4604" s="6">
        <v>4597</v>
      </c>
      <c r="H4604" s="6">
        <f t="shared" ca="1" si="147"/>
        <v>-2.3821045013668225E-2</v>
      </c>
    </row>
    <row r="4605" spans="2:8" x14ac:dyDescent="0.3">
      <c r="B4605" s="4">
        <v>39785</v>
      </c>
      <c r="C4605" s="7">
        <v>73.77</v>
      </c>
      <c r="D4605" s="6">
        <f t="shared" si="146"/>
        <v>-0.93768794134540667</v>
      </c>
      <c r="E4605" s="6">
        <v>-8.4677419354840001E-3</v>
      </c>
      <c r="F4605" s="6"/>
      <c r="G4605" s="6">
        <v>4598</v>
      </c>
      <c r="H4605" s="6">
        <f t="shared" ca="1" si="147"/>
        <v>-4.0039757771816739E-3</v>
      </c>
    </row>
    <row r="4606" spans="2:8" x14ac:dyDescent="0.3">
      <c r="B4606" s="4">
        <v>43257</v>
      </c>
      <c r="C4606" s="5">
        <v>1183.8800000000001</v>
      </c>
      <c r="D4606" s="6">
        <f t="shared" si="146"/>
        <v>16.180089972427805</v>
      </c>
      <c r="E4606" s="6">
        <v>-8.4840160467666778E-3</v>
      </c>
      <c r="F4606" s="6"/>
      <c r="G4606" s="6">
        <v>4599</v>
      </c>
      <c r="H4606" s="6">
        <f t="shared" ca="1" si="147"/>
        <v>-6.9636453524600656E-3</v>
      </c>
    </row>
    <row r="4607" spans="2:8" x14ac:dyDescent="0.3">
      <c r="B4607" s="4">
        <v>39232</v>
      </c>
      <c r="C4607" s="7">
        <v>68.91</v>
      </c>
      <c r="D4607" s="6">
        <f t="shared" si="146"/>
        <v>-0.97428462675204874</v>
      </c>
      <c r="E4607" s="6">
        <v>-8.4892086330935739E-3</v>
      </c>
      <c r="F4607" s="6"/>
      <c r="G4607" s="6">
        <v>4600</v>
      </c>
      <c r="H4607" s="6">
        <f t="shared" ca="1" si="147"/>
        <v>-4.3986406122670865E-2</v>
      </c>
    </row>
    <row r="4608" spans="2:8" x14ac:dyDescent="0.3">
      <c r="B4608" s="4">
        <v>44747</v>
      </c>
      <c r="C4608" s="5">
        <v>2679.72</v>
      </c>
      <c r="D4608" s="6">
        <f t="shared" si="146"/>
        <v>8.6535177780179389</v>
      </c>
      <c r="E4608" s="6">
        <v>-8.4916027483933568E-3</v>
      </c>
      <c r="F4608" s="6"/>
      <c r="G4608" s="6">
        <v>4601</v>
      </c>
      <c r="H4608" s="6">
        <f t="shared" ca="1" si="147"/>
        <v>-9.5621971430381661E-3</v>
      </c>
    </row>
    <row r="4609" spans="2:8" x14ac:dyDescent="0.3">
      <c r="B4609" s="4">
        <v>40743</v>
      </c>
      <c r="C4609" s="7">
        <v>277.58999999999997</v>
      </c>
      <c r="D4609" s="6">
        <f t="shared" si="146"/>
        <v>-0.73700366654350125</v>
      </c>
      <c r="E4609" s="6">
        <v>-8.500910811872887E-3</v>
      </c>
      <c r="F4609" s="6"/>
      <c r="G4609" s="6">
        <v>4602</v>
      </c>
      <c r="H4609" s="6">
        <f t="shared" ca="1" si="147"/>
        <v>2.5221877150028649E-2</v>
      </c>
    </row>
    <row r="4610" spans="2:8" x14ac:dyDescent="0.3">
      <c r="B4610" s="4">
        <v>43080</v>
      </c>
      <c r="C4610" s="5">
        <v>1055.49</v>
      </c>
      <c r="D4610" s="6">
        <f t="shared" si="146"/>
        <v>1.635299111155498</v>
      </c>
      <c r="E4610" s="6">
        <v>-8.5013245157532415E-3</v>
      </c>
      <c r="F4610" s="6"/>
      <c r="G4610" s="6">
        <v>4603</v>
      </c>
      <c r="H4610" s="6">
        <f t="shared" ca="1" si="147"/>
        <v>-2.4855476400569013E-2</v>
      </c>
    </row>
    <row r="4611" spans="2:8" x14ac:dyDescent="0.3">
      <c r="B4611" s="4">
        <v>41318</v>
      </c>
      <c r="C4611" s="7">
        <v>400.52</v>
      </c>
      <c r="D4611" s="6">
        <f t="shared" si="146"/>
        <v>16.204467353951891</v>
      </c>
      <c r="E4611" s="6">
        <v>-8.5156946232300169E-3</v>
      </c>
      <c r="F4611" s="6"/>
      <c r="G4611" s="6">
        <v>4604</v>
      </c>
      <c r="H4611" s="6">
        <f t="shared" ca="1" si="147"/>
        <v>-1.3268775737157108E-2</v>
      </c>
    </row>
    <row r="4612" spans="2:8" x14ac:dyDescent="0.3">
      <c r="B4612" s="4">
        <v>38274</v>
      </c>
      <c r="C4612" s="7">
        <v>23.28</v>
      </c>
      <c r="D4612" s="6">
        <f t="shared" si="146"/>
        <v>-0.99228633342390038</v>
      </c>
      <c r="E4612" s="6">
        <v>-8.5178875638841269E-3</v>
      </c>
      <c r="F4612" s="6"/>
      <c r="G4612" s="6">
        <v>4605</v>
      </c>
      <c r="H4612" s="6">
        <f t="shared" ca="1" si="147"/>
        <v>5.0083361294013052E-3</v>
      </c>
    </row>
    <row r="4613" spans="2:8" x14ac:dyDescent="0.3">
      <c r="B4613" s="4">
        <v>45582</v>
      </c>
      <c r="C4613" s="5">
        <v>3018.02</v>
      </c>
      <c r="D4613" s="6">
        <f t="shared" si="146"/>
        <v>7.5977482343462049E-2</v>
      </c>
      <c r="E4613" s="6">
        <v>-8.5185367696577925E-3</v>
      </c>
      <c r="F4613" s="6"/>
      <c r="G4613" s="6">
        <v>4606</v>
      </c>
      <c r="H4613" s="6">
        <f t="shared" ca="1" si="147"/>
        <v>1.3144787347511507E-2</v>
      </c>
    </row>
    <row r="4614" spans="2:8" x14ac:dyDescent="0.3">
      <c r="B4614" s="4">
        <v>45366</v>
      </c>
      <c r="C4614" s="5">
        <v>2804.91</v>
      </c>
      <c r="D4614" s="6">
        <f t="shared" si="146"/>
        <v>27.783068240123139</v>
      </c>
      <c r="E4614" s="6">
        <v>-8.5399088746479605E-3</v>
      </c>
      <c r="F4614" s="6"/>
      <c r="G4614" s="6">
        <v>4607</v>
      </c>
      <c r="H4614" s="6">
        <f t="shared" ca="1" si="147"/>
        <v>2.1990219738211605E-2</v>
      </c>
    </row>
    <row r="4615" spans="2:8" x14ac:dyDescent="0.3">
      <c r="B4615" s="4">
        <v>39532</v>
      </c>
      <c r="C4615" s="7">
        <v>97.45</v>
      </c>
      <c r="D4615" s="6">
        <f t="shared" si="146"/>
        <v>-0.77593580428584574</v>
      </c>
      <c r="E4615" s="6">
        <v>-8.5461389764981514E-3</v>
      </c>
      <c r="F4615" s="6"/>
      <c r="G4615" s="6">
        <v>4608</v>
      </c>
      <c r="H4615" s="6">
        <f t="shared" ca="1" si="147"/>
        <v>1.778102763925193E-2</v>
      </c>
    </row>
    <row r="4616" spans="2:8" x14ac:dyDescent="0.3">
      <c r="B4616" s="4">
        <v>41709</v>
      </c>
      <c r="C4616" s="7">
        <v>434.92</v>
      </c>
      <c r="D4616" s="6">
        <f t="shared" ref="D4616:D4679" si="148">((C4616-C4617)/C4617)</f>
        <v>22.445822102425875</v>
      </c>
      <c r="E4616" s="6">
        <v>-8.5485672601272027E-3</v>
      </c>
      <c r="F4616" s="6"/>
      <c r="G4616" s="6">
        <v>4609</v>
      </c>
      <c r="H4616" s="6">
        <f t="shared" ca="1" si="147"/>
        <v>1.3398161755468308E-2</v>
      </c>
    </row>
    <row r="4617" spans="2:8" x14ac:dyDescent="0.3">
      <c r="B4617" s="4">
        <v>37788</v>
      </c>
      <c r="C4617" s="7">
        <v>18.55</v>
      </c>
      <c r="D4617" s="6">
        <f t="shared" si="148"/>
        <v>-0.98627085276137194</v>
      </c>
      <c r="E4617" s="6">
        <v>-8.5515766969535088E-3</v>
      </c>
      <c r="F4617" s="6"/>
      <c r="G4617" s="6">
        <v>4610</v>
      </c>
      <c r="H4617" s="6">
        <f t="shared" ref="H4617:H4680" ca="1" si="149">_xlfn.NORM.INV(RAND(),N$10,N$11)</f>
        <v>1.4397584844921272E-2</v>
      </c>
    </row>
    <row r="4618" spans="2:8" x14ac:dyDescent="0.3">
      <c r="B4618" s="4">
        <v>43578</v>
      </c>
      <c r="C4618" s="5">
        <v>1351.14</v>
      </c>
      <c r="D4618" s="6">
        <f t="shared" si="148"/>
        <v>52.006669282071407</v>
      </c>
      <c r="E4618" s="6">
        <v>-8.5559142941002749E-3</v>
      </c>
      <c r="F4618" s="6"/>
      <c r="G4618" s="6">
        <v>4611</v>
      </c>
      <c r="H4618" s="6">
        <f t="shared" ca="1" si="149"/>
        <v>-1.6619737157659895E-2</v>
      </c>
    </row>
    <row r="4619" spans="2:8" x14ac:dyDescent="0.3">
      <c r="B4619" s="4">
        <v>38015</v>
      </c>
      <c r="C4619" s="7">
        <v>25.49</v>
      </c>
      <c r="D4619" s="6">
        <f t="shared" si="148"/>
        <v>-0.74103423752920861</v>
      </c>
      <c r="E4619" s="6">
        <v>-8.5569817191755125E-3</v>
      </c>
      <c r="F4619" s="6"/>
      <c r="G4619" s="6">
        <v>4612</v>
      </c>
      <c r="H4619" s="6">
        <f t="shared" ca="1" si="149"/>
        <v>-6.8556025276765836E-3</v>
      </c>
    </row>
    <row r="4620" spans="2:8" x14ac:dyDescent="0.3">
      <c r="B4620" s="4">
        <v>39710</v>
      </c>
      <c r="C4620" s="7">
        <v>98.43</v>
      </c>
      <c r="D4620" s="6">
        <f t="shared" si="148"/>
        <v>0.5189814814814816</v>
      </c>
      <c r="E4620" s="6">
        <v>-8.5616438356163806E-3</v>
      </c>
      <c r="F4620" s="6"/>
      <c r="G4620" s="6">
        <v>4613</v>
      </c>
      <c r="H4620" s="6">
        <f t="shared" ca="1" si="149"/>
        <v>9.3598957527017655E-3</v>
      </c>
    </row>
    <row r="4621" spans="2:8" x14ac:dyDescent="0.3">
      <c r="B4621" s="4">
        <v>39213</v>
      </c>
      <c r="C4621" s="7">
        <v>64.8</v>
      </c>
      <c r="D4621" s="6">
        <f t="shared" si="148"/>
        <v>-0.77204770112920806</v>
      </c>
      <c r="E4621" s="6">
        <v>-8.5679314565483833E-3</v>
      </c>
      <c r="F4621" s="6"/>
      <c r="G4621" s="6">
        <v>4614</v>
      </c>
      <c r="H4621" s="6">
        <f t="shared" ca="1" si="149"/>
        <v>1.0179414834733677E-3</v>
      </c>
    </row>
    <row r="4622" spans="2:8" x14ac:dyDescent="0.3">
      <c r="B4622" s="4">
        <v>40773</v>
      </c>
      <c r="C4622" s="7">
        <v>284.27</v>
      </c>
      <c r="D4622" s="6">
        <f t="shared" si="148"/>
        <v>4.1293756766510281</v>
      </c>
      <c r="E4622" s="6">
        <v>-8.5794998779340718E-3</v>
      </c>
      <c r="F4622" s="6"/>
      <c r="G4622" s="6">
        <v>4615</v>
      </c>
      <c r="H4622" s="6">
        <f t="shared" ca="1" si="149"/>
        <v>3.1207285346906933E-3</v>
      </c>
    </row>
    <row r="4623" spans="2:8" x14ac:dyDescent="0.3">
      <c r="B4623" s="4">
        <v>38996</v>
      </c>
      <c r="C4623" s="7">
        <v>55.42</v>
      </c>
      <c r="D4623" s="6">
        <f t="shared" si="148"/>
        <v>-0.92685083748003649</v>
      </c>
      <c r="E4623" s="6">
        <v>-8.586762075134112E-3</v>
      </c>
      <c r="F4623" s="6"/>
      <c r="G4623" s="6">
        <v>4616</v>
      </c>
      <c r="H4623" s="6">
        <f t="shared" ca="1" si="149"/>
        <v>-1.12342369774933E-2</v>
      </c>
    </row>
    <row r="4624" spans="2:8" x14ac:dyDescent="0.3">
      <c r="B4624" s="4">
        <v>42263</v>
      </c>
      <c r="C4624" s="7">
        <v>757.63</v>
      </c>
      <c r="D4624" s="6">
        <f t="shared" si="148"/>
        <v>15.869962146515254</v>
      </c>
      <c r="E4624" s="6">
        <v>-8.5972258571055341E-3</v>
      </c>
      <c r="F4624" s="6"/>
      <c r="G4624" s="6">
        <v>4617</v>
      </c>
      <c r="H4624" s="6">
        <f t="shared" ca="1" si="149"/>
        <v>8.6045138900142475E-3</v>
      </c>
    </row>
    <row r="4625" spans="2:8" x14ac:dyDescent="0.3">
      <c r="B4625" s="4">
        <v>38709</v>
      </c>
      <c r="C4625" s="7">
        <v>44.91</v>
      </c>
      <c r="D4625" s="6">
        <f t="shared" si="148"/>
        <v>1.7859801488833742</v>
      </c>
      <c r="E4625" s="6">
        <v>-8.6092715231788214E-3</v>
      </c>
      <c r="F4625" s="6"/>
      <c r="G4625" s="6">
        <v>4618</v>
      </c>
      <c r="H4625" s="6">
        <f t="shared" ca="1" si="149"/>
        <v>2.5113060834964913E-2</v>
      </c>
    </row>
    <row r="4626" spans="2:8" x14ac:dyDescent="0.3">
      <c r="B4626" s="4">
        <v>37736</v>
      </c>
      <c r="C4626" s="7">
        <v>16.12</v>
      </c>
      <c r="D4626" s="6">
        <f t="shared" si="148"/>
        <v>-0.985207073441558</v>
      </c>
      <c r="E4626" s="6">
        <v>-8.6100861008610429E-3</v>
      </c>
      <c r="F4626" s="6"/>
      <c r="G4626" s="6">
        <v>4619</v>
      </c>
      <c r="H4626" s="6">
        <f t="shared" ca="1" si="149"/>
        <v>3.7773191710525752E-3</v>
      </c>
    </row>
    <row r="4627" spans="2:8" x14ac:dyDescent="0.3">
      <c r="B4627" s="4">
        <v>43045</v>
      </c>
      <c r="C4627" s="5">
        <v>1089.71</v>
      </c>
      <c r="D4627" s="6">
        <f t="shared" si="148"/>
        <v>4.4808872346846398</v>
      </c>
      <c r="E4627" s="6">
        <v>-8.6155133827034939E-3</v>
      </c>
      <c r="F4627" s="6"/>
      <c r="G4627" s="6">
        <v>4620</v>
      </c>
      <c r="H4627" s="6">
        <f t="shared" ca="1" si="149"/>
        <v>-1.3167041587812577E-2</v>
      </c>
    </row>
    <row r="4628" spans="2:8" x14ac:dyDescent="0.3">
      <c r="B4628" s="4">
        <v>40340</v>
      </c>
      <c r="C4628" s="7">
        <v>198.82</v>
      </c>
      <c r="D4628" s="6">
        <f t="shared" si="148"/>
        <v>-0.93954303020719931</v>
      </c>
      <c r="E4628" s="6">
        <v>-8.6262777362254711E-3</v>
      </c>
      <c r="F4628" s="6"/>
      <c r="G4628" s="6">
        <v>4621</v>
      </c>
      <c r="H4628" s="6">
        <f t="shared" ca="1" si="149"/>
        <v>-7.3834647957242792E-3</v>
      </c>
    </row>
    <row r="4629" spans="2:8" x14ac:dyDescent="0.3">
      <c r="B4629" s="4">
        <v>44810</v>
      </c>
      <c r="C4629" s="5">
        <v>3288.62</v>
      </c>
      <c r="D4629" s="6">
        <f t="shared" si="148"/>
        <v>0.13831285933340937</v>
      </c>
      <c r="E4629" s="6">
        <v>-8.630642851759773E-3</v>
      </c>
      <c r="F4629" s="6"/>
      <c r="G4629" s="6">
        <v>4622</v>
      </c>
      <c r="H4629" s="6">
        <f t="shared" ca="1" si="149"/>
        <v>-1.065351832782366E-4</v>
      </c>
    </row>
    <row r="4630" spans="2:8" x14ac:dyDescent="0.3">
      <c r="B4630" s="4">
        <v>44932</v>
      </c>
      <c r="C4630" s="5">
        <v>2889.03</v>
      </c>
      <c r="D4630" s="6">
        <f t="shared" si="148"/>
        <v>6.0524350054924945</v>
      </c>
      <c r="E4630" s="6">
        <v>-8.6370187358450409E-3</v>
      </c>
      <c r="F4630" s="6"/>
      <c r="G4630" s="6">
        <v>4623</v>
      </c>
      <c r="H4630" s="6">
        <f t="shared" ca="1" si="149"/>
        <v>-1.221031449919993E-2</v>
      </c>
    </row>
    <row r="4631" spans="2:8" x14ac:dyDescent="0.3">
      <c r="B4631" s="4">
        <v>41435</v>
      </c>
      <c r="C4631" s="7">
        <v>409.65</v>
      </c>
      <c r="D4631" s="6">
        <f t="shared" si="148"/>
        <v>-0.65216099176360709</v>
      </c>
      <c r="E4631" s="6">
        <v>-8.6394656599391353E-3</v>
      </c>
      <c r="F4631" s="6"/>
      <c r="G4631" s="6">
        <v>4624</v>
      </c>
      <c r="H4631" s="6">
        <f t="shared" ca="1" si="149"/>
        <v>7.5331616338277126E-3</v>
      </c>
    </row>
    <row r="4632" spans="2:8" x14ac:dyDescent="0.3">
      <c r="B4632" s="4">
        <v>43388</v>
      </c>
      <c r="C4632" s="5">
        <v>1177.7</v>
      </c>
      <c r="D4632" s="6">
        <f t="shared" si="148"/>
        <v>-0.18016581854633795</v>
      </c>
      <c r="E4632" s="6">
        <v>-8.6449994528481205E-3</v>
      </c>
      <c r="F4632" s="6"/>
      <c r="G4632" s="6">
        <v>4625</v>
      </c>
      <c r="H4632" s="6">
        <f t="shared" ca="1" si="149"/>
        <v>3.2026709213628789E-2</v>
      </c>
    </row>
    <row r="4633" spans="2:8" x14ac:dyDescent="0.3">
      <c r="B4633" s="4">
        <v>43675</v>
      </c>
      <c r="C4633" s="5">
        <v>1436.51</v>
      </c>
      <c r="D4633" s="6">
        <f t="shared" si="148"/>
        <v>0.77755091939515431</v>
      </c>
      <c r="E4633" s="6">
        <v>-8.6471042897366349E-3</v>
      </c>
      <c r="F4633" s="6"/>
      <c r="G4633" s="6">
        <v>4626</v>
      </c>
      <c r="H4633" s="6">
        <f t="shared" ca="1" si="149"/>
        <v>6.7581452103642348E-4</v>
      </c>
    </row>
    <row r="4634" spans="2:8" x14ac:dyDescent="0.3">
      <c r="B4634" s="4">
        <v>42410</v>
      </c>
      <c r="C4634" s="7">
        <v>808.14</v>
      </c>
      <c r="D4634" s="6">
        <f t="shared" si="148"/>
        <v>3.6084625912408756</v>
      </c>
      <c r="E4634" s="6">
        <v>-8.6482905825636565E-3</v>
      </c>
      <c r="F4634" s="6"/>
      <c r="G4634" s="6">
        <v>4627</v>
      </c>
      <c r="H4634" s="6">
        <f t="shared" ca="1" si="149"/>
        <v>1.7863855394068297E-2</v>
      </c>
    </row>
    <row r="4635" spans="2:8" x14ac:dyDescent="0.3">
      <c r="B4635" s="4">
        <v>40269</v>
      </c>
      <c r="C4635" s="7">
        <v>175.36</v>
      </c>
      <c r="D4635" s="6">
        <f t="shared" si="148"/>
        <v>-0.26777736022380888</v>
      </c>
      <c r="E4635" s="6">
        <v>-8.6494431567639366E-3</v>
      </c>
      <c r="F4635" s="6"/>
      <c r="G4635" s="6">
        <v>4628</v>
      </c>
      <c r="H4635" s="6">
        <f t="shared" ca="1" si="149"/>
        <v>-1.9871269147577222E-2</v>
      </c>
    </row>
    <row r="4636" spans="2:8" x14ac:dyDescent="0.3">
      <c r="B4636" s="4">
        <v>40422</v>
      </c>
      <c r="C4636" s="7">
        <v>239.49</v>
      </c>
      <c r="D4636" s="6">
        <f t="shared" si="148"/>
        <v>-3.6451418225709117E-2</v>
      </c>
      <c r="E4636" s="6">
        <v>-8.6513784253663528E-3</v>
      </c>
      <c r="F4636" s="6"/>
      <c r="G4636" s="6">
        <v>4629</v>
      </c>
      <c r="H4636" s="6">
        <f t="shared" ca="1" si="149"/>
        <v>8.6358078696337891E-3</v>
      </c>
    </row>
    <row r="4637" spans="2:8" x14ac:dyDescent="0.3">
      <c r="B4637" s="4">
        <v>40890</v>
      </c>
      <c r="C4637" s="7">
        <v>248.55</v>
      </c>
      <c r="D4637" s="6">
        <f t="shared" si="148"/>
        <v>9.3390183028286202</v>
      </c>
      <c r="E4637" s="6">
        <v>-8.6550733886406658E-3</v>
      </c>
      <c r="F4637" s="6"/>
      <c r="G4637" s="6">
        <v>4630</v>
      </c>
      <c r="H4637" s="6">
        <f t="shared" ca="1" si="149"/>
        <v>-1.3243230326273187E-3</v>
      </c>
    </row>
    <row r="4638" spans="2:8" x14ac:dyDescent="0.3">
      <c r="B4638" s="4">
        <v>38054</v>
      </c>
      <c r="C4638" s="7">
        <v>24.04</v>
      </c>
      <c r="D4638" s="6">
        <f t="shared" si="148"/>
        <v>0.50156152404747012</v>
      </c>
      <c r="E4638" s="6">
        <v>-8.6597938144330252E-3</v>
      </c>
      <c r="F4638" s="6"/>
      <c r="G4638" s="6">
        <v>4631</v>
      </c>
      <c r="H4638" s="6">
        <f t="shared" ca="1" si="149"/>
        <v>1.013927108027254E-2</v>
      </c>
    </row>
    <row r="4639" spans="2:8" x14ac:dyDescent="0.3">
      <c r="B4639" s="4">
        <v>37571</v>
      </c>
      <c r="C4639" s="7">
        <v>16.010000000000002</v>
      </c>
      <c r="D4639" s="6">
        <f t="shared" si="148"/>
        <v>-0.99353661441322871</v>
      </c>
      <c r="E4639" s="6">
        <v>-8.6687306501546154E-3</v>
      </c>
      <c r="F4639" s="6"/>
      <c r="G4639" s="6">
        <v>4632</v>
      </c>
      <c r="H4639" s="6">
        <f t="shared" ca="1" si="149"/>
        <v>1.7362581318155219E-2</v>
      </c>
    </row>
    <row r="4640" spans="2:8" x14ac:dyDescent="0.3">
      <c r="B4640" s="4">
        <v>45916</v>
      </c>
      <c r="C4640" s="5">
        <v>2477.0300000000002</v>
      </c>
      <c r="D4640" s="6">
        <f t="shared" si="148"/>
        <v>4.788129454375512</v>
      </c>
      <c r="E4640" s="6">
        <v>-8.6725097050464727E-3</v>
      </c>
      <c r="F4640" s="6"/>
      <c r="G4640" s="6">
        <v>4633</v>
      </c>
      <c r="H4640" s="6">
        <f t="shared" ca="1" si="149"/>
        <v>-2.1205803231840988E-3</v>
      </c>
    </row>
    <row r="4641" spans="2:8" x14ac:dyDescent="0.3">
      <c r="B4641" s="4">
        <v>41698</v>
      </c>
      <c r="C4641" s="7">
        <v>427.95</v>
      </c>
      <c r="D4641" s="6">
        <f t="shared" si="148"/>
        <v>0.23617088881827897</v>
      </c>
      <c r="E4641" s="6">
        <v>-8.6865879082696322E-3</v>
      </c>
      <c r="F4641" s="6"/>
      <c r="G4641" s="6">
        <v>4634</v>
      </c>
      <c r="H4641" s="6">
        <f t="shared" ca="1" si="149"/>
        <v>-2.8938909015825041E-2</v>
      </c>
    </row>
    <row r="4642" spans="2:8" x14ac:dyDescent="0.3">
      <c r="B4642" s="4">
        <v>41186</v>
      </c>
      <c r="C4642" s="7">
        <v>346.19</v>
      </c>
      <c r="D4642" s="6">
        <f t="shared" si="148"/>
        <v>-0.88604374045399481</v>
      </c>
      <c r="E4642" s="6">
        <v>-8.7048649886894598E-3</v>
      </c>
      <c r="F4642" s="6"/>
      <c r="G4642" s="6">
        <v>4635</v>
      </c>
      <c r="H4642" s="6">
        <f t="shared" ca="1" si="149"/>
        <v>-1.5141691305419818E-2</v>
      </c>
    </row>
    <row r="4643" spans="2:8" x14ac:dyDescent="0.3">
      <c r="B4643" s="4">
        <v>44867</v>
      </c>
      <c r="C4643" s="5">
        <v>3037.92</v>
      </c>
      <c r="D4643" s="6">
        <f t="shared" si="148"/>
        <v>52.559943582510584</v>
      </c>
      <c r="E4643" s="6">
        <v>-8.7058669973242298E-3</v>
      </c>
      <c r="F4643" s="6"/>
      <c r="G4643" s="6">
        <v>4636</v>
      </c>
      <c r="H4643" s="6">
        <f t="shared" ca="1" si="149"/>
        <v>-1.1872721538907945E-2</v>
      </c>
    </row>
    <row r="4644" spans="2:8" x14ac:dyDescent="0.3">
      <c r="B4644" s="4">
        <v>39157</v>
      </c>
      <c r="C4644" s="7">
        <v>56.72</v>
      </c>
      <c r="D4644" s="6">
        <f t="shared" si="148"/>
        <v>-0.98106328708217039</v>
      </c>
      <c r="E4644" s="6">
        <v>-8.7382034253757433E-3</v>
      </c>
      <c r="F4644" s="6"/>
      <c r="G4644" s="6">
        <v>4637</v>
      </c>
      <c r="H4644" s="6">
        <f t="shared" ca="1" si="149"/>
        <v>-7.914040352517044E-3</v>
      </c>
    </row>
    <row r="4645" spans="2:8" x14ac:dyDescent="0.3">
      <c r="B4645" s="4">
        <v>44925</v>
      </c>
      <c r="C4645" s="5">
        <v>2995.24</v>
      </c>
      <c r="D4645" s="6">
        <f t="shared" si="148"/>
        <v>1.155003957119217</v>
      </c>
      <c r="E4645" s="6">
        <v>-8.7468188121139264E-3</v>
      </c>
      <c r="F4645" s="6"/>
      <c r="G4645" s="6">
        <v>4638</v>
      </c>
      <c r="H4645" s="6">
        <f t="shared" ca="1" si="149"/>
        <v>1.8629323992491839E-5</v>
      </c>
    </row>
    <row r="4646" spans="2:8" x14ac:dyDescent="0.3">
      <c r="B4646" s="4">
        <v>43551</v>
      </c>
      <c r="C4646" s="5">
        <v>1389.9</v>
      </c>
      <c r="D4646" s="6">
        <f t="shared" si="148"/>
        <v>0.24743091517756979</v>
      </c>
      <c r="E4646" s="6">
        <v>-8.7577914390448951E-3</v>
      </c>
      <c r="F4646" s="6"/>
      <c r="G4646" s="6">
        <v>4639</v>
      </c>
      <c r="H4646" s="6">
        <f t="shared" ca="1" si="149"/>
        <v>-2.5918599266387937E-4</v>
      </c>
    </row>
    <row r="4647" spans="2:8" x14ac:dyDescent="0.3">
      <c r="B4647" s="4">
        <v>43034</v>
      </c>
      <c r="C4647" s="5">
        <v>1114.21</v>
      </c>
      <c r="D4647" s="6">
        <f t="shared" si="148"/>
        <v>3.8345120840022564</v>
      </c>
      <c r="E4647" s="6">
        <v>-8.7716957129003528E-3</v>
      </c>
      <c r="F4647" s="6"/>
      <c r="G4647" s="6">
        <v>4640</v>
      </c>
      <c r="H4647" s="6">
        <f t="shared" ca="1" si="149"/>
        <v>8.8408989544664692E-3</v>
      </c>
    </row>
    <row r="4648" spans="2:8" x14ac:dyDescent="0.3">
      <c r="B4648" s="4">
        <v>40470</v>
      </c>
      <c r="C4648" s="7">
        <v>230.47</v>
      </c>
      <c r="D4648" s="6">
        <f t="shared" si="148"/>
        <v>5.1837939361416678</v>
      </c>
      <c r="E4648" s="6">
        <v>-8.7738161799492155E-3</v>
      </c>
      <c r="F4648" s="6"/>
      <c r="G4648" s="6">
        <v>4641</v>
      </c>
      <c r="H4648" s="6">
        <f t="shared" ca="1" si="149"/>
        <v>-1.5429280438537996E-2</v>
      </c>
    </row>
    <row r="4649" spans="2:8" x14ac:dyDescent="0.3">
      <c r="B4649" s="4">
        <v>38583</v>
      </c>
      <c r="C4649" s="7">
        <v>37.270000000000003</v>
      </c>
      <c r="D4649" s="6">
        <f t="shared" si="148"/>
        <v>-0.2494965767217075</v>
      </c>
      <c r="E4649" s="6">
        <v>-8.7765957446808048E-3</v>
      </c>
      <c r="F4649" s="6"/>
      <c r="G4649" s="6">
        <v>4642</v>
      </c>
      <c r="H4649" s="6">
        <f t="shared" ca="1" si="149"/>
        <v>-1.6925434607564481E-2</v>
      </c>
    </row>
    <row r="4650" spans="2:8" x14ac:dyDescent="0.3">
      <c r="B4650" s="4">
        <v>38930</v>
      </c>
      <c r="C4650" s="7">
        <v>49.66</v>
      </c>
      <c r="D4650" s="6">
        <f t="shared" si="148"/>
        <v>-0.77169915410077239</v>
      </c>
      <c r="E4650" s="6">
        <v>-8.7824351297406157E-3</v>
      </c>
      <c r="F4650" s="6"/>
      <c r="G4650" s="6">
        <v>4643</v>
      </c>
      <c r="H4650" s="6">
        <f t="shared" ca="1" si="149"/>
        <v>1.1492815988730718E-3</v>
      </c>
    </row>
    <row r="4651" spans="2:8" x14ac:dyDescent="0.3">
      <c r="B4651" s="4">
        <v>40582</v>
      </c>
      <c r="C4651" s="7">
        <v>217.52</v>
      </c>
      <c r="D4651" s="6">
        <f t="shared" si="148"/>
        <v>3.1134644478063542</v>
      </c>
      <c r="E4651" s="6">
        <v>-8.7947140578718552E-3</v>
      </c>
      <c r="F4651" s="6"/>
      <c r="G4651" s="6">
        <v>4644</v>
      </c>
      <c r="H4651" s="6">
        <f t="shared" ca="1" si="149"/>
        <v>3.9319718595363352E-2</v>
      </c>
    </row>
    <row r="4652" spans="2:8" x14ac:dyDescent="0.3">
      <c r="B4652" s="4">
        <v>38947</v>
      </c>
      <c r="C4652" s="7">
        <v>52.88</v>
      </c>
      <c r="D4652" s="6">
        <f t="shared" si="148"/>
        <v>-0.9070976809557274</v>
      </c>
      <c r="E4652" s="6">
        <v>-8.8097469540768299E-3</v>
      </c>
      <c r="F4652" s="6"/>
      <c r="G4652" s="6">
        <v>4645</v>
      </c>
      <c r="H4652" s="6">
        <f t="shared" ca="1" si="149"/>
        <v>2.9871091744665859E-2</v>
      </c>
    </row>
    <row r="4653" spans="2:8" x14ac:dyDescent="0.3">
      <c r="B4653" s="4">
        <v>41884</v>
      </c>
      <c r="C4653" s="7">
        <v>569.20000000000005</v>
      </c>
      <c r="D4653" s="6">
        <f t="shared" si="148"/>
        <v>21.036391792489354</v>
      </c>
      <c r="E4653" s="6">
        <v>-8.8113398112352349E-3</v>
      </c>
      <c r="F4653" s="6"/>
      <c r="G4653" s="6">
        <v>4646</v>
      </c>
      <c r="H4653" s="6">
        <f t="shared" ca="1" si="149"/>
        <v>-2.7095341751314887E-3</v>
      </c>
    </row>
    <row r="4654" spans="2:8" x14ac:dyDescent="0.3">
      <c r="B4654" s="4">
        <v>38005</v>
      </c>
      <c r="C4654" s="7">
        <v>25.83</v>
      </c>
      <c r="D4654" s="6">
        <f t="shared" si="148"/>
        <v>0.53384798099762465</v>
      </c>
      <c r="E4654" s="6">
        <v>-8.8257866462010913E-3</v>
      </c>
      <c r="F4654" s="6"/>
      <c r="G4654" s="6">
        <v>4647</v>
      </c>
      <c r="H4654" s="6">
        <f t="shared" ca="1" si="149"/>
        <v>6.876715045672911E-3</v>
      </c>
    </row>
    <row r="4655" spans="2:8" x14ac:dyDescent="0.3">
      <c r="B4655" s="4">
        <v>37706</v>
      </c>
      <c r="C4655" s="7">
        <v>16.84</v>
      </c>
      <c r="D4655" s="6">
        <f t="shared" si="148"/>
        <v>-0.99246936767730964</v>
      </c>
      <c r="E4655" s="6">
        <v>-8.8287227781046855E-3</v>
      </c>
      <c r="F4655" s="6"/>
      <c r="G4655" s="6">
        <v>4648</v>
      </c>
      <c r="H4655" s="6">
        <f t="shared" ca="1" si="149"/>
        <v>1.9064417345956142E-2</v>
      </c>
    </row>
    <row r="4656" spans="2:8" x14ac:dyDescent="0.3">
      <c r="B4656" s="4">
        <v>45678</v>
      </c>
      <c r="C4656" s="5">
        <v>2236.1999999999998</v>
      </c>
      <c r="D4656" s="6">
        <f t="shared" si="148"/>
        <v>-0.30297145742615</v>
      </c>
      <c r="E4656" s="6">
        <v>-8.85567640879718E-3</v>
      </c>
      <c r="F4656" s="6"/>
      <c r="G4656" s="6">
        <v>4649</v>
      </c>
      <c r="H4656" s="6">
        <f t="shared" ca="1" si="149"/>
        <v>8.3172341154117563E-3</v>
      </c>
    </row>
    <row r="4657" spans="2:8" x14ac:dyDescent="0.3">
      <c r="B4657" s="4">
        <v>45559</v>
      </c>
      <c r="C4657" s="5">
        <v>3208.19</v>
      </c>
      <c r="D4657" s="6">
        <f t="shared" si="148"/>
        <v>13.491124260355031</v>
      </c>
      <c r="E4657" s="6">
        <v>-8.8634734682781109E-3</v>
      </c>
      <c r="F4657" s="6"/>
      <c r="G4657" s="6">
        <v>4650</v>
      </c>
      <c r="H4657" s="6">
        <f t="shared" ca="1" si="149"/>
        <v>-2.2427121303279094E-2</v>
      </c>
    </row>
    <row r="4658" spans="2:8" x14ac:dyDescent="0.3">
      <c r="B4658" s="4">
        <v>40623</v>
      </c>
      <c r="C4658" s="7">
        <v>221.39</v>
      </c>
      <c r="D4658" s="6">
        <f t="shared" si="148"/>
        <v>10.003479125248507</v>
      </c>
      <c r="E4658" s="6">
        <v>-8.8642163226933697E-3</v>
      </c>
      <c r="F4658" s="6"/>
      <c r="G4658" s="6">
        <v>4651</v>
      </c>
      <c r="H4658" s="6">
        <f t="shared" ca="1" si="149"/>
        <v>-3.4117890529987469E-2</v>
      </c>
    </row>
    <row r="4659" spans="2:8" x14ac:dyDescent="0.3">
      <c r="B4659" s="4">
        <v>37823</v>
      </c>
      <c r="C4659" s="7">
        <v>20.12</v>
      </c>
      <c r="D4659" s="6">
        <f t="shared" si="148"/>
        <v>-0.99088545205802148</v>
      </c>
      <c r="E4659" s="6">
        <v>-8.8669950738916106E-3</v>
      </c>
      <c r="F4659" s="6"/>
      <c r="G4659" s="6">
        <v>4652</v>
      </c>
      <c r="H4659" s="6">
        <f t="shared" ca="1" si="149"/>
        <v>-3.2805268281800516E-4</v>
      </c>
    </row>
    <row r="4660" spans="2:8" x14ac:dyDescent="0.3">
      <c r="B4660" s="4">
        <v>45729</v>
      </c>
      <c r="C4660" s="5">
        <v>2207.46</v>
      </c>
      <c r="D4660" s="6">
        <f t="shared" si="148"/>
        <v>0.82097604434765392</v>
      </c>
      <c r="E4660" s="6">
        <v>-8.8809468220756391E-3</v>
      </c>
      <c r="F4660" s="6"/>
      <c r="G4660" s="6">
        <v>4653</v>
      </c>
      <c r="H4660" s="6">
        <f t="shared" ca="1" si="149"/>
        <v>-2.9203026662388736E-3</v>
      </c>
    </row>
    <row r="4661" spans="2:8" x14ac:dyDescent="0.3">
      <c r="B4661" s="4">
        <v>43252</v>
      </c>
      <c r="C4661" s="5">
        <v>1212.24</v>
      </c>
      <c r="D4661" s="6">
        <f t="shared" si="148"/>
        <v>0.6897921632584787</v>
      </c>
      <c r="E4661" s="6">
        <v>-8.8871810385001276E-3</v>
      </c>
      <c r="F4661" s="6"/>
      <c r="G4661" s="6">
        <v>4654</v>
      </c>
      <c r="H4661" s="6">
        <f t="shared" ca="1" si="149"/>
        <v>1.1719608410460471E-2</v>
      </c>
    </row>
    <row r="4662" spans="2:8" x14ac:dyDescent="0.3">
      <c r="B4662" s="4">
        <v>41978</v>
      </c>
      <c r="C4662" s="7">
        <v>717.39</v>
      </c>
      <c r="D4662" s="6">
        <f t="shared" si="148"/>
        <v>-0.70045095828635862</v>
      </c>
      <c r="E4662" s="6">
        <v>-8.8971167263032121E-3</v>
      </c>
      <c r="F4662" s="6"/>
      <c r="G4662" s="6">
        <v>4655</v>
      </c>
      <c r="H4662" s="6">
        <f t="shared" ca="1" si="149"/>
        <v>1.0515856039436024E-2</v>
      </c>
    </row>
    <row r="4663" spans="2:8" x14ac:dyDescent="0.3">
      <c r="B4663" s="4">
        <v>46079</v>
      </c>
      <c r="C4663" s="5">
        <v>2394.9</v>
      </c>
      <c r="D4663" s="6">
        <f t="shared" si="148"/>
        <v>35.440961655508225</v>
      </c>
      <c r="E4663" s="6">
        <v>-8.8975335209402415E-3</v>
      </c>
      <c r="F4663" s="6"/>
      <c r="G4663" s="6">
        <v>4656</v>
      </c>
      <c r="H4663" s="6">
        <f t="shared" ca="1" si="149"/>
        <v>2.0382744906828039E-3</v>
      </c>
    </row>
    <row r="4664" spans="2:8" x14ac:dyDescent="0.3">
      <c r="B4664" s="4">
        <v>39847</v>
      </c>
      <c r="C4664" s="7">
        <v>65.72</v>
      </c>
      <c r="D4664" s="6">
        <f t="shared" si="148"/>
        <v>-0.92111391189533065</v>
      </c>
      <c r="E4664" s="6">
        <v>-8.8976021716182085E-3</v>
      </c>
      <c r="F4664" s="6"/>
      <c r="G4664" s="6">
        <v>4657</v>
      </c>
      <c r="H4664" s="6">
        <f t="shared" ca="1" si="149"/>
        <v>3.1937841333308003E-3</v>
      </c>
    </row>
    <row r="4665" spans="2:8" x14ac:dyDescent="0.3">
      <c r="B4665" s="4">
        <v>42738</v>
      </c>
      <c r="C4665" s="7">
        <v>833.1</v>
      </c>
      <c r="D4665" s="6">
        <f t="shared" si="148"/>
        <v>2.1044119839022208</v>
      </c>
      <c r="E4665" s="6">
        <v>-8.898617621166359E-3</v>
      </c>
      <c r="F4665" s="6"/>
      <c r="G4665" s="6">
        <v>4658</v>
      </c>
      <c r="H4665" s="6">
        <f t="shared" ca="1" si="149"/>
        <v>-2.8038262981400644E-3</v>
      </c>
    </row>
    <row r="4666" spans="2:8" x14ac:dyDescent="0.3">
      <c r="B4666" s="4">
        <v>40953</v>
      </c>
      <c r="C4666" s="7">
        <v>268.36</v>
      </c>
      <c r="D4666" s="6">
        <f t="shared" si="148"/>
        <v>-0.84803216490174971</v>
      </c>
      <c r="E4666" s="6">
        <v>-8.9005428961848373E-3</v>
      </c>
      <c r="F4666" s="6"/>
      <c r="G4666" s="6">
        <v>4659</v>
      </c>
      <c r="H4666" s="6">
        <f t="shared" ca="1" si="149"/>
        <v>1.8585581597274733E-2</v>
      </c>
    </row>
    <row r="4667" spans="2:8" x14ac:dyDescent="0.3">
      <c r="B4667" s="4">
        <v>43867</v>
      </c>
      <c r="C4667" s="5">
        <v>1765.9</v>
      </c>
      <c r="D4667" s="6">
        <f t="shared" si="148"/>
        <v>-0.45444378537356961</v>
      </c>
      <c r="E4667" s="6">
        <v>-8.9124358787279478E-3</v>
      </c>
      <c r="F4667" s="6"/>
      <c r="G4667" s="6">
        <v>4660</v>
      </c>
      <c r="H4667" s="6">
        <f t="shared" ca="1" si="149"/>
        <v>-7.7353082156896343E-3</v>
      </c>
    </row>
    <row r="4668" spans="2:8" x14ac:dyDescent="0.3">
      <c r="B4668" s="4">
        <v>45558</v>
      </c>
      <c r="C4668" s="5">
        <v>3236.88</v>
      </c>
      <c r="D4668" s="6">
        <f t="shared" si="148"/>
        <v>1.8963295692478395</v>
      </c>
      <c r="E4668" s="6">
        <v>-8.9191398679122555E-3</v>
      </c>
      <c r="F4668" s="6"/>
      <c r="G4668" s="6">
        <v>4661</v>
      </c>
      <c r="H4668" s="6">
        <f t="shared" ca="1" si="149"/>
        <v>-4.0645687015041848E-3</v>
      </c>
    </row>
    <row r="4669" spans="2:8" x14ac:dyDescent="0.3">
      <c r="B4669" s="4">
        <v>42657</v>
      </c>
      <c r="C4669" s="5">
        <v>1117.58</v>
      </c>
      <c r="D4669" s="6">
        <f t="shared" si="148"/>
        <v>3.0411498824805641</v>
      </c>
      <c r="E4669" s="6">
        <v>-8.9212869355469581E-3</v>
      </c>
      <c r="F4669" s="6"/>
      <c r="G4669" s="6">
        <v>4662</v>
      </c>
      <c r="H4669" s="6">
        <f t="shared" ca="1" si="149"/>
        <v>1.1859892317039463E-2</v>
      </c>
    </row>
    <row r="4670" spans="2:8" x14ac:dyDescent="0.3">
      <c r="B4670" s="4">
        <v>40819</v>
      </c>
      <c r="C4670" s="7">
        <v>276.55</v>
      </c>
      <c r="D4670" s="6">
        <f t="shared" si="148"/>
        <v>16.80746941403735</v>
      </c>
      <c r="E4670" s="6">
        <v>-8.9234518348624177E-3</v>
      </c>
      <c r="F4670" s="6"/>
      <c r="G4670" s="6">
        <v>4663</v>
      </c>
      <c r="H4670" s="6">
        <f t="shared" ca="1" si="149"/>
        <v>-1.4153522270274126E-3</v>
      </c>
    </row>
    <row r="4671" spans="2:8" x14ac:dyDescent="0.3">
      <c r="B4671" s="4">
        <v>37684</v>
      </c>
      <c r="C4671" s="7">
        <v>15.53</v>
      </c>
      <c r="D4671" s="6">
        <f t="shared" si="148"/>
        <v>-0.77026627218934907</v>
      </c>
      <c r="E4671" s="6">
        <v>-8.9342693044033548E-3</v>
      </c>
      <c r="F4671" s="6"/>
      <c r="G4671" s="6">
        <v>4664</v>
      </c>
      <c r="H4671" s="6">
        <f t="shared" ca="1" si="149"/>
        <v>3.0164307878338834E-2</v>
      </c>
    </row>
    <row r="4672" spans="2:8" x14ac:dyDescent="0.3">
      <c r="B4672" s="4">
        <v>39868</v>
      </c>
      <c r="C4672" s="7">
        <v>67.599999999999994</v>
      </c>
      <c r="D4672" s="6">
        <f t="shared" si="148"/>
        <v>-0.97567820392890559</v>
      </c>
      <c r="E4672" s="6">
        <v>-8.9429702389678851E-3</v>
      </c>
      <c r="F4672" s="6"/>
      <c r="G4672" s="6">
        <v>4665</v>
      </c>
      <c r="H4672" s="6">
        <f t="shared" ca="1" si="149"/>
        <v>-2.3636315771123545E-2</v>
      </c>
    </row>
    <row r="4673" spans="2:8" x14ac:dyDescent="0.3">
      <c r="B4673" s="4">
        <v>46002</v>
      </c>
      <c r="C4673" s="5">
        <v>2779.4</v>
      </c>
      <c r="D4673" s="6">
        <f t="shared" si="148"/>
        <v>-8.5822920538230998E-2</v>
      </c>
      <c r="E4673" s="6">
        <v>-8.9499019433053693E-3</v>
      </c>
      <c r="F4673" s="6"/>
      <c r="G4673" s="6">
        <v>4666</v>
      </c>
      <c r="H4673" s="6">
        <f t="shared" ca="1" si="149"/>
        <v>1.9897292931190524E-3</v>
      </c>
    </row>
    <row r="4674" spans="2:8" x14ac:dyDescent="0.3">
      <c r="B4674" s="4">
        <v>44524</v>
      </c>
      <c r="C4674" s="5">
        <v>3040.33</v>
      </c>
      <c r="D4674" s="6">
        <f t="shared" si="148"/>
        <v>-1.0231919160351164E-2</v>
      </c>
      <c r="E4674" s="6">
        <v>-8.9639908339119185E-3</v>
      </c>
      <c r="F4674" s="6"/>
      <c r="G4674" s="6">
        <v>4667</v>
      </c>
      <c r="H4674" s="6">
        <f t="shared" ca="1" si="149"/>
        <v>2.6885734632187551E-3</v>
      </c>
    </row>
    <row r="4675" spans="2:8" x14ac:dyDescent="0.3">
      <c r="B4675" s="4">
        <v>45250</v>
      </c>
      <c r="C4675" s="5">
        <v>3071.76</v>
      </c>
      <c r="D4675" s="6">
        <f t="shared" si="148"/>
        <v>8.3446093940131405</v>
      </c>
      <c r="E4675" s="6">
        <v>-9.0073814071128695E-3</v>
      </c>
      <c r="F4675" s="6"/>
      <c r="G4675" s="6">
        <v>4668</v>
      </c>
      <c r="H4675" s="6">
        <f t="shared" ca="1" si="149"/>
        <v>2.5329469494477508E-3</v>
      </c>
    </row>
    <row r="4676" spans="2:8" x14ac:dyDescent="0.3">
      <c r="B4676" s="4">
        <v>41138</v>
      </c>
      <c r="C4676" s="7">
        <v>328.72</v>
      </c>
      <c r="D4676" s="6">
        <f t="shared" si="148"/>
        <v>18.958712811171829</v>
      </c>
      <c r="E4676" s="6">
        <v>-9.013897681709784E-3</v>
      </c>
      <c r="F4676" s="6"/>
      <c r="G4676" s="6">
        <v>4669</v>
      </c>
      <c r="H4676" s="6">
        <f t="shared" ca="1" si="149"/>
        <v>2.3376179595762225E-2</v>
      </c>
    </row>
    <row r="4677" spans="2:8" x14ac:dyDescent="0.3">
      <c r="B4677" s="4">
        <v>37648</v>
      </c>
      <c r="C4677" s="7">
        <v>16.47</v>
      </c>
      <c r="D4677" s="6">
        <f t="shared" si="148"/>
        <v>-0.98030516824910907</v>
      </c>
      <c r="E4677" s="6">
        <v>-9.0252707581228719E-3</v>
      </c>
      <c r="F4677" s="6"/>
      <c r="G4677" s="6">
        <v>4670</v>
      </c>
      <c r="H4677" s="6">
        <f t="shared" ca="1" si="149"/>
        <v>-1.5001389389970357E-2</v>
      </c>
    </row>
    <row r="4678" spans="2:8" x14ac:dyDescent="0.3">
      <c r="B4678" s="4">
        <v>42695</v>
      </c>
      <c r="C4678" s="7">
        <v>836.26</v>
      </c>
      <c r="D4678" s="6">
        <f t="shared" si="148"/>
        <v>2.7172067386762677</v>
      </c>
      <c r="E4678" s="6">
        <v>-9.0297198653837094E-3</v>
      </c>
      <c r="F4678" s="6"/>
      <c r="G4678" s="6">
        <v>4671</v>
      </c>
      <c r="H4678" s="6">
        <f t="shared" ca="1" si="149"/>
        <v>-7.2433838953350829E-3</v>
      </c>
    </row>
    <row r="4679" spans="2:8" x14ac:dyDescent="0.3">
      <c r="B4679" s="4">
        <v>40590</v>
      </c>
      <c r="C4679" s="7">
        <v>224.97</v>
      </c>
      <c r="D4679" s="6">
        <f t="shared" si="148"/>
        <v>-0.9262816416810028</v>
      </c>
      <c r="E4679" s="6">
        <v>-9.0300414060435694E-3</v>
      </c>
      <c r="F4679" s="6"/>
      <c r="G4679" s="6">
        <v>4672</v>
      </c>
      <c r="H4679" s="6">
        <f t="shared" ca="1" si="149"/>
        <v>-1.9402260441522167E-2</v>
      </c>
    </row>
    <row r="4680" spans="2:8" x14ac:dyDescent="0.3">
      <c r="B4680" s="4">
        <v>45260</v>
      </c>
      <c r="C4680" s="5">
        <v>3051.75</v>
      </c>
      <c r="D4680" s="6">
        <f t="shared" ref="D4680:D4743" si="150">((C4680-C4681)/C4681)</f>
        <v>185.19585112873705</v>
      </c>
      <c r="E4680" s="6">
        <v>-9.0369465966138006E-3</v>
      </c>
      <c r="F4680" s="6"/>
      <c r="G4680" s="6">
        <v>4673</v>
      </c>
      <c r="H4680" s="6">
        <f t="shared" ca="1" si="149"/>
        <v>2.3371121592138965E-2</v>
      </c>
    </row>
    <row r="4681" spans="2:8" x14ac:dyDescent="0.3">
      <c r="B4681" s="4">
        <v>37650</v>
      </c>
      <c r="C4681" s="7">
        <v>16.39</v>
      </c>
      <c r="D4681" s="6">
        <f t="shared" si="150"/>
        <v>-0.28490401396160564</v>
      </c>
      <c r="E4681" s="6">
        <v>-9.0689238210398173E-3</v>
      </c>
      <c r="F4681" s="6"/>
      <c r="G4681" s="6">
        <v>4674</v>
      </c>
      <c r="H4681" s="6">
        <f t="shared" ref="H4681:H4744" ca="1" si="151">_xlfn.NORM.INV(RAND(),N$10,N$11)</f>
        <v>-2.7685734007047234E-2</v>
      </c>
    </row>
    <row r="4682" spans="2:8" x14ac:dyDescent="0.3">
      <c r="B4682" s="4">
        <v>37910</v>
      </c>
      <c r="C4682" s="7">
        <v>22.92</v>
      </c>
      <c r="D4682" s="6">
        <f t="shared" si="150"/>
        <v>-0.41590214067278286</v>
      </c>
      <c r="E4682" s="6">
        <v>-9.0791180285342554E-3</v>
      </c>
      <c r="F4682" s="6"/>
      <c r="G4682" s="6">
        <v>4675</v>
      </c>
      <c r="H4682" s="6">
        <f t="shared" ca="1" si="151"/>
        <v>-1.4791551095915055E-2</v>
      </c>
    </row>
    <row r="4683" spans="2:8" x14ac:dyDescent="0.3">
      <c r="B4683" s="4">
        <v>38652</v>
      </c>
      <c r="C4683" s="7">
        <v>39.24</v>
      </c>
      <c r="D4683" s="6">
        <f t="shared" si="150"/>
        <v>-0.61698389458272329</v>
      </c>
      <c r="E4683" s="6">
        <v>-9.0909090909090766E-3</v>
      </c>
      <c r="F4683" s="6"/>
      <c r="G4683" s="6">
        <v>4676</v>
      </c>
      <c r="H4683" s="6">
        <f t="shared" ca="1" si="151"/>
        <v>-9.2674384369317037E-3</v>
      </c>
    </row>
    <row r="4684" spans="2:8" x14ac:dyDescent="0.3">
      <c r="B4684" s="4">
        <v>39583</v>
      </c>
      <c r="C4684" s="7">
        <v>102.45</v>
      </c>
      <c r="D4684" s="6">
        <f t="shared" si="150"/>
        <v>-0.95839762852269961</v>
      </c>
      <c r="E4684" s="6">
        <v>-9.0917883741173967E-3</v>
      </c>
      <c r="F4684" s="6"/>
      <c r="G4684" s="6">
        <v>4677</v>
      </c>
      <c r="H4684" s="6">
        <f t="shared" ca="1" si="151"/>
        <v>3.7869897656664236E-2</v>
      </c>
    </row>
    <row r="4685" spans="2:8" x14ac:dyDescent="0.3">
      <c r="B4685" s="4">
        <v>46140</v>
      </c>
      <c r="C4685" s="5">
        <v>2462.6</v>
      </c>
      <c r="D4685" s="6">
        <f t="shared" si="150"/>
        <v>1.9732927653820147</v>
      </c>
      <c r="E4685" s="6">
        <v>-9.0938355061966486E-3</v>
      </c>
      <c r="F4685" s="6"/>
      <c r="G4685" s="6">
        <v>4678</v>
      </c>
      <c r="H4685" s="6">
        <f t="shared" ca="1" si="151"/>
        <v>6.6873580023647941E-3</v>
      </c>
    </row>
    <row r="4686" spans="2:8" x14ac:dyDescent="0.3">
      <c r="B4686" s="4">
        <v>42500</v>
      </c>
      <c r="C4686" s="7">
        <v>828.24</v>
      </c>
      <c r="D4686" s="6">
        <f t="shared" si="150"/>
        <v>0.18070365512915548</v>
      </c>
      <c r="E4686" s="6">
        <v>-9.1045043967219151E-3</v>
      </c>
      <c r="F4686" s="6"/>
      <c r="G4686" s="6">
        <v>4679</v>
      </c>
      <c r="H4686" s="6">
        <f t="shared" ca="1" si="151"/>
        <v>9.0633452428883522E-3</v>
      </c>
    </row>
    <row r="4687" spans="2:8" x14ac:dyDescent="0.3">
      <c r="B4687" s="4">
        <v>41988</v>
      </c>
      <c r="C4687" s="7">
        <v>701.48</v>
      </c>
      <c r="D4687" s="6">
        <f t="shared" si="150"/>
        <v>-0.57128276587032389</v>
      </c>
      <c r="E4687" s="6">
        <v>-9.1110703035609912E-3</v>
      </c>
      <c r="F4687" s="6"/>
      <c r="G4687" s="6">
        <v>4680</v>
      </c>
      <c r="H4687" s="6">
        <f t="shared" ca="1" si="151"/>
        <v>1.0530065644080558E-2</v>
      </c>
    </row>
    <row r="4688" spans="2:8" x14ac:dyDescent="0.3">
      <c r="B4688" s="4">
        <v>44036</v>
      </c>
      <c r="C4688" s="5">
        <v>1636.23</v>
      </c>
      <c r="D4688" s="6">
        <f t="shared" si="150"/>
        <v>20.503876987777634</v>
      </c>
      <c r="E4688" s="6">
        <v>-9.1141417566978078E-3</v>
      </c>
      <c r="F4688" s="6"/>
      <c r="G4688" s="6">
        <v>4681</v>
      </c>
      <c r="H4688" s="6">
        <f t="shared" ca="1" si="151"/>
        <v>1.5355472750979217E-2</v>
      </c>
    </row>
    <row r="4689" spans="2:8" x14ac:dyDescent="0.3">
      <c r="B4689" s="4">
        <v>39927</v>
      </c>
      <c r="C4689" s="7">
        <v>76.09</v>
      </c>
      <c r="D4689" s="6">
        <f t="shared" si="150"/>
        <v>-0.97474635167920665</v>
      </c>
      <c r="E4689" s="6">
        <v>-9.1157702825889145E-3</v>
      </c>
      <c r="F4689" s="6"/>
      <c r="G4689" s="6">
        <v>4682</v>
      </c>
      <c r="H4689" s="6">
        <f t="shared" ca="1" si="151"/>
        <v>-7.0558951022373379E-3</v>
      </c>
    </row>
    <row r="4690" spans="2:8" x14ac:dyDescent="0.3">
      <c r="B4690" s="4">
        <v>44663</v>
      </c>
      <c r="C4690" s="5">
        <v>3013.03</v>
      </c>
      <c r="D4690" s="6">
        <f t="shared" si="150"/>
        <v>2.915263267321587</v>
      </c>
      <c r="E4690" s="6">
        <v>-9.1226893188237797E-3</v>
      </c>
      <c r="F4690" s="6"/>
      <c r="G4690" s="6">
        <v>4683</v>
      </c>
      <c r="H4690" s="6">
        <f t="shared" ca="1" si="151"/>
        <v>8.2998708008177012E-3</v>
      </c>
    </row>
    <row r="4691" spans="2:8" x14ac:dyDescent="0.3">
      <c r="B4691" s="4">
        <v>42342</v>
      </c>
      <c r="C4691" s="7">
        <v>769.56</v>
      </c>
      <c r="D4691" s="6">
        <f t="shared" si="150"/>
        <v>-0.41462746738675699</v>
      </c>
      <c r="E4691" s="6">
        <v>-9.1417093708959177E-3</v>
      </c>
      <c r="F4691" s="6"/>
      <c r="G4691" s="6">
        <v>4684</v>
      </c>
      <c r="H4691" s="6">
        <f t="shared" ca="1" si="151"/>
        <v>6.1652611565783753E-3</v>
      </c>
    </row>
    <row r="4692" spans="2:8" x14ac:dyDescent="0.3">
      <c r="B4692" s="4">
        <v>43525</v>
      </c>
      <c r="C4692" s="5">
        <v>1314.65</v>
      </c>
      <c r="D4692" s="6">
        <f t="shared" si="150"/>
        <v>-0.1442919164502417</v>
      </c>
      <c r="E4692" s="6">
        <v>-9.1424350683609046E-3</v>
      </c>
      <c r="F4692" s="6"/>
      <c r="G4692" s="6">
        <v>4685</v>
      </c>
      <c r="H4692" s="6">
        <f t="shared" ca="1" si="151"/>
        <v>-3.0975534764255984E-2</v>
      </c>
    </row>
    <row r="4693" spans="2:8" x14ac:dyDescent="0.3">
      <c r="B4693" s="4">
        <v>43929</v>
      </c>
      <c r="C4693" s="5">
        <v>1536.33</v>
      </c>
      <c r="D4693" s="6">
        <f t="shared" si="150"/>
        <v>16.51002963300661</v>
      </c>
      <c r="E4693" s="6">
        <v>-9.1453779724091199E-3</v>
      </c>
      <c r="F4693" s="6"/>
      <c r="G4693" s="6">
        <v>4686</v>
      </c>
      <c r="H4693" s="6">
        <f t="shared" ca="1" si="151"/>
        <v>3.0397862922949947E-2</v>
      </c>
    </row>
    <row r="4694" spans="2:8" x14ac:dyDescent="0.3">
      <c r="B4694" s="4">
        <v>39392</v>
      </c>
      <c r="C4694" s="7">
        <v>87.74</v>
      </c>
      <c r="D4694" s="6">
        <f t="shared" si="150"/>
        <v>-0.14732750242954334</v>
      </c>
      <c r="E4694" s="6">
        <v>-9.1473743647656949E-3</v>
      </c>
      <c r="F4694" s="6"/>
      <c r="G4694" s="6">
        <v>4687</v>
      </c>
      <c r="H4694" s="6">
        <f t="shared" ca="1" si="151"/>
        <v>1.2824555588614433E-2</v>
      </c>
    </row>
    <row r="4695" spans="2:8" x14ac:dyDescent="0.3">
      <c r="B4695" s="4">
        <v>39577</v>
      </c>
      <c r="C4695" s="7">
        <v>102.9</v>
      </c>
      <c r="D4695" s="6">
        <f t="shared" si="150"/>
        <v>-0.62998921251348439</v>
      </c>
      <c r="E4695" s="6">
        <v>-9.1478093403946914E-3</v>
      </c>
      <c r="F4695" s="6"/>
      <c r="G4695" s="6">
        <v>4688</v>
      </c>
      <c r="H4695" s="6">
        <f t="shared" ca="1" si="151"/>
        <v>-7.0673414958453643E-3</v>
      </c>
    </row>
    <row r="4696" spans="2:8" x14ac:dyDescent="0.3">
      <c r="B4696" s="4">
        <v>40799</v>
      </c>
      <c r="C4696" s="7">
        <v>278.10000000000002</v>
      </c>
      <c r="D4696" s="6">
        <f t="shared" si="150"/>
        <v>-0.40367956085427564</v>
      </c>
      <c r="E4696" s="6">
        <v>-9.1566608472583213E-3</v>
      </c>
      <c r="F4696" s="6"/>
      <c r="G4696" s="6">
        <v>4689</v>
      </c>
      <c r="H4696" s="6">
        <f t="shared" ca="1" si="151"/>
        <v>1.1642946757954704E-2</v>
      </c>
    </row>
    <row r="4697" spans="2:8" x14ac:dyDescent="0.3">
      <c r="B4697" s="4">
        <v>41474</v>
      </c>
      <c r="C4697" s="7">
        <v>466.36</v>
      </c>
      <c r="D4697" s="6">
        <f t="shared" si="150"/>
        <v>-0.85495418721969607</v>
      </c>
      <c r="E4697" s="6">
        <v>-9.1571589436335483E-3</v>
      </c>
      <c r="F4697" s="6"/>
      <c r="G4697" s="6">
        <v>4690</v>
      </c>
      <c r="H4697" s="6">
        <f t="shared" ca="1" si="151"/>
        <v>4.9112832014811198E-3</v>
      </c>
    </row>
    <row r="4698" spans="2:8" x14ac:dyDescent="0.3">
      <c r="B4698" s="4">
        <v>45195</v>
      </c>
      <c r="C4698" s="5">
        <v>3215.26</v>
      </c>
      <c r="D4698" s="6">
        <f t="shared" si="150"/>
        <v>4.8322480001451149</v>
      </c>
      <c r="E4698" s="6">
        <v>-9.1648690292757424E-3</v>
      </c>
      <c r="F4698" s="6"/>
      <c r="G4698" s="6">
        <v>4691</v>
      </c>
      <c r="H4698" s="6">
        <f t="shared" ca="1" si="151"/>
        <v>8.9432686342931257E-3</v>
      </c>
    </row>
    <row r="4699" spans="2:8" x14ac:dyDescent="0.3">
      <c r="B4699" s="4">
        <v>41876</v>
      </c>
      <c r="C4699" s="7">
        <v>551.29</v>
      </c>
      <c r="D4699" s="6">
        <f t="shared" si="150"/>
        <v>-0.7706532320467272</v>
      </c>
      <c r="E4699" s="6">
        <v>-9.1662323190568173E-3</v>
      </c>
      <c r="F4699" s="6"/>
      <c r="G4699" s="6">
        <v>4692</v>
      </c>
      <c r="H4699" s="6">
        <f t="shared" ca="1" si="151"/>
        <v>-4.4794293317310576E-3</v>
      </c>
    </row>
    <row r="4700" spans="2:8" x14ac:dyDescent="0.3">
      <c r="B4700" s="4">
        <v>45632</v>
      </c>
      <c r="C4700" s="5">
        <v>2403.7399999999998</v>
      </c>
      <c r="D4700" s="6">
        <f t="shared" si="150"/>
        <v>1.2132459233751047</v>
      </c>
      <c r="E4700" s="6">
        <v>-9.175597691673627E-3</v>
      </c>
      <c r="F4700" s="6"/>
      <c r="G4700" s="6">
        <v>4693</v>
      </c>
      <c r="H4700" s="6">
        <f t="shared" ca="1" si="151"/>
        <v>-7.2360419586564913E-3</v>
      </c>
    </row>
    <row r="4701" spans="2:8" x14ac:dyDescent="0.3">
      <c r="B4701" s="4">
        <v>42622</v>
      </c>
      <c r="C4701" s="5">
        <v>1086.07</v>
      </c>
      <c r="D4701" s="6">
        <f t="shared" si="150"/>
        <v>-0.61971007388213872</v>
      </c>
      <c r="E4701" s="6">
        <v>-9.1777435158240106E-3</v>
      </c>
      <c r="F4701" s="6"/>
      <c r="G4701" s="6">
        <v>4694</v>
      </c>
      <c r="H4701" s="6">
        <f t="shared" ca="1" si="151"/>
        <v>-3.0648899875169141E-3</v>
      </c>
    </row>
    <row r="4702" spans="2:8" x14ac:dyDescent="0.3">
      <c r="B4702" s="4">
        <v>45462</v>
      </c>
      <c r="C4702" s="5">
        <v>2855.9</v>
      </c>
      <c r="D4702" s="6">
        <f t="shared" si="150"/>
        <v>11.205744080690659</v>
      </c>
      <c r="E4702" s="6">
        <v>-9.1834150369313455E-3</v>
      </c>
      <c r="F4702" s="6"/>
      <c r="G4702" s="6">
        <v>4695</v>
      </c>
      <c r="H4702" s="6">
        <f t="shared" ca="1" si="151"/>
        <v>1.5466060954122394E-2</v>
      </c>
    </row>
    <row r="4703" spans="2:8" x14ac:dyDescent="0.3">
      <c r="B4703" s="4">
        <v>40459</v>
      </c>
      <c r="C4703" s="7">
        <v>233.98</v>
      </c>
      <c r="D4703" s="6">
        <f t="shared" si="150"/>
        <v>-0.42131427299483099</v>
      </c>
      <c r="E4703" s="6">
        <v>-9.189074740631022E-3</v>
      </c>
      <c r="F4703" s="6"/>
      <c r="G4703" s="6">
        <v>4696</v>
      </c>
      <c r="H4703" s="6">
        <f t="shared" ca="1" si="151"/>
        <v>-4.2743879714265964E-3</v>
      </c>
    </row>
    <row r="4704" spans="2:8" x14ac:dyDescent="0.3">
      <c r="B4704" s="4">
        <v>41326</v>
      </c>
      <c r="C4704" s="7">
        <v>404.33</v>
      </c>
      <c r="D4704" s="6">
        <f t="shared" si="150"/>
        <v>24.004947433518858</v>
      </c>
      <c r="E4704" s="6">
        <v>-9.1893746324250153E-3</v>
      </c>
      <c r="F4704" s="6"/>
      <c r="G4704" s="6">
        <v>4697</v>
      </c>
      <c r="H4704" s="6">
        <f t="shared" ca="1" si="151"/>
        <v>-1.9971224151611594E-2</v>
      </c>
    </row>
    <row r="4705" spans="2:8" x14ac:dyDescent="0.3">
      <c r="B4705" s="4">
        <v>37662</v>
      </c>
      <c r="C4705" s="7">
        <v>16.170000000000002</v>
      </c>
      <c r="D4705" s="6">
        <f t="shared" si="150"/>
        <v>-0.98702840594591557</v>
      </c>
      <c r="E4705" s="6">
        <v>-9.1911764705881489E-3</v>
      </c>
      <c r="F4705" s="6"/>
      <c r="G4705" s="6">
        <v>4698</v>
      </c>
      <c r="H4705" s="6">
        <f t="shared" ca="1" si="151"/>
        <v>2.1334106889679568E-2</v>
      </c>
    </row>
    <row r="4706" spans="2:8" x14ac:dyDescent="0.3">
      <c r="B4706" s="4">
        <v>43599</v>
      </c>
      <c r="C4706" s="5">
        <v>1246.57</v>
      </c>
      <c r="D4706" s="6">
        <f t="shared" si="150"/>
        <v>11.35083721391063</v>
      </c>
      <c r="E4706" s="6">
        <v>-9.1961148997728101E-3</v>
      </c>
      <c r="F4706" s="6"/>
      <c r="G4706" s="6">
        <v>4699</v>
      </c>
      <c r="H4706" s="6">
        <f t="shared" ca="1" si="151"/>
        <v>1.1548872509497467E-2</v>
      </c>
    </row>
    <row r="4707" spans="2:8" x14ac:dyDescent="0.3">
      <c r="B4707" s="4">
        <v>39717</v>
      </c>
      <c r="C4707" s="7">
        <v>100.93</v>
      </c>
      <c r="D4707" s="6">
        <f t="shared" si="150"/>
        <v>-0.89734435866922968</v>
      </c>
      <c r="E4707" s="6">
        <v>-9.2274467458525345E-3</v>
      </c>
      <c r="F4707" s="6"/>
      <c r="G4707" s="6">
        <v>4700</v>
      </c>
      <c r="H4707" s="6">
        <f t="shared" ca="1" si="151"/>
        <v>3.1319695970312526E-3</v>
      </c>
    </row>
    <row r="4708" spans="2:8" x14ac:dyDescent="0.3">
      <c r="B4708" s="4">
        <v>42577</v>
      </c>
      <c r="C4708" s="7">
        <v>983.19</v>
      </c>
      <c r="D4708" s="6">
        <f t="shared" si="150"/>
        <v>-0.17994378320669263</v>
      </c>
      <c r="E4708" s="6">
        <v>-9.2405981700189026E-3</v>
      </c>
      <c r="F4708" s="6"/>
      <c r="G4708" s="6">
        <v>4701</v>
      </c>
      <c r="H4708" s="6">
        <f t="shared" ca="1" si="151"/>
        <v>-1.662678644186889E-2</v>
      </c>
    </row>
    <row r="4709" spans="2:8" x14ac:dyDescent="0.3">
      <c r="B4709" s="4">
        <v>43259</v>
      </c>
      <c r="C4709" s="5">
        <v>1198.93</v>
      </c>
      <c r="D4709" s="6">
        <f t="shared" si="150"/>
        <v>-0.50434293699123967</v>
      </c>
      <c r="E4709" s="6">
        <v>-9.2552039863486105E-3</v>
      </c>
      <c r="F4709" s="6"/>
      <c r="G4709" s="6">
        <v>4702</v>
      </c>
      <c r="H4709" s="6">
        <f t="shared" ca="1" si="151"/>
        <v>7.8199536911213261E-3</v>
      </c>
    </row>
    <row r="4710" spans="2:8" x14ac:dyDescent="0.3">
      <c r="B4710" s="4">
        <v>45768</v>
      </c>
      <c r="C4710" s="5">
        <v>2418.87</v>
      </c>
      <c r="D4710" s="6">
        <f t="shared" si="150"/>
        <v>150.08494690818236</v>
      </c>
      <c r="E4710" s="6">
        <v>-9.2810655613489515E-3</v>
      </c>
      <c r="F4710" s="6"/>
      <c r="G4710" s="6">
        <v>4703</v>
      </c>
      <c r="H4710" s="6">
        <f t="shared" ca="1" si="151"/>
        <v>1.8632745777058923E-2</v>
      </c>
    </row>
    <row r="4711" spans="2:8" x14ac:dyDescent="0.3">
      <c r="B4711" s="4">
        <v>37676</v>
      </c>
      <c r="C4711" s="7">
        <v>16.010000000000002</v>
      </c>
      <c r="D4711" s="6">
        <f t="shared" si="150"/>
        <v>-0.93325551340309343</v>
      </c>
      <c r="E4711" s="6">
        <v>-9.282178217821695E-3</v>
      </c>
      <c r="F4711" s="6"/>
      <c r="G4711" s="6">
        <v>4704</v>
      </c>
      <c r="H4711" s="6">
        <f t="shared" ca="1" si="151"/>
        <v>2.1528619066870248E-2</v>
      </c>
    </row>
    <row r="4712" spans="2:8" x14ac:dyDescent="0.3">
      <c r="B4712" s="4">
        <v>40444</v>
      </c>
      <c r="C4712" s="7">
        <v>239.87</v>
      </c>
      <c r="D4712" s="6">
        <f t="shared" si="150"/>
        <v>-0.85338736492103084</v>
      </c>
      <c r="E4712" s="6">
        <v>-9.2929126053196767E-3</v>
      </c>
      <c r="F4712" s="6"/>
      <c r="G4712" s="6">
        <v>4705</v>
      </c>
      <c r="H4712" s="6">
        <f t="shared" ca="1" si="151"/>
        <v>-3.312084050670917E-3</v>
      </c>
    </row>
    <row r="4713" spans="2:8" x14ac:dyDescent="0.3">
      <c r="B4713" s="4">
        <v>43803</v>
      </c>
      <c r="C4713" s="5">
        <v>1636.08</v>
      </c>
      <c r="D4713" s="6">
        <f t="shared" si="150"/>
        <v>68.85824081981211</v>
      </c>
      <c r="E4713" s="6">
        <v>-9.3009736956838444E-3</v>
      </c>
      <c r="F4713" s="6"/>
      <c r="G4713" s="6">
        <v>4706</v>
      </c>
      <c r="H4713" s="6">
        <f t="shared" ca="1" si="151"/>
        <v>1.9288948558209784E-2</v>
      </c>
    </row>
    <row r="4714" spans="2:8" x14ac:dyDescent="0.3">
      <c r="B4714" s="4">
        <v>38110</v>
      </c>
      <c r="C4714" s="7">
        <v>23.42</v>
      </c>
      <c r="D4714" s="6">
        <f t="shared" si="150"/>
        <v>-0.99157353904164292</v>
      </c>
      <c r="E4714" s="6">
        <v>-9.3062605752960593E-3</v>
      </c>
      <c r="F4714" s="6"/>
      <c r="G4714" s="6">
        <v>4707</v>
      </c>
      <c r="H4714" s="6">
        <f t="shared" ca="1" si="151"/>
        <v>-9.7914150456838728E-3</v>
      </c>
    </row>
    <row r="4715" spans="2:8" x14ac:dyDescent="0.3">
      <c r="B4715" s="4">
        <v>44349</v>
      </c>
      <c r="C4715" s="5">
        <v>2779.34</v>
      </c>
      <c r="D4715" s="6">
        <f t="shared" si="150"/>
        <v>1.0195609681661957</v>
      </c>
      <c r="E4715" s="6">
        <v>-9.3139473956234276E-3</v>
      </c>
      <c r="F4715" s="6"/>
      <c r="G4715" s="6">
        <v>4708</v>
      </c>
      <c r="H4715" s="6">
        <f t="shared" ca="1" si="151"/>
        <v>2.7902253459648772E-2</v>
      </c>
    </row>
    <row r="4716" spans="2:8" x14ac:dyDescent="0.3">
      <c r="B4716" s="4">
        <v>43549</v>
      </c>
      <c r="C4716" s="5">
        <v>1376.21</v>
      </c>
      <c r="D4716" s="6">
        <f t="shared" si="150"/>
        <v>20.567309199185082</v>
      </c>
      <c r="E4716" s="6">
        <v>-9.3150487708311223E-3</v>
      </c>
      <c r="F4716" s="6"/>
      <c r="G4716" s="6">
        <v>4709</v>
      </c>
      <c r="H4716" s="6">
        <f t="shared" ca="1" si="151"/>
        <v>1.3361964238741598E-2</v>
      </c>
    </row>
    <row r="4717" spans="2:8" x14ac:dyDescent="0.3">
      <c r="B4717" s="4">
        <v>39119</v>
      </c>
      <c r="C4717" s="7">
        <v>63.81</v>
      </c>
      <c r="D4717" s="6">
        <f t="shared" si="150"/>
        <v>-0.86043917588906871</v>
      </c>
      <c r="E4717" s="6">
        <v>-9.3153237074987474E-3</v>
      </c>
      <c r="F4717" s="6"/>
      <c r="G4717" s="6">
        <v>4710</v>
      </c>
      <c r="H4717" s="6">
        <f t="shared" ca="1" si="151"/>
        <v>2.13485446177442E-2</v>
      </c>
    </row>
    <row r="4718" spans="2:8" x14ac:dyDescent="0.3">
      <c r="B4718" s="4">
        <v>41796</v>
      </c>
      <c r="C4718" s="7">
        <v>457.22</v>
      </c>
      <c r="D4718" s="6">
        <f t="shared" si="150"/>
        <v>3.5763186868181371</v>
      </c>
      <c r="E4718" s="6">
        <v>-9.3170393482404981E-3</v>
      </c>
      <c r="F4718" s="6"/>
      <c r="G4718" s="6">
        <v>4711</v>
      </c>
      <c r="H4718" s="6">
        <f t="shared" ca="1" si="151"/>
        <v>-2.8124086118067423E-2</v>
      </c>
    </row>
    <row r="4719" spans="2:8" x14ac:dyDescent="0.3">
      <c r="B4719" s="4">
        <v>39540</v>
      </c>
      <c r="C4719" s="7">
        <v>99.91</v>
      </c>
      <c r="D4719" s="6">
        <f t="shared" si="150"/>
        <v>3.0879705400981994</v>
      </c>
      <c r="E4719" s="6">
        <v>-9.3207734258799971E-3</v>
      </c>
      <c r="F4719" s="6"/>
      <c r="G4719" s="6">
        <v>4712</v>
      </c>
      <c r="H4719" s="6">
        <f t="shared" ca="1" si="151"/>
        <v>3.057661409855598E-3</v>
      </c>
    </row>
    <row r="4720" spans="2:8" x14ac:dyDescent="0.3">
      <c r="B4720" s="4">
        <v>38245</v>
      </c>
      <c r="C4720" s="7">
        <v>24.44</v>
      </c>
      <c r="D4720" s="6">
        <f t="shared" si="150"/>
        <v>-0.99114396492372359</v>
      </c>
      <c r="E4720" s="6">
        <v>-9.3230644507499155E-3</v>
      </c>
      <c r="F4720" s="6"/>
      <c r="G4720" s="6">
        <v>4713</v>
      </c>
      <c r="H4720" s="6">
        <f t="shared" ca="1" si="151"/>
        <v>7.0606933219451119E-3</v>
      </c>
    </row>
    <row r="4721" spans="2:8" x14ac:dyDescent="0.3">
      <c r="B4721" s="4">
        <v>46009</v>
      </c>
      <c r="C4721" s="5">
        <v>2759.7</v>
      </c>
      <c r="D4721" s="6">
        <f t="shared" si="150"/>
        <v>5.6785247567881498</v>
      </c>
      <c r="E4721" s="6">
        <v>-9.3333811968266504E-3</v>
      </c>
      <c r="F4721" s="6"/>
      <c r="G4721" s="6">
        <v>4714</v>
      </c>
      <c r="H4721" s="6">
        <f t="shared" ca="1" si="151"/>
        <v>6.1745551262940585E-3</v>
      </c>
    </row>
    <row r="4722" spans="2:8" x14ac:dyDescent="0.3">
      <c r="B4722" s="4">
        <v>41432</v>
      </c>
      <c r="C4722" s="7">
        <v>413.22</v>
      </c>
      <c r="D4722" s="6">
        <f t="shared" si="150"/>
        <v>-0.87071239280004242</v>
      </c>
      <c r="E4722" s="6">
        <v>-9.349827387802016E-3</v>
      </c>
      <c r="F4722" s="6"/>
      <c r="G4722" s="6">
        <v>4715</v>
      </c>
      <c r="H4722" s="6">
        <f t="shared" ca="1" si="151"/>
        <v>-1.0717349857540159E-3</v>
      </c>
    </row>
    <row r="4723" spans="2:8" x14ac:dyDescent="0.3">
      <c r="B4723" s="4">
        <v>45300</v>
      </c>
      <c r="C4723" s="5">
        <v>3196.13</v>
      </c>
      <c r="D4723" s="6">
        <f t="shared" si="150"/>
        <v>2.5800551099959677</v>
      </c>
      <c r="E4723" s="6">
        <v>-9.3666217242394031E-3</v>
      </c>
      <c r="F4723" s="6"/>
      <c r="G4723" s="6">
        <v>4716</v>
      </c>
      <c r="H4723" s="6">
        <f t="shared" ca="1" si="151"/>
        <v>-1.6805471981345521E-2</v>
      </c>
    </row>
    <row r="4724" spans="2:8" x14ac:dyDescent="0.3">
      <c r="B4724" s="4">
        <v>42783</v>
      </c>
      <c r="C4724" s="7">
        <v>892.76</v>
      </c>
      <c r="D4724" s="6">
        <f t="shared" si="150"/>
        <v>-0.3160027888232545</v>
      </c>
      <c r="E4724" s="6">
        <v>-9.3762829973036751E-3</v>
      </c>
      <c r="F4724" s="6"/>
      <c r="G4724" s="6">
        <v>4717</v>
      </c>
      <c r="H4724" s="6">
        <f t="shared" ca="1" si="151"/>
        <v>-5.573701433483365E-3</v>
      </c>
    </row>
    <row r="4725" spans="2:8" x14ac:dyDescent="0.3">
      <c r="B4725" s="4">
        <v>43532</v>
      </c>
      <c r="C4725" s="5">
        <v>1305.21</v>
      </c>
      <c r="D4725" s="6">
        <f t="shared" si="150"/>
        <v>52.912019826517962</v>
      </c>
      <c r="E4725" s="6">
        <v>-9.3884242323045968E-3</v>
      </c>
      <c r="F4725" s="6"/>
      <c r="G4725" s="6">
        <v>4718</v>
      </c>
      <c r="H4725" s="6">
        <f t="shared" ca="1" si="151"/>
        <v>-7.4653777119533977E-3</v>
      </c>
    </row>
    <row r="4726" spans="2:8" x14ac:dyDescent="0.3">
      <c r="B4726" s="4">
        <v>38169</v>
      </c>
      <c r="C4726" s="7">
        <v>24.21</v>
      </c>
      <c r="D4726" s="6">
        <f t="shared" si="150"/>
        <v>-0.98641246394055382</v>
      </c>
      <c r="E4726" s="6">
        <v>-9.41080196399347E-3</v>
      </c>
      <c r="F4726" s="6"/>
      <c r="G4726" s="6">
        <v>4719</v>
      </c>
      <c r="H4726" s="6">
        <f t="shared" ca="1" si="151"/>
        <v>2.3872152856933677E-2</v>
      </c>
    </row>
    <row r="4727" spans="2:8" x14ac:dyDescent="0.3">
      <c r="B4727" s="4">
        <v>43866</v>
      </c>
      <c r="C4727" s="5">
        <v>1781.78</v>
      </c>
      <c r="D4727" s="6">
        <f t="shared" si="150"/>
        <v>57.38073394495413</v>
      </c>
      <c r="E4727" s="6">
        <v>-9.4123010379661334E-3</v>
      </c>
      <c r="F4727" s="6"/>
      <c r="G4727" s="6">
        <v>4720</v>
      </c>
      <c r="H4727" s="6">
        <f t="shared" ca="1" si="151"/>
        <v>9.1092824817690377E-3</v>
      </c>
    </row>
    <row r="4728" spans="2:8" x14ac:dyDescent="0.3">
      <c r="B4728" s="4">
        <v>38468</v>
      </c>
      <c r="C4728" s="7">
        <v>30.52</v>
      </c>
      <c r="D4728" s="6">
        <f t="shared" si="150"/>
        <v>-0.55334406556417393</v>
      </c>
      <c r="E4728" s="6">
        <v>-9.4125283998701455E-3</v>
      </c>
      <c r="F4728" s="6"/>
      <c r="G4728" s="6">
        <v>4721</v>
      </c>
      <c r="H4728" s="6">
        <f t="shared" ca="1" si="151"/>
        <v>1.3608532211090693E-2</v>
      </c>
    </row>
    <row r="4729" spans="2:8" x14ac:dyDescent="0.3">
      <c r="B4729" s="4">
        <v>39861</v>
      </c>
      <c r="C4729" s="7">
        <v>68.33</v>
      </c>
      <c r="D4729" s="6">
        <f t="shared" si="150"/>
        <v>4.848856835967464E-2</v>
      </c>
      <c r="E4729" s="6">
        <v>-9.4230211655553144E-3</v>
      </c>
      <c r="F4729" s="6"/>
      <c r="G4729" s="6">
        <v>4722</v>
      </c>
      <c r="H4729" s="6">
        <f t="shared" ca="1" si="151"/>
        <v>-1.0348369294692894E-3</v>
      </c>
    </row>
    <row r="4730" spans="2:8" x14ac:dyDescent="0.3">
      <c r="B4730" s="4">
        <v>39115</v>
      </c>
      <c r="C4730" s="7">
        <v>65.17</v>
      </c>
      <c r="D4730" s="6">
        <f t="shared" si="150"/>
        <v>-0.97174494578341974</v>
      </c>
      <c r="E4730" s="6">
        <v>-9.4239246086031993E-3</v>
      </c>
      <c r="F4730" s="6"/>
      <c r="G4730" s="6">
        <v>4723</v>
      </c>
      <c r="H4730" s="6">
        <f t="shared" ca="1" si="151"/>
        <v>2.1843640213734476E-2</v>
      </c>
    </row>
    <row r="4731" spans="2:8" x14ac:dyDescent="0.3">
      <c r="B4731" s="4">
        <v>45796</v>
      </c>
      <c r="C4731" s="5">
        <v>2306.4899999999998</v>
      </c>
      <c r="D4731" s="6">
        <f t="shared" si="150"/>
        <v>0.3013224856411007</v>
      </c>
      <c r="E4731" s="6">
        <v>-9.4311666559299262E-3</v>
      </c>
      <c r="F4731" s="6"/>
      <c r="G4731" s="6">
        <v>4724</v>
      </c>
      <c r="H4731" s="6">
        <f t="shared" ca="1" si="151"/>
        <v>3.1117353245604908E-2</v>
      </c>
    </row>
    <row r="4732" spans="2:8" x14ac:dyDescent="0.3">
      <c r="B4732" s="4">
        <v>43879</v>
      </c>
      <c r="C4732" s="5">
        <v>1772.42</v>
      </c>
      <c r="D4732" s="6">
        <f t="shared" si="150"/>
        <v>0.71453722334004033</v>
      </c>
      <c r="E4732" s="6">
        <v>-9.4338568155143809E-3</v>
      </c>
      <c r="F4732" s="6"/>
      <c r="G4732" s="6">
        <v>4725</v>
      </c>
      <c r="H4732" s="6">
        <f t="shared" ca="1" si="151"/>
        <v>1.0663878658918902E-2</v>
      </c>
    </row>
    <row r="4733" spans="2:8" x14ac:dyDescent="0.3">
      <c r="B4733" s="4">
        <v>42877</v>
      </c>
      <c r="C4733" s="5">
        <v>1033.76</v>
      </c>
      <c r="D4733" s="6">
        <f t="shared" si="150"/>
        <v>60.606674612634087</v>
      </c>
      <c r="E4733" s="6">
        <v>-9.43839173637653E-3</v>
      </c>
      <c r="F4733" s="6"/>
      <c r="G4733" s="6">
        <v>4726</v>
      </c>
      <c r="H4733" s="6">
        <f t="shared" ca="1" si="151"/>
        <v>6.5352868796183568E-3</v>
      </c>
    </row>
    <row r="4734" spans="2:8" x14ac:dyDescent="0.3">
      <c r="B4734" s="4">
        <v>37519</v>
      </c>
      <c r="C4734" s="7">
        <v>16.78</v>
      </c>
      <c r="D4734" s="6">
        <f t="shared" si="150"/>
        <v>-0.76113879003558715</v>
      </c>
      <c r="E4734" s="6">
        <v>-9.4451003541912715E-3</v>
      </c>
      <c r="F4734" s="6"/>
      <c r="G4734" s="6">
        <v>4727</v>
      </c>
      <c r="H4734" s="6">
        <f t="shared" ca="1" si="151"/>
        <v>2.6130784209164624E-2</v>
      </c>
    </row>
    <row r="4735" spans="2:8" x14ac:dyDescent="0.3">
      <c r="B4735" s="4">
        <v>39239</v>
      </c>
      <c r="C4735" s="7">
        <v>70.25</v>
      </c>
      <c r="D4735" s="6">
        <f t="shared" si="150"/>
        <v>-0.97448395849148439</v>
      </c>
      <c r="E4735" s="6">
        <v>-9.4472645234066795E-3</v>
      </c>
      <c r="F4735" s="6"/>
      <c r="G4735" s="6">
        <v>4728</v>
      </c>
      <c r="H4735" s="6">
        <f t="shared" ca="1" si="151"/>
        <v>-4.4107268466031038E-3</v>
      </c>
    </row>
    <row r="4736" spans="2:8" x14ac:dyDescent="0.3">
      <c r="B4736" s="4">
        <v>45377</v>
      </c>
      <c r="C4736" s="5">
        <v>2753.17</v>
      </c>
      <c r="D4736" s="6">
        <f t="shared" si="150"/>
        <v>0.2179096422583684</v>
      </c>
      <c r="E4736" s="6">
        <v>-9.447980341292914E-3</v>
      </c>
      <c r="F4736" s="6"/>
      <c r="G4736" s="6">
        <v>4729</v>
      </c>
      <c r="H4736" s="6">
        <f t="shared" ca="1" si="151"/>
        <v>1.1682894366179834E-3</v>
      </c>
    </row>
    <row r="4737" spans="2:8" x14ac:dyDescent="0.3">
      <c r="B4737" s="4">
        <v>45831</v>
      </c>
      <c r="C4737" s="5">
        <v>2260.5700000000002</v>
      </c>
      <c r="D4737" s="6">
        <f t="shared" si="150"/>
        <v>9.9856135679246751E-3</v>
      </c>
      <c r="E4737" s="6">
        <v>-9.4516550255460702E-3</v>
      </c>
      <c r="F4737" s="6"/>
      <c r="G4737" s="6">
        <v>4730</v>
      </c>
      <c r="H4737" s="6">
        <f t="shared" ca="1" si="151"/>
        <v>1.8484130595259978E-2</v>
      </c>
    </row>
    <row r="4738" spans="2:8" x14ac:dyDescent="0.3">
      <c r="B4738" s="4">
        <v>45652</v>
      </c>
      <c r="C4738" s="5">
        <v>2238.2199999999998</v>
      </c>
      <c r="D4738" s="6">
        <f t="shared" si="150"/>
        <v>1.1308669243511869</v>
      </c>
      <c r="E4738" s="6">
        <v>-9.457467947725182E-3</v>
      </c>
      <c r="F4738" s="6"/>
      <c r="G4738" s="6">
        <v>4731</v>
      </c>
      <c r="H4738" s="6">
        <f t="shared" ca="1" si="151"/>
        <v>-1.0353949289861511E-2</v>
      </c>
    </row>
    <row r="4739" spans="2:8" x14ac:dyDescent="0.3">
      <c r="B4739" s="4">
        <v>43187</v>
      </c>
      <c r="C4739" s="5">
        <v>1050.3800000000001</v>
      </c>
      <c r="D4739" s="6">
        <f t="shared" si="150"/>
        <v>1.4158884953309725</v>
      </c>
      <c r="E4739" s="6">
        <v>-9.4586056336699691E-3</v>
      </c>
      <c r="F4739" s="6"/>
      <c r="G4739" s="6">
        <v>4732</v>
      </c>
      <c r="H4739" s="6">
        <f t="shared" ca="1" si="151"/>
        <v>1.8563360259674071E-2</v>
      </c>
    </row>
    <row r="4740" spans="2:8" x14ac:dyDescent="0.3">
      <c r="B4740" s="4">
        <v>41402</v>
      </c>
      <c r="C4740" s="7">
        <v>434.78</v>
      </c>
      <c r="D4740" s="6">
        <f t="shared" si="150"/>
        <v>-0.66399789795823738</v>
      </c>
      <c r="E4740" s="6">
        <v>-9.477377318084533E-3</v>
      </c>
      <c r="F4740" s="6"/>
      <c r="G4740" s="6">
        <v>4733</v>
      </c>
      <c r="H4740" s="6">
        <f t="shared" ca="1" si="151"/>
        <v>-8.0659235704502695E-3</v>
      </c>
    </row>
    <row r="4741" spans="2:8" x14ac:dyDescent="0.3">
      <c r="B4741" s="4">
        <v>43641</v>
      </c>
      <c r="C4741" s="5">
        <v>1293.98</v>
      </c>
      <c r="D4741" s="6">
        <f t="shared" si="150"/>
        <v>3.8432833027660287</v>
      </c>
      <c r="E4741" s="6">
        <v>-9.4842961794896347E-3</v>
      </c>
      <c r="F4741" s="6"/>
      <c r="G4741" s="6">
        <v>4734</v>
      </c>
      <c r="H4741" s="6">
        <f t="shared" ca="1" si="151"/>
        <v>2.6112705896310841E-2</v>
      </c>
    </row>
    <row r="4742" spans="2:8" x14ac:dyDescent="0.3">
      <c r="B4742" s="4">
        <v>40758</v>
      </c>
      <c r="C4742" s="7">
        <v>267.17</v>
      </c>
      <c r="D4742" s="6">
        <f t="shared" si="150"/>
        <v>-0.88308681953439516</v>
      </c>
      <c r="E4742" s="6">
        <v>-9.4909724539354243E-3</v>
      </c>
      <c r="F4742" s="6"/>
      <c r="G4742" s="6">
        <v>4735</v>
      </c>
      <c r="H4742" s="6">
        <f t="shared" ca="1" si="151"/>
        <v>1.2905395606109185E-2</v>
      </c>
    </row>
    <row r="4743" spans="2:8" x14ac:dyDescent="0.3">
      <c r="B4743" s="4">
        <v>46085</v>
      </c>
      <c r="C4743" s="5">
        <v>2285.1999999999998</v>
      </c>
      <c r="D4743" s="6">
        <f t="shared" si="150"/>
        <v>86.689946277820411</v>
      </c>
      <c r="E4743" s="6">
        <v>-9.4924363920073224E-3</v>
      </c>
      <c r="F4743" s="6"/>
      <c r="G4743" s="6">
        <v>4736</v>
      </c>
      <c r="H4743" s="6">
        <f t="shared" ca="1" si="151"/>
        <v>-1.9853944268858588E-3</v>
      </c>
    </row>
    <row r="4744" spans="2:8" x14ac:dyDescent="0.3">
      <c r="B4744" s="4">
        <v>38002</v>
      </c>
      <c r="C4744" s="7">
        <v>26.06</v>
      </c>
      <c r="D4744" s="6">
        <f t="shared" ref="D4744:D4807" si="152">((C4744-C4745)/C4745)</f>
        <v>-0.98979096151435375</v>
      </c>
      <c r="E4744" s="6">
        <v>-9.5020904599011791E-3</v>
      </c>
      <c r="F4744" s="6"/>
      <c r="G4744" s="6">
        <v>4737</v>
      </c>
      <c r="H4744" s="6">
        <f t="shared" ca="1" si="151"/>
        <v>7.1506704054967634E-3</v>
      </c>
    </row>
    <row r="4745" spans="2:8" x14ac:dyDescent="0.3">
      <c r="B4745" s="4">
        <v>44726</v>
      </c>
      <c r="C4745" s="5">
        <v>2552.64</v>
      </c>
      <c r="D4745" s="6">
        <f t="shared" si="152"/>
        <v>1.8043592898576197</v>
      </c>
      <c r="E4745" s="6">
        <v>-9.5258789611942386E-3</v>
      </c>
      <c r="F4745" s="6"/>
      <c r="G4745" s="6">
        <v>4738</v>
      </c>
      <c r="H4745" s="6">
        <f t="shared" ref="H4745:H4808" ca="1" si="153">_xlfn.NORM.INV(RAND(),N$10,N$11)</f>
        <v>6.0127209492970022E-3</v>
      </c>
    </row>
    <row r="4746" spans="2:8" x14ac:dyDescent="0.3">
      <c r="B4746" s="4">
        <v>42542</v>
      </c>
      <c r="C4746" s="7">
        <v>910.24</v>
      </c>
      <c r="D4746" s="6">
        <f t="shared" si="152"/>
        <v>-0.71075393874684611</v>
      </c>
      <c r="E4746" s="6">
        <v>-9.5321001088139179E-3</v>
      </c>
      <c r="F4746" s="6"/>
      <c r="G4746" s="6">
        <v>4739</v>
      </c>
      <c r="H4746" s="6">
        <f t="shared" ca="1" si="153"/>
        <v>2.4914499865768911E-3</v>
      </c>
    </row>
    <row r="4747" spans="2:8" x14ac:dyDescent="0.3">
      <c r="B4747" s="4">
        <v>44459</v>
      </c>
      <c r="C4747" s="5">
        <v>3146.94</v>
      </c>
      <c r="D4747" s="6">
        <f t="shared" si="152"/>
        <v>7.0608094262295085</v>
      </c>
      <c r="E4747" s="6">
        <v>-9.5365789175509974E-3</v>
      </c>
      <c r="F4747" s="6"/>
      <c r="G4747" s="6">
        <v>4740</v>
      </c>
      <c r="H4747" s="6">
        <f t="shared" ca="1" si="153"/>
        <v>-5.8563648715791276E-3</v>
      </c>
    </row>
    <row r="4748" spans="2:8" x14ac:dyDescent="0.3">
      <c r="B4748" s="4">
        <v>41332</v>
      </c>
      <c r="C4748" s="7">
        <v>390.4</v>
      </c>
      <c r="D4748" s="6">
        <f t="shared" si="152"/>
        <v>5.837127845884412</v>
      </c>
      <c r="E4748" s="6">
        <v>-9.5392733915162561E-3</v>
      </c>
      <c r="F4748" s="6"/>
      <c r="G4748" s="6">
        <v>4741</v>
      </c>
      <c r="H4748" s="6">
        <f t="shared" ca="1" si="153"/>
        <v>-2.6208573460555794E-2</v>
      </c>
    </row>
    <row r="4749" spans="2:8" x14ac:dyDescent="0.3">
      <c r="B4749" s="4">
        <v>39155</v>
      </c>
      <c r="C4749" s="7">
        <v>57.1</v>
      </c>
      <c r="D4749" s="6">
        <f t="shared" si="152"/>
        <v>-0.98189502921844241</v>
      </c>
      <c r="E4749" s="6">
        <v>-9.5403295750216329E-3</v>
      </c>
      <c r="F4749" s="6"/>
      <c r="G4749" s="6">
        <v>4742</v>
      </c>
      <c r="H4749" s="6">
        <f t="shared" ca="1" si="153"/>
        <v>1.0893925197311553E-2</v>
      </c>
    </row>
    <row r="4750" spans="2:8" x14ac:dyDescent="0.3">
      <c r="B4750" s="4">
        <v>44582</v>
      </c>
      <c r="C4750" s="5">
        <v>3153.83</v>
      </c>
      <c r="D4750" s="6">
        <f t="shared" si="152"/>
        <v>12.881294014084508</v>
      </c>
      <c r="E4750" s="6">
        <v>-9.5408280232773934E-3</v>
      </c>
      <c r="F4750" s="6"/>
      <c r="G4750" s="6">
        <v>4743</v>
      </c>
      <c r="H4750" s="6">
        <f t="shared" ca="1" si="153"/>
        <v>-1.1059887458116369E-2</v>
      </c>
    </row>
    <row r="4751" spans="2:8" x14ac:dyDescent="0.3">
      <c r="B4751" s="4">
        <v>40393</v>
      </c>
      <c r="C4751" s="7">
        <v>227.2</v>
      </c>
      <c r="D4751" s="6">
        <f t="shared" si="152"/>
        <v>-0.89677325554980047</v>
      </c>
      <c r="E4751" s="6">
        <v>-9.5470595928331577E-3</v>
      </c>
      <c r="F4751" s="6"/>
      <c r="G4751" s="6">
        <v>4744</v>
      </c>
      <c r="H4751" s="6">
        <f t="shared" ca="1" si="153"/>
        <v>-1.0572958862895211E-2</v>
      </c>
    </row>
    <row r="4752" spans="2:8" x14ac:dyDescent="0.3">
      <c r="B4752" s="4">
        <v>45713</v>
      </c>
      <c r="C4752" s="5">
        <v>2200.98</v>
      </c>
      <c r="D4752" s="6">
        <f t="shared" si="152"/>
        <v>7.9206014671908571</v>
      </c>
      <c r="E4752" s="6">
        <v>-9.5490954909548207E-3</v>
      </c>
      <c r="F4752" s="6"/>
      <c r="G4752" s="6">
        <v>4745</v>
      </c>
      <c r="H4752" s="6">
        <f t="shared" ca="1" si="153"/>
        <v>-3.1914590823978357E-2</v>
      </c>
    </row>
    <row r="4753" spans="2:8" x14ac:dyDescent="0.3">
      <c r="B4753" s="4">
        <v>40540</v>
      </c>
      <c r="C4753" s="7">
        <v>246.73</v>
      </c>
      <c r="D4753" s="6">
        <f t="shared" si="152"/>
        <v>-0.76168950962495041</v>
      </c>
      <c r="E4753" s="6">
        <v>-9.5540122837301737E-3</v>
      </c>
      <c r="F4753" s="6"/>
      <c r="G4753" s="6">
        <v>4746</v>
      </c>
      <c r="H4753" s="6">
        <f t="shared" ca="1" si="153"/>
        <v>4.0234419699589054E-2</v>
      </c>
    </row>
    <row r="4754" spans="2:8" x14ac:dyDescent="0.3">
      <c r="B4754" s="4">
        <v>43075</v>
      </c>
      <c r="C4754" s="5">
        <v>1035.33</v>
      </c>
      <c r="D4754" s="6">
        <f t="shared" si="152"/>
        <v>0.3937268627582956</v>
      </c>
      <c r="E4754" s="6">
        <v>-9.5568821030880581E-3</v>
      </c>
      <c r="F4754" s="6"/>
      <c r="G4754" s="6">
        <v>4747</v>
      </c>
      <c r="H4754" s="6">
        <f t="shared" ca="1" si="153"/>
        <v>8.3258499034689522E-3</v>
      </c>
    </row>
    <row r="4755" spans="2:8" x14ac:dyDescent="0.3">
      <c r="B4755" s="4">
        <v>42013</v>
      </c>
      <c r="C4755" s="7">
        <v>742.85</v>
      </c>
      <c r="D4755" s="6">
        <f t="shared" si="152"/>
        <v>-0.75252851660359266</v>
      </c>
      <c r="E4755" s="6">
        <v>-9.5729504153166545E-3</v>
      </c>
      <c r="F4755" s="6"/>
      <c r="G4755" s="6">
        <v>4748</v>
      </c>
      <c r="H4755" s="6">
        <f t="shared" ca="1" si="153"/>
        <v>-1.2671775581657389E-2</v>
      </c>
    </row>
    <row r="4756" spans="2:8" x14ac:dyDescent="0.3">
      <c r="B4756" s="4">
        <v>44588</v>
      </c>
      <c r="C4756" s="5">
        <v>3001.76</v>
      </c>
      <c r="D4756" s="6">
        <f t="shared" si="152"/>
        <v>1.2860798440284529</v>
      </c>
      <c r="E4756" s="6">
        <v>-9.5816286129074713E-3</v>
      </c>
      <c r="F4756" s="6"/>
      <c r="G4756" s="6">
        <v>4749</v>
      </c>
      <c r="H4756" s="6">
        <f t="shared" ca="1" si="153"/>
        <v>-3.0143260258490012E-2</v>
      </c>
    </row>
    <row r="4757" spans="2:8" x14ac:dyDescent="0.3">
      <c r="B4757" s="4">
        <v>43341</v>
      </c>
      <c r="C4757" s="5">
        <v>1313.06</v>
      </c>
      <c r="D4757" s="6">
        <f t="shared" si="152"/>
        <v>4.3461178290786195</v>
      </c>
      <c r="E4757" s="6">
        <v>-9.5868815857954523E-3</v>
      </c>
      <c r="F4757" s="6"/>
      <c r="G4757" s="6">
        <v>4750</v>
      </c>
      <c r="H4757" s="6">
        <f t="shared" ca="1" si="153"/>
        <v>2.2099044870670947E-2</v>
      </c>
    </row>
    <row r="4758" spans="2:8" x14ac:dyDescent="0.3">
      <c r="B4758" s="4">
        <v>40430</v>
      </c>
      <c r="C4758" s="7">
        <v>245.61</v>
      </c>
      <c r="D4758" s="6">
        <f t="shared" si="152"/>
        <v>-0.6679195792377064</v>
      </c>
      <c r="E4758" s="6">
        <v>-9.597161175853847E-3</v>
      </c>
      <c r="F4758" s="6"/>
      <c r="G4758" s="6">
        <v>4751</v>
      </c>
      <c r="H4758" s="6">
        <f t="shared" ca="1" si="153"/>
        <v>5.6932255143552161E-3</v>
      </c>
    </row>
    <row r="4759" spans="2:8" x14ac:dyDescent="0.3">
      <c r="B4759" s="4">
        <v>42114</v>
      </c>
      <c r="C4759" s="7">
        <v>739.61</v>
      </c>
      <c r="D4759" s="6">
        <f t="shared" si="152"/>
        <v>-0.74062969041507098</v>
      </c>
      <c r="E4759" s="6">
        <v>-9.6012212432041028E-3</v>
      </c>
      <c r="F4759" s="6"/>
      <c r="G4759" s="6">
        <v>4752</v>
      </c>
      <c r="H4759" s="6">
        <f t="shared" ca="1" si="153"/>
        <v>-4.6213609204127882E-3</v>
      </c>
    </row>
    <row r="4760" spans="2:8" x14ac:dyDescent="0.3">
      <c r="B4760" s="4">
        <v>45601</v>
      </c>
      <c r="C4760" s="5">
        <v>2851.56</v>
      </c>
      <c r="D4760" s="6">
        <f t="shared" si="152"/>
        <v>0.67978934594744256</v>
      </c>
      <c r="E4760" s="6">
        <v>-9.6033286908562034E-3</v>
      </c>
      <c r="F4760" s="6"/>
      <c r="G4760" s="6">
        <v>4753</v>
      </c>
      <c r="H4760" s="6">
        <f t="shared" ca="1" si="153"/>
        <v>-6.5344418326969142E-3</v>
      </c>
    </row>
    <row r="4761" spans="2:8" x14ac:dyDescent="0.3">
      <c r="B4761" s="4">
        <v>43830</v>
      </c>
      <c r="C4761" s="5">
        <v>1697.57</v>
      </c>
      <c r="D4761" s="6">
        <f t="shared" si="152"/>
        <v>-0.40755437362146474</v>
      </c>
      <c r="E4761" s="6">
        <v>-9.6262112982550309E-3</v>
      </c>
      <c r="F4761" s="6"/>
      <c r="G4761" s="6">
        <v>4754</v>
      </c>
      <c r="H4761" s="6">
        <f t="shared" ca="1" si="153"/>
        <v>-1.2285298927655333E-2</v>
      </c>
    </row>
    <row r="4762" spans="2:8" x14ac:dyDescent="0.3">
      <c r="B4762" s="4">
        <v>45323</v>
      </c>
      <c r="C4762" s="5">
        <v>2865.36</v>
      </c>
      <c r="D4762" s="6">
        <f t="shared" si="152"/>
        <v>173.71707317073174</v>
      </c>
      <c r="E4762" s="6">
        <v>-9.6362555474138537E-3</v>
      </c>
      <c r="F4762" s="6"/>
      <c r="G4762" s="6">
        <v>4755</v>
      </c>
      <c r="H4762" s="6">
        <f t="shared" ca="1" si="153"/>
        <v>1.7373871998695809E-2</v>
      </c>
    </row>
    <row r="4763" spans="2:8" x14ac:dyDescent="0.3">
      <c r="B4763" s="4">
        <v>37711</v>
      </c>
      <c r="C4763" s="7">
        <v>16.399999999999999</v>
      </c>
      <c r="D4763" s="6">
        <f t="shared" si="152"/>
        <v>-0.89652996845425859</v>
      </c>
      <c r="E4763" s="6">
        <v>-9.6618357487922805E-3</v>
      </c>
      <c r="F4763" s="6"/>
      <c r="G4763" s="6">
        <v>4756</v>
      </c>
      <c r="H4763" s="6">
        <f t="shared" ca="1" si="153"/>
        <v>6.1983182485790475E-3</v>
      </c>
    </row>
    <row r="4764" spans="2:8" x14ac:dyDescent="0.3">
      <c r="B4764" s="4">
        <v>40198</v>
      </c>
      <c r="C4764" s="7">
        <v>158.5</v>
      </c>
      <c r="D4764" s="6">
        <f t="shared" si="152"/>
        <v>-0.6388699020277967</v>
      </c>
      <c r="E4764" s="6">
        <v>-9.6844736019994458E-3</v>
      </c>
      <c r="F4764" s="6"/>
      <c r="G4764" s="6">
        <v>4757</v>
      </c>
      <c r="H4764" s="6">
        <f t="shared" ca="1" si="153"/>
        <v>-1.1151625019843547E-2</v>
      </c>
    </row>
    <row r="4765" spans="2:8" x14ac:dyDescent="0.3">
      <c r="B4765" s="4">
        <v>41635</v>
      </c>
      <c r="C4765" s="7">
        <v>438.9</v>
      </c>
      <c r="D4765" s="6">
        <f t="shared" si="152"/>
        <v>-0.73564381482418428</v>
      </c>
      <c r="E4765" s="6">
        <v>-9.7021660649819746E-3</v>
      </c>
      <c r="F4765" s="6"/>
      <c r="G4765" s="6">
        <v>4758</v>
      </c>
      <c r="H4765" s="6">
        <f t="shared" ca="1" si="153"/>
        <v>-1.4842063955130423E-2</v>
      </c>
    </row>
    <row r="4766" spans="2:8" x14ac:dyDescent="0.3">
      <c r="B4766" s="4">
        <v>43741</v>
      </c>
      <c r="C4766" s="5">
        <v>1660.26</v>
      </c>
      <c r="D4766" s="6">
        <f t="shared" si="152"/>
        <v>-0.44400760853549087</v>
      </c>
      <c r="E4766" s="6">
        <v>-9.7104751452395839E-3</v>
      </c>
      <c r="F4766" s="6"/>
      <c r="G4766" s="6">
        <v>4759</v>
      </c>
      <c r="H4766" s="6">
        <f t="shared" ca="1" si="153"/>
        <v>-6.5498932403640067E-3</v>
      </c>
    </row>
    <row r="4767" spans="2:8" x14ac:dyDescent="0.3">
      <c r="B4767" s="4">
        <v>45517</v>
      </c>
      <c r="C4767" s="5">
        <v>2986.12</v>
      </c>
      <c r="D4767" s="6">
        <f t="shared" si="152"/>
        <v>1.3583133919334074</v>
      </c>
      <c r="E4767" s="6">
        <v>-9.713438636868606E-3</v>
      </c>
      <c r="F4767" s="6"/>
      <c r="G4767" s="6">
        <v>4760</v>
      </c>
      <c r="H4767" s="6">
        <f t="shared" ca="1" si="153"/>
        <v>1.1490977916972919E-2</v>
      </c>
    </row>
    <row r="4768" spans="2:8" x14ac:dyDescent="0.3">
      <c r="B4768" s="4">
        <v>43595</v>
      </c>
      <c r="C4768" s="5">
        <v>1266.21</v>
      </c>
      <c r="D4768" s="6">
        <f t="shared" si="152"/>
        <v>1.9871897706898181</v>
      </c>
      <c r="E4768" s="6">
        <v>-9.7135215034842536E-3</v>
      </c>
      <c r="F4768" s="6"/>
      <c r="G4768" s="6">
        <v>4761</v>
      </c>
      <c r="H4768" s="6">
        <f t="shared" ca="1" si="153"/>
        <v>2.5956190836912648E-3</v>
      </c>
    </row>
    <row r="4769" spans="2:8" x14ac:dyDescent="0.3">
      <c r="B4769" s="4">
        <v>41689</v>
      </c>
      <c r="C4769" s="7">
        <v>423.88</v>
      </c>
      <c r="D4769" s="6">
        <f t="shared" si="152"/>
        <v>-0.67469916502946958</v>
      </c>
      <c r="E4769" s="6">
        <v>-9.7187178768339995E-3</v>
      </c>
      <c r="F4769" s="6"/>
      <c r="G4769" s="6">
        <v>4762</v>
      </c>
      <c r="H4769" s="6">
        <f t="shared" ca="1" si="153"/>
        <v>1.0718905388911237E-2</v>
      </c>
    </row>
    <row r="4770" spans="2:8" x14ac:dyDescent="0.3">
      <c r="B4770" s="4">
        <v>43514</v>
      </c>
      <c r="C4770" s="5">
        <v>1303.04</v>
      </c>
      <c r="D4770" s="6">
        <f t="shared" si="152"/>
        <v>2.9267116682738674</v>
      </c>
      <c r="E4770" s="6">
        <v>-9.7201006209008487E-3</v>
      </c>
      <c r="F4770" s="6"/>
      <c r="G4770" s="6">
        <v>4763</v>
      </c>
      <c r="H4770" s="6">
        <f t="shared" ca="1" si="153"/>
        <v>-2.240659529515656E-3</v>
      </c>
    </row>
    <row r="4771" spans="2:8" x14ac:dyDescent="0.3">
      <c r="B4771" s="4">
        <v>41131</v>
      </c>
      <c r="C4771" s="7">
        <v>331.84</v>
      </c>
      <c r="D4771" s="6">
        <f t="shared" si="152"/>
        <v>-0.64036760880873944</v>
      </c>
      <c r="E4771" s="6">
        <v>-9.7579899137597761E-3</v>
      </c>
      <c r="F4771" s="6"/>
      <c r="G4771" s="6">
        <v>4764</v>
      </c>
      <c r="H4771" s="6">
        <f t="shared" ca="1" si="153"/>
        <v>-2.8509526534905225E-3</v>
      </c>
    </row>
    <row r="4772" spans="2:8" x14ac:dyDescent="0.3">
      <c r="B4772" s="4">
        <v>42776</v>
      </c>
      <c r="C4772" s="7">
        <v>922.72</v>
      </c>
      <c r="D4772" s="6">
        <f t="shared" si="152"/>
        <v>-0.31839704524469065</v>
      </c>
      <c r="E4772" s="6">
        <v>-9.7764613717094464E-3</v>
      </c>
      <c r="F4772" s="6"/>
      <c r="G4772" s="6">
        <v>4765</v>
      </c>
      <c r="H4772" s="6">
        <f t="shared" ca="1" si="153"/>
        <v>-2.2378259388770277E-2</v>
      </c>
    </row>
    <row r="4773" spans="2:8" x14ac:dyDescent="0.3">
      <c r="B4773" s="4">
        <v>43313</v>
      </c>
      <c r="C4773" s="5">
        <v>1353.75</v>
      </c>
      <c r="D4773" s="6">
        <f t="shared" si="152"/>
        <v>3.5947459525506567</v>
      </c>
      <c r="E4773" s="6">
        <v>-9.7796828369125545E-3</v>
      </c>
      <c r="F4773" s="6"/>
      <c r="G4773" s="6">
        <v>4766</v>
      </c>
      <c r="H4773" s="6">
        <f t="shared" ca="1" si="153"/>
        <v>1.9677457180545758E-2</v>
      </c>
    </row>
    <row r="4774" spans="2:8" x14ac:dyDescent="0.3">
      <c r="B4774" s="4">
        <v>41003</v>
      </c>
      <c r="C4774" s="7">
        <v>294.63</v>
      </c>
      <c r="D4774" s="6">
        <f t="shared" si="152"/>
        <v>-0.32390196888338146</v>
      </c>
      <c r="E4774" s="6">
        <v>-9.7801976204880854E-3</v>
      </c>
      <c r="F4774" s="6"/>
      <c r="G4774" s="6">
        <v>4767</v>
      </c>
      <c r="H4774" s="6">
        <f t="shared" ca="1" si="153"/>
        <v>1.2575091037181726E-2</v>
      </c>
    </row>
    <row r="4775" spans="2:8" x14ac:dyDescent="0.3">
      <c r="B4775" s="4">
        <v>41467</v>
      </c>
      <c r="C4775" s="7">
        <v>435.78</v>
      </c>
      <c r="D4775" s="6">
        <f t="shared" si="152"/>
        <v>-0.81443852089046342</v>
      </c>
      <c r="E4775" s="6">
        <v>-9.793451339498745E-3</v>
      </c>
      <c r="F4775" s="6"/>
      <c r="G4775" s="6">
        <v>4768</v>
      </c>
      <c r="H4775" s="6">
        <f t="shared" ca="1" si="153"/>
        <v>-4.082194411637592E-3</v>
      </c>
    </row>
    <row r="4776" spans="2:8" x14ac:dyDescent="0.3">
      <c r="B4776" s="4">
        <v>45862</v>
      </c>
      <c r="C4776" s="5">
        <v>2348.44</v>
      </c>
      <c r="D4776" s="6">
        <f t="shared" si="152"/>
        <v>1.6909432578604822</v>
      </c>
      <c r="E4776" s="6">
        <v>-9.8073112113672752E-3</v>
      </c>
      <c r="F4776" s="6"/>
      <c r="G4776" s="6">
        <v>4769</v>
      </c>
      <c r="H4776" s="6">
        <f t="shared" ca="1" si="153"/>
        <v>-3.3414743880593657E-2</v>
      </c>
    </row>
    <row r="4777" spans="2:8" x14ac:dyDescent="0.3">
      <c r="B4777" s="4">
        <v>42513</v>
      </c>
      <c r="C4777" s="7">
        <v>872.72</v>
      </c>
      <c r="D4777" s="6">
        <f t="shared" si="152"/>
        <v>-0.63539438502673795</v>
      </c>
      <c r="E4777" s="6">
        <v>-9.836735156967924E-3</v>
      </c>
      <c r="F4777" s="6"/>
      <c r="G4777" s="6">
        <v>4770</v>
      </c>
      <c r="H4777" s="6">
        <f t="shared" ca="1" si="153"/>
        <v>2.8965345905297073E-4</v>
      </c>
    </row>
    <row r="4778" spans="2:8" x14ac:dyDescent="0.3">
      <c r="B4778" s="4">
        <v>46063</v>
      </c>
      <c r="C4778" s="5">
        <v>2393.6</v>
      </c>
      <c r="D4778" s="6">
        <f t="shared" si="152"/>
        <v>73.474175482265096</v>
      </c>
      <c r="E4778" s="6">
        <v>-9.8452883263010597E-3</v>
      </c>
      <c r="F4778" s="6"/>
      <c r="G4778" s="6">
        <v>4771</v>
      </c>
      <c r="H4778" s="6">
        <f t="shared" ca="1" si="153"/>
        <v>2.2072321666594039E-2</v>
      </c>
    </row>
    <row r="4779" spans="2:8" x14ac:dyDescent="0.3">
      <c r="B4779" s="4">
        <v>38531</v>
      </c>
      <c r="C4779" s="7">
        <v>32.14</v>
      </c>
      <c r="D4779" s="6">
        <f t="shared" si="152"/>
        <v>-0.80930342945294875</v>
      </c>
      <c r="E4779" s="6">
        <v>-9.8582871226124552E-3</v>
      </c>
      <c r="F4779" s="6"/>
      <c r="G4779" s="6">
        <v>4772</v>
      </c>
      <c r="H4779" s="6">
        <f t="shared" ca="1" si="153"/>
        <v>1.3393887070483244E-3</v>
      </c>
    </row>
    <row r="4780" spans="2:8" x14ac:dyDescent="0.3">
      <c r="B4780" s="4">
        <v>40245</v>
      </c>
      <c r="C4780" s="7">
        <v>168.54</v>
      </c>
      <c r="D4780" s="6">
        <f t="shared" si="152"/>
        <v>-0.80623131754426303</v>
      </c>
      <c r="E4780" s="6">
        <v>-9.8695805428269702E-3</v>
      </c>
      <c r="F4780" s="6"/>
      <c r="G4780" s="6">
        <v>4773</v>
      </c>
      <c r="H4780" s="6">
        <f t="shared" ca="1" si="153"/>
        <v>-3.0610152961871567E-4</v>
      </c>
    </row>
    <row r="4781" spans="2:8" x14ac:dyDescent="0.3">
      <c r="B4781" s="4">
        <v>42702</v>
      </c>
      <c r="C4781" s="7">
        <v>869.8</v>
      </c>
      <c r="D4781" s="6">
        <f t="shared" si="152"/>
        <v>1.7288699253309905</v>
      </c>
      <c r="E4781" s="6">
        <v>-9.8919737276463634E-3</v>
      </c>
      <c r="F4781" s="6"/>
      <c r="G4781" s="6">
        <v>4774</v>
      </c>
      <c r="H4781" s="6">
        <f t="shared" ca="1" si="153"/>
        <v>1.1764222737628883E-2</v>
      </c>
    </row>
    <row r="4782" spans="2:8" x14ac:dyDescent="0.3">
      <c r="B4782" s="4">
        <v>41114</v>
      </c>
      <c r="C4782" s="7">
        <v>318.74</v>
      </c>
      <c r="D4782" s="6">
        <f t="shared" si="152"/>
        <v>-0.89254047347731391</v>
      </c>
      <c r="E4782" s="6">
        <v>-9.9089864256204693E-3</v>
      </c>
      <c r="F4782" s="6"/>
      <c r="G4782" s="6">
        <v>4775</v>
      </c>
      <c r="H4782" s="6">
        <f t="shared" ca="1" si="153"/>
        <v>1.1281246102421288E-2</v>
      </c>
    </row>
    <row r="4783" spans="2:8" x14ac:dyDescent="0.3">
      <c r="B4783" s="4">
        <v>44918</v>
      </c>
      <c r="C4783" s="5">
        <v>2966.14</v>
      </c>
      <c r="D4783" s="6">
        <f t="shared" si="152"/>
        <v>0.85825084575867672</v>
      </c>
      <c r="E4783" s="6">
        <v>-9.9236615741003509E-3</v>
      </c>
      <c r="F4783" s="6"/>
      <c r="G4783" s="6">
        <v>4776</v>
      </c>
      <c r="H4783" s="6">
        <f t="shared" ca="1" si="153"/>
        <v>-2.6840737042333935E-2</v>
      </c>
    </row>
    <row r="4784" spans="2:8" x14ac:dyDescent="0.3">
      <c r="B4784" s="4">
        <v>44027</v>
      </c>
      <c r="C4784" s="5">
        <v>1596.2</v>
      </c>
      <c r="D4784" s="6">
        <f t="shared" si="152"/>
        <v>99.01253132832079</v>
      </c>
      <c r="E4784" s="6">
        <v>-9.9243270065748658E-3</v>
      </c>
      <c r="F4784" s="6"/>
      <c r="G4784" s="6">
        <v>4777</v>
      </c>
      <c r="H4784" s="6">
        <f t="shared" ca="1" si="153"/>
        <v>1.0002595427044327E-3</v>
      </c>
    </row>
    <row r="4785" spans="2:8" x14ac:dyDescent="0.3">
      <c r="B4785" s="4">
        <v>37469</v>
      </c>
      <c r="C4785" s="7">
        <v>15.96</v>
      </c>
      <c r="D4785" s="6">
        <f t="shared" si="152"/>
        <v>-0.98941054698903896</v>
      </c>
      <c r="E4785" s="6">
        <v>-9.9255583126550955E-3</v>
      </c>
      <c r="F4785" s="6"/>
      <c r="G4785" s="6">
        <v>4778</v>
      </c>
      <c r="H4785" s="6">
        <f t="shared" ca="1" si="153"/>
        <v>-1.17398722473211E-2</v>
      </c>
    </row>
    <row r="4786" spans="2:8" x14ac:dyDescent="0.3">
      <c r="B4786" s="4">
        <v>43959</v>
      </c>
      <c r="C4786" s="5">
        <v>1507.16</v>
      </c>
      <c r="D4786" s="6">
        <f t="shared" si="152"/>
        <v>59.797095603065756</v>
      </c>
      <c r="E4786" s="6">
        <v>-9.9714912568807483E-3</v>
      </c>
      <c r="F4786" s="6"/>
      <c r="G4786" s="6">
        <v>4779</v>
      </c>
      <c r="H4786" s="6">
        <f t="shared" ca="1" si="153"/>
        <v>1.9008975573724936E-2</v>
      </c>
    </row>
    <row r="4787" spans="2:8" x14ac:dyDescent="0.3">
      <c r="B4787" s="4">
        <v>37985</v>
      </c>
      <c r="C4787" s="7">
        <v>24.79</v>
      </c>
      <c r="D4787" s="6">
        <f t="shared" si="152"/>
        <v>-0.99118408512212119</v>
      </c>
      <c r="E4787" s="6">
        <v>-9.9840255591054309E-3</v>
      </c>
      <c r="F4787" s="6"/>
      <c r="G4787" s="6">
        <v>4780</v>
      </c>
      <c r="H4787" s="6">
        <f t="shared" ca="1" si="153"/>
        <v>-4.1382388697857784E-4</v>
      </c>
    </row>
    <row r="4788" spans="2:8" x14ac:dyDescent="0.3">
      <c r="B4788" s="4">
        <v>45436</v>
      </c>
      <c r="C4788" s="5">
        <v>2811.96</v>
      </c>
      <c r="D4788" s="6">
        <f t="shared" si="152"/>
        <v>-2.1780648931840285E-2</v>
      </c>
      <c r="E4788" s="6">
        <v>-9.9847904461469565E-3</v>
      </c>
      <c r="F4788" s="6"/>
      <c r="G4788" s="6">
        <v>4781</v>
      </c>
      <c r="H4788" s="6">
        <f t="shared" ca="1" si="153"/>
        <v>-7.0526041457309192E-3</v>
      </c>
    </row>
    <row r="4789" spans="2:8" x14ac:dyDescent="0.3">
      <c r="B4789" s="4">
        <v>44413</v>
      </c>
      <c r="C4789" s="5">
        <v>2874.57</v>
      </c>
      <c r="D4789" s="6">
        <f t="shared" si="152"/>
        <v>5.6675248764873709</v>
      </c>
      <c r="E4789" s="6">
        <v>-1.0004752688023821E-2</v>
      </c>
      <c r="F4789" s="6"/>
      <c r="G4789" s="6">
        <v>4782</v>
      </c>
      <c r="H4789" s="6">
        <f t="shared" ca="1" si="153"/>
        <v>2.1472149828482105E-2</v>
      </c>
    </row>
    <row r="4790" spans="2:8" x14ac:dyDescent="0.3">
      <c r="B4790" s="4">
        <v>41411</v>
      </c>
      <c r="C4790" s="7">
        <v>431.13</v>
      </c>
      <c r="D4790" s="6">
        <f t="shared" si="152"/>
        <v>-0.77842818818160331</v>
      </c>
      <c r="E4790" s="6">
        <v>-1.0011710946290416E-2</v>
      </c>
      <c r="F4790" s="6"/>
      <c r="G4790" s="6">
        <v>4783</v>
      </c>
      <c r="H4790" s="6">
        <f t="shared" ca="1" si="153"/>
        <v>-1.1563441142551969E-2</v>
      </c>
    </row>
    <row r="4791" spans="2:8" x14ac:dyDescent="0.3">
      <c r="B4791" s="4">
        <v>44085</v>
      </c>
      <c r="C4791" s="5">
        <v>1945.78</v>
      </c>
      <c r="D4791" s="6">
        <f t="shared" si="152"/>
        <v>-0.37547181923225059</v>
      </c>
      <c r="E4791" s="6">
        <v>-1.0017960080794952E-2</v>
      </c>
      <c r="F4791" s="6"/>
      <c r="G4791" s="6">
        <v>4784</v>
      </c>
      <c r="H4791" s="6">
        <f t="shared" ca="1" si="153"/>
        <v>-1.992452712030909E-2</v>
      </c>
    </row>
    <row r="4792" spans="2:8" x14ac:dyDescent="0.3">
      <c r="B4792" s="4">
        <v>45527</v>
      </c>
      <c r="C4792" s="5">
        <v>3115.6</v>
      </c>
      <c r="D4792" s="6">
        <f t="shared" si="152"/>
        <v>1.6061062317022166</v>
      </c>
      <c r="E4792" s="6">
        <v>-1.0024943202580169E-2</v>
      </c>
      <c r="F4792" s="6"/>
      <c r="G4792" s="6">
        <v>4785</v>
      </c>
      <c r="H4792" s="6">
        <f t="shared" ca="1" si="153"/>
        <v>-7.5273459300684107E-3</v>
      </c>
    </row>
    <row r="4793" spans="2:8" x14ac:dyDescent="0.3">
      <c r="B4793" s="4">
        <v>43270</v>
      </c>
      <c r="C4793" s="5">
        <v>1195.5</v>
      </c>
      <c r="D4793" s="6">
        <f t="shared" si="152"/>
        <v>-0.17133390634097656</v>
      </c>
      <c r="E4793" s="6">
        <v>-1.0028071976879872E-2</v>
      </c>
      <c r="F4793" s="6"/>
      <c r="G4793" s="6">
        <v>4786</v>
      </c>
      <c r="H4793" s="6">
        <f t="shared" ca="1" si="153"/>
        <v>7.1595244075032009E-4</v>
      </c>
    </row>
    <row r="4794" spans="2:8" x14ac:dyDescent="0.3">
      <c r="B4794" s="4">
        <v>43713</v>
      </c>
      <c r="C4794" s="5">
        <v>1442.68</v>
      </c>
      <c r="D4794" s="6">
        <f t="shared" si="152"/>
        <v>1.104074905930053</v>
      </c>
      <c r="E4794" s="6">
        <v>-1.0032251423865979E-2</v>
      </c>
      <c r="F4794" s="6"/>
      <c r="G4794" s="6">
        <v>4787</v>
      </c>
      <c r="H4794" s="6">
        <f t="shared" ca="1" si="153"/>
        <v>-9.4791971234065367E-4</v>
      </c>
    </row>
    <row r="4795" spans="2:8" x14ac:dyDescent="0.3">
      <c r="B4795" s="4">
        <v>42003</v>
      </c>
      <c r="C4795" s="7">
        <v>685.66</v>
      </c>
      <c r="D4795" s="6">
        <f t="shared" si="152"/>
        <v>-0.76197815778328581</v>
      </c>
      <c r="E4795" s="6">
        <v>-1.0034507154098331E-2</v>
      </c>
      <c r="F4795" s="6"/>
      <c r="G4795" s="6">
        <v>4788</v>
      </c>
      <c r="H4795" s="6">
        <f t="shared" ca="1" si="153"/>
        <v>1.4952484684558879E-2</v>
      </c>
    </row>
    <row r="4796" spans="2:8" x14ac:dyDescent="0.3">
      <c r="B4796" s="4">
        <v>44670</v>
      </c>
      <c r="C4796" s="5">
        <v>2880.66</v>
      </c>
      <c r="D4796" s="6">
        <f t="shared" si="152"/>
        <v>36.016962220508866</v>
      </c>
      <c r="E4796" s="6">
        <v>-1.0045053249435552E-2</v>
      </c>
      <c r="F4796" s="6"/>
      <c r="G4796" s="6">
        <v>4789</v>
      </c>
      <c r="H4796" s="6">
        <f t="shared" ca="1" si="153"/>
        <v>-4.3930173718291481E-3</v>
      </c>
    </row>
    <row r="4797" spans="2:8" x14ac:dyDescent="0.3">
      <c r="B4797" s="4">
        <v>39322</v>
      </c>
      <c r="C4797" s="7">
        <v>77.819999999999993</v>
      </c>
      <c r="D4797" s="6">
        <f t="shared" si="152"/>
        <v>0.12946298984034812</v>
      </c>
      <c r="E4797" s="6">
        <v>-1.0049612008650378E-2</v>
      </c>
      <c r="F4797" s="6"/>
      <c r="G4797" s="6">
        <v>4790</v>
      </c>
      <c r="H4797" s="6">
        <f t="shared" ca="1" si="153"/>
        <v>2.3028076457952379E-2</v>
      </c>
    </row>
    <row r="4798" spans="2:8" x14ac:dyDescent="0.3">
      <c r="B4798" s="4">
        <v>39259</v>
      </c>
      <c r="C4798" s="7">
        <v>68.900000000000006</v>
      </c>
      <c r="D4798" s="6">
        <f t="shared" si="152"/>
        <v>-0.89211956096262546</v>
      </c>
      <c r="E4798" s="6">
        <v>-1.0057471264367653E-2</v>
      </c>
      <c r="F4798" s="6"/>
      <c r="G4798" s="6">
        <v>4791</v>
      </c>
      <c r="H4798" s="6">
        <f t="shared" ca="1" si="153"/>
        <v>-3.3065631300504383E-2</v>
      </c>
    </row>
    <row r="4799" spans="2:8" x14ac:dyDescent="0.3">
      <c r="B4799" s="4">
        <v>42170</v>
      </c>
      <c r="C4799" s="7">
        <v>638.66999999999996</v>
      </c>
      <c r="D4799" s="6">
        <f t="shared" si="152"/>
        <v>-0.15398982673660785</v>
      </c>
      <c r="E4799" s="6">
        <v>-1.0059520119040252E-2</v>
      </c>
      <c r="F4799" s="6"/>
      <c r="G4799" s="6">
        <v>4792</v>
      </c>
      <c r="H4799" s="6">
        <f t="shared" ca="1" si="153"/>
        <v>-7.2930217343566261E-3</v>
      </c>
    </row>
    <row r="4800" spans="2:8" x14ac:dyDescent="0.3">
      <c r="B4800" s="4">
        <v>42055</v>
      </c>
      <c r="C4800" s="7">
        <v>754.92</v>
      </c>
      <c r="D4800" s="6">
        <f t="shared" si="152"/>
        <v>0.95413129012217845</v>
      </c>
      <c r="E4800" s="6">
        <v>-1.0070810385523293E-2</v>
      </c>
      <c r="F4800" s="6"/>
      <c r="G4800" s="6">
        <v>4793</v>
      </c>
      <c r="H4800" s="6">
        <f t="shared" ca="1" si="153"/>
        <v>-7.3974717513284102E-3</v>
      </c>
    </row>
    <row r="4801" spans="2:8" x14ac:dyDescent="0.3">
      <c r="B4801" s="4">
        <v>41250</v>
      </c>
      <c r="C4801" s="7">
        <v>386.32</v>
      </c>
      <c r="D4801" s="6">
        <f t="shared" si="152"/>
        <v>-0.76037712442624994</v>
      </c>
      <c r="E4801" s="6">
        <v>-1.0095833546866186E-2</v>
      </c>
      <c r="F4801" s="6"/>
      <c r="G4801" s="6">
        <v>4794</v>
      </c>
      <c r="H4801" s="6">
        <f t="shared" ca="1" si="153"/>
        <v>1.2990062277955527E-3</v>
      </c>
    </row>
    <row r="4802" spans="2:8" x14ac:dyDescent="0.3">
      <c r="B4802" s="4">
        <v>44026</v>
      </c>
      <c r="C4802" s="5">
        <v>1612.2</v>
      </c>
      <c r="D4802" s="6">
        <f t="shared" si="152"/>
        <v>0.64019818298352893</v>
      </c>
      <c r="E4802" s="6">
        <v>-1.0112545819595146E-2</v>
      </c>
      <c r="F4802" s="6"/>
      <c r="G4802" s="6">
        <v>4795</v>
      </c>
      <c r="H4802" s="6">
        <f t="shared" ca="1" si="153"/>
        <v>6.1688639265089044E-3</v>
      </c>
    </row>
    <row r="4803" spans="2:8" x14ac:dyDescent="0.3">
      <c r="B4803" s="4">
        <v>42816</v>
      </c>
      <c r="C4803" s="7">
        <v>982.93</v>
      </c>
      <c r="D4803" s="6">
        <f t="shared" si="152"/>
        <v>-0.39958340459843134</v>
      </c>
      <c r="E4803" s="6">
        <v>-1.0150955176685069E-2</v>
      </c>
      <c r="F4803" s="6"/>
      <c r="G4803" s="6">
        <v>4796</v>
      </c>
      <c r="H4803" s="6">
        <f t="shared" ca="1" si="153"/>
        <v>-5.6421280063310595E-3</v>
      </c>
    </row>
    <row r="4804" spans="2:8" x14ac:dyDescent="0.3">
      <c r="B4804" s="4">
        <v>43788</v>
      </c>
      <c r="C4804" s="5">
        <v>1637.08</v>
      </c>
      <c r="D4804" s="6">
        <f t="shared" si="152"/>
        <v>-0.34063685647771491</v>
      </c>
      <c r="E4804" s="6">
        <v>-1.0151946646350659E-2</v>
      </c>
      <c r="F4804" s="6"/>
      <c r="G4804" s="6">
        <v>4797</v>
      </c>
      <c r="H4804" s="6">
        <f t="shared" ca="1" si="153"/>
        <v>-9.1008834609834104E-4</v>
      </c>
    </row>
    <row r="4805" spans="2:8" x14ac:dyDescent="0.3">
      <c r="B4805" s="4">
        <v>45965</v>
      </c>
      <c r="C4805" s="5">
        <v>2482.8200000000002</v>
      </c>
      <c r="D4805" s="6">
        <f t="shared" si="152"/>
        <v>0.63092344679900703</v>
      </c>
      <c r="E4805" s="6">
        <v>-1.0154328247531107E-2</v>
      </c>
      <c r="F4805" s="6"/>
      <c r="G4805" s="6">
        <v>4798</v>
      </c>
      <c r="H4805" s="6">
        <f t="shared" ca="1" si="153"/>
        <v>1.8515453024022053E-2</v>
      </c>
    </row>
    <row r="4806" spans="2:8" x14ac:dyDescent="0.3">
      <c r="B4806" s="4">
        <v>43958</v>
      </c>
      <c r="C4806" s="5">
        <v>1522.34</v>
      </c>
      <c r="D4806" s="6">
        <f t="shared" si="152"/>
        <v>8.9097773727379224</v>
      </c>
      <c r="E4806" s="6">
        <v>-1.015631095737218E-2</v>
      </c>
      <c r="F4806" s="6"/>
      <c r="G4806" s="6">
        <v>4799</v>
      </c>
      <c r="H4806" s="6">
        <f t="shared" ca="1" si="153"/>
        <v>2.8827061781212575E-2</v>
      </c>
    </row>
    <row r="4807" spans="2:8" x14ac:dyDescent="0.3">
      <c r="B4807" s="4">
        <v>40185</v>
      </c>
      <c r="C4807" s="7">
        <v>153.62</v>
      </c>
      <c r="D4807" s="6">
        <f t="shared" si="152"/>
        <v>-0.95293836524999775</v>
      </c>
      <c r="E4807" s="6">
        <v>-1.0180412371133919E-2</v>
      </c>
      <c r="F4807" s="6"/>
      <c r="G4807" s="6">
        <v>4800</v>
      </c>
      <c r="H4807" s="6">
        <f t="shared" ca="1" si="153"/>
        <v>-6.727063159947895E-2</v>
      </c>
    </row>
    <row r="4808" spans="2:8" x14ac:dyDescent="0.3">
      <c r="B4808" s="4">
        <v>45139</v>
      </c>
      <c r="C4808" s="5">
        <v>3264.23</v>
      </c>
      <c r="D4808" s="6">
        <f t="shared" ref="D4808:D4871" si="154">((C4808-C4809)/C4809)</f>
        <v>2.2872075809911281</v>
      </c>
      <c r="E4808" s="6">
        <v>-1.0185516492713412E-2</v>
      </c>
      <c r="F4808" s="6"/>
      <c r="G4808" s="6">
        <v>4801</v>
      </c>
      <c r="H4808" s="6">
        <f t="shared" ca="1" si="153"/>
        <v>3.6310711691403916E-2</v>
      </c>
    </row>
    <row r="4809" spans="2:8" x14ac:dyDescent="0.3">
      <c r="B4809" s="4">
        <v>42815</v>
      </c>
      <c r="C4809" s="7">
        <v>993.01</v>
      </c>
      <c r="D4809" s="6">
        <f t="shared" si="154"/>
        <v>-3.6427150550676787E-2</v>
      </c>
      <c r="E4809" s="6">
        <v>-1.0187095680950557E-2</v>
      </c>
      <c r="F4809" s="6"/>
      <c r="G4809" s="6">
        <v>4802</v>
      </c>
      <c r="H4809" s="6">
        <f t="shared" ref="H4809:H4872" ca="1" si="155">_xlfn.NORM.INV(RAND(),N$10,N$11)</f>
        <v>5.4177671888364877E-3</v>
      </c>
    </row>
    <row r="4810" spans="2:8" x14ac:dyDescent="0.3">
      <c r="B4810" s="4">
        <v>42611</v>
      </c>
      <c r="C4810" s="5">
        <v>1030.55</v>
      </c>
      <c r="D4810" s="6">
        <f t="shared" si="154"/>
        <v>41.531985142385466</v>
      </c>
      <c r="E4810" s="6">
        <v>-1.0190556686772568E-2</v>
      </c>
      <c r="F4810" s="6"/>
      <c r="G4810" s="6">
        <v>4803</v>
      </c>
      <c r="H4810" s="6">
        <f t="shared" ca="1" si="155"/>
        <v>-3.6656958660633348E-3</v>
      </c>
    </row>
    <row r="4811" spans="2:8" x14ac:dyDescent="0.3">
      <c r="B4811" s="4">
        <v>38258</v>
      </c>
      <c r="C4811" s="7">
        <v>24.23</v>
      </c>
      <c r="D4811" s="6">
        <f t="shared" si="154"/>
        <v>-0.98159178277847836</v>
      </c>
      <c r="E4811" s="6">
        <v>-1.0212418300653595E-2</v>
      </c>
      <c r="F4811" s="6"/>
      <c r="G4811" s="6">
        <v>4804</v>
      </c>
      <c r="H4811" s="6">
        <f t="shared" ca="1" si="155"/>
        <v>9.885031937958413E-3</v>
      </c>
    </row>
    <row r="4812" spans="2:8" x14ac:dyDescent="0.3">
      <c r="B4812" s="4">
        <v>43318</v>
      </c>
      <c r="C4812" s="5">
        <v>1316.26</v>
      </c>
      <c r="D4812" s="6">
        <f t="shared" si="154"/>
        <v>-0.5507537722744229</v>
      </c>
      <c r="E4812" s="6">
        <v>-1.0234083030672097E-2</v>
      </c>
      <c r="F4812" s="6"/>
      <c r="G4812" s="6">
        <v>4805</v>
      </c>
      <c r="H4812" s="6">
        <f t="shared" ca="1" si="155"/>
        <v>-9.4377694664050677E-3</v>
      </c>
    </row>
    <row r="4813" spans="2:8" x14ac:dyDescent="0.3">
      <c r="B4813" s="4">
        <v>44432</v>
      </c>
      <c r="C4813" s="5">
        <v>2929.93</v>
      </c>
      <c r="D4813" s="6">
        <f t="shared" si="154"/>
        <v>-3.985515557667426E-2</v>
      </c>
      <c r="E4813" s="6">
        <v>-1.0235691145620503E-2</v>
      </c>
      <c r="F4813" s="6"/>
      <c r="G4813" s="6">
        <v>4806</v>
      </c>
      <c r="H4813" s="6">
        <f t="shared" ca="1" si="155"/>
        <v>-1.7383393559920071E-3</v>
      </c>
    </row>
    <row r="4814" spans="2:8" x14ac:dyDescent="0.3">
      <c r="B4814" s="4">
        <v>44909</v>
      </c>
      <c r="C4814" s="5">
        <v>3051.55</v>
      </c>
      <c r="D4814" s="6">
        <f t="shared" si="154"/>
        <v>1.6538909761358105</v>
      </c>
      <c r="E4814" s="6">
        <v>-1.0239627390435569E-2</v>
      </c>
      <c r="F4814" s="6"/>
      <c r="G4814" s="6">
        <v>4807</v>
      </c>
      <c r="H4814" s="6">
        <f t="shared" ca="1" si="155"/>
        <v>-1.6149327681032388E-2</v>
      </c>
    </row>
    <row r="4815" spans="2:8" x14ac:dyDescent="0.3">
      <c r="B4815" s="4">
        <v>43405</v>
      </c>
      <c r="C4815" s="5">
        <v>1149.8399999999999</v>
      </c>
      <c r="D4815" s="6">
        <f t="shared" si="154"/>
        <v>3.7828293332224114</v>
      </c>
      <c r="E4815" s="6">
        <v>-1.0243255805946332E-2</v>
      </c>
      <c r="F4815" s="6"/>
      <c r="G4815" s="6">
        <v>4808</v>
      </c>
      <c r="H4815" s="6">
        <f t="shared" ca="1" si="155"/>
        <v>-4.8374184872400691E-3</v>
      </c>
    </row>
    <row r="4816" spans="2:8" x14ac:dyDescent="0.3">
      <c r="B4816" s="4">
        <v>40450</v>
      </c>
      <c r="C4816" s="7">
        <v>240.41</v>
      </c>
      <c r="D4816" s="6">
        <f t="shared" si="154"/>
        <v>1.0605982686208966</v>
      </c>
      <c r="E4816" s="6">
        <v>-1.0251132153149482E-2</v>
      </c>
      <c r="F4816" s="6"/>
      <c r="G4816" s="6">
        <v>4809</v>
      </c>
      <c r="H4816" s="6">
        <f t="shared" ca="1" si="155"/>
        <v>8.3451577235033117E-3</v>
      </c>
    </row>
    <row r="4817" spans="2:8" x14ac:dyDescent="0.3">
      <c r="B4817" s="4">
        <v>40042</v>
      </c>
      <c r="C4817" s="7">
        <v>116.67</v>
      </c>
      <c r="D4817" s="6">
        <f t="shared" si="154"/>
        <v>-0.73218712698558441</v>
      </c>
      <c r="E4817" s="6">
        <v>-1.0264675941635508E-2</v>
      </c>
      <c r="F4817" s="6"/>
      <c r="G4817" s="6">
        <v>4810</v>
      </c>
      <c r="H4817" s="6">
        <f t="shared" ca="1" si="155"/>
        <v>-9.4525156943885066E-3</v>
      </c>
    </row>
    <row r="4818" spans="2:8" x14ac:dyDescent="0.3">
      <c r="B4818" s="4">
        <v>41425</v>
      </c>
      <c r="C4818" s="7">
        <v>435.64</v>
      </c>
      <c r="D4818" s="6">
        <f t="shared" si="154"/>
        <v>-0.81261747968703635</v>
      </c>
      <c r="E4818" s="6">
        <v>-1.0268993093420662E-2</v>
      </c>
      <c r="F4818" s="6"/>
      <c r="G4818" s="6">
        <v>4811</v>
      </c>
      <c r="H4818" s="6">
        <f t="shared" ca="1" si="155"/>
        <v>-2.3378361605647005E-2</v>
      </c>
    </row>
    <row r="4819" spans="2:8" x14ac:dyDescent="0.3">
      <c r="B4819" s="4">
        <v>45938</v>
      </c>
      <c r="C4819" s="5">
        <v>2324.87</v>
      </c>
      <c r="D4819" s="6">
        <f t="shared" si="154"/>
        <v>36.341310632830066</v>
      </c>
      <c r="E4819" s="6">
        <v>-1.0327227526786605E-2</v>
      </c>
      <c r="F4819" s="6"/>
      <c r="G4819" s="6">
        <v>4812</v>
      </c>
      <c r="H4819" s="6">
        <f t="shared" ca="1" si="155"/>
        <v>1.0340376268339143E-2</v>
      </c>
    </row>
    <row r="4820" spans="2:8" x14ac:dyDescent="0.3">
      <c r="B4820" s="4">
        <v>39877</v>
      </c>
      <c r="C4820" s="7">
        <v>62.26</v>
      </c>
      <c r="D4820" s="6">
        <f t="shared" si="154"/>
        <v>-0.97405595512922005</v>
      </c>
      <c r="E4820" s="6">
        <v>-1.0332220632649795E-2</v>
      </c>
      <c r="F4820" s="6"/>
      <c r="G4820" s="6">
        <v>4813</v>
      </c>
      <c r="H4820" s="6">
        <f t="shared" ca="1" si="155"/>
        <v>-3.8398602929242808E-5</v>
      </c>
    </row>
    <row r="4821" spans="2:8" x14ac:dyDescent="0.3">
      <c r="B4821" s="4">
        <v>45777</v>
      </c>
      <c r="C4821" s="5">
        <v>2399.7800000000002</v>
      </c>
      <c r="D4821" s="6">
        <f t="shared" si="154"/>
        <v>0.34644366019379358</v>
      </c>
      <c r="E4821" s="6">
        <v>-1.036327121418925E-2</v>
      </c>
      <c r="F4821" s="6"/>
      <c r="G4821" s="6">
        <v>4814</v>
      </c>
      <c r="H4821" s="6">
        <f t="shared" ca="1" si="155"/>
        <v>9.4627258943089619E-3</v>
      </c>
    </row>
    <row r="4822" spans="2:8" x14ac:dyDescent="0.3">
      <c r="B4822" s="4">
        <v>43874</v>
      </c>
      <c r="C4822" s="5">
        <v>1782.31</v>
      </c>
      <c r="D4822" s="6">
        <f t="shared" si="154"/>
        <v>5.9813762100706373E-2</v>
      </c>
      <c r="E4822" s="6">
        <v>-1.0377568017767937E-2</v>
      </c>
      <c r="F4822" s="6"/>
      <c r="G4822" s="6">
        <v>4815</v>
      </c>
      <c r="H4822" s="6">
        <f t="shared" ca="1" si="155"/>
        <v>-4.6437113430198721E-3</v>
      </c>
    </row>
    <row r="4823" spans="2:8" x14ac:dyDescent="0.3">
      <c r="B4823" s="4">
        <v>44040</v>
      </c>
      <c r="C4823" s="5">
        <v>1681.72</v>
      </c>
      <c r="D4823" s="6">
        <f t="shared" si="154"/>
        <v>7.151027530050408</v>
      </c>
      <c r="E4823" s="6">
        <v>-1.0403671884194459E-2</v>
      </c>
      <c r="F4823" s="6"/>
      <c r="G4823" s="6">
        <v>4816</v>
      </c>
      <c r="H4823" s="6">
        <f t="shared" ca="1" si="155"/>
        <v>6.2318422987758942E-3</v>
      </c>
    </row>
    <row r="4824" spans="2:8" x14ac:dyDescent="0.3">
      <c r="B4824" s="4">
        <v>40371</v>
      </c>
      <c r="C4824" s="7">
        <v>206.32</v>
      </c>
      <c r="D4824" s="6">
        <f t="shared" si="154"/>
        <v>-0.9108572514895289</v>
      </c>
      <c r="E4824" s="6">
        <v>-1.0408173053863571E-2</v>
      </c>
      <c r="F4824" s="6"/>
      <c r="G4824" s="6">
        <v>4817</v>
      </c>
      <c r="H4824" s="6">
        <f t="shared" ca="1" si="155"/>
        <v>2.6149885022578624E-2</v>
      </c>
    </row>
    <row r="4825" spans="2:8" x14ac:dyDescent="0.3">
      <c r="B4825" s="4">
        <v>45944</v>
      </c>
      <c r="C4825" s="5">
        <v>2314.4899999999998</v>
      </c>
      <c r="D4825" s="6">
        <f t="shared" si="154"/>
        <v>-0.20756454721935963</v>
      </c>
      <c r="E4825" s="6">
        <v>-1.0415375077495405E-2</v>
      </c>
      <c r="F4825" s="6"/>
      <c r="G4825" s="6">
        <v>4818</v>
      </c>
      <c r="H4825" s="6">
        <f t="shared" ca="1" si="155"/>
        <v>1.4512586400631741E-2</v>
      </c>
    </row>
    <row r="4826" spans="2:8" x14ac:dyDescent="0.3">
      <c r="B4826" s="4">
        <v>45345</v>
      </c>
      <c r="C4826" s="5">
        <v>2920.73</v>
      </c>
      <c r="D4826" s="6">
        <f t="shared" si="154"/>
        <v>0.28385993599887471</v>
      </c>
      <c r="E4826" s="6">
        <v>-1.0421854724223956E-2</v>
      </c>
      <c r="F4826" s="6"/>
      <c r="G4826" s="6">
        <v>4819</v>
      </c>
      <c r="H4826" s="6">
        <f t="shared" ca="1" si="155"/>
        <v>7.4078705076812282E-3</v>
      </c>
    </row>
    <row r="4827" spans="2:8" x14ac:dyDescent="0.3">
      <c r="B4827" s="4">
        <v>44232</v>
      </c>
      <c r="C4827" s="5">
        <v>2274.96</v>
      </c>
      <c r="D4827" s="6">
        <f t="shared" si="154"/>
        <v>0.88716621456834976</v>
      </c>
      <c r="E4827" s="6">
        <v>-1.042658976132366E-2</v>
      </c>
      <c r="F4827" s="6"/>
      <c r="G4827" s="6">
        <v>4820</v>
      </c>
      <c r="H4827" s="6">
        <f t="shared" ca="1" si="155"/>
        <v>2.2511070615418963E-2</v>
      </c>
    </row>
    <row r="4828" spans="2:8" x14ac:dyDescent="0.3">
      <c r="B4828" s="4">
        <v>43374</v>
      </c>
      <c r="C4828" s="5">
        <v>1205.49</v>
      </c>
      <c r="D4828" s="6">
        <f t="shared" si="154"/>
        <v>0.16254556676374712</v>
      </c>
      <c r="E4828" s="6">
        <v>-1.0433426366770675E-2</v>
      </c>
      <c r="F4828" s="6"/>
      <c r="G4828" s="6">
        <v>4821</v>
      </c>
      <c r="H4828" s="6">
        <f t="shared" ca="1" si="155"/>
        <v>-6.3413371575068442E-3</v>
      </c>
    </row>
    <row r="4829" spans="2:8" x14ac:dyDescent="0.3">
      <c r="B4829" s="4">
        <v>42920</v>
      </c>
      <c r="C4829" s="5">
        <v>1036.94</v>
      </c>
      <c r="D4829" s="6">
        <f t="shared" si="154"/>
        <v>63.486318407960205</v>
      </c>
      <c r="E4829" s="6">
        <v>-1.0449570088463526E-2</v>
      </c>
      <c r="F4829" s="6"/>
      <c r="G4829" s="6">
        <v>4822</v>
      </c>
      <c r="H4829" s="6">
        <f t="shared" ca="1" si="155"/>
        <v>-5.6127144884705947E-4</v>
      </c>
    </row>
    <row r="4830" spans="2:8" x14ac:dyDescent="0.3">
      <c r="B4830" s="4">
        <v>37721</v>
      </c>
      <c r="C4830" s="7">
        <v>16.079999999999998</v>
      </c>
      <c r="D4830" s="6">
        <f t="shared" si="154"/>
        <v>-0.99294300422629789</v>
      </c>
      <c r="E4830" s="6">
        <v>-1.0461538461538567E-2</v>
      </c>
      <c r="F4830" s="6"/>
      <c r="G4830" s="6">
        <v>4823</v>
      </c>
      <c r="H4830" s="6">
        <f t="shared" ca="1" si="155"/>
        <v>2.6172722084688533E-2</v>
      </c>
    </row>
    <row r="4831" spans="2:8" x14ac:dyDescent="0.3">
      <c r="B4831" s="4">
        <v>45805</v>
      </c>
      <c r="C4831" s="5">
        <v>2278.59</v>
      </c>
      <c r="D4831" s="6">
        <f t="shared" si="154"/>
        <v>4.6212902429998772</v>
      </c>
      <c r="E4831" s="6">
        <v>-1.0483209060549814E-2</v>
      </c>
      <c r="F4831" s="6"/>
      <c r="G4831" s="6">
        <v>4824</v>
      </c>
      <c r="H4831" s="6">
        <f t="shared" ca="1" si="155"/>
        <v>4.6381462011776745E-3</v>
      </c>
    </row>
    <row r="4832" spans="2:8" x14ac:dyDescent="0.3">
      <c r="B4832" s="4">
        <v>41436</v>
      </c>
      <c r="C4832" s="7">
        <v>405.35</v>
      </c>
      <c r="D4832" s="6">
        <f t="shared" si="154"/>
        <v>6.4212742585133658</v>
      </c>
      <c r="E4832" s="6">
        <v>-1.0496765531551214E-2</v>
      </c>
      <c r="F4832" s="6"/>
      <c r="G4832" s="6">
        <v>4825</v>
      </c>
      <c r="H4832" s="6">
        <f t="shared" ca="1" si="155"/>
        <v>-7.7347940510400105E-3</v>
      </c>
    </row>
    <row r="4833" spans="2:8" x14ac:dyDescent="0.3">
      <c r="B4833" s="4">
        <v>38778</v>
      </c>
      <c r="C4833" s="7">
        <v>54.62</v>
      </c>
      <c r="D4833" s="6">
        <f t="shared" si="154"/>
        <v>-0.96427566991294578</v>
      </c>
      <c r="E4833" s="6">
        <v>-1.0507246376811691E-2</v>
      </c>
      <c r="F4833" s="6"/>
      <c r="G4833" s="6">
        <v>4826</v>
      </c>
      <c r="H4833" s="6">
        <f t="shared" ca="1" si="155"/>
        <v>-7.4163473782997355E-3</v>
      </c>
    </row>
    <row r="4834" spans="2:8" x14ac:dyDescent="0.3">
      <c r="B4834" s="4">
        <v>43909</v>
      </c>
      <c r="C4834" s="5">
        <v>1528.93</v>
      </c>
      <c r="D4834" s="6">
        <f t="shared" si="154"/>
        <v>0.43004255717158485</v>
      </c>
      <c r="E4834" s="6">
        <v>-1.0510170401962249E-2</v>
      </c>
      <c r="F4834" s="6"/>
      <c r="G4834" s="6">
        <v>4827</v>
      </c>
      <c r="H4834" s="6">
        <f t="shared" ca="1" si="155"/>
        <v>2.189618258393888E-2</v>
      </c>
    </row>
    <row r="4835" spans="2:8" x14ac:dyDescent="0.3">
      <c r="B4835" s="4">
        <v>42664</v>
      </c>
      <c r="C4835" s="5">
        <v>1069.1500000000001</v>
      </c>
      <c r="D4835" s="6">
        <f t="shared" si="154"/>
        <v>-0.59084681678325957</v>
      </c>
      <c r="E4835" s="6">
        <v>-1.0513553784786722E-2</v>
      </c>
      <c r="F4835" s="6"/>
      <c r="G4835" s="6">
        <v>4828</v>
      </c>
      <c r="H4835" s="6">
        <f t="shared" ca="1" si="155"/>
        <v>-3.2257678110181327E-2</v>
      </c>
    </row>
    <row r="4836" spans="2:8" x14ac:dyDescent="0.3">
      <c r="B4836" s="4">
        <v>44741</v>
      </c>
      <c r="C4836" s="5">
        <v>2613.08</v>
      </c>
      <c r="D4836" s="6">
        <f t="shared" si="154"/>
        <v>0.14046044735406435</v>
      </c>
      <c r="E4836" s="6">
        <v>-1.0526794098936787E-2</v>
      </c>
      <c r="F4836" s="6"/>
      <c r="G4836" s="6">
        <v>4829</v>
      </c>
      <c r="H4836" s="6">
        <f t="shared" ca="1" si="155"/>
        <v>-3.4100578688787408E-2</v>
      </c>
    </row>
    <row r="4837" spans="2:8" x14ac:dyDescent="0.3">
      <c r="B4837" s="4">
        <v>45748</v>
      </c>
      <c r="C4837" s="5">
        <v>2291.25</v>
      </c>
      <c r="D4837" s="6">
        <f t="shared" si="154"/>
        <v>73.126496279521191</v>
      </c>
      <c r="E4837" s="6">
        <v>-1.0532725294087109E-2</v>
      </c>
      <c r="F4837" s="6"/>
      <c r="G4837" s="6">
        <v>4830</v>
      </c>
      <c r="H4837" s="6">
        <f t="shared" ca="1" si="155"/>
        <v>8.3588903868363294E-3</v>
      </c>
    </row>
    <row r="4838" spans="2:8" x14ac:dyDescent="0.3">
      <c r="B4838" s="4">
        <v>38453</v>
      </c>
      <c r="C4838" s="7">
        <v>30.91</v>
      </c>
      <c r="D4838" s="6">
        <f t="shared" si="154"/>
        <v>-0.70790020790020791</v>
      </c>
      <c r="E4838" s="6">
        <v>-1.0563380281690087E-2</v>
      </c>
      <c r="F4838" s="6"/>
      <c r="G4838" s="6">
        <v>4831</v>
      </c>
      <c r="H4838" s="6">
        <f t="shared" ca="1" si="155"/>
        <v>-3.6532650574454893E-2</v>
      </c>
    </row>
    <row r="4839" spans="2:8" x14ac:dyDescent="0.3">
      <c r="B4839" s="4">
        <v>39622</v>
      </c>
      <c r="C4839" s="7">
        <v>105.82</v>
      </c>
      <c r="D4839" s="6">
        <f t="shared" si="154"/>
        <v>0.61507936507936511</v>
      </c>
      <c r="E4839" s="6">
        <v>-1.0565684899485832E-2</v>
      </c>
      <c r="F4839" s="6"/>
      <c r="G4839" s="6">
        <v>4832</v>
      </c>
      <c r="H4839" s="6">
        <f t="shared" ca="1" si="155"/>
        <v>-1.7253113699413933E-2</v>
      </c>
    </row>
    <row r="4840" spans="2:8" x14ac:dyDescent="0.3">
      <c r="B4840" s="4">
        <v>39122</v>
      </c>
      <c r="C4840" s="7">
        <v>65.52</v>
      </c>
      <c r="D4840" s="6">
        <f t="shared" si="154"/>
        <v>-0.97640406950571712</v>
      </c>
      <c r="E4840" s="6">
        <v>-1.057082452431294E-2</v>
      </c>
      <c r="F4840" s="6"/>
      <c r="G4840" s="6">
        <v>4833</v>
      </c>
      <c r="H4840" s="6">
        <f t="shared" ca="1" si="155"/>
        <v>3.1182647279500032E-3</v>
      </c>
    </row>
    <row r="4841" spans="2:8" x14ac:dyDescent="0.3">
      <c r="B4841" s="4">
        <v>45002</v>
      </c>
      <c r="C4841" s="5">
        <v>2776.75</v>
      </c>
      <c r="D4841" s="6">
        <f t="shared" si="154"/>
        <v>-5.5784140369967414E-2</v>
      </c>
      <c r="E4841" s="6">
        <v>-1.0575713629058925E-2</v>
      </c>
      <c r="F4841" s="6"/>
      <c r="G4841" s="6">
        <v>4834</v>
      </c>
      <c r="H4841" s="6">
        <f t="shared" ca="1" si="155"/>
        <v>-3.1089214193460661E-2</v>
      </c>
    </row>
    <row r="4842" spans="2:8" x14ac:dyDescent="0.3">
      <c r="B4842" s="4">
        <v>44692</v>
      </c>
      <c r="C4842" s="5">
        <v>2940.8</v>
      </c>
      <c r="D4842" s="6">
        <f t="shared" si="154"/>
        <v>120.17016893283891</v>
      </c>
      <c r="E4842" s="6">
        <v>-1.0597853514113648E-2</v>
      </c>
      <c r="F4842" s="6"/>
      <c r="G4842" s="6">
        <v>4835</v>
      </c>
      <c r="H4842" s="6">
        <f t="shared" ca="1" si="155"/>
        <v>-1.6787297238647355E-2</v>
      </c>
    </row>
    <row r="4843" spans="2:8" x14ac:dyDescent="0.3">
      <c r="B4843" s="4">
        <v>38100</v>
      </c>
      <c r="C4843" s="7">
        <v>24.27</v>
      </c>
      <c r="D4843" s="6">
        <f t="shared" si="154"/>
        <v>-0.91021751997632427</v>
      </c>
      <c r="E4843" s="6">
        <v>-1.0599266204647434E-2</v>
      </c>
      <c r="F4843" s="6"/>
      <c r="G4843" s="6">
        <v>4836</v>
      </c>
      <c r="H4843" s="6">
        <f t="shared" ca="1" si="155"/>
        <v>7.2178990723003097E-3</v>
      </c>
    </row>
    <row r="4844" spans="2:8" x14ac:dyDescent="0.3">
      <c r="B4844" s="4">
        <v>40760</v>
      </c>
      <c r="C4844" s="7">
        <v>270.32</v>
      </c>
      <c r="D4844" s="6">
        <f t="shared" si="154"/>
        <v>-0.90721143449502106</v>
      </c>
      <c r="E4844" s="6">
        <v>-1.0614157089525048E-2</v>
      </c>
      <c r="F4844" s="6"/>
      <c r="G4844" s="6">
        <v>4837</v>
      </c>
      <c r="H4844" s="6">
        <f t="shared" ca="1" si="155"/>
        <v>-9.7326606523479818E-3</v>
      </c>
    </row>
    <row r="4845" spans="2:8" x14ac:dyDescent="0.3">
      <c r="B4845" s="4">
        <v>44404</v>
      </c>
      <c r="C4845" s="5">
        <v>2913.29</v>
      </c>
      <c r="D4845" s="6">
        <f t="shared" si="154"/>
        <v>1.1930158682364276</v>
      </c>
      <c r="E4845" s="6">
        <v>-1.063302316104053E-2</v>
      </c>
      <c r="F4845" s="6"/>
      <c r="G4845" s="6">
        <v>4838</v>
      </c>
      <c r="H4845" s="6">
        <f t="shared" ca="1" si="155"/>
        <v>-4.7180732377701262E-3</v>
      </c>
    </row>
    <row r="4846" spans="2:8" x14ac:dyDescent="0.3">
      <c r="B4846" s="4">
        <v>43487</v>
      </c>
      <c r="C4846" s="5">
        <v>1328.44</v>
      </c>
      <c r="D4846" s="6">
        <f t="shared" si="154"/>
        <v>1.8784018027387765</v>
      </c>
      <c r="E4846" s="6">
        <v>-1.0649865201006862E-2</v>
      </c>
      <c r="F4846" s="6"/>
      <c r="G4846" s="6">
        <v>4839</v>
      </c>
      <c r="H4846" s="6">
        <f t="shared" ca="1" si="155"/>
        <v>-3.8953435471953835E-3</v>
      </c>
    </row>
    <row r="4847" spans="2:8" x14ac:dyDescent="0.3">
      <c r="B4847" s="4">
        <v>41719</v>
      </c>
      <c r="C4847" s="7">
        <v>461.52</v>
      </c>
      <c r="D4847" s="6">
        <f t="shared" si="154"/>
        <v>0.12508227493235174</v>
      </c>
      <c r="E4847" s="6">
        <v>-1.0654033312611262E-2</v>
      </c>
      <c r="F4847" s="6"/>
      <c r="G4847" s="6">
        <v>4840</v>
      </c>
      <c r="H4847" s="6">
        <f t="shared" ca="1" si="155"/>
        <v>-1.7508823967894733E-2</v>
      </c>
    </row>
    <row r="4848" spans="2:8" x14ac:dyDescent="0.3">
      <c r="B4848" s="4">
        <v>41548</v>
      </c>
      <c r="C4848" s="7">
        <v>410.21</v>
      </c>
      <c r="D4848" s="6">
        <f t="shared" si="154"/>
        <v>3.3362579281183935</v>
      </c>
      <c r="E4848" s="6">
        <v>-1.0660106601066048E-2</v>
      </c>
      <c r="F4848" s="6"/>
      <c r="G4848" s="6">
        <v>4841</v>
      </c>
      <c r="H4848" s="6">
        <f t="shared" ca="1" si="155"/>
        <v>1.1964848613730821E-3</v>
      </c>
    </row>
    <row r="4849" spans="2:8" x14ac:dyDescent="0.3">
      <c r="B4849" s="4">
        <v>39514</v>
      </c>
      <c r="C4849" s="7">
        <v>94.6</v>
      </c>
      <c r="D4849" s="6">
        <f t="shared" si="154"/>
        <v>2.7779552715654954</v>
      </c>
      <c r="E4849" s="6">
        <v>-1.0667224430035665E-2</v>
      </c>
      <c r="F4849" s="6"/>
      <c r="G4849" s="6">
        <v>4842</v>
      </c>
      <c r="H4849" s="6">
        <f t="shared" ca="1" si="155"/>
        <v>-2.6119797662631427E-3</v>
      </c>
    </row>
    <row r="4850" spans="2:8" x14ac:dyDescent="0.3">
      <c r="B4850" s="4">
        <v>38364</v>
      </c>
      <c r="C4850" s="7">
        <v>25.04</v>
      </c>
      <c r="D4850" s="6">
        <f t="shared" si="154"/>
        <v>-0.1814318404707421</v>
      </c>
      <c r="E4850" s="6">
        <v>-1.0667720268668494E-2</v>
      </c>
      <c r="F4850" s="6"/>
      <c r="G4850" s="6">
        <v>4843</v>
      </c>
      <c r="H4850" s="6">
        <f t="shared" ca="1" si="155"/>
        <v>5.0865565976440847E-4</v>
      </c>
    </row>
    <row r="4851" spans="2:8" x14ac:dyDescent="0.3">
      <c r="B4851" s="4">
        <v>38523</v>
      </c>
      <c r="C4851" s="7">
        <v>30.59</v>
      </c>
      <c r="D4851" s="6">
        <f t="shared" si="154"/>
        <v>-0.86850363237759531</v>
      </c>
      <c r="E4851" s="6">
        <v>-1.0672703751617135E-2</v>
      </c>
      <c r="F4851" s="6"/>
      <c r="G4851" s="6">
        <v>4844</v>
      </c>
      <c r="H4851" s="6">
        <f t="shared" ca="1" si="155"/>
        <v>7.4151705677758294E-3</v>
      </c>
    </row>
    <row r="4852" spans="2:8" x14ac:dyDescent="0.3">
      <c r="B4852" s="4">
        <v>40514</v>
      </c>
      <c r="C4852" s="7">
        <v>232.63</v>
      </c>
      <c r="D4852" s="6">
        <f t="shared" si="154"/>
        <v>-0.92284015111562201</v>
      </c>
      <c r="E4852" s="6">
        <v>-1.0674491792123804E-2</v>
      </c>
      <c r="F4852" s="6"/>
      <c r="G4852" s="6">
        <v>4845</v>
      </c>
      <c r="H4852" s="6">
        <f t="shared" ca="1" si="155"/>
        <v>9.3678318359436304E-3</v>
      </c>
    </row>
    <row r="4853" spans="2:8" x14ac:dyDescent="0.3">
      <c r="B4853" s="4">
        <v>44676</v>
      </c>
      <c r="C4853" s="5">
        <v>3014.91</v>
      </c>
      <c r="D4853" s="6">
        <f t="shared" si="154"/>
        <v>7.6915071494464939</v>
      </c>
      <c r="E4853" s="6">
        <v>-1.06810261660531E-2</v>
      </c>
      <c r="F4853" s="6"/>
      <c r="G4853" s="6">
        <v>4846</v>
      </c>
      <c r="H4853" s="6">
        <f t="shared" ca="1" si="155"/>
        <v>-1.0627652239691419E-2</v>
      </c>
    </row>
    <row r="4854" spans="2:8" x14ac:dyDescent="0.3">
      <c r="B4854" s="4">
        <v>41201</v>
      </c>
      <c r="C4854" s="7">
        <v>346.88</v>
      </c>
      <c r="D4854" s="6">
        <f t="shared" si="154"/>
        <v>14.016450216450215</v>
      </c>
      <c r="E4854" s="6">
        <v>-1.0695034651912272E-2</v>
      </c>
      <c r="F4854" s="6"/>
      <c r="G4854" s="6">
        <v>4847</v>
      </c>
      <c r="H4854" s="6">
        <f t="shared" ca="1" si="155"/>
        <v>-1.4570857011034896E-3</v>
      </c>
    </row>
    <row r="4855" spans="2:8" x14ac:dyDescent="0.3">
      <c r="B4855" s="4">
        <v>38118</v>
      </c>
      <c r="C4855" s="7">
        <v>23.1</v>
      </c>
      <c r="D4855" s="6">
        <f t="shared" si="154"/>
        <v>-0.71894391045139305</v>
      </c>
      <c r="E4855" s="6">
        <v>-1.0706638115631691E-2</v>
      </c>
      <c r="F4855" s="6"/>
      <c r="G4855" s="6">
        <v>4848</v>
      </c>
      <c r="H4855" s="6">
        <f t="shared" ca="1" si="155"/>
        <v>-1.1809865884345223E-2</v>
      </c>
    </row>
    <row r="4856" spans="2:8" x14ac:dyDescent="0.3">
      <c r="B4856" s="4">
        <v>39770</v>
      </c>
      <c r="C4856" s="7">
        <v>82.19</v>
      </c>
      <c r="D4856" s="6">
        <f t="shared" si="154"/>
        <v>-0.43666895133653189</v>
      </c>
      <c r="E4856" s="6">
        <v>-1.0712566201251812E-2</v>
      </c>
      <c r="F4856" s="6"/>
      <c r="G4856" s="6">
        <v>4849</v>
      </c>
      <c r="H4856" s="6">
        <f t="shared" ca="1" si="155"/>
        <v>-6.6787205362685868E-3</v>
      </c>
    </row>
    <row r="4857" spans="2:8" x14ac:dyDescent="0.3">
      <c r="B4857" s="4">
        <v>40142</v>
      </c>
      <c r="C4857" s="7">
        <v>145.9</v>
      </c>
      <c r="D4857" s="6">
        <f t="shared" si="154"/>
        <v>-0.46796484702621888</v>
      </c>
      <c r="E4857" s="6">
        <v>-1.0713317059940223E-2</v>
      </c>
      <c r="F4857" s="6"/>
      <c r="G4857" s="6">
        <v>4850</v>
      </c>
      <c r="H4857" s="6">
        <f t="shared" ca="1" si="155"/>
        <v>4.0599365672804825E-4</v>
      </c>
    </row>
    <row r="4858" spans="2:8" x14ac:dyDescent="0.3">
      <c r="B4858" s="4">
        <v>40834</v>
      </c>
      <c r="C4858" s="7">
        <v>274.23</v>
      </c>
      <c r="D4858" s="6">
        <f t="shared" si="154"/>
        <v>-0.79084134817063401</v>
      </c>
      <c r="E4858" s="6">
        <v>-1.0714285714285609E-2</v>
      </c>
      <c r="F4858" s="6"/>
      <c r="G4858" s="6">
        <v>4851</v>
      </c>
      <c r="H4858" s="6">
        <f t="shared" ca="1" si="155"/>
        <v>-7.3979469206067339E-3</v>
      </c>
    </row>
    <row r="4859" spans="2:8" x14ac:dyDescent="0.3">
      <c r="B4859" s="4">
        <v>43479</v>
      </c>
      <c r="C4859" s="5">
        <v>1311.11</v>
      </c>
      <c r="D4859" s="6">
        <f t="shared" si="154"/>
        <v>23.105717962860815</v>
      </c>
      <c r="E4859" s="6">
        <v>-1.0721938852503575E-2</v>
      </c>
      <c r="F4859" s="6"/>
      <c r="G4859" s="6">
        <v>4852</v>
      </c>
      <c r="H4859" s="6">
        <f t="shared" ca="1" si="155"/>
        <v>2.9225094628348464E-2</v>
      </c>
    </row>
    <row r="4860" spans="2:8" x14ac:dyDescent="0.3">
      <c r="B4860" s="4">
        <v>38782</v>
      </c>
      <c r="C4860" s="7">
        <v>54.39</v>
      </c>
      <c r="D4860" s="6">
        <f t="shared" si="154"/>
        <v>-0.9418711525307798</v>
      </c>
      <c r="E4860" s="6">
        <v>-1.0731174972717285E-2</v>
      </c>
      <c r="F4860" s="6"/>
      <c r="G4860" s="6">
        <v>4853</v>
      </c>
      <c r="H4860" s="6">
        <f t="shared" ca="1" si="155"/>
        <v>6.9474253808186042E-3</v>
      </c>
    </row>
    <row r="4861" spans="2:8" x14ac:dyDescent="0.3">
      <c r="B4861" s="4">
        <v>42564</v>
      </c>
      <c r="C4861" s="7">
        <v>935.68</v>
      </c>
      <c r="D4861" s="6">
        <f t="shared" si="154"/>
        <v>52.436893203883486</v>
      </c>
      <c r="E4861" s="6">
        <v>-1.0731315352653321E-2</v>
      </c>
      <c r="F4861" s="6"/>
      <c r="G4861" s="6">
        <v>4854</v>
      </c>
      <c r="H4861" s="6">
        <f t="shared" ca="1" si="155"/>
        <v>-1.3501058697036945E-2</v>
      </c>
    </row>
    <row r="4862" spans="2:8" x14ac:dyDescent="0.3">
      <c r="B4862" s="4">
        <v>37449</v>
      </c>
      <c r="C4862" s="7">
        <v>17.510000000000002</v>
      </c>
      <c r="D4862" s="6">
        <f t="shared" si="154"/>
        <v>-0.23902651021295088</v>
      </c>
      <c r="E4862" s="6">
        <v>-1.0734463276836029E-2</v>
      </c>
      <c r="F4862" s="6"/>
      <c r="G4862" s="6">
        <v>4855</v>
      </c>
      <c r="H4862" s="6">
        <f t="shared" ca="1" si="155"/>
        <v>-7.224063274564126E-3</v>
      </c>
    </row>
    <row r="4863" spans="2:8" x14ac:dyDescent="0.3">
      <c r="B4863" s="4">
        <v>38286</v>
      </c>
      <c r="C4863" s="7">
        <v>23.01</v>
      </c>
      <c r="D4863" s="6">
        <f t="shared" si="154"/>
        <v>-0.98125641485150128</v>
      </c>
      <c r="E4863" s="6">
        <v>-1.0748065348237317E-2</v>
      </c>
      <c r="F4863" s="6"/>
      <c r="G4863" s="6">
        <v>4856</v>
      </c>
      <c r="H4863" s="6">
        <f t="shared" ca="1" si="155"/>
        <v>-1.619029419850938E-2</v>
      </c>
    </row>
    <row r="4864" spans="2:8" x14ac:dyDescent="0.3">
      <c r="B4864" s="4">
        <v>43237</v>
      </c>
      <c r="C4864" s="5">
        <v>1227.6199999999999</v>
      </c>
      <c r="D4864" s="6">
        <f t="shared" si="154"/>
        <v>3.9110693283193978</v>
      </c>
      <c r="E4864" s="6">
        <v>-1.0757713723941865E-2</v>
      </c>
      <c r="F4864" s="6"/>
      <c r="G4864" s="6">
        <v>4857</v>
      </c>
      <c r="H4864" s="6">
        <f t="shared" ca="1" si="155"/>
        <v>1.0603473373983503E-2</v>
      </c>
    </row>
    <row r="4865" spans="2:8" x14ac:dyDescent="0.3">
      <c r="B4865" s="4">
        <v>40549</v>
      </c>
      <c r="C4865" s="7">
        <v>249.97</v>
      </c>
      <c r="D4865" s="6">
        <f t="shared" si="154"/>
        <v>-0.82499999999999996</v>
      </c>
      <c r="E4865" s="6">
        <v>-1.0764177450631204E-2</v>
      </c>
      <c r="F4865" s="6"/>
      <c r="G4865" s="6">
        <v>4858</v>
      </c>
      <c r="H4865" s="6">
        <f t="shared" ca="1" si="155"/>
        <v>2.0305577480684772E-2</v>
      </c>
    </row>
    <row r="4866" spans="2:8" x14ac:dyDescent="0.3">
      <c r="B4866" s="4">
        <v>43678</v>
      </c>
      <c r="C4866" s="5">
        <v>1428.4</v>
      </c>
      <c r="D4866" s="6">
        <f t="shared" si="154"/>
        <v>3.5302886140183953</v>
      </c>
      <c r="E4866" s="6">
        <v>-1.077592177068613E-2</v>
      </c>
      <c r="F4866" s="6"/>
      <c r="G4866" s="6">
        <v>4859</v>
      </c>
      <c r="H4866" s="6">
        <f t="shared" ca="1" si="155"/>
        <v>1.9760027237597365E-2</v>
      </c>
    </row>
    <row r="4867" spans="2:8" x14ac:dyDescent="0.3">
      <c r="B4867" s="4">
        <v>41115</v>
      </c>
      <c r="C4867" s="7">
        <v>315.3</v>
      </c>
      <c r="D4867" s="6">
        <f t="shared" si="154"/>
        <v>0.91543648624020402</v>
      </c>
      <c r="E4867" s="6">
        <v>-1.0792495450837667E-2</v>
      </c>
      <c r="F4867" s="6"/>
      <c r="G4867" s="6">
        <v>4860</v>
      </c>
      <c r="H4867" s="6">
        <f t="shared" ca="1" si="155"/>
        <v>-6.6836163378544461E-4</v>
      </c>
    </row>
    <row r="4868" spans="2:8" x14ac:dyDescent="0.3">
      <c r="B4868" s="4">
        <v>40252</v>
      </c>
      <c r="C4868" s="7">
        <v>164.61</v>
      </c>
      <c r="D4868" s="6">
        <f t="shared" si="154"/>
        <v>2.2738663484486876</v>
      </c>
      <c r="E4868" s="6">
        <v>-1.0816657652785187E-2</v>
      </c>
      <c r="F4868" s="6"/>
      <c r="G4868" s="6">
        <v>4861</v>
      </c>
      <c r="H4868" s="6">
        <f t="shared" ca="1" si="155"/>
        <v>-3.3099323487478091E-3</v>
      </c>
    </row>
    <row r="4869" spans="2:8" x14ac:dyDescent="0.3">
      <c r="B4869" s="4">
        <v>38827</v>
      </c>
      <c r="C4869" s="7">
        <v>50.28</v>
      </c>
      <c r="D4869" s="6">
        <f t="shared" si="154"/>
        <v>-0.95922372614693407</v>
      </c>
      <c r="E4869" s="6">
        <v>-1.0820381664371378E-2</v>
      </c>
      <c r="F4869" s="6"/>
      <c r="G4869" s="6">
        <v>4862</v>
      </c>
      <c r="H4869" s="6">
        <f t="shared" ca="1" si="155"/>
        <v>1.7548514666600984E-2</v>
      </c>
    </row>
    <row r="4870" spans="2:8" x14ac:dyDescent="0.3">
      <c r="B4870" s="4">
        <v>43600</v>
      </c>
      <c r="C4870" s="5">
        <v>1233.07</v>
      </c>
      <c r="D4870" s="6">
        <f t="shared" si="154"/>
        <v>-0.4866486261448793</v>
      </c>
      <c r="E4870" s="6">
        <v>-1.0829716742742084E-2</v>
      </c>
      <c r="F4870" s="6"/>
      <c r="G4870" s="6">
        <v>4863</v>
      </c>
      <c r="H4870" s="6">
        <f t="shared" ca="1" si="155"/>
        <v>-3.1863297473394975E-3</v>
      </c>
    </row>
    <row r="4871" spans="2:8" x14ac:dyDescent="0.3">
      <c r="B4871" s="4">
        <v>46055</v>
      </c>
      <c r="C4871" s="5">
        <v>2402</v>
      </c>
      <c r="D4871" s="6">
        <f t="shared" si="154"/>
        <v>-7.911484611019956E-2</v>
      </c>
      <c r="E4871" s="6">
        <v>-1.0830622246015805E-2</v>
      </c>
      <c r="F4871" s="6"/>
      <c r="G4871" s="6">
        <v>4864</v>
      </c>
      <c r="H4871" s="6">
        <f t="shared" ca="1" si="155"/>
        <v>-9.6759430019189227E-3</v>
      </c>
    </row>
    <row r="4872" spans="2:8" x14ac:dyDescent="0.3">
      <c r="B4872" s="4">
        <v>44627</v>
      </c>
      <c r="C4872" s="5">
        <v>2608.36</v>
      </c>
      <c r="D4872" s="6">
        <f t="shared" ref="D4872:D4935" si="156">((C4872-C4873)/C4873)</f>
        <v>9.9668684830137906</v>
      </c>
      <c r="E4872" s="6">
        <v>-1.0845822462229199E-2</v>
      </c>
      <c r="F4872" s="6"/>
      <c r="G4872" s="6">
        <v>4865</v>
      </c>
      <c r="H4872" s="6">
        <f t="shared" ca="1" si="155"/>
        <v>-8.0780202070377827E-3</v>
      </c>
    </row>
    <row r="4873" spans="2:8" x14ac:dyDescent="0.3">
      <c r="B4873" s="4">
        <v>40527</v>
      </c>
      <c r="C4873" s="7">
        <v>237.84</v>
      </c>
      <c r="D4873" s="6">
        <f t="shared" si="156"/>
        <v>-0.90451068955133995</v>
      </c>
      <c r="E4873" s="6">
        <v>-1.0854647535870182E-2</v>
      </c>
      <c r="F4873" s="6"/>
      <c r="G4873" s="6">
        <v>4866</v>
      </c>
      <c r="H4873" s="6">
        <f t="shared" ref="H4873:H4936" ca="1" si="157">_xlfn.NORM.INV(RAND(),N$10,N$11)</f>
        <v>-4.1719626725911221E-3</v>
      </c>
    </row>
    <row r="4874" spans="2:8" x14ac:dyDescent="0.3">
      <c r="B4874" s="4">
        <v>44298</v>
      </c>
      <c r="C4874" s="5">
        <v>2490.75</v>
      </c>
      <c r="D4874" s="6">
        <f t="shared" si="156"/>
        <v>61.253186703324168</v>
      </c>
      <c r="E4874" s="6">
        <v>-1.087314793120296E-2</v>
      </c>
      <c r="F4874" s="6"/>
      <c r="G4874" s="6">
        <v>4867</v>
      </c>
      <c r="H4874" s="6">
        <f t="shared" ca="1" si="157"/>
        <v>4.1846930217115932E-3</v>
      </c>
    </row>
    <row r="4875" spans="2:8" x14ac:dyDescent="0.3">
      <c r="B4875" s="4">
        <v>38649</v>
      </c>
      <c r="C4875" s="7">
        <v>40.01</v>
      </c>
      <c r="D4875" s="6">
        <f t="shared" si="156"/>
        <v>-0.94764459565558756</v>
      </c>
      <c r="E4875" s="6">
        <v>-1.087762669962929E-2</v>
      </c>
      <c r="F4875" s="6"/>
      <c r="G4875" s="6">
        <v>4868</v>
      </c>
      <c r="H4875" s="6">
        <f t="shared" ca="1" si="157"/>
        <v>-1.3057888730736662E-2</v>
      </c>
    </row>
    <row r="4876" spans="2:8" x14ac:dyDescent="0.3">
      <c r="B4876" s="4">
        <v>42262</v>
      </c>
      <c r="C4876" s="7">
        <v>764.2</v>
      </c>
      <c r="D4876" s="6">
        <f t="shared" si="156"/>
        <v>9.659785186218441</v>
      </c>
      <c r="E4876" s="6">
        <v>-1.0885181398118025E-2</v>
      </c>
      <c r="F4876" s="6"/>
      <c r="G4876" s="6">
        <v>4869</v>
      </c>
      <c r="H4876" s="6">
        <f t="shared" ca="1" si="157"/>
        <v>-1.1158787479297718E-2</v>
      </c>
    </row>
    <row r="4877" spans="2:8" x14ac:dyDescent="0.3">
      <c r="B4877" s="4">
        <v>39293</v>
      </c>
      <c r="C4877" s="7">
        <v>71.69</v>
      </c>
      <c r="D4877" s="6">
        <f t="shared" si="156"/>
        <v>-0.97610062473747028</v>
      </c>
      <c r="E4877" s="6">
        <v>-1.0899558498896332E-2</v>
      </c>
      <c r="F4877" s="6"/>
      <c r="G4877" s="6">
        <v>4870</v>
      </c>
      <c r="H4877" s="6">
        <f t="shared" ca="1" si="157"/>
        <v>-4.3910853406799082E-3</v>
      </c>
    </row>
    <row r="4878" spans="2:8" x14ac:dyDescent="0.3">
      <c r="B4878" s="4">
        <v>45222</v>
      </c>
      <c r="C4878" s="5">
        <v>2999.66</v>
      </c>
      <c r="D4878" s="6">
        <f t="shared" si="156"/>
        <v>182.69014084507043</v>
      </c>
      <c r="E4878" s="6">
        <v>-1.0901105278429907E-2</v>
      </c>
      <c r="F4878" s="6"/>
      <c r="G4878" s="6">
        <v>4871</v>
      </c>
      <c r="H4878" s="6">
        <f t="shared" ca="1" si="157"/>
        <v>-1.5518936940799795E-2</v>
      </c>
    </row>
    <row r="4879" spans="2:8" x14ac:dyDescent="0.3">
      <c r="B4879" s="4">
        <v>37575</v>
      </c>
      <c r="C4879" s="7">
        <v>16.329999999999998</v>
      </c>
      <c r="D4879" s="6">
        <f t="shared" si="156"/>
        <v>-0.95357762174147886</v>
      </c>
      <c r="E4879" s="6">
        <v>-1.0902483343428422E-2</v>
      </c>
      <c r="F4879" s="6"/>
      <c r="G4879" s="6">
        <v>4872</v>
      </c>
      <c r="H4879" s="6">
        <f t="shared" ca="1" si="157"/>
        <v>5.7895493547921277E-3</v>
      </c>
    </row>
    <row r="4880" spans="2:8" x14ac:dyDescent="0.3">
      <c r="B4880" s="4">
        <v>41177</v>
      </c>
      <c r="C4880" s="7">
        <v>351.77</v>
      </c>
      <c r="D4880" s="6">
        <f t="shared" si="156"/>
        <v>4.3177626606198034</v>
      </c>
      <c r="E4880" s="6">
        <v>-1.0909602136932366E-2</v>
      </c>
      <c r="F4880" s="6"/>
      <c r="G4880" s="6">
        <v>4873</v>
      </c>
      <c r="H4880" s="6">
        <f t="shared" ca="1" si="157"/>
        <v>-1.5811825852431346E-2</v>
      </c>
    </row>
    <row r="4881" spans="2:8" x14ac:dyDescent="0.3">
      <c r="B4881" s="4">
        <v>39101</v>
      </c>
      <c r="C4881" s="7">
        <v>66.150000000000006</v>
      </c>
      <c r="D4881" s="6">
        <f t="shared" si="156"/>
        <v>-0.70667789996452646</v>
      </c>
      <c r="E4881" s="6">
        <v>-1.0915071770334775E-2</v>
      </c>
      <c r="F4881" s="6"/>
      <c r="G4881" s="6">
        <v>4874</v>
      </c>
      <c r="H4881" s="6">
        <f t="shared" ca="1" si="157"/>
        <v>-1.411938182895088E-2</v>
      </c>
    </row>
    <row r="4882" spans="2:8" x14ac:dyDescent="0.3">
      <c r="B4882" s="4">
        <v>40595</v>
      </c>
      <c r="C4882" s="7">
        <v>225.52</v>
      </c>
      <c r="D4882" s="6">
        <f t="shared" si="156"/>
        <v>3.2287642977686106</v>
      </c>
      <c r="E4882" s="6">
        <v>-1.0920573659049958E-2</v>
      </c>
      <c r="F4882" s="6"/>
      <c r="G4882" s="6">
        <v>4875</v>
      </c>
      <c r="H4882" s="6">
        <f t="shared" ca="1" si="157"/>
        <v>2.9426309837045639E-3</v>
      </c>
    </row>
    <row r="4883" spans="2:8" x14ac:dyDescent="0.3">
      <c r="B4883" s="4">
        <v>38770</v>
      </c>
      <c r="C4883" s="7">
        <v>53.33</v>
      </c>
      <c r="D4883" s="6">
        <f t="shared" si="156"/>
        <v>-0.97147686004781497</v>
      </c>
      <c r="E4883" s="6">
        <v>-1.0942136498516383E-2</v>
      </c>
      <c r="F4883" s="6"/>
      <c r="G4883" s="6">
        <v>4876</v>
      </c>
      <c r="H4883" s="6">
        <f t="shared" ca="1" si="157"/>
        <v>1.4215430542317324E-2</v>
      </c>
    </row>
    <row r="4884" spans="2:8" x14ac:dyDescent="0.3">
      <c r="B4884" s="4">
        <v>44078</v>
      </c>
      <c r="C4884" s="5">
        <v>1869.71</v>
      </c>
      <c r="D4884" s="6">
        <f t="shared" si="156"/>
        <v>1.6948832516575385</v>
      </c>
      <c r="E4884" s="6">
        <v>-1.0944773592890422E-2</v>
      </c>
      <c r="F4884" s="6"/>
      <c r="G4884" s="6">
        <v>4877</v>
      </c>
      <c r="H4884" s="6">
        <f t="shared" ca="1" si="157"/>
        <v>-3.1970803757372018E-2</v>
      </c>
    </row>
    <row r="4885" spans="2:8" x14ac:dyDescent="0.3">
      <c r="B4885" s="4">
        <v>41989</v>
      </c>
      <c r="C4885" s="7">
        <v>693.8</v>
      </c>
      <c r="D4885" s="6">
        <f t="shared" si="156"/>
        <v>-0.78656576377032295</v>
      </c>
      <c r="E4885" s="6">
        <v>-1.0948280777784205E-2</v>
      </c>
      <c r="F4885" s="6"/>
      <c r="G4885" s="6">
        <v>4878</v>
      </c>
      <c r="H4885" s="6">
        <f t="shared" ca="1" si="157"/>
        <v>-1.3230963341267001E-2</v>
      </c>
    </row>
    <row r="4886" spans="2:8" x14ac:dyDescent="0.3">
      <c r="B4886" s="4">
        <v>44825</v>
      </c>
      <c r="C4886" s="5">
        <v>3250.65</v>
      </c>
      <c r="D4886" s="6">
        <f t="shared" si="156"/>
        <v>13.342157511581734</v>
      </c>
      <c r="E4886" s="6">
        <v>-1.0950393106637715E-2</v>
      </c>
      <c r="F4886" s="6"/>
      <c r="G4886" s="6">
        <v>4879</v>
      </c>
      <c r="H4886" s="6">
        <f t="shared" ca="1" si="157"/>
        <v>-8.4480087256173075E-3</v>
      </c>
    </row>
    <row r="4887" spans="2:8" x14ac:dyDescent="0.3">
      <c r="B4887" s="4">
        <v>40477</v>
      </c>
      <c r="C4887" s="7">
        <v>226.65</v>
      </c>
      <c r="D4887" s="6">
        <f t="shared" si="156"/>
        <v>1.9928694044632247</v>
      </c>
      <c r="E4887" s="6">
        <v>-1.0953045906789976E-2</v>
      </c>
      <c r="F4887" s="6"/>
      <c r="G4887" s="6">
        <v>4880</v>
      </c>
      <c r="H4887" s="6">
        <f t="shared" ca="1" si="157"/>
        <v>2.4982671043369556E-2</v>
      </c>
    </row>
    <row r="4888" spans="2:8" x14ac:dyDescent="0.3">
      <c r="B4888" s="4">
        <v>39787</v>
      </c>
      <c r="C4888" s="7">
        <v>75.73</v>
      </c>
      <c r="D4888" s="6">
        <f t="shared" si="156"/>
        <v>-0.94168559658106499</v>
      </c>
      <c r="E4888" s="6">
        <v>-1.0970353924513378E-2</v>
      </c>
      <c r="F4888" s="6"/>
      <c r="G4888" s="6">
        <v>4881</v>
      </c>
      <c r="H4888" s="6">
        <f t="shared" ca="1" si="157"/>
        <v>6.7760631702341494E-3</v>
      </c>
    </row>
    <row r="4889" spans="2:8" x14ac:dyDescent="0.3">
      <c r="B4889" s="4">
        <v>43342</v>
      </c>
      <c r="C4889" s="5">
        <v>1298.6500000000001</v>
      </c>
      <c r="D4889" s="6">
        <f t="shared" si="156"/>
        <v>-0.30684323176036671</v>
      </c>
      <c r="E4889" s="6">
        <v>-1.0974365223218934E-2</v>
      </c>
      <c r="F4889" s="6"/>
      <c r="G4889" s="6">
        <v>4882</v>
      </c>
      <c r="H4889" s="6">
        <f t="shared" ca="1" si="157"/>
        <v>8.4610404861434289E-3</v>
      </c>
    </row>
    <row r="4890" spans="2:8" x14ac:dyDescent="0.3">
      <c r="B4890" s="4">
        <v>44082</v>
      </c>
      <c r="C4890" s="5">
        <v>1873.53</v>
      </c>
      <c r="D4890" s="6">
        <f t="shared" si="156"/>
        <v>-0.14715495265841233</v>
      </c>
      <c r="E4890" s="6">
        <v>-1.0974914481185842E-2</v>
      </c>
      <c r="F4890" s="6"/>
      <c r="G4890" s="6">
        <v>4883</v>
      </c>
      <c r="H4890" s="6">
        <f t="shared" ca="1" si="157"/>
        <v>1.3843842146426723E-2</v>
      </c>
    </row>
    <row r="4891" spans="2:8" x14ac:dyDescent="0.3">
      <c r="B4891" s="4">
        <v>46094</v>
      </c>
      <c r="C4891" s="5">
        <v>2196.8000000000002</v>
      </c>
      <c r="D4891" s="6">
        <f t="shared" si="156"/>
        <v>92.880341880341888</v>
      </c>
      <c r="E4891" s="6">
        <v>-1.0985053124437079E-2</v>
      </c>
      <c r="F4891" s="6"/>
      <c r="G4891" s="6">
        <v>4884</v>
      </c>
      <c r="H4891" s="6">
        <f t="shared" ca="1" si="157"/>
        <v>1.4852363761672658E-2</v>
      </c>
    </row>
    <row r="4892" spans="2:8" x14ac:dyDescent="0.3">
      <c r="B4892" s="4">
        <v>37908</v>
      </c>
      <c r="C4892" s="7">
        <v>23.4</v>
      </c>
      <c r="D4892" s="6">
        <f t="shared" si="156"/>
        <v>-0.93273929290025881</v>
      </c>
      <c r="E4892" s="6">
        <v>-1.0989010989011056E-2</v>
      </c>
      <c r="F4892" s="6"/>
      <c r="G4892" s="6">
        <v>4885</v>
      </c>
      <c r="H4892" s="6">
        <f t="shared" ca="1" si="157"/>
        <v>7.6998420401704392E-3</v>
      </c>
    </row>
    <row r="4893" spans="2:8" x14ac:dyDescent="0.3">
      <c r="B4893" s="4">
        <v>41178</v>
      </c>
      <c r="C4893" s="7">
        <v>347.9</v>
      </c>
      <c r="D4893" s="6">
        <f t="shared" si="156"/>
        <v>3.4488491048593346</v>
      </c>
      <c r="E4893" s="6">
        <v>-1.1001506666287644E-2</v>
      </c>
      <c r="F4893" s="6"/>
      <c r="G4893" s="6">
        <v>4886</v>
      </c>
      <c r="H4893" s="6">
        <f t="shared" ca="1" si="157"/>
        <v>4.9567437984193285E-3</v>
      </c>
    </row>
    <row r="4894" spans="2:8" x14ac:dyDescent="0.3">
      <c r="B4894" s="4">
        <v>39343</v>
      </c>
      <c r="C4894" s="7">
        <v>78.2</v>
      </c>
      <c r="D4894" s="6">
        <f t="shared" si="156"/>
        <v>-0.92675022012401875</v>
      </c>
      <c r="E4894" s="6">
        <v>-1.1002908814973952E-2</v>
      </c>
      <c r="F4894" s="6"/>
      <c r="G4894" s="6">
        <v>4887</v>
      </c>
      <c r="H4894" s="6">
        <f t="shared" ca="1" si="157"/>
        <v>2.4323126877889022E-2</v>
      </c>
    </row>
    <row r="4895" spans="2:8" x14ac:dyDescent="0.3">
      <c r="B4895" s="4">
        <v>42963</v>
      </c>
      <c r="C4895" s="5">
        <v>1067.58</v>
      </c>
      <c r="D4895" s="6">
        <f t="shared" si="156"/>
        <v>44.720770877944325</v>
      </c>
      <c r="E4895" s="6">
        <v>-1.1005502751375788E-2</v>
      </c>
      <c r="F4895" s="6"/>
      <c r="G4895" s="6">
        <v>4888</v>
      </c>
      <c r="H4895" s="6">
        <f t="shared" ca="1" si="157"/>
        <v>-1.0193605691624443E-2</v>
      </c>
    </row>
    <row r="4896" spans="2:8" x14ac:dyDescent="0.3">
      <c r="B4896" s="4">
        <v>38075</v>
      </c>
      <c r="C4896" s="7">
        <v>23.35</v>
      </c>
      <c r="D4896" s="6">
        <f t="shared" si="156"/>
        <v>-0.99152022254422378</v>
      </c>
      <c r="E4896" s="6">
        <v>-1.1012282930961372E-2</v>
      </c>
      <c r="F4896" s="6"/>
      <c r="G4896" s="6">
        <v>4889</v>
      </c>
      <c r="H4896" s="6">
        <f t="shared" ca="1" si="157"/>
        <v>-1.5382408008426886E-2</v>
      </c>
    </row>
    <row r="4897" spans="2:8" x14ac:dyDescent="0.3">
      <c r="B4897" s="4">
        <v>45370</v>
      </c>
      <c r="C4897" s="5">
        <v>2753.61</v>
      </c>
      <c r="D4897" s="6">
        <f t="shared" si="156"/>
        <v>1.9370586854960858</v>
      </c>
      <c r="E4897" s="6">
        <v>-1.1029623031835434E-2</v>
      </c>
      <c r="F4897" s="6"/>
      <c r="G4897" s="6">
        <v>4890</v>
      </c>
      <c r="H4897" s="6">
        <f t="shared" ca="1" si="157"/>
        <v>1.3989993357222704E-2</v>
      </c>
    </row>
    <row r="4898" spans="2:8" x14ac:dyDescent="0.3">
      <c r="B4898" s="4">
        <v>42789</v>
      </c>
      <c r="C4898" s="7">
        <v>937.54</v>
      </c>
      <c r="D4898" s="6">
        <f t="shared" si="156"/>
        <v>-0.43626283762657236</v>
      </c>
      <c r="E4898" s="6">
        <v>-1.1075482047171006E-2</v>
      </c>
      <c r="F4898" s="6"/>
      <c r="G4898" s="6">
        <v>4891</v>
      </c>
      <c r="H4898" s="6">
        <f t="shared" ca="1" si="157"/>
        <v>-3.5398522565687443E-2</v>
      </c>
    </row>
    <row r="4899" spans="2:8" x14ac:dyDescent="0.3">
      <c r="B4899" s="4">
        <v>44041</v>
      </c>
      <c r="C4899" s="5">
        <v>1663.08</v>
      </c>
      <c r="D4899" s="6">
        <f t="shared" si="156"/>
        <v>3.7751234638796372</v>
      </c>
      <c r="E4899" s="6">
        <v>-1.1083890302785303E-2</v>
      </c>
      <c r="F4899" s="6"/>
      <c r="G4899" s="6">
        <v>4892</v>
      </c>
      <c r="H4899" s="6">
        <f t="shared" ca="1" si="157"/>
        <v>3.1644023725363353E-2</v>
      </c>
    </row>
    <row r="4900" spans="2:8" x14ac:dyDescent="0.3">
      <c r="B4900" s="4">
        <v>41212</v>
      </c>
      <c r="C4900" s="7">
        <v>348.28</v>
      </c>
      <c r="D4900" s="6">
        <f t="shared" si="156"/>
        <v>-0.58728729203204255</v>
      </c>
      <c r="E4900" s="6">
        <v>-1.1101962009142863E-2</v>
      </c>
      <c r="F4900" s="6"/>
      <c r="G4900" s="6">
        <v>4893</v>
      </c>
      <c r="H4900" s="6">
        <f t="shared" ca="1" si="157"/>
        <v>-1.734530138525232E-2</v>
      </c>
    </row>
    <row r="4901" spans="2:8" x14ac:dyDescent="0.3">
      <c r="B4901" s="4">
        <v>42692</v>
      </c>
      <c r="C4901" s="7">
        <v>843.88</v>
      </c>
      <c r="D4901" s="6">
        <f t="shared" si="156"/>
        <v>12.222814164838608</v>
      </c>
      <c r="E4901" s="6">
        <v>-1.1155378486055755E-2</v>
      </c>
      <c r="F4901" s="6"/>
      <c r="G4901" s="6">
        <v>4894</v>
      </c>
      <c r="H4901" s="6">
        <f t="shared" ca="1" si="157"/>
        <v>-8.3501481787440234E-4</v>
      </c>
    </row>
    <row r="4902" spans="2:8" x14ac:dyDescent="0.3">
      <c r="B4902" s="4">
        <v>39891</v>
      </c>
      <c r="C4902" s="7">
        <v>63.82</v>
      </c>
      <c r="D4902" s="6">
        <f t="shared" si="156"/>
        <v>3.0113136392206159</v>
      </c>
      <c r="E4902" s="6">
        <v>-1.1155872327239013E-2</v>
      </c>
      <c r="F4902" s="6"/>
      <c r="G4902" s="6">
        <v>4895</v>
      </c>
      <c r="H4902" s="6">
        <f t="shared" ca="1" si="157"/>
        <v>-1.6985531925350263E-2</v>
      </c>
    </row>
    <row r="4903" spans="2:8" x14ac:dyDescent="0.3">
      <c r="B4903" s="4">
        <v>37678</v>
      </c>
      <c r="C4903" s="7">
        <v>15.91</v>
      </c>
      <c r="D4903" s="6">
        <f t="shared" si="156"/>
        <v>-0.9631730012499421</v>
      </c>
      <c r="E4903" s="6">
        <v>-1.1187072715972636E-2</v>
      </c>
      <c r="F4903" s="6"/>
      <c r="G4903" s="6">
        <v>4896</v>
      </c>
      <c r="H4903" s="6">
        <f t="shared" ca="1" si="157"/>
        <v>2.6840505767995751E-2</v>
      </c>
    </row>
    <row r="4904" spans="2:8" x14ac:dyDescent="0.3">
      <c r="B4904" s="4">
        <v>41669</v>
      </c>
      <c r="C4904" s="7">
        <v>432.02</v>
      </c>
      <c r="D4904" s="6">
        <f t="shared" si="156"/>
        <v>-0.45623662680931404</v>
      </c>
      <c r="E4904" s="6">
        <v>-1.1192236387356762E-2</v>
      </c>
      <c r="F4904" s="6"/>
      <c r="G4904" s="6">
        <v>4897</v>
      </c>
      <c r="H4904" s="6">
        <f t="shared" ca="1" si="157"/>
        <v>-3.2835898614011885E-2</v>
      </c>
    </row>
    <row r="4905" spans="2:8" x14ac:dyDescent="0.3">
      <c r="B4905" s="4">
        <v>42485</v>
      </c>
      <c r="C4905" s="7">
        <v>794.5</v>
      </c>
      <c r="D4905" s="6">
        <f t="shared" si="156"/>
        <v>2.3948639063367945</v>
      </c>
      <c r="E4905" s="6">
        <v>-1.1237912710166357E-2</v>
      </c>
      <c r="F4905" s="6"/>
      <c r="G4905" s="6">
        <v>4898</v>
      </c>
      <c r="H4905" s="6">
        <f t="shared" ca="1" si="157"/>
        <v>-2.2951652920527865E-2</v>
      </c>
    </row>
    <row r="4906" spans="2:8" x14ac:dyDescent="0.3">
      <c r="B4906" s="4">
        <v>40668</v>
      </c>
      <c r="C4906" s="7">
        <v>234.03</v>
      </c>
      <c r="D4906" s="6">
        <f t="shared" si="156"/>
        <v>-0.8017820390117476</v>
      </c>
      <c r="E4906" s="6">
        <v>-1.12383286154886E-2</v>
      </c>
      <c r="F4906" s="6"/>
      <c r="G4906" s="6">
        <v>4899</v>
      </c>
      <c r="H4906" s="6">
        <f t="shared" ca="1" si="157"/>
        <v>6.7106452381090753E-3</v>
      </c>
    </row>
    <row r="4907" spans="2:8" x14ac:dyDescent="0.3">
      <c r="B4907" s="4">
        <v>43276</v>
      </c>
      <c r="C4907" s="5">
        <v>1180.67</v>
      </c>
      <c r="D4907" s="6">
        <f t="shared" si="156"/>
        <v>-0.12581168230180872</v>
      </c>
      <c r="E4907" s="6">
        <v>-1.1238683851300862E-2</v>
      </c>
      <c r="F4907" s="6"/>
      <c r="G4907" s="6">
        <v>4900</v>
      </c>
      <c r="H4907" s="6">
        <f t="shared" ca="1" si="157"/>
        <v>-3.1692406819552165E-3</v>
      </c>
    </row>
    <row r="4908" spans="2:8" x14ac:dyDescent="0.3">
      <c r="B4908" s="4">
        <v>43307</v>
      </c>
      <c r="C4908" s="5">
        <v>1350.59</v>
      </c>
      <c r="D4908" s="6">
        <f t="shared" si="156"/>
        <v>79.873652694610769</v>
      </c>
      <c r="E4908" s="6">
        <v>-1.1244921117171293E-2</v>
      </c>
      <c r="F4908" s="6"/>
      <c r="G4908" s="6">
        <v>4901</v>
      </c>
      <c r="H4908" s="6">
        <f t="shared" ca="1" si="157"/>
        <v>9.9202804276689489E-3</v>
      </c>
    </row>
    <row r="4909" spans="2:8" x14ac:dyDescent="0.3">
      <c r="B4909" s="4">
        <v>37543</v>
      </c>
      <c r="C4909" s="7">
        <v>16.7</v>
      </c>
      <c r="D4909" s="6">
        <f t="shared" si="156"/>
        <v>-0.98410946390850096</v>
      </c>
      <c r="E4909" s="6">
        <v>-1.1249259917110791E-2</v>
      </c>
      <c r="F4909" s="6"/>
      <c r="G4909" s="6">
        <v>4902</v>
      </c>
      <c r="H4909" s="6">
        <f t="shared" ca="1" si="157"/>
        <v>1.9520954669116037E-2</v>
      </c>
    </row>
    <row r="4910" spans="2:8" x14ac:dyDescent="0.3">
      <c r="B4910" s="4">
        <v>43073</v>
      </c>
      <c r="C4910" s="5">
        <v>1050.94</v>
      </c>
      <c r="D4910" s="6">
        <f t="shared" si="156"/>
        <v>0.34685821937997424</v>
      </c>
      <c r="E4910" s="6">
        <v>-1.1252234452911878E-2</v>
      </c>
      <c r="F4910" s="6"/>
      <c r="G4910" s="6">
        <v>4903</v>
      </c>
      <c r="H4910" s="6">
        <f t="shared" ca="1" si="157"/>
        <v>-1.7465043892165528E-2</v>
      </c>
    </row>
    <row r="4911" spans="2:8" x14ac:dyDescent="0.3">
      <c r="B4911" s="4">
        <v>42247</v>
      </c>
      <c r="C4911" s="7">
        <v>780.29</v>
      </c>
      <c r="D4911" s="6">
        <f t="shared" si="156"/>
        <v>-0.73142717497556209</v>
      </c>
      <c r="E4911" s="6">
        <v>-1.1252328395656191E-2</v>
      </c>
      <c r="F4911" s="6"/>
      <c r="G4911" s="6">
        <v>4904</v>
      </c>
      <c r="H4911" s="6">
        <f t="shared" ca="1" si="157"/>
        <v>-1.4587472542336858E-2</v>
      </c>
    </row>
    <row r="4912" spans="2:8" x14ac:dyDescent="0.3">
      <c r="B4912" s="4">
        <v>44643</v>
      </c>
      <c r="C4912" s="5">
        <v>2905.32</v>
      </c>
      <c r="D4912" s="6">
        <f t="shared" si="156"/>
        <v>182.99746675110831</v>
      </c>
      <c r="E4912" s="6">
        <v>-1.1257827389055243E-2</v>
      </c>
      <c r="F4912" s="6"/>
      <c r="G4912" s="6">
        <v>4905</v>
      </c>
      <c r="H4912" s="6">
        <f t="shared" ca="1" si="157"/>
        <v>1.3156261702536398E-2</v>
      </c>
    </row>
    <row r="4913" spans="2:8" x14ac:dyDescent="0.3">
      <c r="B4913" s="4">
        <v>37680</v>
      </c>
      <c r="C4913" s="7">
        <v>15.79</v>
      </c>
      <c r="D4913" s="6">
        <f t="shared" si="156"/>
        <v>-0.99482145668258382</v>
      </c>
      <c r="E4913" s="6">
        <v>-1.1271133375078365E-2</v>
      </c>
      <c r="F4913" s="6"/>
      <c r="G4913" s="6">
        <v>4906</v>
      </c>
      <c r="H4913" s="6">
        <f t="shared" ca="1" si="157"/>
        <v>1.373099993316002E-2</v>
      </c>
    </row>
    <row r="4914" spans="2:8" x14ac:dyDescent="0.3">
      <c r="B4914" s="4">
        <v>44897</v>
      </c>
      <c r="C4914" s="5">
        <v>3049.12</v>
      </c>
      <c r="D4914" s="6">
        <f t="shared" si="156"/>
        <v>40.484625850340137</v>
      </c>
      <c r="E4914" s="6">
        <v>-1.1293957424731247E-2</v>
      </c>
      <c r="F4914" s="6"/>
      <c r="G4914" s="6">
        <v>4907</v>
      </c>
      <c r="H4914" s="6">
        <f t="shared" ca="1" si="157"/>
        <v>2.4703131298549525E-2</v>
      </c>
    </row>
    <row r="4915" spans="2:8" x14ac:dyDescent="0.3">
      <c r="B4915" s="4">
        <v>39794</v>
      </c>
      <c r="C4915" s="7">
        <v>73.5</v>
      </c>
      <c r="D4915" s="6">
        <f t="shared" si="156"/>
        <v>-0.84997856836690955</v>
      </c>
      <c r="E4915" s="6">
        <v>-1.1299435028248633E-2</v>
      </c>
      <c r="F4915" s="6"/>
      <c r="G4915" s="6">
        <v>4908</v>
      </c>
      <c r="H4915" s="6">
        <f t="shared" ca="1" si="157"/>
        <v>-3.0472867216574219E-3</v>
      </c>
    </row>
    <row r="4916" spans="2:8" x14ac:dyDescent="0.3">
      <c r="B4916" s="4">
        <v>41739</v>
      </c>
      <c r="C4916" s="7">
        <v>489.93</v>
      </c>
      <c r="D4916" s="6">
        <f t="shared" si="156"/>
        <v>-0.53906294101044305</v>
      </c>
      <c r="E4916" s="6">
        <v>-1.1320983169875315E-2</v>
      </c>
      <c r="F4916" s="6"/>
      <c r="G4916" s="6">
        <v>4909</v>
      </c>
      <c r="H4916" s="6">
        <f t="shared" ca="1" si="157"/>
        <v>-1.7955068175204241E-2</v>
      </c>
    </row>
    <row r="4917" spans="2:8" x14ac:dyDescent="0.3">
      <c r="B4917" s="4">
        <v>43070</v>
      </c>
      <c r="C4917" s="5">
        <v>1062.9000000000001</v>
      </c>
      <c r="D4917" s="6">
        <f t="shared" si="156"/>
        <v>2.2575316436299002</v>
      </c>
      <c r="E4917" s="6">
        <v>-1.132938944078565E-2</v>
      </c>
      <c r="F4917" s="6"/>
      <c r="G4917" s="6">
        <v>4910</v>
      </c>
      <c r="H4917" s="6">
        <f t="shared" ca="1" si="157"/>
        <v>2.2766541088111381E-2</v>
      </c>
    </row>
    <row r="4918" spans="2:8" x14ac:dyDescent="0.3">
      <c r="B4918" s="4">
        <v>41157</v>
      </c>
      <c r="C4918" s="7">
        <v>326.29000000000002</v>
      </c>
      <c r="D4918" s="6">
        <f t="shared" si="156"/>
        <v>0.35592586436170232</v>
      </c>
      <c r="E4918" s="6">
        <v>-1.1332303123958285E-2</v>
      </c>
      <c r="F4918" s="6"/>
      <c r="G4918" s="6">
        <v>4911</v>
      </c>
      <c r="H4918" s="6">
        <f t="shared" ca="1" si="157"/>
        <v>3.6101442996770219E-2</v>
      </c>
    </row>
    <row r="4919" spans="2:8" x14ac:dyDescent="0.3">
      <c r="B4919" s="4">
        <v>40665</v>
      </c>
      <c r="C4919" s="7">
        <v>240.64</v>
      </c>
      <c r="D4919" s="6">
        <f t="shared" si="156"/>
        <v>-0.15467032001967199</v>
      </c>
      <c r="E4919" s="6">
        <v>-1.1339359079704269E-2</v>
      </c>
      <c r="F4919" s="6"/>
      <c r="G4919" s="6">
        <v>4912</v>
      </c>
      <c r="H4919" s="6">
        <f t="shared" ca="1" si="157"/>
        <v>-1.3312174608473548E-3</v>
      </c>
    </row>
    <row r="4920" spans="2:8" x14ac:dyDescent="0.3">
      <c r="B4920" s="4">
        <v>40793</v>
      </c>
      <c r="C4920" s="7">
        <v>284.67</v>
      </c>
      <c r="D4920" s="6">
        <f t="shared" si="156"/>
        <v>-0.90383517496951249</v>
      </c>
      <c r="E4920" s="6">
        <v>-1.1390866469873147E-2</v>
      </c>
      <c r="F4920" s="6"/>
      <c r="G4920" s="6">
        <v>4913</v>
      </c>
      <c r="H4920" s="6">
        <f t="shared" ca="1" si="157"/>
        <v>-8.1005637834445521E-3</v>
      </c>
    </row>
    <row r="4921" spans="2:8" x14ac:dyDescent="0.3">
      <c r="B4921" s="4">
        <v>44431</v>
      </c>
      <c r="C4921" s="5">
        <v>2960.23</v>
      </c>
      <c r="D4921" s="6">
        <f t="shared" si="156"/>
        <v>120.97074577667902</v>
      </c>
      <c r="E4921" s="6">
        <v>-1.1404698134505337E-2</v>
      </c>
      <c r="F4921" s="6"/>
      <c r="G4921" s="6">
        <v>4914</v>
      </c>
      <c r="H4921" s="6">
        <f t="shared" ca="1" si="157"/>
        <v>9.8058870863729775E-3</v>
      </c>
    </row>
    <row r="4922" spans="2:8" x14ac:dyDescent="0.3">
      <c r="B4922" s="4">
        <v>38267</v>
      </c>
      <c r="C4922" s="7">
        <v>24.27</v>
      </c>
      <c r="D4922" s="6">
        <f t="shared" si="156"/>
        <v>-0.97988279469177653</v>
      </c>
      <c r="E4922" s="6">
        <v>-1.1405295315682327E-2</v>
      </c>
      <c r="F4922" s="6"/>
      <c r="G4922" s="6">
        <v>4915</v>
      </c>
      <c r="H4922" s="6">
        <f t="shared" ca="1" si="157"/>
        <v>4.3864526788200877E-3</v>
      </c>
    </row>
    <row r="4923" spans="2:8" x14ac:dyDescent="0.3">
      <c r="B4923" s="4">
        <v>43242</v>
      </c>
      <c r="C4923" s="5">
        <v>1206.43</v>
      </c>
      <c r="D4923" s="6">
        <f t="shared" si="156"/>
        <v>0.48826221580745849</v>
      </c>
      <c r="E4923" s="6">
        <v>-1.1406563690744333E-2</v>
      </c>
      <c r="F4923" s="6"/>
      <c r="G4923" s="6">
        <v>4916</v>
      </c>
      <c r="H4923" s="6">
        <f t="shared" ca="1" si="157"/>
        <v>-3.3922179449413399E-2</v>
      </c>
    </row>
    <row r="4924" spans="2:8" x14ac:dyDescent="0.3">
      <c r="B4924" s="4">
        <v>42384</v>
      </c>
      <c r="C4924" s="7">
        <v>810.63</v>
      </c>
      <c r="D4924" s="6">
        <f t="shared" si="156"/>
        <v>-0.61500137731888249</v>
      </c>
      <c r="E4924" s="6">
        <v>-1.141477335089454E-2</v>
      </c>
      <c r="F4924" s="6"/>
      <c r="G4924" s="6">
        <v>4917</v>
      </c>
      <c r="H4924" s="6">
        <f t="shared" ca="1" si="157"/>
        <v>-1.4178615683543184E-2</v>
      </c>
    </row>
    <row r="4925" spans="2:8" x14ac:dyDescent="0.3">
      <c r="B4925" s="4">
        <v>44145</v>
      </c>
      <c r="C4925" s="5">
        <v>2105.54</v>
      </c>
      <c r="D4925" s="6">
        <f t="shared" si="156"/>
        <v>-0.33452172126613883</v>
      </c>
      <c r="E4925" s="6">
        <v>-1.1437156674022314E-2</v>
      </c>
      <c r="F4925" s="6"/>
      <c r="G4925" s="6">
        <v>4918</v>
      </c>
      <c r="H4925" s="6">
        <f t="shared" ca="1" si="157"/>
        <v>-1.0876985710278777E-2</v>
      </c>
    </row>
    <row r="4926" spans="2:8" x14ac:dyDescent="0.3">
      <c r="B4926" s="4">
        <v>45183</v>
      </c>
      <c r="C4926" s="5">
        <v>3163.95</v>
      </c>
      <c r="D4926" s="6">
        <f t="shared" si="156"/>
        <v>1.4344256618987894</v>
      </c>
      <c r="E4926" s="6">
        <v>-1.1441711945059893E-2</v>
      </c>
      <c r="F4926" s="6"/>
      <c r="G4926" s="6">
        <v>4919</v>
      </c>
      <c r="H4926" s="6">
        <f t="shared" ca="1" si="157"/>
        <v>-1.0752073863661192E-2</v>
      </c>
    </row>
    <row r="4927" spans="2:8" x14ac:dyDescent="0.3">
      <c r="B4927" s="4">
        <v>43665</v>
      </c>
      <c r="C4927" s="5">
        <v>1299.67</v>
      </c>
      <c r="D4927" s="6">
        <f t="shared" si="156"/>
        <v>78.248170731707319</v>
      </c>
      <c r="E4927" s="6">
        <v>-1.1447304368991081E-2</v>
      </c>
      <c r="F4927" s="6"/>
      <c r="G4927" s="6">
        <v>4920</v>
      </c>
      <c r="H4927" s="6">
        <f t="shared" ca="1" si="157"/>
        <v>1.9325161337808542E-3</v>
      </c>
    </row>
    <row r="4928" spans="2:8" x14ac:dyDescent="0.3">
      <c r="B4928" s="4">
        <v>37606</v>
      </c>
      <c r="C4928" s="7">
        <v>16.399999999999999</v>
      </c>
      <c r="D4928" s="6">
        <f t="shared" si="156"/>
        <v>-0.98688367257167986</v>
      </c>
      <c r="E4928" s="6">
        <v>-1.1452682338758366E-2</v>
      </c>
      <c r="F4928" s="6"/>
      <c r="G4928" s="6">
        <v>4921</v>
      </c>
      <c r="H4928" s="6">
        <f t="shared" ca="1" si="157"/>
        <v>-3.1611356381440164E-2</v>
      </c>
    </row>
    <row r="4929" spans="2:8" x14ac:dyDescent="0.3">
      <c r="B4929" s="4">
        <v>43432</v>
      </c>
      <c r="C4929" s="5">
        <v>1250.3499999999999</v>
      </c>
      <c r="D4929" s="6">
        <f t="shared" si="156"/>
        <v>1.0858286762865956</v>
      </c>
      <c r="E4929" s="6">
        <v>-1.1455994434078626E-2</v>
      </c>
      <c r="F4929" s="6"/>
      <c r="G4929" s="6">
        <v>4922</v>
      </c>
      <c r="H4929" s="6">
        <f t="shared" ca="1" si="157"/>
        <v>2.896351552073376E-2</v>
      </c>
    </row>
    <row r="4930" spans="2:8" x14ac:dyDescent="0.3">
      <c r="B4930" s="4">
        <v>41925</v>
      </c>
      <c r="C4930" s="7">
        <v>599.45000000000005</v>
      </c>
      <c r="D4930" s="6">
        <f t="shared" si="156"/>
        <v>0.9759048058540446</v>
      </c>
      <c r="E4930" s="6">
        <v>-1.1461081794195138E-2</v>
      </c>
      <c r="F4930" s="6"/>
      <c r="G4930" s="6">
        <v>4923</v>
      </c>
      <c r="H4930" s="6">
        <f t="shared" ca="1" si="157"/>
        <v>1.2512043879289234E-2</v>
      </c>
    </row>
    <row r="4931" spans="2:8" x14ac:dyDescent="0.3">
      <c r="B4931" s="4">
        <v>41024</v>
      </c>
      <c r="C4931" s="7">
        <v>303.38</v>
      </c>
      <c r="D4931" s="6">
        <f t="shared" si="156"/>
        <v>2.9140756031479809</v>
      </c>
      <c r="E4931" s="6">
        <v>-1.1469534050179152E-2</v>
      </c>
      <c r="F4931" s="6"/>
      <c r="G4931" s="6">
        <v>4924</v>
      </c>
      <c r="H4931" s="6">
        <f t="shared" ca="1" si="157"/>
        <v>3.0594468783604237E-2</v>
      </c>
    </row>
    <row r="4932" spans="2:8" x14ac:dyDescent="0.3">
      <c r="B4932" s="4">
        <v>39316</v>
      </c>
      <c r="C4932" s="7">
        <v>77.510000000000005</v>
      </c>
      <c r="D4932" s="6">
        <f t="shared" si="156"/>
        <v>-0.96721262933477714</v>
      </c>
      <c r="E4932" s="6">
        <v>-1.1478127789822618E-2</v>
      </c>
      <c r="F4932" s="6"/>
      <c r="G4932" s="6">
        <v>4925</v>
      </c>
      <c r="H4932" s="6">
        <f t="shared" ca="1" si="157"/>
        <v>-2.1218311927223413E-2</v>
      </c>
    </row>
    <row r="4933" spans="2:8" x14ac:dyDescent="0.3">
      <c r="B4933" s="4">
        <v>45638</v>
      </c>
      <c r="C4933" s="5">
        <v>2364.02</v>
      </c>
      <c r="D4933" s="6">
        <f t="shared" si="156"/>
        <v>-0.23289689299910765</v>
      </c>
      <c r="E4933" s="6">
        <v>-1.1478295776237971E-2</v>
      </c>
      <c r="F4933" s="6"/>
      <c r="G4933" s="6">
        <v>4926</v>
      </c>
      <c r="H4933" s="6">
        <f t="shared" ca="1" si="157"/>
        <v>-8.1152071212843568E-3</v>
      </c>
    </row>
    <row r="4934" spans="2:8" x14ac:dyDescent="0.3">
      <c r="B4934" s="4">
        <v>44683</v>
      </c>
      <c r="C4934" s="5">
        <v>3081.75</v>
      </c>
      <c r="D4934" s="6">
        <f t="shared" si="156"/>
        <v>10.376808919078558</v>
      </c>
      <c r="E4934" s="6">
        <v>-1.1489717953406069E-2</v>
      </c>
      <c r="F4934" s="6"/>
      <c r="G4934" s="6">
        <v>4927</v>
      </c>
      <c r="H4934" s="6">
        <f t="shared" ca="1" si="157"/>
        <v>-1.983275478862662E-2</v>
      </c>
    </row>
    <row r="4935" spans="2:8" x14ac:dyDescent="0.3">
      <c r="B4935" s="4">
        <v>40707</v>
      </c>
      <c r="C4935" s="7">
        <v>270.88</v>
      </c>
      <c r="D4935" s="6">
        <f t="shared" si="156"/>
        <v>4.2557237097400078</v>
      </c>
      <c r="E4935" s="6">
        <v>-1.1495091778272371E-2</v>
      </c>
      <c r="F4935" s="6"/>
      <c r="G4935" s="6">
        <v>4928</v>
      </c>
      <c r="H4935" s="6">
        <f t="shared" ca="1" si="157"/>
        <v>-5.1393784154905066E-3</v>
      </c>
    </row>
    <row r="4936" spans="2:8" x14ac:dyDescent="0.3">
      <c r="B4936" s="4">
        <v>38811</v>
      </c>
      <c r="C4936" s="7">
        <v>51.54</v>
      </c>
      <c r="D4936" s="6">
        <f t="shared" ref="D4936:D4999" si="158">((C4936-C4937)/C4937)</f>
        <v>-0.98406362183104468</v>
      </c>
      <c r="E4936" s="6">
        <v>-1.1507479861910268E-2</v>
      </c>
      <c r="F4936" s="6"/>
      <c r="G4936" s="6">
        <v>4929</v>
      </c>
      <c r="H4936" s="6">
        <f t="shared" ca="1" si="157"/>
        <v>-1.2579343804383374E-2</v>
      </c>
    </row>
    <row r="4937" spans="2:8" x14ac:dyDescent="0.3">
      <c r="B4937" s="4">
        <v>45553</v>
      </c>
      <c r="C4937" s="5">
        <v>3234.11</v>
      </c>
      <c r="D4937" s="6">
        <f t="shared" si="158"/>
        <v>1.4646471574455113</v>
      </c>
      <c r="E4937" s="6">
        <v>-1.1516631568651972E-2</v>
      </c>
      <c r="F4937" s="6"/>
      <c r="G4937" s="6">
        <v>4930</v>
      </c>
      <c r="H4937" s="6">
        <f t="shared" ref="H4937:H5000" ca="1" si="159">_xlfn.NORM.INV(RAND(),N$10,N$11)</f>
        <v>-1.5225382466470536E-3</v>
      </c>
    </row>
    <row r="4938" spans="2:8" x14ac:dyDescent="0.3">
      <c r="B4938" s="4">
        <v>43481</v>
      </c>
      <c r="C4938" s="5">
        <v>1312.2</v>
      </c>
      <c r="D4938" s="6">
        <f t="shared" si="158"/>
        <v>2.2702803738317758</v>
      </c>
      <c r="E4938" s="6">
        <v>-1.151797753655392E-2</v>
      </c>
      <c r="F4938" s="6"/>
      <c r="G4938" s="6">
        <v>4931</v>
      </c>
      <c r="H4938" s="6">
        <f t="shared" ca="1" si="159"/>
        <v>-1.0389913007776118E-3</v>
      </c>
    </row>
    <row r="4939" spans="2:8" x14ac:dyDescent="0.3">
      <c r="B4939" s="4">
        <v>41438</v>
      </c>
      <c r="C4939" s="7">
        <v>401.25</v>
      </c>
      <c r="D4939" s="6">
        <f t="shared" si="158"/>
        <v>17.009425493716339</v>
      </c>
      <c r="E4939" s="6">
        <v>-1.1529081368708907E-2</v>
      </c>
      <c r="F4939" s="6"/>
      <c r="G4939" s="6">
        <v>4932</v>
      </c>
      <c r="H4939" s="6">
        <f t="shared" ca="1" si="159"/>
        <v>9.5975632459764544E-3</v>
      </c>
    </row>
    <row r="4940" spans="2:8" x14ac:dyDescent="0.3">
      <c r="B4940" s="4">
        <v>38142</v>
      </c>
      <c r="C4940" s="7">
        <v>22.28</v>
      </c>
      <c r="D4940" s="6">
        <f t="shared" si="158"/>
        <v>-3.6748811067877127E-2</v>
      </c>
      <c r="E4940" s="6">
        <v>-1.1535048802129459E-2</v>
      </c>
      <c r="F4940" s="6"/>
      <c r="G4940" s="6">
        <v>4933</v>
      </c>
      <c r="H4940" s="6">
        <f t="shared" ca="1" si="159"/>
        <v>3.6814404961473882E-3</v>
      </c>
    </row>
    <row r="4941" spans="2:8" x14ac:dyDescent="0.3">
      <c r="B4941" s="4">
        <v>37909</v>
      </c>
      <c r="C4941" s="7">
        <v>23.13</v>
      </c>
      <c r="D4941" s="6">
        <f t="shared" si="158"/>
        <v>-0.47010309278350515</v>
      </c>
      <c r="E4941" s="6">
        <v>-1.1538461538461522E-2</v>
      </c>
      <c r="F4941" s="6"/>
      <c r="G4941" s="6">
        <v>4934</v>
      </c>
      <c r="H4941" s="6">
        <f t="shared" ca="1" si="159"/>
        <v>1.1088919323918422E-2</v>
      </c>
    </row>
    <row r="4942" spans="2:8" x14ac:dyDescent="0.3">
      <c r="B4942" s="4">
        <v>38882</v>
      </c>
      <c r="C4942" s="7">
        <v>43.65</v>
      </c>
      <c r="D4942" s="6">
        <f t="shared" si="158"/>
        <v>-0.88854560310489228</v>
      </c>
      <c r="E4942" s="6">
        <v>-1.1548913043478217E-2</v>
      </c>
      <c r="F4942" s="6"/>
      <c r="G4942" s="6">
        <v>4935</v>
      </c>
      <c r="H4942" s="6">
        <f t="shared" ca="1" si="159"/>
        <v>5.923793006442306E-3</v>
      </c>
    </row>
    <row r="4943" spans="2:8" x14ac:dyDescent="0.3">
      <c r="B4943" s="4">
        <v>41276</v>
      </c>
      <c r="C4943" s="7">
        <v>391.64</v>
      </c>
      <c r="D4943" s="6">
        <f t="shared" si="158"/>
        <v>0.49304258320308025</v>
      </c>
      <c r="E4943" s="6">
        <v>-1.1559234768563022E-2</v>
      </c>
      <c r="F4943" s="6"/>
      <c r="G4943" s="6">
        <v>4936</v>
      </c>
      <c r="H4943" s="6">
        <f t="shared" ca="1" si="159"/>
        <v>-2.7462893886996017E-2</v>
      </c>
    </row>
    <row r="4944" spans="2:8" x14ac:dyDescent="0.3">
      <c r="B4944" s="4">
        <v>40946</v>
      </c>
      <c r="C4944" s="7">
        <v>262.31</v>
      </c>
      <c r="D4944" s="6">
        <f t="shared" si="158"/>
        <v>-0.74700770618134127</v>
      </c>
      <c r="E4944" s="6">
        <v>-1.1568317130152963E-2</v>
      </c>
      <c r="F4944" s="6"/>
      <c r="G4944" s="6">
        <v>4937</v>
      </c>
      <c r="H4944" s="6">
        <f t="shared" ca="1" si="159"/>
        <v>9.9398448280582849E-3</v>
      </c>
    </row>
    <row r="4945" spans="2:8" x14ac:dyDescent="0.3">
      <c r="B4945" s="4">
        <v>43164</v>
      </c>
      <c r="C4945" s="5">
        <v>1036.83</v>
      </c>
      <c r="D4945" s="6">
        <f t="shared" si="158"/>
        <v>1.1511858189516361E-2</v>
      </c>
      <c r="E4945" s="6">
        <v>-1.1573257576479879E-2</v>
      </c>
      <c r="F4945" s="6"/>
      <c r="G4945" s="6">
        <v>4938</v>
      </c>
      <c r="H4945" s="6">
        <f t="shared" ca="1" si="159"/>
        <v>6.860499851679293E-3</v>
      </c>
    </row>
    <row r="4946" spans="2:8" x14ac:dyDescent="0.3">
      <c r="B4946" s="4">
        <v>42607</v>
      </c>
      <c r="C4946" s="5">
        <v>1025.03</v>
      </c>
      <c r="D4946" s="6">
        <f t="shared" si="158"/>
        <v>-0.66974359965718788</v>
      </c>
      <c r="E4946" s="6">
        <v>-1.1581038339890449E-2</v>
      </c>
      <c r="F4946" s="6"/>
      <c r="G4946" s="6">
        <v>4939</v>
      </c>
      <c r="H4946" s="6">
        <f t="shared" ca="1" si="159"/>
        <v>-2.8720239145269732E-2</v>
      </c>
    </row>
    <row r="4947" spans="2:8" x14ac:dyDescent="0.3">
      <c r="B4947" s="4">
        <v>45082</v>
      </c>
      <c r="C4947" s="5">
        <v>3103.74</v>
      </c>
      <c r="D4947" s="6">
        <f t="shared" si="158"/>
        <v>-3.5857068747534394E-2</v>
      </c>
      <c r="E4947" s="6">
        <v>-1.1582396795016844E-2</v>
      </c>
      <c r="F4947" s="6"/>
      <c r="G4947" s="6">
        <v>4940</v>
      </c>
      <c r="H4947" s="6">
        <f t="shared" ca="1" si="159"/>
        <v>-1.5442425976100628E-2</v>
      </c>
    </row>
    <row r="4948" spans="2:8" x14ac:dyDescent="0.3">
      <c r="B4948" s="4">
        <v>44799</v>
      </c>
      <c r="C4948" s="5">
        <v>3219.17</v>
      </c>
      <c r="D4948" s="6">
        <f t="shared" si="158"/>
        <v>82.898097471983334</v>
      </c>
      <c r="E4948" s="6">
        <v>-1.1584635696521238E-2</v>
      </c>
      <c r="F4948" s="6"/>
      <c r="G4948" s="6">
        <v>4941</v>
      </c>
      <c r="H4948" s="6">
        <f t="shared" ca="1" si="159"/>
        <v>-5.812517809182717E-3</v>
      </c>
    </row>
    <row r="4949" spans="2:8" x14ac:dyDescent="0.3">
      <c r="B4949" s="4">
        <v>38596</v>
      </c>
      <c r="C4949" s="7">
        <v>38.369999999999997</v>
      </c>
      <c r="D4949" s="6">
        <f t="shared" si="158"/>
        <v>1.3714462299134733</v>
      </c>
      <c r="E4949" s="6">
        <v>-1.1591962905718775E-2</v>
      </c>
      <c r="F4949" s="6"/>
      <c r="G4949" s="6">
        <v>4942</v>
      </c>
      <c r="H4949" s="6">
        <f t="shared" ca="1" si="159"/>
        <v>-1.1339068375147091E-2</v>
      </c>
    </row>
    <row r="4950" spans="2:8" x14ac:dyDescent="0.3">
      <c r="B4950" s="4">
        <v>37734</v>
      </c>
      <c r="C4950" s="7">
        <v>16.18</v>
      </c>
      <c r="D4950" s="6">
        <f t="shared" si="158"/>
        <v>-0.90245960935616099</v>
      </c>
      <c r="E4950" s="6">
        <v>-1.1606597434331171E-2</v>
      </c>
      <c r="F4950" s="6"/>
      <c r="G4950" s="6">
        <v>4943</v>
      </c>
      <c r="H4950" s="6">
        <f t="shared" ca="1" si="159"/>
        <v>-2.0519523385273075E-2</v>
      </c>
    </row>
    <row r="4951" spans="2:8" x14ac:dyDescent="0.3">
      <c r="B4951" s="4">
        <v>40225</v>
      </c>
      <c r="C4951" s="7">
        <v>165.88</v>
      </c>
      <c r="D4951" s="6">
        <f t="shared" si="158"/>
        <v>1.4684523809523808</v>
      </c>
      <c r="E4951" s="6">
        <v>-1.1618900077459434E-2</v>
      </c>
      <c r="F4951" s="6"/>
      <c r="G4951" s="6">
        <v>4944</v>
      </c>
      <c r="H4951" s="6">
        <f t="shared" ca="1" si="159"/>
        <v>1.1290065075138174E-2</v>
      </c>
    </row>
    <row r="4952" spans="2:8" x14ac:dyDescent="0.3">
      <c r="B4952" s="4">
        <v>39903</v>
      </c>
      <c r="C4952" s="7">
        <v>67.2</v>
      </c>
      <c r="D4952" s="6">
        <f t="shared" si="158"/>
        <v>-0.93743191530962822</v>
      </c>
      <c r="E4952" s="6">
        <v>-1.161935578761571E-2</v>
      </c>
      <c r="F4952" s="6"/>
      <c r="G4952" s="6">
        <v>4945</v>
      </c>
      <c r="H4952" s="6">
        <f t="shared" ca="1" si="159"/>
        <v>2.2691390866228768E-2</v>
      </c>
    </row>
    <row r="4953" spans="2:8" x14ac:dyDescent="0.3">
      <c r="B4953" s="4">
        <v>42948</v>
      </c>
      <c r="C4953" s="5">
        <v>1074.03</v>
      </c>
      <c r="D4953" s="6">
        <f t="shared" si="158"/>
        <v>5.5509606587374201</v>
      </c>
      <c r="E4953" s="6">
        <v>-1.1622770691844834E-2</v>
      </c>
      <c r="F4953" s="6"/>
      <c r="G4953" s="6">
        <v>4946</v>
      </c>
      <c r="H4953" s="6">
        <f t="shared" ca="1" si="159"/>
        <v>-9.8157869076223904E-3</v>
      </c>
    </row>
    <row r="4954" spans="2:8" x14ac:dyDescent="0.3">
      <c r="B4954" s="4">
        <v>40226</v>
      </c>
      <c r="C4954" s="7">
        <v>163.95</v>
      </c>
      <c r="D4954" s="6">
        <f t="shared" si="158"/>
        <v>-0.9028219855255436</v>
      </c>
      <c r="E4954" s="6">
        <v>-1.1634916807330642E-2</v>
      </c>
      <c r="F4954" s="6"/>
      <c r="G4954" s="6">
        <v>4947</v>
      </c>
      <c r="H4954" s="6">
        <f t="shared" ca="1" si="159"/>
        <v>-1.3287902223435184E-2</v>
      </c>
    </row>
    <row r="4955" spans="2:8" x14ac:dyDescent="0.3">
      <c r="B4955" s="4">
        <v>43780</v>
      </c>
      <c r="C4955" s="5">
        <v>1687.11</v>
      </c>
      <c r="D4955" s="6">
        <f t="shared" si="158"/>
        <v>18.123894808433462</v>
      </c>
      <c r="E4955" s="6">
        <v>-1.1640441012782879E-2</v>
      </c>
      <c r="F4955" s="6"/>
      <c r="G4955" s="6">
        <v>4948</v>
      </c>
      <c r="H4955" s="6">
        <f t="shared" ca="1" si="159"/>
        <v>1.9499291304882843E-2</v>
      </c>
    </row>
    <row r="4956" spans="2:8" x14ac:dyDescent="0.3">
      <c r="B4956" s="4">
        <v>39644</v>
      </c>
      <c r="C4956" s="7">
        <v>88.22</v>
      </c>
      <c r="D4956" s="6">
        <f t="shared" si="158"/>
        <v>-0.97264606387959562</v>
      </c>
      <c r="E4956" s="6">
        <v>-1.1651355590410107E-2</v>
      </c>
      <c r="F4956" s="6"/>
      <c r="G4956" s="6">
        <v>4949</v>
      </c>
      <c r="H4956" s="6">
        <f t="shared" ca="1" si="159"/>
        <v>-4.2017242691495486E-3</v>
      </c>
    </row>
    <row r="4957" spans="2:8" x14ac:dyDescent="0.3">
      <c r="B4957" s="4">
        <v>45280</v>
      </c>
      <c r="C4957" s="5">
        <v>3225.13</v>
      </c>
      <c r="D4957" s="6">
        <f t="shared" si="158"/>
        <v>49.071883247942871</v>
      </c>
      <c r="E4957" s="6">
        <v>-1.1660404881128142E-2</v>
      </c>
      <c r="F4957" s="6"/>
      <c r="G4957" s="6">
        <v>4950</v>
      </c>
      <c r="H4957" s="6">
        <f t="shared" ca="1" si="159"/>
        <v>-3.3034828050023272E-2</v>
      </c>
    </row>
    <row r="4958" spans="2:8" x14ac:dyDescent="0.3">
      <c r="B4958" s="4">
        <v>39118</v>
      </c>
      <c r="C4958" s="7">
        <v>64.41</v>
      </c>
      <c r="D4958" s="6">
        <f t="shared" si="158"/>
        <v>1.8163533012680364</v>
      </c>
      <c r="E4958" s="6">
        <v>-1.1661807580175005E-2</v>
      </c>
      <c r="F4958" s="6"/>
      <c r="G4958" s="6">
        <v>4951</v>
      </c>
      <c r="H4958" s="6">
        <f t="shared" ca="1" si="159"/>
        <v>-1.4253717306879271E-2</v>
      </c>
    </row>
    <row r="4959" spans="2:8" x14ac:dyDescent="0.3">
      <c r="B4959" s="4">
        <v>37893</v>
      </c>
      <c r="C4959" s="7">
        <v>22.87</v>
      </c>
      <c r="D4959" s="6">
        <f t="shared" si="158"/>
        <v>-0.99247392859610961</v>
      </c>
      <c r="E4959" s="6">
        <v>-1.1668107173725132E-2</v>
      </c>
      <c r="F4959" s="6"/>
      <c r="G4959" s="6">
        <v>4952</v>
      </c>
      <c r="H4959" s="6">
        <f t="shared" ca="1" si="159"/>
        <v>1.5827210533125021E-2</v>
      </c>
    </row>
    <row r="4960" spans="2:8" x14ac:dyDescent="0.3">
      <c r="B4960" s="4">
        <v>45215</v>
      </c>
      <c r="C4960" s="5">
        <v>3038.77</v>
      </c>
      <c r="D4960" s="6">
        <f t="shared" si="158"/>
        <v>17.986379256482348</v>
      </c>
      <c r="E4960" s="6">
        <v>-1.1669620932463893E-2</v>
      </c>
      <c r="F4960" s="6"/>
      <c r="G4960" s="6">
        <v>4953</v>
      </c>
      <c r="H4960" s="6">
        <f t="shared" ca="1" si="159"/>
        <v>5.3304971123170298E-3</v>
      </c>
    </row>
    <row r="4961" spans="2:8" x14ac:dyDescent="0.3">
      <c r="B4961" s="4">
        <v>40197</v>
      </c>
      <c r="C4961" s="7">
        <v>160.05000000000001</v>
      </c>
      <c r="D4961" s="6">
        <f t="shared" si="158"/>
        <v>-0.27263224868205771</v>
      </c>
      <c r="E4961" s="6">
        <v>-1.167098925527965E-2</v>
      </c>
      <c r="F4961" s="6"/>
      <c r="G4961" s="6">
        <v>4954</v>
      </c>
      <c r="H4961" s="6">
        <f t="shared" ca="1" si="159"/>
        <v>-4.9369546489245039E-3</v>
      </c>
    </row>
    <row r="4962" spans="2:8" x14ac:dyDescent="0.3">
      <c r="B4962" s="4">
        <v>40606</v>
      </c>
      <c r="C4962" s="7">
        <v>220.04</v>
      </c>
      <c r="D4962" s="6">
        <f t="shared" si="158"/>
        <v>-0.80041904381819673</v>
      </c>
      <c r="E4962" s="6">
        <v>-1.1678045274883194E-2</v>
      </c>
      <c r="F4962" s="6"/>
      <c r="G4962" s="6">
        <v>4955</v>
      </c>
      <c r="H4962" s="6">
        <f t="shared" ca="1" si="159"/>
        <v>-8.4734173474204401E-3</v>
      </c>
    </row>
    <row r="4963" spans="2:8" x14ac:dyDescent="0.3">
      <c r="B4963" s="4">
        <v>43122</v>
      </c>
      <c r="C4963" s="5">
        <v>1102.51</v>
      </c>
      <c r="D4963" s="6">
        <f t="shared" si="158"/>
        <v>-0.17791232635652551</v>
      </c>
      <c r="E4963" s="6">
        <v>-1.1680441759148012E-2</v>
      </c>
      <c r="F4963" s="6"/>
      <c r="G4963" s="6">
        <v>4956</v>
      </c>
      <c r="H4963" s="6">
        <f t="shared" ca="1" si="159"/>
        <v>-1.8632543079342985E-2</v>
      </c>
    </row>
    <row r="4964" spans="2:8" x14ac:dyDescent="0.3">
      <c r="B4964" s="4">
        <v>43630</v>
      </c>
      <c r="C4964" s="5">
        <v>1341.11</v>
      </c>
      <c r="D4964" s="6">
        <f t="shared" si="158"/>
        <v>-0.57790094547468873</v>
      </c>
      <c r="E4964" s="6">
        <v>-1.1680521164957063E-2</v>
      </c>
      <c r="F4964" s="6"/>
      <c r="G4964" s="6">
        <v>4957</v>
      </c>
      <c r="H4964" s="6">
        <f t="shared" ca="1" si="159"/>
        <v>3.1452471585823309E-2</v>
      </c>
    </row>
    <row r="4965" spans="2:8" x14ac:dyDescent="0.3">
      <c r="B4965" s="4">
        <v>44456</v>
      </c>
      <c r="C4965" s="5">
        <v>3177.24</v>
      </c>
      <c r="D4965" s="6">
        <f t="shared" si="158"/>
        <v>1.0562397664981844</v>
      </c>
      <c r="E4965" s="6">
        <v>-1.1683463979096802E-2</v>
      </c>
      <c r="F4965" s="6"/>
      <c r="G4965" s="6">
        <v>4958</v>
      </c>
      <c r="H4965" s="6">
        <f t="shared" ca="1" si="159"/>
        <v>-9.4766842960863421E-3</v>
      </c>
    </row>
    <row r="4966" spans="2:8" x14ac:dyDescent="0.3">
      <c r="B4966" s="4">
        <v>43997</v>
      </c>
      <c r="C4966" s="5">
        <v>1545.17</v>
      </c>
      <c r="D4966" s="6">
        <f t="shared" si="158"/>
        <v>-0.45969298552346322</v>
      </c>
      <c r="E4966" s="6">
        <v>-1.1692091208545186E-2</v>
      </c>
      <c r="F4966" s="6"/>
      <c r="G4966" s="6">
        <v>4959</v>
      </c>
      <c r="H4966" s="6">
        <f t="shared" ca="1" si="159"/>
        <v>-3.7086058602255195E-3</v>
      </c>
    </row>
    <row r="4967" spans="2:8" x14ac:dyDescent="0.3">
      <c r="B4967" s="4">
        <v>45981</v>
      </c>
      <c r="C4967" s="5">
        <v>2859.8</v>
      </c>
      <c r="D4967" s="6">
        <f t="shared" si="158"/>
        <v>-0.10053059825188781</v>
      </c>
      <c r="E4967" s="6">
        <v>-1.1715105228599938E-2</v>
      </c>
      <c r="F4967" s="6"/>
      <c r="G4967" s="6">
        <v>4960</v>
      </c>
      <c r="H4967" s="6">
        <f t="shared" ca="1" si="159"/>
        <v>-7.7761184643740464E-3</v>
      </c>
    </row>
    <row r="4968" spans="2:8" x14ac:dyDescent="0.3">
      <c r="B4968" s="4">
        <v>45169</v>
      </c>
      <c r="C4968" s="5">
        <v>3179.43</v>
      </c>
      <c r="D4968" s="6">
        <f t="shared" si="158"/>
        <v>6.2136078010843754E-2</v>
      </c>
      <c r="E4968" s="6">
        <v>-1.1715447356641984E-2</v>
      </c>
      <c r="F4968" s="6"/>
      <c r="G4968" s="6">
        <v>4961</v>
      </c>
      <c r="H4968" s="6">
        <f t="shared" ca="1" si="159"/>
        <v>-1.5407313523953573E-4</v>
      </c>
    </row>
    <row r="4969" spans="2:8" x14ac:dyDescent="0.3">
      <c r="B4969" s="4">
        <v>44510</v>
      </c>
      <c r="C4969" s="5">
        <v>2993.43</v>
      </c>
      <c r="D4969" s="6">
        <f t="shared" si="158"/>
        <v>34.879539733908665</v>
      </c>
      <c r="E4969" s="6">
        <v>-1.1717047660552354E-2</v>
      </c>
      <c r="F4969" s="6"/>
      <c r="G4969" s="6">
        <v>4962</v>
      </c>
      <c r="H4969" s="6">
        <f t="shared" ca="1" si="159"/>
        <v>-2.9528509694554388E-2</v>
      </c>
    </row>
    <row r="4970" spans="2:8" x14ac:dyDescent="0.3">
      <c r="B4970" s="4">
        <v>39409</v>
      </c>
      <c r="C4970" s="7">
        <v>83.43</v>
      </c>
      <c r="D4970" s="6">
        <f t="shared" si="158"/>
        <v>-0.96710225390766713</v>
      </c>
      <c r="E4970" s="6">
        <v>-1.1727078891257936E-2</v>
      </c>
      <c r="F4970" s="6"/>
      <c r="G4970" s="6">
        <v>4963</v>
      </c>
      <c r="H4970" s="6">
        <f t="shared" ca="1" si="159"/>
        <v>-1.1437325478972796E-3</v>
      </c>
    </row>
    <row r="4971" spans="2:8" x14ac:dyDescent="0.3">
      <c r="B4971" s="4">
        <v>45902</v>
      </c>
      <c r="C4971" s="5">
        <v>2536.04</v>
      </c>
      <c r="D4971" s="6">
        <f t="shared" si="158"/>
        <v>-0.15126404776407121</v>
      </c>
      <c r="E4971" s="6">
        <v>-1.1752786220871272E-2</v>
      </c>
      <c r="F4971" s="6"/>
      <c r="G4971" s="6">
        <v>4964</v>
      </c>
      <c r="H4971" s="6">
        <f t="shared" ca="1" si="159"/>
        <v>-1.2021417471982564E-2</v>
      </c>
    </row>
    <row r="4972" spans="2:8" x14ac:dyDescent="0.3">
      <c r="B4972" s="4">
        <v>44859</v>
      </c>
      <c r="C4972" s="5">
        <v>2988.02</v>
      </c>
      <c r="D4972" s="6">
        <f t="shared" si="158"/>
        <v>1.330785191656656</v>
      </c>
      <c r="E4972" s="6">
        <v>-1.1773966305289657E-2</v>
      </c>
      <c r="F4972" s="6"/>
      <c r="G4972" s="6">
        <v>4965</v>
      </c>
      <c r="H4972" s="6">
        <f t="shared" ca="1" si="159"/>
        <v>-1.3528851325659704E-3</v>
      </c>
    </row>
    <row r="4973" spans="2:8" x14ac:dyDescent="0.3">
      <c r="B4973" s="4">
        <v>43606</v>
      </c>
      <c r="C4973" s="5">
        <v>1281.98</v>
      </c>
      <c r="D4973" s="6">
        <f t="shared" si="158"/>
        <v>4.4874582655594564</v>
      </c>
      <c r="E4973" s="6">
        <v>-1.1793907252096661E-2</v>
      </c>
      <c r="F4973" s="6"/>
      <c r="G4973" s="6">
        <v>4966</v>
      </c>
      <c r="H4973" s="6">
        <f t="shared" ca="1" si="159"/>
        <v>2.2873206861979745E-2</v>
      </c>
    </row>
    <row r="4974" spans="2:8" x14ac:dyDescent="0.3">
      <c r="B4974" s="4">
        <v>40486</v>
      </c>
      <c r="C4974" s="7">
        <v>233.62</v>
      </c>
      <c r="D4974" s="6">
        <f t="shared" si="158"/>
        <v>-0.90065191598661298</v>
      </c>
      <c r="E4974" s="6">
        <v>-1.1801531238103262E-2</v>
      </c>
      <c r="F4974" s="6"/>
      <c r="G4974" s="6">
        <v>4967</v>
      </c>
      <c r="H4974" s="6">
        <f t="shared" ca="1" si="159"/>
        <v>1.9870563361474993E-2</v>
      </c>
    </row>
    <row r="4975" spans="2:8" x14ac:dyDescent="0.3">
      <c r="B4975" s="4">
        <v>44242</v>
      </c>
      <c r="C4975" s="5">
        <v>2351.5300000000002</v>
      </c>
      <c r="D4975" s="6">
        <f t="shared" si="158"/>
        <v>7.3125243027325126</v>
      </c>
      <c r="E4975" s="6">
        <v>-1.1804405745455028E-2</v>
      </c>
      <c r="F4975" s="6"/>
      <c r="G4975" s="6">
        <v>4968</v>
      </c>
      <c r="H4975" s="6">
        <f t="shared" ca="1" si="159"/>
        <v>9.1465686058225613E-3</v>
      </c>
    </row>
    <row r="4976" spans="2:8" x14ac:dyDescent="0.3">
      <c r="B4976" s="4">
        <v>40731</v>
      </c>
      <c r="C4976" s="7">
        <v>282.89</v>
      </c>
      <c r="D4976" s="6">
        <f t="shared" si="158"/>
        <v>-0.27927950880232355</v>
      </c>
      <c r="E4976" s="6">
        <v>-1.1807035316309762E-2</v>
      </c>
      <c r="F4976" s="6"/>
      <c r="G4976" s="6">
        <v>4969</v>
      </c>
      <c r="H4976" s="6">
        <f t="shared" ca="1" si="159"/>
        <v>5.8929305785060488E-3</v>
      </c>
    </row>
    <row r="4977" spans="2:8" x14ac:dyDescent="0.3">
      <c r="B4977" s="4">
        <v>41500</v>
      </c>
      <c r="C4977" s="7">
        <v>392.51</v>
      </c>
      <c r="D4977" s="6">
        <f t="shared" si="158"/>
        <v>-0.87730880197051109</v>
      </c>
      <c r="E4977" s="6">
        <v>-1.1832531910072729E-2</v>
      </c>
      <c r="F4977" s="6"/>
      <c r="G4977" s="6">
        <v>4970</v>
      </c>
      <c r="H4977" s="6">
        <f t="shared" ca="1" si="159"/>
        <v>-3.4247210240499183E-2</v>
      </c>
    </row>
    <row r="4978" spans="2:8" x14ac:dyDescent="0.3">
      <c r="B4978" s="4">
        <v>44837</v>
      </c>
      <c r="C4978" s="5">
        <v>3199.17</v>
      </c>
      <c r="D4978" s="6">
        <f t="shared" si="158"/>
        <v>105.46156405990016</v>
      </c>
      <c r="E4978" s="6">
        <v>-1.1833277734534251E-2</v>
      </c>
      <c r="F4978" s="6"/>
      <c r="G4978" s="6">
        <v>4971</v>
      </c>
      <c r="H4978" s="6">
        <f t="shared" ca="1" si="159"/>
        <v>-9.2398431104290073E-3</v>
      </c>
    </row>
    <row r="4979" spans="2:8" x14ac:dyDescent="0.3">
      <c r="B4979" s="4">
        <v>38484</v>
      </c>
      <c r="C4979" s="7">
        <v>30.05</v>
      </c>
      <c r="D4979" s="6">
        <f t="shared" si="158"/>
        <v>-0.199733688415446</v>
      </c>
      <c r="E4979" s="6">
        <v>-1.1838211114764862E-2</v>
      </c>
      <c r="F4979" s="6"/>
      <c r="G4979" s="6">
        <v>4972</v>
      </c>
      <c r="H4979" s="6">
        <f t="shared" ca="1" si="159"/>
        <v>1.0583825224830801E-2</v>
      </c>
    </row>
    <row r="4980" spans="2:8" x14ac:dyDescent="0.3">
      <c r="B4980" s="4">
        <v>38589</v>
      </c>
      <c r="C4980" s="7">
        <v>37.549999999999997</v>
      </c>
      <c r="D4980" s="6">
        <f t="shared" si="158"/>
        <v>-0.95416539517851695</v>
      </c>
      <c r="E4980" s="6">
        <v>-1.184210526315797E-2</v>
      </c>
      <c r="F4980" s="6"/>
      <c r="G4980" s="6">
        <v>4973</v>
      </c>
      <c r="H4980" s="6">
        <f t="shared" ca="1" si="159"/>
        <v>-3.5986908172262785E-2</v>
      </c>
    </row>
    <row r="4981" spans="2:8" x14ac:dyDescent="0.3">
      <c r="B4981" s="4">
        <v>42408</v>
      </c>
      <c r="C4981" s="7">
        <v>819.25</v>
      </c>
      <c r="D4981" s="6">
        <f t="shared" si="158"/>
        <v>10.553377520801016</v>
      </c>
      <c r="E4981" s="6">
        <v>-1.1844596958037379E-2</v>
      </c>
      <c r="F4981" s="6"/>
      <c r="G4981" s="6">
        <v>4974</v>
      </c>
      <c r="H4981" s="6">
        <f t="shared" ca="1" si="159"/>
        <v>1.8003953181137365E-2</v>
      </c>
    </row>
    <row r="4982" spans="2:8" x14ac:dyDescent="0.3">
      <c r="B4982" s="4">
        <v>39247</v>
      </c>
      <c r="C4982" s="7">
        <v>70.91</v>
      </c>
      <c r="D4982" s="6">
        <f t="shared" si="158"/>
        <v>-0.68863616404672001</v>
      </c>
      <c r="E4982" s="6">
        <v>-1.184503901895218E-2</v>
      </c>
      <c r="F4982" s="6"/>
      <c r="G4982" s="6">
        <v>4975</v>
      </c>
      <c r="H4982" s="6">
        <f t="shared" ca="1" si="159"/>
        <v>2.4883537539566729E-2</v>
      </c>
    </row>
    <row r="4983" spans="2:8" x14ac:dyDescent="0.3">
      <c r="B4983" s="4">
        <v>40471</v>
      </c>
      <c r="C4983" s="7">
        <v>227.74</v>
      </c>
      <c r="D4983" s="6">
        <f t="shared" si="158"/>
        <v>-0.93074906799812696</v>
      </c>
      <c r="E4983" s="6">
        <v>-1.1845359482795982E-2</v>
      </c>
      <c r="F4983" s="6"/>
      <c r="G4983" s="6">
        <v>4976</v>
      </c>
      <c r="H4983" s="6">
        <f t="shared" ca="1" si="159"/>
        <v>7.3951685246314959E-3</v>
      </c>
    </row>
    <row r="4984" spans="2:8" x14ac:dyDescent="0.3">
      <c r="B4984" s="4">
        <v>44827</v>
      </c>
      <c r="C4984" s="5">
        <v>3288.62</v>
      </c>
      <c r="D4984" s="6">
        <f t="shared" si="158"/>
        <v>5.1916255601159769</v>
      </c>
      <c r="E4984" s="6">
        <v>-1.1859655237688961E-2</v>
      </c>
      <c r="F4984" s="6"/>
      <c r="G4984" s="6">
        <v>4977</v>
      </c>
      <c r="H4984" s="6">
        <f t="shared" ca="1" si="159"/>
        <v>-4.5195242039811146E-3</v>
      </c>
    </row>
    <row r="4985" spans="2:8" x14ac:dyDescent="0.3">
      <c r="B4985" s="4">
        <v>41835</v>
      </c>
      <c r="C4985" s="7">
        <v>531.14</v>
      </c>
      <c r="D4985" s="6">
        <f t="shared" si="158"/>
        <v>21.03900414937759</v>
      </c>
      <c r="E4985" s="6">
        <v>-1.1869325792528642E-2</v>
      </c>
      <c r="F4985" s="6"/>
      <c r="G4985" s="6">
        <v>4978</v>
      </c>
      <c r="H4985" s="6">
        <f t="shared" ca="1" si="159"/>
        <v>2.2604436423449021E-2</v>
      </c>
    </row>
    <row r="4986" spans="2:8" x14ac:dyDescent="0.3">
      <c r="B4986" s="4">
        <v>38251</v>
      </c>
      <c r="C4986" s="7">
        <v>24.1</v>
      </c>
      <c r="D4986" s="6">
        <f t="shared" si="158"/>
        <v>-0.97778945137180096</v>
      </c>
      <c r="E4986" s="6">
        <v>-1.1890118901188977E-2</v>
      </c>
      <c r="F4986" s="6"/>
      <c r="G4986" s="6">
        <v>4979</v>
      </c>
      <c r="H4986" s="6">
        <f t="shared" ca="1" si="159"/>
        <v>1.8778125468539224E-3</v>
      </c>
    </row>
    <row r="4987" spans="2:8" x14ac:dyDescent="0.3">
      <c r="B4987" s="4">
        <v>43005</v>
      </c>
      <c r="C4987" s="5">
        <v>1085.07</v>
      </c>
      <c r="D4987" s="6">
        <f t="shared" si="158"/>
        <v>-0.59708359326263261</v>
      </c>
      <c r="E4987" s="6">
        <v>-1.1919938806731391E-2</v>
      </c>
      <c r="F4987" s="6"/>
      <c r="G4987" s="6">
        <v>4980</v>
      </c>
      <c r="H4987" s="6">
        <f t="shared" ca="1" si="159"/>
        <v>3.5504409518049625E-2</v>
      </c>
    </row>
    <row r="4988" spans="2:8" x14ac:dyDescent="0.3">
      <c r="B4988" s="4">
        <v>45026</v>
      </c>
      <c r="C4988" s="5">
        <v>2693.04</v>
      </c>
      <c r="D4988" s="6">
        <f t="shared" si="158"/>
        <v>0.80671823530595688</v>
      </c>
      <c r="E4988" s="6">
        <v>-1.1924242535424174E-2</v>
      </c>
      <c r="F4988" s="6"/>
      <c r="G4988" s="6">
        <v>4981</v>
      </c>
      <c r="H4988" s="6">
        <f t="shared" ca="1" si="159"/>
        <v>-6.2829418609146185E-4</v>
      </c>
    </row>
    <row r="4989" spans="2:8" x14ac:dyDescent="0.3">
      <c r="B4989" s="4">
        <v>43699</v>
      </c>
      <c r="C4989" s="5">
        <v>1490.57</v>
      </c>
      <c r="D4989" s="6">
        <f t="shared" si="158"/>
        <v>24.013760698103706</v>
      </c>
      <c r="E4989" s="6">
        <v>-1.1925279736967711E-2</v>
      </c>
      <c r="F4989" s="6"/>
      <c r="G4989" s="6">
        <v>4982</v>
      </c>
      <c r="H4989" s="6">
        <f t="shared" ca="1" si="159"/>
        <v>-1.6328808619653995E-2</v>
      </c>
    </row>
    <row r="4990" spans="2:8" x14ac:dyDescent="0.3">
      <c r="B4990" s="4">
        <v>39091</v>
      </c>
      <c r="C4990" s="7">
        <v>59.59</v>
      </c>
      <c r="D4990" s="6">
        <f t="shared" si="158"/>
        <v>-0.9788723156069733</v>
      </c>
      <c r="E4990" s="6">
        <v>-1.1938318686784926E-2</v>
      </c>
      <c r="F4990" s="6"/>
      <c r="G4990" s="6">
        <v>4983</v>
      </c>
      <c r="H4990" s="6">
        <f t="shared" ca="1" si="159"/>
        <v>1.0724537172695999E-2</v>
      </c>
    </row>
    <row r="4991" spans="2:8" x14ac:dyDescent="0.3">
      <c r="B4991" s="4">
        <v>45387</v>
      </c>
      <c r="C4991" s="5">
        <v>2820.47</v>
      </c>
      <c r="D4991" s="6">
        <f t="shared" si="158"/>
        <v>0.99629826237746399</v>
      </c>
      <c r="E4991" s="6">
        <v>-1.1942295835435284E-2</v>
      </c>
      <c r="F4991" s="6"/>
      <c r="G4991" s="6">
        <v>4984</v>
      </c>
      <c r="H4991" s="6">
        <f t="shared" ca="1" si="159"/>
        <v>-1.3078977892841469E-2</v>
      </c>
    </row>
    <row r="4992" spans="2:8" x14ac:dyDescent="0.3">
      <c r="B4992" s="4">
        <v>43563</v>
      </c>
      <c r="C4992" s="5">
        <v>1412.85</v>
      </c>
      <c r="D4992" s="6">
        <f t="shared" si="158"/>
        <v>57.967028380634382</v>
      </c>
      <c r="E4992" s="6">
        <v>-1.1951550414702816E-2</v>
      </c>
      <c r="F4992" s="6"/>
      <c r="G4992" s="6">
        <v>4985</v>
      </c>
      <c r="H4992" s="6">
        <f t="shared" ca="1" si="159"/>
        <v>-8.6473341087373486E-3</v>
      </c>
    </row>
    <row r="4993" spans="2:8" x14ac:dyDescent="0.3">
      <c r="B4993" s="4">
        <v>38041</v>
      </c>
      <c r="C4993" s="7">
        <v>23.96</v>
      </c>
      <c r="D4993" s="6">
        <f t="shared" si="158"/>
        <v>-0.98245909440316259</v>
      </c>
      <c r="E4993" s="6">
        <v>-1.1958762886597902E-2</v>
      </c>
      <c r="F4993" s="6"/>
      <c r="G4993" s="6">
        <v>4986</v>
      </c>
      <c r="H4993" s="6">
        <f t="shared" ca="1" si="159"/>
        <v>-4.8286491329807224E-2</v>
      </c>
    </row>
    <row r="4994" spans="2:8" x14ac:dyDescent="0.3">
      <c r="B4994" s="4">
        <v>43306</v>
      </c>
      <c r="C4994" s="5">
        <v>1365.95</v>
      </c>
      <c r="D4994" s="6">
        <f t="shared" si="158"/>
        <v>0.51568446865880313</v>
      </c>
      <c r="E4994" s="6">
        <v>-1.1985360067123757E-2</v>
      </c>
      <c r="F4994" s="6"/>
      <c r="G4994" s="6">
        <v>4987</v>
      </c>
      <c r="H4994" s="6">
        <f t="shared" ca="1" si="159"/>
        <v>-8.1692040421876191E-3</v>
      </c>
    </row>
    <row r="4995" spans="2:8" x14ac:dyDescent="0.3">
      <c r="B4995" s="4">
        <v>42782</v>
      </c>
      <c r="C4995" s="7">
        <v>901.21</v>
      </c>
      <c r="D4995" s="6">
        <f t="shared" si="158"/>
        <v>1.3325051116805136</v>
      </c>
      <c r="E4995" s="6">
        <v>-1.2015304164793759E-2</v>
      </c>
      <c r="F4995" s="6"/>
      <c r="G4995" s="6">
        <v>4988</v>
      </c>
      <c r="H4995" s="6">
        <f t="shared" ca="1" si="159"/>
        <v>5.4575875638533397E-3</v>
      </c>
    </row>
    <row r="4996" spans="2:8" x14ac:dyDescent="0.3">
      <c r="B4996" s="4">
        <v>41289</v>
      </c>
      <c r="C4996" s="7">
        <v>386.37</v>
      </c>
      <c r="D4996" s="6">
        <f t="shared" si="158"/>
        <v>-0.86175100367118229</v>
      </c>
      <c r="E4996" s="6">
        <v>-1.201830874268031E-2</v>
      </c>
      <c r="F4996" s="6"/>
      <c r="G4996" s="6">
        <v>4989</v>
      </c>
      <c r="H4996" s="6">
        <f t="shared" ca="1" si="159"/>
        <v>-4.8293093707081451E-4</v>
      </c>
    </row>
    <row r="4997" spans="2:8" x14ac:dyDescent="0.3">
      <c r="B4997" s="4">
        <v>45391</v>
      </c>
      <c r="C4997" s="5">
        <v>2794.74</v>
      </c>
      <c r="D4997" s="6">
        <f t="shared" si="158"/>
        <v>-0.10085515182323003</v>
      </c>
      <c r="E4997" s="6">
        <v>-1.2050918577645226E-2</v>
      </c>
      <c r="F4997" s="6"/>
      <c r="G4997" s="6">
        <v>4990</v>
      </c>
      <c r="H4997" s="6">
        <f t="shared" ca="1" si="159"/>
        <v>-1.2123558212233862E-2</v>
      </c>
    </row>
    <row r="4998" spans="2:8" x14ac:dyDescent="0.3">
      <c r="B4998" s="4">
        <v>44847</v>
      </c>
      <c r="C4998" s="5">
        <v>3108.22</v>
      </c>
      <c r="D4998" s="6">
        <f t="shared" si="158"/>
        <v>134.67088607594937</v>
      </c>
      <c r="E4998" s="6">
        <v>-1.2068565471252611E-2</v>
      </c>
      <c r="F4998" s="6"/>
      <c r="G4998" s="6">
        <v>4991</v>
      </c>
      <c r="H4998" s="6">
        <f t="shared" ca="1" si="159"/>
        <v>1.6292655350297759E-2</v>
      </c>
    </row>
    <row r="4999" spans="2:8" x14ac:dyDescent="0.3">
      <c r="B4999" s="4">
        <v>37852</v>
      </c>
      <c r="C4999" s="7">
        <v>22.91</v>
      </c>
      <c r="D4999" s="6">
        <f t="shared" si="158"/>
        <v>-0.99068926278143543</v>
      </c>
      <c r="E4999" s="6">
        <v>-1.2074169900819366E-2</v>
      </c>
      <c r="F4999" s="6"/>
      <c r="G4999" s="6">
        <v>4992</v>
      </c>
      <c r="H4999" s="6">
        <f t="shared" ca="1" si="159"/>
        <v>1.9435495933491065E-4</v>
      </c>
    </row>
    <row r="5000" spans="2:8" x14ac:dyDescent="0.3">
      <c r="B5000" s="4">
        <v>44299</v>
      </c>
      <c r="C5000" s="5">
        <v>2460.6</v>
      </c>
      <c r="D5000" s="6">
        <f t="shared" ref="D5000:D5063" si="160">((C5000-C5001)/C5001)</f>
        <v>106.87373958790005</v>
      </c>
      <c r="E5000" s="6">
        <v>-1.2104787714543848E-2</v>
      </c>
      <c r="F5000" s="6"/>
      <c r="G5000" s="6">
        <v>4993</v>
      </c>
      <c r="H5000" s="6">
        <f t="shared" ca="1" si="159"/>
        <v>-7.1248513946880216E-3</v>
      </c>
    </row>
    <row r="5001" spans="2:8" x14ac:dyDescent="0.3">
      <c r="B5001" s="4">
        <v>37869</v>
      </c>
      <c r="C5001" s="7">
        <v>22.81</v>
      </c>
      <c r="D5001" s="6">
        <f t="shared" si="160"/>
        <v>-0.61573450134770891</v>
      </c>
      <c r="E5001" s="6">
        <v>-1.2126461671719409E-2</v>
      </c>
      <c r="F5001" s="6"/>
      <c r="G5001" s="6">
        <v>4994</v>
      </c>
      <c r="H5001" s="6">
        <f t="shared" ref="H5001:H5064" ca="1" si="161">_xlfn.NORM.INV(RAND(),N$10,N$11)</f>
        <v>-1.9061532684393902E-2</v>
      </c>
    </row>
    <row r="5002" spans="2:8" x14ac:dyDescent="0.3">
      <c r="B5002" s="4">
        <v>39071</v>
      </c>
      <c r="C5002" s="7">
        <v>59.36</v>
      </c>
      <c r="D5002" s="6">
        <f t="shared" si="160"/>
        <v>-0.86090868617756633</v>
      </c>
      <c r="E5002" s="6">
        <v>-1.2148444000665734E-2</v>
      </c>
      <c r="F5002" s="6"/>
      <c r="G5002" s="6">
        <v>4995</v>
      </c>
      <c r="H5002" s="6">
        <f t="shared" ca="1" si="161"/>
        <v>1.8037576411480006E-2</v>
      </c>
    </row>
    <row r="5003" spans="2:8" x14ac:dyDescent="0.3">
      <c r="B5003" s="4">
        <v>41670</v>
      </c>
      <c r="C5003" s="7">
        <v>426.77</v>
      </c>
      <c r="D5003" s="6">
        <f t="shared" si="160"/>
        <v>-0.81321504538650746</v>
      </c>
      <c r="E5003" s="6">
        <v>-1.215221517522337E-2</v>
      </c>
      <c r="F5003" s="6"/>
      <c r="G5003" s="6">
        <v>4996</v>
      </c>
      <c r="H5003" s="6">
        <f t="shared" ca="1" si="161"/>
        <v>-3.6775968418249455E-2</v>
      </c>
    </row>
    <row r="5004" spans="2:8" x14ac:dyDescent="0.3">
      <c r="B5004" s="4">
        <v>44249</v>
      </c>
      <c r="C5004" s="5">
        <v>2284.8200000000002</v>
      </c>
      <c r="D5004" s="6">
        <f t="shared" si="160"/>
        <v>23.989828283933065</v>
      </c>
      <c r="E5004" s="6">
        <v>-1.2166228555616989E-2</v>
      </c>
      <c r="F5004" s="6"/>
      <c r="G5004" s="6">
        <v>4997</v>
      </c>
      <c r="H5004" s="6">
        <f t="shared" ca="1" si="161"/>
        <v>3.6439104627390209E-3</v>
      </c>
    </row>
    <row r="5005" spans="2:8" x14ac:dyDescent="0.3">
      <c r="B5005" s="4">
        <v>39463</v>
      </c>
      <c r="C5005" s="7">
        <v>91.43</v>
      </c>
      <c r="D5005" s="6">
        <f t="shared" si="160"/>
        <v>-0.67483462550679274</v>
      </c>
      <c r="E5005" s="6">
        <v>-1.2208297320656822E-2</v>
      </c>
      <c r="F5005" s="6"/>
      <c r="G5005" s="6">
        <v>4998</v>
      </c>
      <c r="H5005" s="6">
        <f t="shared" ca="1" si="161"/>
        <v>-3.8257609817212062E-3</v>
      </c>
    </row>
    <row r="5006" spans="2:8" x14ac:dyDescent="0.3">
      <c r="B5006" s="4">
        <v>40794</v>
      </c>
      <c r="C5006" s="7">
        <v>281.18</v>
      </c>
      <c r="D5006" s="6">
        <f t="shared" si="160"/>
        <v>-0.72462221003457161</v>
      </c>
      <c r="E5006" s="6">
        <v>-1.2259809604103028E-2</v>
      </c>
      <c r="F5006" s="6"/>
      <c r="G5006" s="6">
        <v>4999</v>
      </c>
      <c r="H5006" s="6">
        <f t="shared" ca="1" si="161"/>
        <v>-1.4312469500723322E-2</v>
      </c>
    </row>
    <row r="5007" spans="2:8" x14ac:dyDescent="0.3">
      <c r="B5007" s="4">
        <v>42878</v>
      </c>
      <c r="C5007" s="5">
        <v>1021.07</v>
      </c>
      <c r="D5007" s="6">
        <f t="shared" si="160"/>
        <v>-1.1242592090483028E-2</v>
      </c>
      <c r="E5007" s="6">
        <v>-1.227557653613986E-2</v>
      </c>
      <c r="F5007" s="6"/>
      <c r="G5007" s="6">
        <v>5000</v>
      </c>
      <c r="H5007" s="6">
        <f t="shared" ca="1" si="161"/>
        <v>-4.8863445438342683E-3</v>
      </c>
    </row>
    <row r="5008" spans="2:8" x14ac:dyDescent="0.3">
      <c r="B5008" s="4">
        <v>42580</v>
      </c>
      <c r="C5008" s="5">
        <v>1032.68</v>
      </c>
      <c r="D5008" s="6">
        <f t="shared" si="160"/>
        <v>0.3013092732840203</v>
      </c>
      <c r="E5008" s="6">
        <v>-1.2280970234906954E-2</v>
      </c>
      <c r="F5008" s="6"/>
      <c r="G5008" s="6">
        <v>5001</v>
      </c>
      <c r="H5008" s="6">
        <f t="shared" ca="1" si="161"/>
        <v>-2.3389129134288377E-2</v>
      </c>
    </row>
    <row r="5009" spans="2:8" x14ac:dyDescent="0.3">
      <c r="B5009" s="4">
        <v>42346</v>
      </c>
      <c r="C5009" s="7">
        <v>793.57</v>
      </c>
      <c r="D5009" s="6">
        <f t="shared" si="160"/>
        <v>3.7687638964004573</v>
      </c>
      <c r="E5009" s="6">
        <v>-1.2284675893657278E-2</v>
      </c>
      <c r="F5009" s="6"/>
      <c r="G5009" s="6">
        <v>5002</v>
      </c>
      <c r="H5009" s="6">
        <f t="shared" ca="1" si="161"/>
        <v>1.1481292175035421E-2</v>
      </c>
    </row>
    <row r="5010" spans="2:8" x14ac:dyDescent="0.3">
      <c r="B5010" s="4">
        <v>40249</v>
      </c>
      <c r="C5010" s="7">
        <v>166.41</v>
      </c>
      <c r="D5010" s="6">
        <f t="shared" si="160"/>
        <v>3.9306666666666668</v>
      </c>
      <c r="E5010" s="6">
        <v>-1.2286324786324746E-2</v>
      </c>
      <c r="F5010" s="6"/>
      <c r="G5010" s="6">
        <v>5003</v>
      </c>
      <c r="H5010" s="6">
        <f t="shared" ca="1" si="161"/>
        <v>-2.3234289908532837E-3</v>
      </c>
    </row>
    <row r="5011" spans="2:8" x14ac:dyDescent="0.3">
      <c r="B5011" s="4">
        <v>38540</v>
      </c>
      <c r="C5011" s="7">
        <v>33.75</v>
      </c>
      <c r="D5011" s="6">
        <f t="shared" si="160"/>
        <v>-0.98196518077568429</v>
      </c>
      <c r="E5011" s="6">
        <v>-1.2291483757682227E-2</v>
      </c>
      <c r="F5011" s="6"/>
      <c r="G5011" s="6">
        <v>5004</v>
      </c>
      <c r="H5011" s="6">
        <f t="shared" ca="1" si="161"/>
        <v>1.2090153779133597E-2</v>
      </c>
    </row>
    <row r="5012" spans="2:8" x14ac:dyDescent="0.3">
      <c r="B5012" s="4">
        <v>44071</v>
      </c>
      <c r="C5012" s="5">
        <v>1871.38</v>
      </c>
      <c r="D5012" s="6">
        <f t="shared" si="160"/>
        <v>65.644586894586908</v>
      </c>
      <c r="E5012" s="6">
        <v>-1.2308017100332472E-2</v>
      </c>
      <c r="F5012" s="6"/>
      <c r="G5012" s="6">
        <v>5005</v>
      </c>
      <c r="H5012" s="6">
        <f t="shared" ca="1" si="161"/>
        <v>9.4101125096264712E-3</v>
      </c>
    </row>
    <row r="5013" spans="2:8" x14ac:dyDescent="0.3">
      <c r="B5013" s="4">
        <v>38384</v>
      </c>
      <c r="C5013" s="7">
        <v>28.08</v>
      </c>
      <c r="D5013" s="6">
        <f t="shared" si="160"/>
        <v>-0.98302164015309546</v>
      </c>
      <c r="E5013" s="6">
        <v>-1.2310939148786544E-2</v>
      </c>
      <c r="F5013" s="6"/>
      <c r="G5013" s="6">
        <v>5006</v>
      </c>
      <c r="H5013" s="6">
        <f t="shared" ca="1" si="161"/>
        <v>-1.9626005314593329E-2</v>
      </c>
    </row>
    <row r="5014" spans="2:8" x14ac:dyDescent="0.3">
      <c r="B5014" s="4">
        <v>43787</v>
      </c>
      <c r="C5014" s="5">
        <v>1653.87</v>
      </c>
      <c r="D5014" s="6">
        <f t="shared" si="160"/>
        <v>-0.33088836204455158</v>
      </c>
      <c r="E5014" s="6">
        <v>-1.2325993872834501E-2</v>
      </c>
      <c r="F5014" s="6"/>
      <c r="G5014" s="6">
        <v>5007</v>
      </c>
      <c r="H5014" s="6">
        <f t="shared" ca="1" si="161"/>
        <v>8.4637294278091576E-3</v>
      </c>
    </row>
    <row r="5015" spans="2:8" x14ac:dyDescent="0.3">
      <c r="B5015" s="4">
        <v>45877</v>
      </c>
      <c r="C5015" s="5">
        <v>2471.7399999999998</v>
      </c>
      <c r="D5015" s="6">
        <f t="shared" si="160"/>
        <v>58.516975680231148</v>
      </c>
      <c r="E5015" s="6">
        <v>-1.2327228990765712E-2</v>
      </c>
      <c r="F5015" s="6"/>
      <c r="G5015" s="6">
        <v>5008</v>
      </c>
      <c r="H5015" s="6">
        <f t="shared" ca="1" si="161"/>
        <v>3.3824603836046518E-2</v>
      </c>
    </row>
    <row r="5016" spans="2:8" x14ac:dyDescent="0.3">
      <c r="B5016" s="4">
        <v>38632</v>
      </c>
      <c r="C5016" s="7">
        <v>41.53</v>
      </c>
      <c r="D5016" s="6">
        <f t="shared" si="160"/>
        <v>-0.59663947163947162</v>
      </c>
      <c r="E5016" s="6">
        <v>-1.2366230677764472E-2</v>
      </c>
      <c r="F5016" s="6"/>
      <c r="G5016" s="6">
        <v>5009</v>
      </c>
      <c r="H5016" s="6">
        <f t="shared" ca="1" si="161"/>
        <v>5.3833968065997171E-3</v>
      </c>
    </row>
    <row r="5017" spans="2:8" x14ac:dyDescent="0.3">
      <c r="B5017" s="4">
        <v>40002</v>
      </c>
      <c r="C5017" s="7">
        <v>102.96</v>
      </c>
      <c r="D5017" s="6">
        <f t="shared" si="160"/>
        <v>-0.87728979202669677</v>
      </c>
      <c r="E5017" s="6">
        <v>-1.2374100719424521E-2</v>
      </c>
      <c r="F5017" s="6"/>
      <c r="G5017" s="6">
        <v>5010</v>
      </c>
      <c r="H5017" s="6">
        <f t="shared" ca="1" si="161"/>
        <v>-9.6162202864893652E-3</v>
      </c>
    </row>
    <row r="5018" spans="2:8" x14ac:dyDescent="0.3">
      <c r="B5018" s="4">
        <v>42719</v>
      </c>
      <c r="C5018" s="7">
        <v>839.05</v>
      </c>
      <c r="D5018" s="6">
        <f t="shared" si="160"/>
        <v>-0.26351962221422492</v>
      </c>
      <c r="E5018" s="6">
        <v>-1.240598406290102E-2</v>
      </c>
      <c r="F5018" s="6"/>
      <c r="G5018" s="6">
        <v>5011</v>
      </c>
      <c r="H5018" s="6">
        <f t="shared" ca="1" si="161"/>
        <v>-2.3607954186091566E-2</v>
      </c>
    </row>
    <row r="5019" spans="2:8" x14ac:dyDescent="0.3">
      <c r="B5019" s="4">
        <v>43378</v>
      </c>
      <c r="C5019" s="5">
        <v>1139.27</v>
      </c>
      <c r="D5019" s="6">
        <f t="shared" si="160"/>
        <v>-0.50138301690256737</v>
      </c>
      <c r="E5019" s="6">
        <v>-1.2413422446449725E-2</v>
      </c>
      <c r="F5019" s="6"/>
      <c r="G5019" s="6">
        <v>5012</v>
      </c>
      <c r="H5019" s="6">
        <f t="shared" ca="1" si="161"/>
        <v>3.2133921059231928E-3</v>
      </c>
    </row>
    <row r="5020" spans="2:8" x14ac:dyDescent="0.3">
      <c r="B5020" s="4">
        <v>44260</v>
      </c>
      <c r="C5020" s="5">
        <v>2284.86</v>
      </c>
      <c r="D5020" s="6">
        <f t="shared" si="160"/>
        <v>2.1256207165428656</v>
      </c>
      <c r="E5020" s="6">
        <v>-1.2413661943827229E-2</v>
      </c>
      <c r="F5020" s="6"/>
      <c r="G5020" s="6">
        <v>5013</v>
      </c>
      <c r="H5020" s="6">
        <f t="shared" ca="1" si="161"/>
        <v>8.529432717963142E-3</v>
      </c>
    </row>
    <row r="5021" spans="2:8" x14ac:dyDescent="0.3">
      <c r="B5021" s="4">
        <v>42059</v>
      </c>
      <c r="C5021" s="7">
        <v>731.01</v>
      </c>
      <c r="D5021" s="6">
        <f t="shared" si="160"/>
        <v>6.2377227722772277</v>
      </c>
      <c r="E5021" s="6">
        <v>-1.2415563361253788E-2</v>
      </c>
      <c r="F5021" s="6"/>
      <c r="G5021" s="6">
        <v>5014</v>
      </c>
      <c r="H5021" s="6">
        <f t="shared" ca="1" si="161"/>
        <v>-1.9883723453425813E-3</v>
      </c>
    </row>
    <row r="5022" spans="2:8" x14ac:dyDescent="0.3">
      <c r="B5022" s="4">
        <v>39549</v>
      </c>
      <c r="C5022" s="7">
        <v>101</v>
      </c>
      <c r="D5022" s="6">
        <f t="shared" si="160"/>
        <v>5.0551558752997598</v>
      </c>
      <c r="E5022" s="6">
        <v>-1.2418108927349136E-2</v>
      </c>
      <c r="F5022" s="6"/>
      <c r="G5022" s="6">
        <v>5015</v>
      </c>
      <c r="H5022" s="6">
        <f t="shared" ca="1" si="161"/>
        <v>-7.0337841555513248E-3</v>
      </c>
    </row>
    <row r="5023" spans="2:8" x14ac:dyDescent="0.3">
      <c r="B5023" s="4">
        <v>37547</v>
      </c>
      <c r="C5023" s="7">
        <v>16.68</v>
      </c>
      <c r="D5023" s="6">
        <f t="shared" si="160"/>
        <v>-0.27509778357235992</v>
      </c>
      <c r="E5023" s="6">
        <v>-1.2433392539964526E-2</v>
      </c>
      <c r="F5023" s="6"/>
      <c r="G5023" s="6">
        <v>5016</v>
      </c>
      <c r="H5023" s="6">
        <f t="shared" ca="1" si="161"/>
        <v>-1.2493974323413136E-2</v>
      </c>
    </row>
    <row r="5024" spans="2:8" x14ac:dyDescent="0.3">
      <c r="B5024" s="4">
        <v>37882</v>
      </c>
      <c r="C5024" s="7">
        <v>23.01</v>
      </c>
      <c r="D5024" s="6">
        <f t="shared" si="160"/>
        <v>-0.8040034071550255</v>
      </c>
      <c r="E5024" s="6">
        <v>-1.2446351931330436E-2</v>
      </c>
      <c r="F5024" s="6"/>
      <c r="G5024" s="6">
        <v>5017</v>
      </c>
      <c r="H5024" s="6">
        <f t="shared" ca="1" si="161"/>
        <v>-8.3560057330820271E-3</v>
      </c>
    </row>
    <row r="5025" spans="2:8" x14ac:dyDescent="0.3">
      <c r="B5025" s="4">
        <v>40067</v>
      </c>
      <c r="C5025" s="7">
        <v>117.4</v>
      </c>
      <c r="D5025" s="6">
        <f t="shared" si="160"/>
        <v>1.9066600643723695</v>
      </c>
      <c r="E5025" s="6">
        <v>-1.2449528936742848E-2</v>
      </c>
      <c r="F5025" s="6"/>
      <c r="G5025" s="6">
        <v>5018</v>
      </c>
      <c r="H5025" s="6">
        <f t="shared" ca="1" si="161"/>
        <v>-8.8737971778888036E-3</v>
      </c>
    </row>
    <row r="5026" spans="2:8" x14ac:dyDescent="0.3">
      <c r="B5026" s="4">
        <v>38670</v>
      </c>
      <c r="C5026" s="7">
        <v>40.39</v>
      </c>
      <c r="D5026" s="6">
        <f t="shared" si="160"/>
        <v>-0.87511208682477359</v>
      </c>
      <c r="E5026" s="6">
        <v>-1.2469437652811688E-2</v>
      </c>
      <c r="F5026" s="6"/>
      <c r="G5026" s="6">
        <v>5019</v>
      </c>
      <c r="H5026" s="6">
        <f t="shared" ca="1" si="161"/>
        <v>4.0303211301899247E-3</v>
      </c>
    </row>
    <row r="5027" spans="2:8" x14ac:dyDescent="0.3">
      <c r="B5027" s="4">
        <v>41109</v>
      </c>
      <c r="C5027" s="7">
        <v>323.41000000000003</v>
      </c>
      <c r="D5027" s="6">
        <f t="shared" si="160"/>
        <v>11.788058521154607</v>
      </c>
      <c r="E5027" s="6">
        <v>-1.2488549618320533E-2</v>
      </c>
      <c r="F5027" s="6"/>
      <c r="G5027" s="6">
        <v>5020</v>
      </c>
      <c r="H5027" s="6">
        <f t="shared" ca="1" si="161"/>
        <v>2.199687398666382E-2</v>
      </c>
    </row>
    <row r="5028" spans="2:8" x14ac:dyDescent="0.3">
      <c r="B5028" s="4">
        <v>38352</v>
      </c>
      <c r="C5028" s="7">
        <v>25.29</v>
      </c>
      <c r="D5028" s="6">
        <f t="shared" si="160"/>
        <v>-0.99218836873123539</v>
      </c>
      <c r="E5028" s="6">
        <v>-1.2495119094103876E-2</v>
      </c>
      <c r="F5028" s="6"/>
      <c r="G5028" s="6">
        <v>5021</v>
      </c>
      <c r="H5028" s="6">
        <f t="shared" ca="1" si="161"/>
        <v>-1.3618950570676589E-2</v>
      </c>
    </row>
    <row r="5029" spans="2:8" x14ac:dyDescent="0.3">
      <c r="B5029" s="4">
        <v>44834</v>
      </c>
      <c r="C5029" s="5">
        <v>3237.48</v>
      </c>
      <c r="D5029" s="6">
        <f t="shared" si="160"/>
        <v>1.9780063101928929</v>
      </c>
      <c r="E5029" s="6">
        <v>-1.2511819429617198E-2</v>
      </c>
      <c r="F5029" s="6"/>
      <c r="G5029" s="6">
        <v>5022</v>
      </c>
      <c r="H5029" s="6">
        <f t="shared" ca="1" si="161"/>
        <v>2.3117515228899294E-2</v>
      </c>
    </row>
    <row r="5030" spans="2:8" x14ac:dyDescent="0.3">
      <c r="B5030" s="4">
        <v>43062</v>
      </c>
      <c r="C5030" s="5">
        <v>1087.1300000000001</v>
      </c>
      <c r="D5030" s="6">
        <f t="shared" si="160"/>
        <v>-0.52650101265271443</v>
      </c>
      <c r="E5030" s="6">
        <v>-1.251691782252861E-2</v>
      </c>
      <c r="F5030" s="6"/>
      <c r="G5030" s="6">
        <v>5023</v>
      </c>
      <c r="H5030" s="6">
        <f t="shared" ca="1" si="161"/>
        <v>1.0970579171425571E-2</v>
      </c>
    </row>
    <row r="5031" spans="2:8" x14ac:dyDescent="0.3">
      <c r="B5031" s="4">
        <v>45667</v>
      </c>
      <c r="C5031" s="5">
        <v>2295.9499999999998</v>
      </c>
      <c r="D5031" s="6">
        <f t="shared" si="160"/>
        <v>30.001215230893866</v>
      </c>
      <c r="E5031" s="6">
        <v>-1.253284819082286E-2</v>
      </c>
      <c r="F5031" s="6"/>
      <c r="G5031" s="6">
        <v>5024</v>
      </c>
      <c r="H5031" s="6">
        <f t="shared" ca="1" si="161"/>
        <v>-8.1827423914832675E-3</v>
      </c>
    </row>
    <row r="5032" spans="2:8" x14ac:dyDescent="0.3">
      <c r="B5032" s="4">
        <v>39300</v>
      </c>
      <c r="C5032" s="7">
        <v>74.06</v>
      </c>
      <c r="D5032" s="6">
        <f t="shared" si="160"/>
        <v>-0.96777898629541004</v>
      </c>
      <c r="E5032" s="6">
        <v>-1.2533333333333303E-2</v>
      </c>
      <c r="F5032" s="6"/>
      <c r="G5032" s="6">
        <v>5025</v>
      </c>
      <c r="H5032" s="6">
        <f t="shared" ca="1" si="161"/>
        <v>-5.8881713038752091E-3</v>
      </c>
    </row>
    <row r="5033" spans="2:8" x14ac:dyDescent="0.3">
      <c r="B5033" s="4">
        <v>44267</v>
      </c>
      <c r="C5033" s="5">
        <v>2298.5</v>
      </c>
      <c r="D5033" s="6">
        <f t="shared" si="160"/>
        <v>0.88855201426376473</v>
      </c>
      <c r="E5033" s="6">
        <v>-1.2582750162170971E-2</v>
      </c>
      <c r="F5033" s="6"/>
      <c r="G5033" s="6">
        <v>5026</v>
      </c>
      <c r="H5033" s="6">
        <f t="shared" ca="1" si="161"/>
        <v>5.0477747752902691E-3</v>
      </c>
    </row>
    <row r="5034" spans="2:8" x14ac:dyDescent="0.3">
      <c r="B5034" s="4">
        <v>43361</v>
      </c>
      <c r="C5034" s="5">
        <v>1217.07</v>
      </c>
      <c r="D5034" s="6">
        <f t="shared" si="160"/>
        <v>-0.29645066188797048</v>
      </c>
      <c r="E5034" s="6">
        <v>-1.2647445362062649E-2</v>
      </c>
      <c r="F5034" s="6"/>
      <c r="G5034" s="6">
        <v>5027</v>
      </c>
      <c r="H5034" s="6">
        <f t="shared" ca="1" si="161"/>
        <v>-2.7371251809975555E-3</v>
      </c>
    </row>
    <row r="5035" spans="2:8" x14ac:dyDescent="0.3">
      <c r="B5035" s="4">
        <v>43885</v>
      </c>
      <c r="C5035" s="5">
        <v>1729.9</v>
      </c>
      <c r="D5035" s="6">
        <f t="shared" si="160"/>
        <v>34.756510954940055</v>
      </c>
      <c r="E5035" s="6">
        <v>-1.2647968676871714E-2</v>
      </c>
      <c r="F5035" s="6"/>
      <c r="G5035" s="6">
        <v>5028</v>
      </c>
      <c r="H5035" s="6">
        <f t="shared" ca="1" si="161"/>
        <v>-1.4906000391119242E-2</v>
      </c>
    </row>
    <row r="5036" spans="2:8" x14ac:dyDescent="0.3">
      <c r="B5036" s="4">
        <v>38747</v>
      </c>
      <c r="C5036" s="7">
        <v>48.38</v>
      </c>
      <c r="D5036" s="6">
        <f t="shared" si="160"/>
        <v>-0.98528933309413547</v>
      </c>
      <c r="E5036" s="6">
        <v>-1.2653061224489743E-2</v>
      </c>
      <c r="F5036" s="6"/>
      <c r="G5036" s="6">
        <v>5029</v>
      </c>
      <c r="H5036" s="6">
        <f t="shared" ca="1" si="161"/>
        <v>4.2259485361778225E-2</v>
      </c>
    </row>
    <row r="5037" spans="2:8" x14ac:dyDescent="0.3">
      <c r="B5037" s="4">
        <v>44819</v>
      </c>
      <c r="C5037" s="5">
        <v>3288.77</v>
      </c>
      <c r="D5037" s="6">
        <f t="shared" si="160"/>
        <v>0.22180530736738083</v>
      </c>
      <c r="E5037" s="6">
        <v>-1.2663054083669776E-2</v>
      </c>
      <c r="F5037" s="6"/>
      <c r="G5037" s="6">
        <v>5030</v>
      </c>
      <c r="H5037" s="6">
        <f t="shared" ca="1" si="161"/>
        <v>-8.3696817733009965E-3</v>
      </c>
    </row>
    <row r="5038" spans="2:8" x14ac:dyDescent="0.3">
      <c r="B5038" s="4">
        <v>44951</v>
      </c>
      <c r="C5038" s="5">
        <v>2691.73</v>
      </c>
      <c r="D5038" s="6">
        <f t="shared" si="160"/>
        <v>4.6176016361966772</v>
      </c>
      <c r="E5038" s="6">
        <v>-1.2665703197787518E-2</v>
      </c>
      <c r="F5038" s="6"/>
      <c r="G5038" s="6">
        <v>5031</v>
      </c>
      <c r="H5038" s="6">
        <f t="shared" ca="1" si="161"/>
        <v>1.0449135396672332E-2</v>
      </c>
    </row>
    <row r="5039" spans="2:8" x14ac:dyDescent="0.3">
      <c r="B5039" s="4">
        <v>41752</v>
      </c>
      <c r="C5039" s="7">
        <v>479.16</v>
      </c>
      <c r="D5039" s="6">
        <f t="shared" si="160"/>
        <v>-0.83253414603458642</v>
      </c>
      <c r="E5039" s="6">
        <v>-1.2672312542498562E-2</v>
      </c>
      <c r="F5039" s="6"/>
      <c r="G5039" s="6">
        <v>5032</v>
      </c>
      <c r="H5039" s="6">
        <f t="shared" ca="1" si="161"/>
        <v>-2.9315128270902217E-3</v>
      </c>
    </row>
    <row r="5040" spans="2:8" x14ac:dyDescent="0.3">
      <c r="B5040" s="4">
        <v>45496</v>
      </c>
      <c r="C5040" s="5">
        <v>2861.24</v>
      </c>
      <c r="D5040" s="6">
        <f t="shared" si="160"/>
        <v>1.5673779229402578</v>
      </c>
      <c r="E5040" s="6">
        <v>-1.2677796258083298E-2</v>
      </c>
      <c r="F5040" s="6"/>
      <c r="G5040" s="6">
        <v>5033</v>
      </c>
      <c r="H5040" s="6">
        <f t="shared" ca="1" si="161"/>
        <v>2.117427517633995E-3</v>
      </c>
    </row>
    <row r="5041" spans="2:8" x14ac:dyDescent="0.3">
      <c r="B5041" s="4">
        <v>43116</v>
      </c>
      <c r="C5041" s="5">
        <v>1114.46</v>
      </c>
      <c r="D5041" s="6">
        <f t="shared" si="160"/>
        <v>16.082464745554876</v>
      </c>
      <c r="E5041" s="6">
        <v>-1.270375620127562E-2</v>
      </c>
      <c r="F5041" s="6"/>
      <c r="G5041" s="6">
        <v>5034</v>
      </c>
      <c r="H5041" s="6">
        <f t="shared" ca="1" si="161"/>
        <v>6.8942003616935558E-3</v>
      </c>
    </row>
    <row r="5042" spans="2:8" x14ac:dyDescent="0.3">
      <c r="B5042" s="4">
        <v>39105</v>
      </c>
      <c r="C5042" s="7">
        <v>65.239999999999995</v>
      </c>
      <c r="D5042" s="6">
        <f t="shared" si="160"/>
        <v>-0.94233335985079503</v>
      </c>
      <c r="E5042" s="6">
        <v>-1.2711864406779712E-2</v>
      </c>
      <c r="F5042" s="6"/>
      <c r="G5042" s="6">
        <v>5035</v>
      </c>
      <c r="H5042" s="6">
        <f t="shared" ca="1" si="161"/>
        <v>9.9422459815906288E-3</v>
      </c>
    </row>
    <row r="5043" spans="2:8" x14ac:dyDescent="0.3">
      <c r="B5043" s="4">
        <v>43223</v>
      </c>
      <c r="C5043" s="5">
        <v>1131.33</v>
      </c>
      <c r="D5043" s="6">
        <f t="shared" si="160"/>
        <v>-0.52882845362542175</v>
      </c>
      <c r="E5043" s="6">
        <v>-1.2723512317721421E-2</v>
      </c>
      <c r="F5043" s="6"/>
      <c r="G5043" s="6">
        <v>5036</v>
      </c>
      <c r="H5043" s="6">
        <f t="shared" ca="1" si="161"/>
        <v>-7.8790126786329618E-3</v>
      </c>
    </row>
    <row r="5044" spans="2:8" x14ac:dyDescent="0.3">
      <c r="B5044" s="4">
        <v>46059</v>
      </c>
      <c r="C5044" s="5">
        <v>2401.1</v>
      </c>
      <c r="D5044" s="6">
        <f t="shared" si="160"/>
        <v>30.963525026624065</v>
      </c>
      <c r="E5044" s="6">
        <v>-1.2746186423255623E-2</v>
      </c>
      <c r="F5044" s="6"/>
      <c r="G5044" s="6">
        <v>5037</v>
      </c>
      <c r="H5044" s="6">
        <f t="shared" ca="1" si="161"/>
        <v>-7.4840740158806339E-3</v>
      </c>
    </row>
    <row r="5045" spans="2:8" x14ac:dyDescent="0.3">
      <c r="B5045" s="4">
        <v>39930</v>
      </c>
      <c r="C5045" s="7">
        <v>75.12</v>
      </c>
      <c r="D5045" s="6">
        <f t="shared" si="160"/>
        <v>-0.94179316116134726</v>
      </c>
      <c r="E5045" s="6">
        <v>-1.2748061506111168E-2</v>
      </c>
      <c r="F5045" s="6"/>
      <c r="G5045" s="6">
        <v>5038</v>
      </c>
      <c r="H5045" s="6">
        <f t="shared" ca="1" si="161"/>
        <v>5.8841519792002511E-3</v>
      </c>
    </row>
    <row r="5046" spans="2:8" x14ac:dyDescent="0.3">
      <c r="B5046" s="4">
        <v>43612</v>
      </c>
      <c r="C5046" s="5">
        <v>1290.57</v>
      </c>
      <c r="D5046" s="6">
        <f t="shared" si="160"/>
        <v>14.582830234242937</v>
      </c>
      <c r="E5046" s="6">
        <v>-1.2752057770570112E-2</v>
      </c>
      <c r="F5046" s="6"/>
      <c r="G5046" s="6">
        <v>5039</v>
      </c>
      <c r="H5046" s="6">
        <f t="shared" ca="1" si="161"/>
        <v>-2.1114325545526579E-2</v>
      </c>
    </row>
    <row r="5047" spans="2:8" x14ac:dyDescent="0.3">
      <c r="B5047" s="4">
        <v>39429</v>
      </c>
      <c r="C5047" s="7">
        <v>82.82</v>
      </c>
      <c r="D5047" s="6">
        <f t="shared" si="160"/>
        <v>-0.92844182550242793</v>
      </c>
      <c r="E5047" s="6">
        <v>-1.2754797949696119E-2</v>
      </c>
      <c r="F5047" s="6"/>
      <c r="G5047" s="6">
        <v>5040</v>
      </c>
      <c r="H5047" s="6">
        <f t="shared" ca="1" si="161"/>
        <v>4.9614783423168107E-2</v>
      </c>
    </row>
    <row r="5048" spans="2:8" x14ac:dyDescent="0.3">
      <c r="B5048" s="4">
        <v>42998</v>
      </c>
      <c r="C5048" s="5">
        <v>1157.3800000000001</v>
      </c>
      <c r="D5048" s="6">
        <f t="shared" si="160"/>
        <v>4.3239799438796638</v>
      </c>
      <c r="E5048" s="6">
        <v>-1.2760803179964695E-2</v>
      </c>
      <c r="F5048" s="6"/>
      <c r="G5048" s="6">
        <v>5041</v>
      </c>
      <c r="H5048" s="6">
        <f t="shared" ca="1" si="161"/>
        <v>3.8772202395148557E-3</v>
      </c>
    </row>
    <row r="5049" spans="2:8" x14ac:dyDescent="0.3">
      <c r="B5049" s="4">
        <v>40597</v>
      </c>
      <c r="C5049" s="7">
        <v>217.39</v>
      </c>
      <c r="D5049" s="6">
        <f t="shared" si="160"/>
        <v>-2.6771724045306075E-2</v>
      </c>
      <c r="E5049" s="6">
        <v>-1.276112624886468E-2</v>
      </c>
      <c r="F5049" s="6"/>
      <c r="G5049" s="6">
        <v>5042</v>
      </c>
      <c r="H5049" s="6">
        <f t="shared" ca="1" si="161"/>
        <v>-2.9198856517235593E-3</v>
      </c>
    </row>
    <row r="5050" spans="2:8" x14ac:dyDescent="0.3">
      <c r="B5050" s="4">
        <v>40620</v>
      </c>
      <c r="C5050" s="7">
        <v>223.37</v>
      </c>
      <c r="D5050" s="6">
        <f t="shared" si="160"/>
        <v>7.7699254024342368</v>
      </c>
      <c r="E5050" s="6">
        <v>-1.2772916114204837E-2</v>
      </c>
      <c r="F5050" s="6"/>
      <c r="G5050" s="6">
        <v>5043</v>
      </c>
      <c r="H5050" s="6">
        <f t="shared" ca="1" si="161"/>
        <v>1.6037168147199493E-2</v>
      </c>
    </row>
    <row r="5051" spans="2:8" x14ac:dyDescent="0.3">
      <c r="B5051" s="4">
        <v>38329</v>
      </c>
      <c r="C5051" s="7">
        <v>25.47</v>
      </c>
      <c r="D5051" s="6">
        <f t="shared" si="160"/>
        <v>-0.99093400726133696</v>
      </c>
      <c r="E5051" s="6">
        <v>-1.2790697674418676E-2</v>
      </c>
      <c r="F5051" s="6"/>
      <c r="G5051" s="6">
        <v>5044</v>
      </c>
      <c r="H5051" s="6">
        <f t="shared" ca="1" si="161"/>
        <v>1.0360689938219678E-2</v>
      </c>
    </row>
    <row r="5052" spans="2:8" x14ac:dyDescent="0.3">
      <c r="B5052" s="4">
        <v>46029</v>
      </c>
      <c r="C5052" s="5">
        <v>2809.4</v>
      </c>
      <c r="D5052" s="6">
        <f t="shared" si="160"/>
        <v>0.94012637685162814</v>
      </c>
      <c r="E5052" s="6">
        <v>-1.2790779394194984E-2</v>
      </c>
      <c r="F5052" s="6"/>
      <c r="G5052" s="6">
        <v>5045</v>
      </c>
      <c r="H5052" s="6">
        <f t="shared" ca="1" si="161"/>
        <v>-9.7261345842541286E-3</v>
      </c>
    </row>
    <row r="5053" spans="2:8" x14ac:dyDescent="0.3">
      <c r="B5053" s="4">
        <v>43682</v>
      </c>
      <c r="C5053" s="5">
        <v>1448.05</v>
      </c>
      <c r="D5053" s="6">
        <f t="shared" si="160"/>
        <v>29.809574468085106</v>
      </c>
      <c r="E5053" s="6">
        <v>-1.2809849745030109E-2</v>
      </c>
      <c r="F5053" s="6"/>
      <c r="G5053" s="6">
        <v>5046</v>
      </c>
      <c r="H5053" s="6">
        <f t="shared" ca="1" si="161"/>
        <v>2.3934359606473193E-3</v>
      </c>
    </row>
    <row r="5054" spans="2:8" x14ac:dyDescent="0.3">
      <c r="B5054" s="4">
        <v>38912</v>
      </c>
      <c r="C5054" s="7">
        <v>47</v>
      </c>
      <c r="D5054" s="6">
        <f t="shared" si="160"/>
        <v>-0.95616407692738159</v>
      </c>
      <c r="E5054" s="6">
        <v>-1.2812434362528869E-2</v>
      </c>
      <c r="F5054" s="6"/>
      <c r="G5054" s="6">
        <v>5047</v>
      </c>
      <c r="H5054" s="6">
        <f t="shared" ca="1" si="161"/>
        <v>-2.7708158465804867E-2</v>
      </c>
    </row>
    <row r="5055" spans="2:8" x14ac:dyDescent="0.3">
      <c r="B5055" s="4">
        <v>43101</v>
      </c>
      <c r="C5055" s="5">
        <v>1072.18</v>
      </c>
      <c r="D5055" s="6">
        <f t="shared" si="160"/>
        <v>65.347772277227719</v>
      </c>
      <c r="E5055" s="6">
        <v>-1.2816499401528262E-2</v>
      </c>
      <c r="F5055" s="6"/>
      <c r="G5055" s="6">
        <v>5048</v>
      </c>
      <c r="H5055" s="6">
        <f t="shared" ca="1" si="161"/>
        <v>-1.6148833098738084E-3</v>
      </c>
    </row>
    <row r="5056" spans="2:8" x14ac:dyDescent="0.3">
      <c r="B5056" s="4">
        <v>37613</v>
      </c>
      <c r="C5056" s="7">
        <v>16.16</v>
      </c>
      <c r="D5056" s="6">
        <f t="shared" si="160"/>
        <v>-0.69979565298160884</v>
      </c>
      <c r="E5056" s="6">
        <v>-1.2828344532681786E-2</v>
      </c>
      <c r="F5056" s="6"/>
      <c r="G5056" s="6">
        <v>5049</v>
      </c>
      <c r="H5056" s="6">
        <f t="shared" ca="1" si="161"/>
        <v>-2.0711500626468407E-3</v>
      </c>
    </row>
    <row r="5057" spans="2:8" x14ac:dyDescent="0.3">
      <c r="B5057" s="4">
        <v>38765</v>
      </c>
      <c r="C5057" s="7">
        <v>53.83</v>
      </c>
      <c r="D5057" s="6">
        <f t="shared" si="160"/>
        <v>-0.80817475589765531</v>
      </c>
      <c r="E5057" s="6">
        <v>-1.2836970474967959E-2</v>
      </c>
      <c r="F5057" s="6"/>
      <c r="G5057" s="6">
        <v>5050</v>
      </c>
      <c r="H5057" s="6">
        <f t="shared" ca="1" si="161"/>
        <v>6.2710009352958777E-3</v>
      </c>
    </row>
    <row r="5058" spans="2:8" x14ac:dyDescent="0.3">
      <c r="B5058" s="4">
        <v>40774</v>
      </c>
      <c r="C5058" s="7">
        <v>280.62</v>
      </c>
      <c r="D5058" s="6">
        <f t="shared" si="160"/>
        <v>-0.47571183020700997</v>
      </c>
      <c r="E5058" s="6">
        <v>-1.2839905723431869E-2</v>
      </c>
      <c r="F5058" s="6"/>
      <c r="G5058" s="6">
        <v>5051</v>
      </c>
      <c r="H5058" s="6">
        <f t="shared" ca="1" si="161"/>
        <v>1.9086055506882377E-3</v>
      </c>
    </row>
    <row r="5059" spans="2:8" x14ac:dyDescent="0.3">
      <c r="B5059" s="4">
        <v>41830</v>
      </c>
      <c r="C5059" s="7">
        <v>535.24</v>
      </c>
      <c r="D5059" s="6">
        <f t="shared" si="160"/>
        <v>-0.82660416416948235</v>
      </c>
      <c r="E5059" s="6">
        <v>-1.2854797956511364E-2</v>
      </c>
      <c r="F5059" s="6"/>
      <c r="G5059" s="6">
        <v>5052</v>
      </c>
      <c r="H5059" s="6">
        <f t="shared" ca="1" si="161"/>
        <v>-1.0790973221255671E-2</v>
      </c>
    </row>
    <row r="5060" spans="2:8" x14ac:dyDescent="0.3">
      <c r="B5060" s="4">
        <v>45532</v>
      </c>
      <c r="C5060" s="5">
        <v>3086.81</v>
      </c>
      <c r="D5060" s="6">
        <f t="shared" si="160"/>
        <v>7.8448224660846097E-2</v>
      </c>
      <c r="E5060" s="6">
        <v>-1.2855731193696301E-2</v>
      </c>
      <c r="F5060" s="6"/>
      <c r="G5060" s="6">
        <v>5053</v>
      </c>
      <c r="H5060" s="6">
        <f t="shared" ca="1" si="161"/>
        <v>-1.9764591321253879E-2</v>
      </c>
    </row>
    <row r="5061" spans="2:8" x14ac:dyDescent="0.3">
      <c r="B5061" s="4">
        <v>45481</v>
      </c>
      <c r="C5061" s="5">
        <v>2862.27</v>
      </c>
      <c r="D5061" s="6">
        <f t="shared" si="160"/>
        <v>0.1922150949683438</v>
      </c>
      <c r="E5061" s="6">
        <v>-1.2860571948847399E-2</v>
      </c>
      <c r="F5061" s="6"/>
      <c r="G5061" s="6">
        <v>5054</v>
      </c>
      <c r="H5061" s="6">
        <f t="shared" ca="1" si="161"/>
        <v>1.6190339442502845E-2</v>
      </c>
    </row>
    <row r="5062" spans="2:8" x14ac:dyDescent="0.3">
      <c r="B5062" s="4">
        <v>46072</v>
      </c>
      <c r="C5062" s="5">
        <v>2400.8000000000002</v>
      </c>
      <c r="D5062" s="6">
        <f t="shared" si="160"/>
        <v>23.648870636550306</v>
      </c>
      <c r="E5062" s="6">
        <v>-1.2869536614448307E-2</v>
      </c>
      <c r="F5062" s="6"/>
      <c r="G5062" s="6">
        <v>5055</v>
      </c>
      <c r="H5062" s="6">
        <f t="shared" ca="1" si="161"/>
        <v>3.2024055675764938E-3</v>
      </c>
    </row>
    <row r="5063" spans="2:8" x14ac:dyDescent="0.3">
      <c r="B5063" s="4">
        <v>39458</v>
      </c>
      <c r="C5063" s="7">
        <v>97.4</v>
      </c>
      <c r="D5063" s="6">
        <f t="shared" si="160"/>
        <v>-0.71004138013158291</v>
      </c>
      <c r="E5063" s="6">
        <v>-1.2871186784230222E-2</v>
      </c>
      <c r="F5063" s="6"/>
      <c r="G5063" s="6">
        <v>5056</v>
      </c>
      <c r="H5063" s="6">
        <f t="shared" ca="1" si="161"/>
        <v>5.2495929545967887E-3</v>
      </c>
    </row>
    <row r="5064" spans="2:8" x14ac:dyDescent="0.3">
      <c r="B5064" s="4">
        <v>41086</v>
      </c>
      <c r="C5064" s="7">
        <v>335.91</v>
      </c>
      <c r="D5064" s="6">
        <f t="shared" ref="D5064:D5127" si="162">((C5064-C5065)/C5065)</f>
        <v>3.5203875656035528</v>
      </c>
      <c r="E5064" s="6">
        <v>-1.2871374415939331E-2</v>
      </c>
      <c r="F5064" s="6"/>
      <c r="G5064" s="6">
        <v>5057</v>
      </c>
      <c r="H5064" s="6">
        <f t="shared" ca="1" si="161"/>
        <v>3.1197257498007452E-3</v>
      </c>
    </row>
    <row r="5065" spans="2:8" x14ac:dyDescent="0.3">
      <c r="B5065" s="4">
        <v>39792</v>
      </c>
      <c r="C5065" s="7">
        <v>74.31</v>
      </c>
      <c r="D5065" s="6">
        <f t="shared" si="162"/>
        <v>-0.93452171154659525</v>
      </c>
      <c r="E5065" s="6">
        <v>-1.2885228480340049E-2</v>
      </c>
      <c r="F5065" s="6"/>
      <c r="G5065" s="6">
        <v>5058</v>
      </c>
      <c r="H5065" s="6">
        <f t="shared" ref="H5065:H5128" ca="1" si="163">_xlfn.NORM.INV(RAND(),N$10,N$11)</f>
        <v>2.0271414104688284E-2</v>
      </c>
    </row>
    <row r="5066" spans="2:8" x14ac:dyDescent="0.3">
      <c r="B5066" s="4">
        <v>43000</v>
      </c>
      <c r="C5066" s="5">
        <v>1134.8800000000001</v>
      </c>
      <c r="D5066" s="6">
        <f t="shared" si="162"/>
        <v>-0.48807794668230409</v>
      </c>
      <c r="E5066" s="6">
        <v>-1.2890319213707868E-2</v>
      </c>
      <c r="F5066" s="6"/>
      <c r="G5066" s="6">
        <v>5059</v>
      </c>
      <c r="H5066" s="6">
        <f t="shared" ca="1" si="163"/>
        <v>5.8166204322555514E-3</v>
      </c>
    </row>
    <row r="5067" spans="2:8" x14ac:dyDescent="0.3">
      <c r="B5067" s="4">
        <v>45699</v>
      </c>
      <c r="C5067" s="5">
        <v>2216.9</v>
      </c>
      <c r="D5067" s="6">
        <f t="shared" si="162"/>
        <v>20.813440913116207</v>
      </c>
      <c r="E5067" s="6">
        <v>-1.2908023099973633E-2</v>
      </c>
      <c r="F5067" s="6"/>
      <c r="G5067" s="6">
        <v>5060</v>
      </c>
      <c r="H5067" s="6">
        <f t="shared" ca="1" si="163"/>
        <v>-8.0231044473057372E-3</v>
      </c>
    </row>
    <row r="5068" spans="2:8" x14ac:dyDescent="0.3">
      <c r="B5068" s="4">
        <v>40003</v>
      </c>
      <c r="C5068" s="7">
        <v>101.63</v>
      </c>
      <c r="D5068" s="6">
        <f t="shared" si="162"/>
        <v>-0.79282860404435751</v>
      </c>
      <c r="E5068" s="6">
        <v>-1.2917637917637902E-2</v>
      </c>
      <c r="F5068" s="6"/>
      <c r="G5068" s="6">
        <v>5061</v>
      </c>
      <c r="H5068" s="6">
        <f t="shared" ca="1" si="163"/>
        <v>-1.1142013835147475E-3</v>
      </c>
    </row>
    <row r="5069" spans="2:8" x14ac:dyDescent="0.3">
      <c r="B5069" s="4">
        <v>41803</v>
      </c>
      <c r="C5069" s="7">
        <v>490.56</v>
      </c>
      <c r="D5069" s="6">
        <f t="shared" si="162"/>
        <v>-0.83022550770380832</v>
      </c>
      <c r="E5069" s="6">
        <v>-1.2918024870216137E-2</v>
      </c>
      <c r="F5069" s="6"/>
      <c r="G5069" s="6">
        <v>5062</v>
      </c>
      <c r="H5069" s="6">
        <f t="shared" ca="1" si="163"/>
        <v>-4.4088403701415379E-3</v>
      </c>
    </row>
    <row r="5070" spans="2:8" x14ac:dyDescent="0.3">
      <c r="B5070" s="4">
        <v>44372</v>
      </c>
      <c r="C5070" s="5">
        <v>2889.48</v>
      </c>
      <c r="D5070" s="6">
        <f t="shared" si="162"/>
        <v>15.918320744774284</v>
      </c>
      <c r="E5070" s="6">
        <v>-1.2929871247860648E-2</v>
      </c>
      <c r="F5070" s="6"/>
      <c r="G5070" s="6">
        <v>5063</v>
      </c>
      <c r="H5070" s="6">
        <f t="shared" ca="1" si="163"/>
        <v>-3.9300556538029397E-3</v>
      </c>
    </row>
    <row r="5071" spans="2:8" x14ac:dyDescent="0.3">
      <c r="B5071" s="4">
        <v>40259</v>
      </c>
      <c r="C5071" s="7">
        <v>170.79</v>
      </c>
      <c r="D5071" s="6">
        <f t="shared" si="162"/>
        <v>-0.82704634983645409</v>
      </c>
      <c r="E5071" s="6">
        <v>-1.2945731953996469E-2</v>
      </c>
      <c r="F5071" s="6"/>
      <c r="G5071" s="6">
        <v>5064</v>
      </c>
      <c r="H5071" s="6">
        <f t="shared" ca="1" si="163"/>
        <v>1.2530698159463801E-2</v>
      </c>
    </row>
    <row r="5072" spans="2:8" x14ac:dyDescent="0.3">
      <c r="B5072" s="4">
        <v>42676</v>
      </c>
      <c r="C5072" s="7">
        <v>987.49</v>
      </c>
      <c r="D5072" s="6">
        <f t="shared" si="162"/>
        <v>-0.18216226065063276</v>
      </c>
      <c r="E5072" s="6">
        <v>-1.2954170623219586E-2</v>
      </c>
      <c r="F5072" s="6"/>
      <c r="G5072" s="6">
        <v>5065</v>
      </c>
      <c r="H5072" s="6">
        <f t="shared" ca="1" si="163"/>
        <v>1.9866371926412843E-3</v>
      </c>
    </row>
    <row r="5073" spans="2:8" x14ac:dyDescent="0.3">
      <c r="B5073" s="4">
        <v>43416</v>
      </c>
      <c r="C5073" s="5">
        <v>1207.44</v>
      </c>
      <c r="D5073" s="6">
        <f t="shared" si="162"/>
        <v>71.129032258064527</v>
      </c>
      <c r="E5073" s="6">
        <v>-1.2964930924548271E-2</v>
      </c>
      <c r="F5073" s="6"/>
      <c r="G5073" s="6">
        <v>5066</v>
      </c>
      <c r="H5073" s="6">
        <f t="shared" ca="1" si="163"/>
        <v>-1.2631877922187656E-2</v>
      </c>
    </row>
    <row r="5074" spans="2:8" x14ac:dyDescent="0.3">
      <c r="B5074" s="4">
        <v>37463</v>
      </c>
      <c r="C5074" s="7">
        <v>16.739999999999998</v>
      </c>
      <c r="D5074" s="6">
        <f t="shared" si="162"/>
        <v>-0.9940702851859855</v>
      </c>
      <c r="E5074" s="6">
        <v>-1.2971698113207688E-2</v>
      </c>
      <c r="F5074" s="6"/>
      <c r="G5074" s="6">
        <v>5067</v>
      </c>
      <c r="H5074" s="6">
        <f t="shared" ca="1" si="163"/>
        <v>6.4177139783092333E-5</v>
      </c>
    </row>
    <row r="5075" spans="2:8" x14ac:dyDescent="0.3">
      <c r="B5075" s="4">
        <v>45468</v>
      </c>
      <c r="C5075" s="5">
        <v>2823.07</v>
      </c>
      <c r="D5075" s="6">
        <f t="shared" si="162"/>
        <v>111.7424121405751</v>
      </c>
      <c r="E5075" s="6">
        <v>-1.29816096776448E-2</v>
      </c>
      <c r="F5075" s="6"/>
      <c r="G5075" s="6">
        <v>5068</v>
      </c>
      <c r="H5075" s="6">
        <f t="shared" ca="1" si="163"/>
        <v>-1.1330495001704534E-2</v>
      </c>
    </row>
    <row r="5076" spans="2:8" x14ac:dyDescent="0.3">
      <c r="B5076" s="4">
        <v>38205</v>
      </c>
      <c r="C5076" s="7">
        <v>25.04</v>
      </c>
      <c r="D5076" s="6">
        <f t="shared" si="162"/>
        <v>-0.99120094456313956</v>
      </c>
      <c r="E5076" s="6">
        <v>-1.3007489160425772E-2</v>
      </c>
      <c r="F5076" s="6"/>
      <c r="G5076" s="6">
        <v>5069</v>
      </c>
      <c r="H5076" s="6">
        <f t="shared" ca="1" si="163"/>
        <v>-3.9582780876742718E-2</v>
      </c>
    </row>
    <row r="5077" spans="2:8" x14ac:dyDescent="0.3">
      <c r="B5077" s="4">
        <v>44407</v>
      </c>
      <c r="C5077" s="5">
        <v>2845.76</v>
      </c>
      <c r="D5077" s="6">
        <f t="shared" si="162"/>
        <v>116.35092783505155</v>
      </c>
      <c r="E5077" s="6">
        <v>-1.3012957465109174E-2</v>
      </c>
      <c r="F5077" s="6"/>
      <c r="G5077" s="6">
        <v>5070</v>
      </c>
      <c r="H5077" s="6">
        <f t="shared" ca="1" si="163"/>
        <v>-8.222335391912982E-3</v>
      </c>
    </row>
    <row r="5078" spans="2:8" x14ac:dyDescent="0.3">
      <c r="B5078" s="4">
        <v>38040</v>
      </c>
      <c r="C5078" s="7">
        <v>24.25</v>
      </c>
      <c r="D5078" s="6">
        <f t="shared" si="162"/>
        <v>-0.86255951031512124</v>
      </c>
      <c r="E5078" s="6">
        <v>-1.3024013024013036E-2</v>
      </c>
      <c r="F5078" s="6"/>
      <c r="G5078" s="6">
        <v>5071</v>
      </c>
      <c r="H5078" s="6">
        <f t="shared" ca="1" si="163"/>
        <v>8.3330975302695282E-4</v>
      </c>
    </row>
    <row r="5079" spans="2:8" x14ac:dyDescent="0.3">
      <c r="B5079" s="4">
        <v>40304</v>
      </c>
      <c r="C5079" s="7">
        <v>176.44</v>
      </c>
      <c r="D5079" s="6">
        <f t="shared" si="162"/>
        <v>-0.59724251278305329</v>
      </c>
      <c r="E5079" s="6">
        <v>-1.3033506740504628E-2</v>
      </c>
      <c r="F5079" s="6"/>
      <c r="G5079" s="6">
        <v>5072</v>
      </c>
      <c r="H5079" s="6">
        <f t="shared" ca="1" si="163"/>
        <v>1.2681116815561444E-2</v>
      </c>
    </row>
    <row r="5080" spans="2:8" x14ac:dyDescent="0.3">
      <c r="B5080" s="4">
        <v>41366</v>
      </c>
      <c r="C5080" s="7">
        <v>438.08</v>
      </c>
      <c r="D5080" s="6">
        <f t="shared" si="162"/>
        <v>0.90627039728471337</v>
      </c>
      <c r="E5080" s="6">
        <v>-1.3044359835086896E-2</v>
      </c>
      <c r="F5080" s="6"/>
      <c r="G5080" s="6">
        <v>5073</v>
      </c>
      <c r="H5080" s="6">
        <f t="shared" ca="1" si="163"/>
        <v>4.9282468037215081E-2</v>
      </c>
    </row>
    <row r="5081" spans="2:8" x14ac:dyDescent="0.3">
      <c r="B5081" s="4">
        <v>40907</v>
      </c>
      <c r="C5081" s="7">
        <v>229.81</v>
      </c>
      <c r="D5081" s="6">
        <f t="shared" si="162"/>
        <v>-0.92562518406804128</v>
      </c>
      <c r="E5081" s="6">
        <v>-1.3055615202920302E-2</v>
      </c>
      <c r="F5081" s="6"/>
      <c r="G5081" s="6">
        <v>5074</v>
      </c>
      <c r="H5081" s="6">
        <f t="shared" ca="1" si="163"/>
        <v>1.1954433995973131E-2</v>
      </c>
    </row>
    <row r="5082" spans="2:8" x14ac:dyDescent="0.3">
      <c r="B5082" s="4">
        <v>44475</v>
      </c>
      <c r="C5082" s="5">
        <v>3089.89</v>
      </c>
      <c r="D5082" s="6">
        <f t="shared" si="162"/>
        <v>0.46132782202379818</v>
      </c>
      <c r="E5082" s="6">
        <v>-1.3060643034643228E-2</v>
      </c>
      <c r="F5082" s="6"/>
      <c r="G5082" s="6">
        <v>5075</v>
      </c>
      <c r="H5082" s="6">
        <f t="shared" ca="1" si="163"/>
        <v>-2.359003589504054E-2</v>
      </c>
    </row>
    <row r="5083" spans="2:8" x14ac:dyDescent="0.3">
      <c r="B5083" s="4">
        <v>44141</v>
      </c>
      <c r="C5083" s="5">
        <v>2114.44</v>
      </c>
      <c r="D5083" s="6">
        <f t="shared" si="162"/>
        <v>40.820411392405063</v>
      </c>
      <c r="E5083" s="6">
        <v>-1.3069210806370307E-2</v>
      </c>
      <c r="F5083" s="6"/>
      <c r="G5083" s="6">
        <v>5076</v>
      </c>
      <c r="H5083" s="6">
        <f t="shared" ca="1" si="163"/>
        <v>1.6210765062242952E-2</v>
      </c>
    </row>
    <row r="5084" spans="2:8" x14ac:dyDescent="0.3">
      <c r="B5084" s="4">
        <v>38820</v>
      </c>
      <c r="C5084" s="7">
        <v>50.56</v>
      </c>
      <c r="D5084" s="6">
        <f t="shared" si="162"/>
        <v>-0.96215682165204641</v>
      </c>
      <c r="E5084" s="6">
        <v>-1.3078274448565189E-2</v>
      </c>
      <c r="F5084" s="6"/>
      <c r="G5084" s="6">
        <v>5077</v>
      </c>
      <c r="H5084" s="6">
        <f t="shared" ca="1" si="163"/>
        <v>-1.6279692223616284E-3</v>
      </c>
    </row>
    <row r="5085" spans="2:8" x14ac:dyDescent="0.3">
      <c r="B5085" s="4">
        <v>43314</v>
      </c>
      <c r="C5085" s="5">
        <v>1336.04</v>
      </c>
      <c r="D5085" s="6">
        <f t="shared" si="162"/>
        <v>0.2523926920949765</v>
      </c>
      <c r="E5085" s="6">
        <v>-1.3082179132040656E-2</v>
      </c>
      <c r="F5085" s="6"/>
      <c r="G5085" s="6">
        <v>5078</v>
      </c>
      <c r="H5085" s="6">
        <f t="shared" ca="1" si="163"/>
        <v>-2.4704729225968947E-2</v>
      </c>
    </row>
    <row r="5086" spans="2:8" x14ac:dyDescent="0.3">
      <c r="B5086" s="4">
        <v>43133</v>
      </c>
      <c r="C5086" s="5">
        <v>1066.79</v>
      </c>
      <c r="D5086" s="6">
        <f t="shared" si="162"/>
        <v>25.743294058661316</v>
      </c>
      <c r="E5086" s="6">
        <v>-1.3090458304808861E-2</v>
      </c>
      <c r="F5086" s="6"/>
      <c r="G5086" s="6">
        <v>5079</v>
      </c>
      <c r="H5086" s="6">
        <f t="shared" ca="1" si="163"/>
        <v>2.1984635418769601E-2</v>
      </c>
    </row>
    <row r="5087" spans="2:8" x14ac:dyDescent="0.3">
      <c r="B5087" s="4">
        <v>38616</v>
      </c>
      <c r="C5087" s="7">
        <v>39.89</v>
      </c>
      <c r="D5087" s="6">
        <f t="shared" si="162"/>
        <v>-0.96386186153539521</v>
      </c>
      <c r="E5087" s="6">
        <v>-1.3112320633349854E-2</v>
      </c>
      <c r="F5087" s="6"/>
      <c r="G5087" s="6">
        <v>5080</v>
      </c>
      <c r="H5087" s="6">
        <f t="shared" ca="1" si="163"/>
        <v>-1.4524743532459848E-2</v>
      </c>
    </row>
    <row r="5088" spans="2:8" x14ac:dyDescent="0.3">
      <c r="B5088" s="4">
        <v>43110</v>
      </c>
      <c r="C5088" s="5">
        <v>1103.82</v>
      </c>
      <c r="D5088" s="6">
        <f t="shared" si="162"/>
        <v>3.4825177664974616</v>
      </c>
      <c r="E5088" s="6">
        <v>-1.3115897325859036E-2</v>
      </c>
      <c r="F5088" s="6"/>
      <c r="G5088" s="6">
        <v>5081</v>
      </c>
      <c r="H5088" s="6">
        <f t="shared" ca="1" si="163"/>
        <v>-2.7473369093177795E-3</v>
      </c>
    </row>
    <row r="5089" spans="2:8" x14ac:dyDescent="0.3">
      <c r="B5089" s="4">
        <v>40442</v>
      </c>
      <c r="C5089" s="7">
        <v>246.25</v>
      </c>
      <c r="D5089" s="6">
        <f t="shared" si="162"/>
        <v>-0.91668950304654229</v>
      </c>
      <c r="E5089" s="6">
        <v>-1.3144712058670304E-2</v>
      </c>
      <c r="F5089" s="6"/>
      <c r="G5089" s="6">
        <v>5082</v>
      </c>
      <c r="H5089" s="6">
        <f t="shared" ca="1" si="163"/>
        <v>1.662415897836814E-2</v>
      </c>
    </row>
    <row r="5090" spans="2:8" x14ac:dyDescent="0.3">
      <c r="B5090" s="4">
        <v>44928</v>
      </c>
      <c r="C5090" s="5">
        <v>2955.81</v>
      </c>
      <c r="D5090" s="6">
        <f t="shared" si="162"/>
        <v>3.0480566435673397</v>
      </c>
      <c r="E5090" s="6">
        <v>-1.3164220563293706E-2</v>
      </c>
      <c r="F5090" s="6"/>
      <c r="G5090" s="6">
        <v>5083</v>
      </c>
      <c r="H5090" s="6">
        <f t="shared" ca="1" si="163"/>
        <v>1.1426025091221415E-2</v>
      </c>
    </row>
    <row r="5091" spans="2:8" x14ac:dyDescent="0.3">
      <c r="B5091" s="4">
        <v>42270</v>
      </c>
      <c r="C5091" s="7">
        <v>730.18</v>
      </c>
      <c r="D5091" s="6">
        <f t="shared" si="162"/>
        <v>0.53929505017286439</v>
      </c>
      <c r="E5091" s="6">
        <v>-1.3176922141283636E-2</v>
      </c>
      <c r="F5091" s="6"/>
      <c r="G5091" s="6">
        <v>5084</v>
      </c>
      <c r="H5091" s="6">
        <f t="shared" ca="1" si="163"/>
        <v>-3.6126901258552871E-3</v>
      </c>
    </row>
    <row r="5092" spans="2:8" x14ac:dyDescent="0.3">
      <c r="B5092" s="4">
        <v>41598</v>
      </c>
      <c r="C5092" s="7">
        <v>474.36</v>
      </c>
      <c r="D5092" s="6">
        <f t="shared" si="162"/>
        <v>1.6534653465346536</v>
      </c>
      <c r="E5092" s="6">
        <v>-1.318909923028911E-2</v>
      </c>
      <c r="F5092" s="6"/>
      <c r="G5092" s="6">
        <v>5085</v>
      </c>
      <c r="H5092" s="6">
        <f t="shared" ca="1" si="163"/>
        <v>-6.979049362521304E-3</v>
      </c>
    </row>
    <row r="5093" spans="2:8" x14ac:dyDescent="0.3">
      <c r="B5093" s="4">
        <v>40303</v>
      </c>
      <c r="C5093" s="7">
        <v>178.77</v>
      </c>
      <c r="D5093" s="6">
        <f t="shared" si="162"/>
        <v>-0.89505169043272026</v>
      </c>
      <c r="E5093" s="6">
        <v>-1.3192757783175019E-2</v>
      </c>
      <c r="F5093" s="6"/>
      <c r="G5093" s="6">
        <v>5086</v>
      </c>
      <c r="H5093" s="6">
        <f t="shared" ca="1" si="163"/>
        <v>-5.860231014520221E-4</v>
      </c>
    </row>
    <row r="5094" spans="2:8" x14ac:dyDescent="0.3">
      <c r="B5094" s="4">
        <v>44053</v>
      </c>
      <c r="C5094" s="5">
        <v>1703.41</v>
      </c>
      <c r="D5094" s="6">
        <f t="shared" si="162"/>
        <v>29.084952313670087</v>
      </c>
      <c r="E5094" s="6">
        <v>-1.3236708259474187E-2</v>
      </c>
      <c r="F5094" s="6"/>
      <c r="G5094" s="6">
        <v>5087</v>
      </c>
      <c r="H5094" s="6">
        <f t="shared" ca="1" si="163"/>
        <v>-1.4430613310853076E-2</v>
      </c>
    </row>
    <row r="5095" spans="2:8" x14ac:dyDescent="0.3">
      <c r="B5095" s="4">
        <v>39150</v>
      </c>
      <c r="C5095" s="7">
        <v>56.62</v>
      </c>
      <c r="D5095" s="6">
        <f t="shared" si="162"/>
        <v>-0.24747474747474746</v>
      </c>
      <c r="E5095" s="6">
        <v>-1.324503311258287E-2</v>
      </c>
      <c r="F5095" s="6"/>
      <c r="G5095" s="6">
        <v>5088</v>
      </c>
      <c r="H5095" s="6">
        <f t="shared" ca="1" si="163"/>
        <v>-4.8240080520159942E-4</v>
      </c>
    </row>
    <row r="5096" spans="2:8" x14ac:dyDescent="0.3">
      <c r="B5096" s="4">
        <v>39822</v>
      </c>
      <c r="C5096" s="7">
        <v>75.239999999999995</v>
      </c>
      <c r="D5096" s="6">
        <f t="shared" si="162"/>
        <v>-0.73044817826819042</v>
      </c>
      <c r="E5096" s="6">
        <v>-1.324590163934433E-2</v>
      </c>
      <c r="F5096" s="6"/>
      <c r="G5096" s="6">
        <v>5089</v>
      </c>
      <c r="H5096" s="6">
        <f t="shared" ca="1" si="163"/>
        <v>2.2346156322488552E-2</v>
      </c>
    </row>
    <row r="5097" spans="2:8" x14ac:dyDescent="0.3">
      <c r="B5097" s="4">
        <v>40732</v>
      </c>
      <c r="C5097" s="7">
        <v>279.13</v>
      </c>
      <c r="D5097" s="6">
        <f t="shared" si="162"/>
        <v>0.82652794136893082</v>
      </c>
      <c r="E5097" s="6">
        <v>-1.3291385344126661E-2</v>
      </c>
      <c r="F5097" s="6"/>
      <c r="G5097" s="6">
        <v>5090</v>
      </c>
      <c r="H5097" s="6">
        <f t="shared" ca="1" si="163"/>
        <v>4.3344961411669637E-2</v>
      </c>
    </row>
    <row r="5098" spans="2:8" x14ac:dyDescent="0.3">
      <c r="B5098" s="4">
        <v>40233</v>
      </c>
      <c r="C5098" s="7">
        <v>152.82</v>
      </c>
      <c r="D5098" s="6">
        <f t="shared" si="162"/>
        <v>0.3040361805614813</v>
      </c>
      <c r="E5098" s="6">
        <v>-1.3300619834710758E-2</v>
      </c>
      <c r="F5098" s="6"/>
      <c r="G5098" s="6">
        <v>5091</v>
      </c>
      <c r="H5098" s="6">
        <f t="shared" ca="1" si="163"/>
        <v>-2.124434991751558E-2</v>
      </c>
    </row>
    <row r="5099" spans="2:8" x14ac:dyDescent="0.3">
      <c r="B5099" s="4">
        <v>40078</v>
      </c>
      <c r="C5099" s="7">
        <v>117.19</v>
      </c>
      <c r="D5099" s="6">
        <f t="shared" si="162"/>
        <v>-0.9512849078408061</v>
      </c>
      <c r="E5099" s="6">
        <v>-1.3303022648817027E-2</v>
      </c>
      <c r="F5099" s="6"/>
      <c r="G5099" s="6">
        <v>5092</v>
      </c>
      <c r="H5099" s="6">
        <f t="shared" ca="1" si="163"/>
        <v>1.4060959607201218E-2</v>
      </c>
    </row>
    <row r="5100" spans="2:8" x14ac:dyDescent="0.3">
      <c r="B5100" s="4">
        <v>45772</v>
      </c>
      <c r="C5100" s="5">
        <v>2405.62</v>
      </c>
      <c r="D5100" s="6">
        <f t="shared" si="162"/>
        <v>2.273219582550956</v>
      </c>
      <c r="E5100" s="6">
        <v>-1.3309708088775249E-2</v>
      </c>
      <c r="F5100" s="6"/>
      <c r="G5100" s="6">
        <v>5093</v>
      </c>
      <c r="H5100" s="6">
        <f t="shared" ca="1" si="163"/>
        <v>6.2983586894373167E-4</v>
      </c>
    </row>
    <row r="5101" spans="2:8" x14ac:dyDescent="0.3">
      <c r="B5101" s="4">
        <v>42039</v>
      </c>
      <c r="C5101" s="7">
        <v>734.94</v>
      </c>
      <c r="D5101" s="6">
        <f t="shared" si="162"/>
        <v>1.9538201840762028</v>
      </c>
      <c r="E5101" s="6">
        <v>-1.3317938941546007E-2</v>
      </c>
      <c r="F5101" s="6"/>
      <c r="G5101" s="6">
        <v>5094</v>
      </c>
      <c r="H5101" s="6">
        <f t="shared" ca="1" si="163"/>
        <v>6.4687231739862143E-3</v>
      </c>
    </row>
    <row r="5102" spans="2:8" x14ac:dyDescent="0.3">
      <c r="B5102" s="4">
        <v>40547</v>
      </c>
      <c r="C5102" s="7">
        <v>248.81</v>
      </c>
      <c r="D5102" s="6">
        <f t="shared" si="162"/>
        <v>2.7358858858858861</v>
      </c>
      <c r="E5102" s="6">
        <v>-1.3324344688107172E-2</v>
      </c>
      <c r="F5102" s="6"/>
      <c r="G5102" s="6">
        <v>5095</v>
      </c>
      <c r="H5102" s="6">
        <f t="shared" ca="1" si="163"/>
        <v>-1.6135699754448125E-2</v>
      </c>
    </row>
    <row r="5103" spans="2:8" x14ac:dyDescent="0.3">
      <c r="B5103" s="4">
        <v>39189</v>
      </c>
      <c r="C5103" s="7">
        <v>66.599999999999994</v>
      </c>
      <c r="D5103" s="6">
        <f t="shared" si="162"/>
        <v>-0.34769833496571989</v>
      </c>
      <c r="E5103" s="6">
        <v>-1.3333333333333417E-2</v>
      </c>
      <c r="F5103" s="6"/>
      <c r="G5103" s="6">
        <v>5096</v>
      </c>
      <c r="H5103" s="6">
        <f t="shared" ca="1" si="163"/>
        <v>7.7087070716423192E-3</v>
      </c>
    </row>
    <row r="5104" spans="2:8" x14ac:dyDescent="0.3">
      <c r="B5104" s="4">
        <v>39696</v>
      </c>
      <c r="C5104" s="7">
        <v>102.1</v>
      </c>
      <c r="D5104" s="6">
        <f t="shared" si="162"/>
        <v>0.30212983037877822</v>
      </c>
      <c r="E5104" s="6">
        <v>-1.3335910320835037E-2</v>
      </c>
      <c r="F5104" s="6"/>
      <c r="G5104" s="6">
        <v>5097</v>
      </c>
      <c r="H5104" s="6">
        <f t="shared" ca="1" si="163"/>
        <v>-8.5445235493894125E-3</v>
      </c>
    </row>
    <row r="5105" spans="2:8" x14ac:dyDescent="0.3">
      <c r="B5105" s="4">
        <v>39829</v>
      </c>
      <c r="C5105" s="7">
        <v>78.41</v>
      </c>
      <c r="D5105" s="6">
        <f t="shared" si="162"/>
        <v>-0.91364917845028859</v>
      </c>
      <c r="E5105" s="6">
        <v>-1.333836667925006E-2</v>
      </c>
      <c r="F5105" s="6"/>
      <c r="G5105" s="6">
        <v>5098</v>
      </c>
      <c r="H5105" s="6">
        <f t="shared" ca="1" si="163"/>
        <v>1.5631751065909118E-2</v>
      </c>
    </row>
    <row r="5106" spans="2:8" x14ac:dyDescent="0.3">
      <c r="B5106" s="4">
        <v>42520</v>
      </c>
      <c r="C5106" s="7">
        <v>908.04</v>
      </c>
      <c r="D5106" s="6">
        <f t="shared" si="162"/>
        <v>2.9749606023463486</v>
      </c>
      <c r="E5106" s="6">
        <v>-1.3364626116435303E-2</v>
      </c>
      <c r="F5106" s="6"/>
      <c r="G5106" s="6">
        <v>5099</v>
      </c>
      <c r="H5106" s="6">
        <f t="shared" ca="1" si="163"/>
        <v>1.1912383915979376E-2</v>
      </c>
    </row>
    <row r="5107" spans="2:8" x14ac:dyDescent="0.3">
      <c r="B5107" s="4">
        <v>40506</v>
      </c>
      <c r="C5107" s="7">
        <v>228.44</v>
      </c>
      <c r="D5107" s="6">
        <f t="shared" si="162"/>
        <v>-0.92266154778469545</v>
      </c>
      <c r="E5107" s="6">
        <v>-1.3388615358037464E-2</v>
      </c>
      <c r="F5107" s="6"/>
      <c r="G5107" s="6">
        <v>5100</v>
      </c>
      <c r="H5107" s="6">
        <f t="shared" ca="1" si="163"/>
        <v>-2.9136118753702329E-2</v>
      </c>
    </row>
    <row r="5108" spans="2:8" x14ac:dyDescent="0.3">
      <c r="B5108" s="4">
        <v>44875</v>
      </c>
      <c r="C5108" s="5">
        <v>2953.77</v>
      </c>
      <c r="D5108" s="6">
        <f t="shared" si="162"/>
        <v>181.33148148148149</v>
      </c>
      <c r="E5108" s="6">
        <v>-1.3397330554330877E-2</v>
      </c>
      <c r="F5108" s="6"/>
      <c r="G5108" s="6">
        <v>5101</v>
      </c>
      <c r="H5108" s="6">
        <f t="shared" ca="1" si="163"/>
        <v>-8.4343486063012899E-3</v>
      </c>
    </row>
    <row r="5109" spans="2:8" x14ac:dyDescent="0.3">
      <c r="B5109" s="4">
        <v>37652</v>
      </c>
      <c r="C5109" s="7">
        <v>16.2</v>
      </c>
      <c r="D5109" s="6">
        <f t="shared" si="162"/>
        <v>-0.94426861153158115</v>
      </c>
      <c r="E5109" s="6">
        <v>-1.3398294762484921E-2</v>
      </c>
      <c r="F5109" s="6"/>
      <c r="G5109" s="6">
        <v>5102</v>
      </c>
      <c r="H5109" s="6">
        <f t="shared" ca="1" si="163"/>
        <v>-3.516215292140374E-2</v>
      </c>
    </row>
    <row r="5110" spans="2:8" x14ac:dyDescent="0.3">
      <c r="B5110" s="4">
        <v>41008</v>
      </c>
      <c r="C5110" s="7">
        <v>290.68</v>
      </c>
      <c r="D5110" s="6">
        <f t="shared" si="162"/>
        <v>0.6202898550724637</v>
      </c>
      <c r="E5110" s="6">
        <v>-1.340664562332413E-2</v>
      </c>
      <c r="F5110" s="6"/>
      <c r="G5110" s="6">
        <v>5103</v>
      </c>
      <c r="H5110" s="6">
        <f t="shared" ca="1" si="163"/>
        <v>2.4029096037704516E-2</v>
      </c>
    </row>
    <row r="5111" spans="2:8" x14ac:dyDescent="0.3">
      <c r="B5111" s="4">
        <v>40294</v>
      </c>
      <c r="C5111" s="7">
        <v>179.4</v>
      </c>
      <c r="D5111" s="6">
        <f t="shared" si="162"/>
        <v>3.8842907704873406</v>
      </c>
      <c r="E5111" s="6">
        <v>-1.3418389793224801E-2</v>
      </c>
      <c r="F5111" s="6"/>
      <c r="G5111" s="6">
        <v>5104</v>
      </c>
      <c r="H5111" s="6">
        <f t="shared" ca="1" si="163"/>
        <v>9.1787632460929684E-3</v>
      </c>
    </row>
    <row r="5112" spans="2:8" x14ac:dyDescent="0.3">
      <c r="B5112" s="4">
        <v>38569</v>
      </c>
      <c r="C5112" s="7">
        <v>36.729999999999997</v>
      </c>
      <c r="D5112" s="6">
        <f t="shared" si="162"/>
        <v>-0.98754015611271861</v>
      </c>
      <c r="E5112" s="6">
        <v>-1.3430029546065002E-2</v>
      </c>
      <c r="F5112" s="6"/>
      <c r="G5112" s="6">
        <v>5105</v>
      </c>
      <c r="H5112" s="6">
        <f t="shared" ca="1" si="163"/>
        <v>-1.8007995843378661E-2</v>
      </c>
    </row>
    <row r="5113" spans="2:8" x14ac:dyDescent="0.3">
      <c r="B5113" s="4">
        <v>44861</v>
      </c>
      <c r="C5113" s="5">
        <v>2947.87</v>
      </c>
      <c r="D5113" s="6">
        <f t="shared" si="162"/>
        <v>1.6328965819065224</v>
      </c>
      <c r="E5113" s="6">
        <v>-1.343699172026964E-2</v>
      </c>
      <c r="F5113" s="6"/>
      <c r="G5113" s="6">
        <v>5106</v>
      </c>
      <c r="H5113" s="6">
        <f t="shared" ca="1" si="163"/>
        <v>8.4540137761248834E-5</v>
      </c>
    </row>
    <row r="5114" spans="2:8" x14ac:dyDescent="0.3">
      <c r="B5114" s="4">
        <v>43003</v>
      </c>
      <c r="C5114" s="5">
        <v>1119.6300000000001</v>
      </c>
      <c r="D5114" s="6">
        <f t="shared" si="162"/>
        <v>-0.6363137310950574</v>
      </c>
      <c r="E5114" s="6">
        <v>-1.3437544057521499E-2</v>
      </c>
      <c r="F5114" s="6"/>
      <c r="G5114" s="6">
        <v>5107</v>
      </c>
      <c r="H5114" s="6">
        <f t="shared" ca="1" si="163"/>
        <v>2.9841543655459605E-2</v>
      </c>
    </row>
    <row r="5115" spans="2:8" x14ac:dyDescent="0.3">
      <c r="B5115" s="4">
        <v>45208</v>
      </c>
      <c r="C5115" s="5">
        <v>3078.56</v>
      </c>
      <c r="D5115" s="6">
        <f t="shared" si="162"/>
        <v>-1.3718291268605605E-2</v>
      </c>
      <c r="E5115" s="6">
        <v>-1.3440153821502982E-2</v>
      </c>
      <c r="F5115" s="6"/>
      <c r="G5115" s="6">
        <v>5108</v>
      </c>
      <c r="H5115" s="6">
        <f t="shared" ca="1" si="163"/>
        <v>9.790154792928633E-3</v>
      </c>
    </row>
    <row r="5116" spans="2:8" x14ac:dyDescent="0.3">
      <c r="B5116" s="4">
        <v>45184</v>
      </c>
      <c r="C5116" s="5">
        <v>3121.38</v>
      </c>
      <c r="D5116" s="6">
        <f t="shared" si="162"/>
        <v>6.0782801941131117</v>
      </c>
      <c r="E5116" s="6">
        <v>-1.3454700611577209E-2</v>
      </c>
      <c r="F5116" s="6"/>
      <c r="G5116" s="6">
        <v>5109</v>
      </c>
      <c r="H5116" s="6">
        <f t="shared" ca="1" si="163"/>
        <v>-7.0399088336009809E-3</v>
      </c>
    </row>
    <row r="5117" spans="2:8" x14ac:dyDescent="0.3">
      <c r="B5117" s="4">
        <v>41653</v>
      </c>
      <c r="C5117" s="7">
        <v>440.98</v>
      </c>
      <c r="D5117" s="6">
        <f t="shared" si="162"/>
        <v>-0.80824955647545826</v>
      </c>
      <c r="E5117" s="6">
        <v>-1.3467561521252756E-2</v>
      </c>
      <c r="F5117" s="6"/>
      <c r="G5117" s="6">
        <v>5110</v>
      </c>
      <c r="H5117" s="6">
        <f t="shared" ca="1" si="163"/>
        <v>1.3698140400400695E-2</v>
      </c>
    </row>
    <row r="5118" spans="2:8" x14ac:dyDescent="0.3">
      <c r="B5118" s="4">
        <v>45790</v>
      </c>
      <c r="C5118" s="5">
        <v>2299.7600000000002</v>
      </c>
      <c r="D5118" s="6">
        <f t="shared" si="162"/>
        <v>9.5566705736199187E-3</v>
      </c>
      <c r="E5118" s="6">
        <v>-1.3495079829445348E-2</v>
      </c>
      <c r="F5118" s="6"/>
      <c r="G5118" s="6">
        <v>5111</v>
      </c>
      <c r="H5118" s="6">
        <f t="shared" ca="1" si="163"/>
        <v>1.6453391452779204E-2</v>
      </c>
    </row>
    <row r="5119" spans="2:8" x14ac:dyDescent="0.3">
      <c r="B5119" s="4">
        <v>45785</v>
      </c>
      <c r="C5119" s="5">
        <v>2277.9899999999998</v>
      </c>
      <c r="D5119" s="6">
        <f t="shared" si="162"/>
        <v>1.9859223237341233</v>
      </c>
      <c r="E5119" s="6">
        <v>-1.3498415008054909E-2</v>
      </c>
      <c r="F5119" s="6"/>
      <c r="G5119" s="6">
        <v>5112</v>
      </c>
      <c r="H5119" s="6">
        <f t="shared" ca="1" si="163"/>
        <v>-1.9522996202127454E-2</v>
      </c>
    </row>
    <row r="5120" spans="2:8" x14ac:dyDescent="0.3">
      <c r="B5120" s="4">
        <v>42268</v>
      </c>
      <c r="C5120" s="7">
        <v>762.91</v>
      </c>
      <c r="D5120" s="6">
        <f t="shared" si="162"/>
        <v>-0.31641951525469292</v>
      </c>
      <c r="E5120" s="6">
        <v>-1.3499709057994511E-2</v>
      </c>
      <c r="F5120" s="6"/>
      <c r="G5120" s="6">
        <v>5113</v>
      </c>
      <c r="H5120" s="6">
        <f t="shared" ca="1" si="163"/>
        <v>-1.5126227155174336E-2</v>
      </c>
    </row>
    <row r="5121" spans="2:8" x14ac:dyDescent="0.3">
      <c r="B5121" s="4">
        <v>43224</v>
      </c>
      <c r="C5121" s="5">
        <v>1116.05</v>
      </c>
      <c r="D5121" s="6">
        <f t="shared" si="162"/>
        <v>-0.6622646020136117</v>
      </c>
      <c r="E5121" s="6">
        <v>-1.3506227183933931E-2</v>
      </c>
      <c r="F5121" s="6"/>
      <c r="G5121" s="6">
        <v>5114</v>
      </c>
      <c r="H5121" s="6">
        <f t="shared" ca="1" si="163"/>
        <v>1.6146734844785357E-4</v>
      </c>
    </row>
    <row r="5122" spans="2:8" x14ac:dyDescent="0.3">
      <c r="B5122" s="4">
        <v>44783</v>
      </c>
      <c r="C5122" s="5">
        <v>3304.51</v>
      </c>
      <c r="D5122" s="6">
        <f t="shared" si="162"/>
        <v>0.12847385855274393</v>
      </c>
      <c r="E5122" s="6">
        <v>-1.3531989587562368E-2</v>
      </c>
      <c r="F5122" s="6"/>
      <c r="G5122" s="6">
        <v>5115</v>
      </c>
      <c r="H5122" s="6">
        <f t="shared" ca="1" si="163"/>
        <v>-2.1045473242819877E-2</v>
      </c>
    </row>
    <row r="5123" spans="2:8" x14ac:dyDescent="0.3">
      <c r="B5123" s="4">
        <v>45999</v>
      </c>
      <c r="C5123" s="5">
        <v>2928.3</v>
      </c>
      <c r="D5123" s="6">
        <f t="shared" si="162"/>
        <v>38.80831973898858</v>
      </c>
      <c r="E5123" s="6">
        <v>-1.3542193026781141E-2</v>
      </c>
      <c r="F5123" s="6"/>
      <c r="G5123" s="6">
        <v>5116</v>
      </c>
      <c r="H5123" s="6">
        <f t="shared" ca="1" si="163"/>
        <v>-1.5943410306101531E-2</v>
      </c>
    </row>
    <row r="5124" spans="2:8" x14ac:dyDescent="0.3">
      <c r="B5124" s="4">
        <v>39806</v>
      </c>
      <c r="C5124" s="7">
        <v>73.56</v>
      </c>
      <c r="D5124" s="6">
        <f t="shared" si="162"/>
        <v>-0.94969190050540631</v>
      </c>
      <c r="E5124" s="6">
        <v>-1.354432077242847E-2</v>
      </c>
      <c r="F5124" s="6"/>
      <c r="G5124" s="6">
        <v>5117</v>
      </c>
      <c r="H5124" s="6">
        <f t="shared" ca="1" si="163"/>
        <v>1.5828554883533671E-3</v>
      </c>
    </row>
    <row r="5125" spans="2:8" x14ac:dyDescent="0.3">
      <c r="B5125" s="4">
        <v>43720</v>
      </c>
      <c r="C5125" s="5">
        <v>1462.19</v>
      </c>
      <c r="D5125" s="6">
        <f t="shared" si="162"/>
        <v>0.14925842378702978</v>
      </c>
      <c r="E5125" s="6">
        <v>-1.3546789721170857E-2</v>
      </c>
      <c r="F5125" s="6"/>
      <c r="G5125" s="6">
        <v>5118</v>
      </c>
      <c r="H5125" s="6">
        <f t="shared" ca="1" si="163"/>
        <v>-4.9702809244010779E-3</v>
      </c>
    </row>
    <row r="5126" spans="2:8" x14ac:dyDescent="0.3">
      <c r="B5126" s="4">
        <v>43654</v>
      </c>
      <c r="C5126" s="5">
        <v>1272.29</v>
      </c>
      <c r="D5126" s="6">
        <f t="shared" si="162"/>
        <v>-0.4768071124855045</v>
      </c>
      <c r="E5126" s="6">
        <v>-1.3575748178012088E-2</v>
      </c>
      <c r="F5126" s="6"/>
      <c r="G5126" s="6">
        <v>5119</v>
      </c>
      <c r="H5126" s="6">
        <f t="shared" ca="1" si="163"/>
        <v>1.8920683362296555E-2</v>
      </c>
    </row>
    <row r="5127" spans="2:8" x14ac:dyDescent="0.3">
      <c r="B5127" s="4">
        <v>45624</v>
      </c>
      <c r="C5127" s="5">
        <v>2431.7800000000002</v>
      </c>
      <c r="D5127" s="6">
        <f t="shared" si="162"/>
        <v>-0.13223234868003167</v>
      </c>
      <c r="E5127" s="6">
        <v>-1.3584718915169446E-2</v>
      </c>
      <c r="F5127" s="6"/>
      <c r="G5127" s="6">
        <v>5120</v>
      </c>
      <c r="H5127" s="6">
        <f t="shared" ca="1" si="163"/>
        <v>2.1802222194774127E-3</v>
      </c>
    </row>
    <row r="5128" spans="2:8" x14ac:dyDescent="0.3">
      <c r="B5128" s="4">
        <v>44754</v>
      </c>
      <c r="C5128" s="5">
        <v>2802.34</v>
      </c>
      <c r="D5128" s="6">
        <f t="shared" ref="D5128:D5191" si="164">((C5128-C5129)/C5129)</f>
        <v>3.8633160945472214</v>
      </c>
      <c r="E5128" s="6">
        <v>-1.3587052172872326E-2</v>
      </c>
      <c r="F5128" s="6"/>
      <c r="G5128" s="6">
        <v>5121</v>
      </c>
      <c r="H5128" s="6">
        <f t="shared" ca="1" si="163"/>
        <v>2.2828635284901255E-2</v>
      </c>
    </row>
    <row r="5129" spans="2:8" x14ac:dyDescent="0.3">
      <c r="B5129" s="4">
        <v>41858</v>
      </c>
      <c r="C5129" s="7">
        <v>576.22</v>
      </c>
      <c r="D5129" s="6">
        <f t="shared" si="164"/>
        <v>5.308517626450624</v>
      </c>
      <c r="E5129" s="6">
        <v>-1.3592166529717785E-2</v>
      </c>
      <c r="F5129" s="6"/>
      <c r="G5129" s="6">
        <v>5122</v>
      </c>
      <c r="H5129" s="6">
        <f t="shared" ref="H5129:H5192" ca="1" si="165">_xlfn.NORM.INV(RAND(),N$10,N$11)</f>
        <v>-2.1552875304110847E-2</v>
      </c>
    </row>
    <row r="5130" spans="2:8" x14ac:dyDescent="0.3">
      <c r="B5130" s="4">
        <v>39443</v>
      </c>
      <c r="C5130" s="7">
        <v>91.34</v>
      </c>
      <c r="D5130" s="6">
        <f t="shared" si="164"/>
        <v>-0.96087284316581267</v>
      </c>
      <c r="E5130" s="6">
        <v>-1.3606911447084136E-2</v>
      </c>
      <c r="F5130" s="6"/>
      <c r="G5130" s="6">
        <v>5123</v>
      </c>
      <c r="H5130" s="6">
        <f t="shared" ca="1" si="165"/>
        <v>-4.3570312381553313E-3</v>
      </c>
    </row>
    <row r="5131" spans="2:8" x14ac:dyDescent="0.3">
      <c r="B5131" s="4">
        <v>44173</v>
      </c>
      <c r="C5131" s="5">
        <v>2334.44</v>
      </c>
      <c r="D5131" s="6">
        <f t="shared" si="164"/>
        <v>18.803529012555142</v>
      </c>
      <c r="E5131" s="6">
        <v>-1.3609954999683111E-2</v>
      </c>
      <c r="F5131" s="6"/>
      <c r="G5131" s="6">
        <v>5124</v>
      </c>
      <c r="H5131" s="6">
        <f t="shared" ca="1" si="165"/>
        <v>-1.5641148526009022E-2</v>
      </c>
    </row>
    <row r="5132" spans="2:8" x14ac:dyDescent="0.3">
      <c r="B5132" s="4">
        <v>40039</v>
      </c>
      <c r="C5132" s="7">
        <v>117.88</v>
      </c>
      <c r="D5132" s="6">
        <f t="shared" si="164"/>
        <v>-0.85287253029792442</v>
      </c>
      <c r="E5132" s="6">
        <v>-1.3639026022927032E-2</v>
      </c>
      <c r="F5132" s="6"/>
      <c r="G5132" s="6">
        <v>5125</v>
      </c>
      <c r="H5132" s="6">
        <f t="shared" ca="1" si="165"/>
        <v>-1.4575822882587979E-2</v>
      </c>
    </row>
    <row r="5133" spans="2:8" x14ac:dyDescent="0.3">
      <c r="B5133" s="4">
        <v>42228</v>
      </c>
      <c r="C5133" s="7">
        <v>801.21</v>
      </c>
      <c r="D5133" s="6">
        <f t="shared" si="164"/>
        <v>-0.39210166919575112</v>
      </c>
      <c r="E5133" s="6">
        <v>-1.3640448608255583E-2</v>
      </c>
      <c r="F5133" s="6"/>
      <c r="G5133" s="6">
        <v>5126</v>
      </c>
      <c r="H5133" s="6">
        <f t="shared" ca="1" si="165"/>
        <v>1.3725741791340763E-2</v>
      </c>
    </row>
    <row r="5134" spans="2:8" x14ac:dyDescent="0.3">
      <c r="B5134" s="4">
        <v>43325</v>
      </c>
      <c r="C5134" s="5">
        <v>1318</v>
      </c>
      <c r="D5134" s="6">
        <f t="shared" si="164"/>
        <v>15.151960784313728</v>
      </c>
      <c r="E5134" s="6">
        <v>-1.3642860884727942E-2</v>
      </c>
      <c r="F5134" s="6"/>
      <c r="G5134" s="6">
        <v>5127</v>
      </c>
      <c r="H5134" s="6">
        <f t="shared" ca="1" si="165"/>
        <v>2.0929241919557268E-3</v>
      </c>
    </row>
    <row r="5135" spans="2:8" x14ac:dyDescent="0.3">
      <c r="B5135" s="4">
        <v>39752</v>
      </c>
      <c r="C5135" s="7">
        <v>81.599999999999994</v>
      </c>
      <c r="D5135" s="6">
        <f t="shared" si="164"/>
        <v>-0.89271486609079787</v>
      </c>
      <c r="E5135" s="6">
        <v>-1.3658890366251779E-2</v>
      </c>
      <c r="F5135" s="6"/>
      <c r="G5135" s="6">
        <v>5128</v>
      </c>
      <c r="H5135" s="6">
        <f t="shared" ca="1" si="165"/>
        <v>3.7197280943776501E-3</v>
      </c>
    </row>
    <row r="5136" spans="2:8" x14ac:dyDescent="0.3">
      <c r="B5136" s="4">
        <v>42023</v>
      </c>
      <c r="C5136" s="7">
        <v>760.59</v>
      </c>
      <c r="D5136" s="6">
        <f t="shared" si="164"/>
        <v>-4.7929601442018778E-2</v>
      </c>
      <c r="E5136" s="6">
        <v>-1.3693833884458207E-2</v>
      </c>
      <c r="F5136" s="6"/>
      <c r="G5136" s="6">
        <v>5129</v>
      </c>
      <c r="H5136" s="6">
        <f t="shared" ca="1" si="165"/>
        <v>-1.0063983434445341E-2</v>
      </c>
    </row>
    <row r="5137" spans="2:8" x14ac:dyDescent="0.3">
      <c r="B5137" s="4">
        <v>42354</v>
      </c>
      <c r="C5137" s="7">
        <v>798.88</v>
      </c>
      <c r="D5137" s="6">
        <f t="shared" si="164"/>
        <v>1.0178833038646125</v>
      </c>
      <c r="E5137" s="6">
        <v>-1.3716218718749631E-2</v>
      </c>
      <c r="F5137" s="6"/>
      <c r="G5137" s="6">
        <v>5130</v>
      </c>
      <c r="H5137" s="6">
        <f t="shared" ca="1" si="165"/>
        <v>-3.807745126806969E-3</v>
      </c>
    </row>
    <row r="5138" spans="2:8" x14ac:dyDescent="0.3">
      <c r="B5138" s="4">
        <v>41529</v>
      </c>
      <c r="C5138" s="7">
        <v>395.9</v>
      </c>
      <c r="D5138" s="6">
        <f t="shared" si="164"/>
        <v>6.2549019607843137</v>
      </c>
      <c r="E5138" s="6">
        <v>-1.372661368675431E-2</v>
      </c>
      <c r="F5138" s="6"/>
      <c r="G5138" s="6">
        <v>5131</v>
      </c>
      <c r="H5138" s="6">
        <f t="shared" ca="1" si="165"/>
        <v>1.3199105141273294E-2</v>
      </c>
    </row>
    <row r="5139" spans="2:8" x14ac:dyDescent="0.3">
      <c r="B5139" s="4">
        <v>39002</v>
      </c>
      <c r="C5139" s="7">
        <v>54.57</v>
      </c>
      <c r="D5139" s="6">
        <f t="shared" si="164"/>
        <v>-0.80247583885329565</v>
      </c>
      <c r="E5139" s="6">
        <v>-1.3735767214892428E-2</v>
      </c>
      <c r="F5139" s="6"/>
      <c r="G5139" s="6">
        <v>5132</v>
      </c>
      <c r="H5139" s="6">
        <f t="shared" ca="1" si="165"/>
        <v>-7.1843668123485714E-3</v>
      </c>
    </row>
    <row r="5140" spans="2:8" x14ac:dyDescent="0.3">
      <c r="B5140" s="4">
        <v>40856</v>
      </c>
      <c r="C5140" s="7">
        <v>276.27</v>
      </c>
      <c r="D5140" s="6">
        <f t="shared" si="164"/>
        <v>11.127743634767338</v>
      </c>
      <c r="E5140" s="6">
        <v>-1.3849723362484368E-2</v>
      </c>
      <c r="F5140" s="6"/>
      <c r="G5140" s="6">
        <v>5133</v>
      </c>
      <c r="H5140" s="6">
        <f t="shared" ca="1" si="165"/>
        <v>-1.6982757035065275E-2</v>
      </c>
    </row>
    <row r="5141" spans="2:8" x14ac:dyDescent="0.3">
      <c r="B5141" s="4">
        <v>37900</v>
      </c>
      <c r="C5141" s="7">
        <v>22.78</v>
      </c>
      <c r="D5141" s="6">
        <f t="shared" si="164"/>
        <v>-0.946724666152155</v>
      </c>
      <c r="E5141" s="6">
        <v>-1.3852813852813865E-2</v>
      </c>
      <c r="F5141" s="6"/>
      <c r="G5141" s="6">
        <v>5134</v>
      </c>
      <c r="H5141" s="6">
        <f t="shared" ca="1" si="165"/>
        <v>4.112563908779801E-3</v>
      </c>
    </row>
    <row r="5142" spans="2:8" x14ac:dyDescent="0.3">
      <c r="B5142" s="4">
        <v>41661</v>
      </c>
      <c r="C5142" s="7">
        <v>427.59</v>
      </c>
      <c r="D5142" s="6">
        <f t="shared" si="164"/>
        <v>-0.83944563139970185</v>
      </c>
      <c r="E5142" s="6">
        <v>-1.3860701107011179E-2</v>
      </c>
      <c r="F5142" s="6"/>
      <c r="G5142" s="6">
        <v>5135</v>
      </c>
      <c r="H5142" s="6">
        <f t="shared" ca="1" si="165"/>
        <v>-7.2854769874015849E-3</v>
      </c>
    </row>
    <row r="5143" spans="2:8" x14ac:dyDescent="0.3">
      <c r="B5143" s="4">
        <v>44999</v>
      </c>
      <c r="C5143" s="5">
        <v>2663.21</v>
      </c>
      <c r="D5143" s="6">
        <f t="shared" si="164"/>
        <v>2.708586308694926</v>
      </c>
      <c r="E5143" s="6">
        <v>-1.38633291985263E-2</v>
      </c>
      <c r="F5143" s="6"/>
      <c r="G5143" s="6">
        <v>5136</v>
      </c>
      <c r="H5143" s="6">
        <f t="shared" ca="1" si="165"/>
        <v>2.941370564759448E-2</v>
      </c>
    </row>
    <row r="5144" spans="2:8" x14ac:dyDescent="0.3">
      <c r="B5144" s="4">
        <v>42116</v>
      </c>
      <c r="C5144" s="7">
        <v>718.12</v>
      </c>
      <c r="D5144" s="6">
        <f t="shared" si="164"/>
        <v>-0.7581786283139651</v>
      </c>
      <c r="E5144" s="6">
        <v>-1.3869435060833296E-2</v>
      </c>
      <c r="F5144" s="6"/>
      <c r="G5144" s="6">
        <v>5137</v>
      </c>
      <c r="H5144" s="6">
        <f t="shared" ca="1" si="165"/>
        <v>-1.1251442528923718E-2</v>
      </c>
    </row>
    <row r="5145" spans="2:8" x14ac:dyDescent="0.3">
      <c r="B5145" s="4">
        <v>45587</v>
      </c>
      <c r="C5145" s="5">
        <v>2969.63</v>
      </c>
      <c r="D5145" s="6">
        <f t="shared" si="164"/>
        <v>0.13152038895620435</v>
      </c>
      <c r="E5145" s="6">
        <v>-1.3886997957794323E-2</v>
      </c>
      <c r="F5145" s="6"/>
      <c r="G5145" s="6">
        <v>5138</v>
      </c>
      <c r="H5145" s="6">
        <f t="shared" ca="1" si="165"/>
        <v>7.0094381751813531E-4</v>
      </c>
    </row>
    <row r="5146" spans="2:8" x14ac:dyDescent="0.3">
      <c r="B5146" s="4">
        <v>44959</v>
      </c>
      <c r="C5146" s="5">
        <v>2624.46</v>
      </c>
      <c r="D5146" s="6">
        <f t="shared" si="164"/>
        <v>11.7854045890778</v>
      </c>
      <c r="E5146" s="6">
        <v>-1.3887323308609702E-2</v>
      </c>
      <c r="F5146" s="6"/>
      <c r="G5146" s="6">
        <v>5139</v>
      </c>
      <c r="H5146" s="6">
        <f t="shared" ca="1" si="165"/>
        <v>-1.6405734065135329E-2</v>
      </c>
    </row>
    <row r="5147" spans="2:8" x14ac:dyDescent="0.3">
      <c r="B5147" s="4">
        <v>40357</v>
      </c>
      <c r="C5147" s="7">
        <v>205.27</v>
      </c>
      <c r="D5147" s="6">
        <f t="shared" si="164"/>
        <v>6.2533568904593642</v>
      </c>
      <c r="E5147" s="6">
        <v>-1.3930921842724587E-2</v>
      </c>
      <c r="F5147" s="6"/>
      <c r="G5147" s="6">
        <v>5140</v>
      </c>
      <c r="H5147" s="6">
        <f t="shared" ca="1" si="165"/>
        <v>-1.3453875244879763E-2</v>
      </c>
    </row>
    <row r="5148" spans="2:8" x14ac:dyDescent="0.3">
      <c r="B5148" s="4">
        <v>38420</v>
      </c>
      <c r="C5148" s="7">
        <v>28.3</v>
      </c>
      <c r="D5148" s="6">
        <f t="shared" si="164"/>
        <v>-0.72967809723946897</v>
      </c>
      <c r="E5148" s="6">
        <v>-1.3937282229965108E-2</v>
      </c>
      <c r="F5148" s="6"/>
      <c r="G5148" s="6">
        <v>5141</v>
      </c>
      <c r="H5148" s="6">
        <f t="shared" ca="1" si="165"/>
        <v>-3.3660254478642274E-3</v>
      </c>
    </row>
    <row r="5149" spans="2:8" x14ac:dyDescent="0.3">
      <c r="B5149" s="4">
        <v>39602</v>
      </c>
      <c r="C5149" s="7">
        <v>104.69</v>
      </c>
      <c r="D5149" s="6">
        <f t="shared" si="164"/>
        <v>-0.90170045351686834</v>
      </c>
      <c r="E5149" s="6">
        <v>-1.3939907695205839E-2</v>
      </c>
      <c r="F5149" s="6"/>
      <c r="G5149" s="6">
        <v>5142</v>
      </c>
      <c r="H5149" s="6">
        <f t="shared" ca="1" si="165"/>
        <v>-2.137833855698058E-2</v>
      </c>
    </row>
    <row r="5150" spans="2:8" x14ac:dyDescent="0.3">
      <c r="B5150" s="4">
        <v>43194</v>
      </c>
      <c r="C5150" s="5">
        <v>1065.01</v>
      </c>
      <c r="D5150" s="6">
        <f t="shared" si="164"/>
        <v>-0.45936108756237598</v>
      </c>
      <c r="E5150" s="6">
        <v>-1.3970928617720507E-2</v>
      </c>
      <c r="F5150" s="6"/>
      <c r="G5150" s="6">
        <v>5143</v>
      </c>
      <c r="H5150" s="6">
        <f t="shared" ca="1" si="165"/>
        <v>-2.2930786301921325E-3</v>
      </c>
    </row>
    <row r="5151" spans="2:8" x14ac:dyDescent="0.3">
      <c r="B5151" s="4">
        <v>44120</v>
      </c>
      <c r="C5151" s="5">
        <v>1969.91</v>
      </c>
      <c r="D5151" s="6">
        <f t="shared" si="164"/>
        <v>0.85709168041480088</v>
      </c>
      <c r="E5151" s="6">
        <v>-1.3994904573370544E-2</v>
      </c>
      <c r="F5151" s="6"/>
      <c r="G5151" s="6">
        <v>5144</v>
      </c>
      <c r="H5151" s="6">
        <f t="shared" ca="1" si="165"/>
        <v>1.0330392604521649E-2</v>
      </c>
    </row>
    <row r="5152" spans="2:8" x14ac:dyDescent="0.3">
      <c r="B5152" s="4">
        <v>42942</v>
      </c>
      <c r="C5152" s="5">
        <v>1060.75</v>
      </c>
      <c r="D5152" s="6">
        <f t="shared" si="164"/>
        <v>64.478395061728392</v>
      </c>
      <c r="E5152" s="6">
        <v>-1.3998754426896893E-2</v>
      </c>
      <c r="F5152" s="6"/>
      <c r="G5152" s="6">
        <v>5145</v>
      </c>
      <c r="H5152" s="6">
        <f t="shared" ca="1" si="165"/>
        <v>-3.7677017855760456E-2</v>
      </c>
    </row>
    <row r="5153" spans="2:8" x14ac:dyDescent="0.3">
      <c r="B5153" s="4">
        <v>37589</v>
      </c>
      <c r="C5153" s="7">
        <v>16.2</v>
      </c>
      <c r="D5153" s="6">
        <f t="shared" si="164"/>
        <v>-0.99410158383397063</v>
      </c>
      <c r="E5153" s="6">
        <v>-1.3998782714546588E-2</v>
      </c>
      <c r="F5153" s="6"/>
      <c r="G5153" s="6">
        <v>5146</v>
      </c>
      <c r="H5153" s="6">
        <f t="shared" ca="1" si="165"/>
        <v>1.6043398065922573E-2</v>
      </c>
    </row>
    <row r="5154" spans="2:8" x14ac:dyDescent="0.3">
      <c r="B5154" s="4">
        <v>46017</v>
      </c>
      <c r="C5154" s="5">
        <v>2746.5</v>
      </c>
      <c r="D5154" s="6">
        <f t="shared" si="164"/>
        <v>34.507433742727862</v>
      </c>
      <c r="E5154" s="6">
        <v>-1.4001077005923533E-2</v>
      </c>
      <c r="F5154" s="6"/>
      <c r="G5154" s="6">
        <v>5147</v>
      </c>
      <c r="H5154" s="6">
        <f t="shared" ca="1" si="165"/>
        <v>1.2481732632773758E-3</v>
      </c>
    </row>
    <row r="5155" spans="2:8" x14ac:dyDescent="0.3">
      <c r="B5155" s="4">
        <v>39311</v>
      </c>
      <c r="C5155" s="7">
        <v>77.349999999999994</v>
      </c>
      <c r="D5155" s="6">
        <f t="shared" si="164"/>
        <v>-0.72888187872415</v>
      </c>
      <c r="E5155" s="6">
        <v>-1.4021669853409923E-2</v>
      </c>
      <c r="F5155" s="6"/>
      <c r="G5155" s="6">
        <v>5148</v>
      </c>
      <c r="H5155" s="6">
        <f t="shared" ca="1" si="165"/>
        <v>6.3463299471443165E-3</v>
      </c>
    </row>
    <row r="5156" spans="2:8" x14ac:dyDescent="0.3">
      <c r="B5156" s="4">
        <v>40779</v>
      </c>
      <c r="C5156" s="7">
        <v>285.3</v>
      </c>
      <c r="D5156" s="6">
        <f t="shared" si="164"/>
        <v>10.602277348515658</v>
      </c>
      <c r="E5156" s="6">
        <v>-1.403096488802876E-2</v>
      </c>
      <c r="F5156" s="6"/>
      <c r="G5156" s="6">
        <v>5149</v>
      </c>
      <c r="H5156" s="6">
        <f t="shared" ca="1" si="165"/>
        <v>-2.6666448283184704E-2</v>
      </c>
    </row>
    <row r="5157" spans="2:8" x14ac:dyDescent="0.3">
      <c r="B5157" s="4">
        <v>38218</v>
      </c>
      <c r="C5157" s="7">
        <v>24.59</v>
      </c>
      <c r="D5157" s="6">
        <f t="shared" si="164"/>
        <v>-0.98497825237024739</v>
      </c>
      <c r="E5157" s="6">
        <v>-1.4033680834001661E-2</v>
      </c>
      <c r="F5157" s="6"/>
      <c r="G5157" s="6">
        <v>5150</v>
      </c>
      <c r="H5157" s="6">
        <f t="shared" ca="1" si="165"/>
        <v>-6.3708157698179144E-3</v>
      </c>
    </row>
    <row r="5158" spans="2:8" x14ac:dyDescent="0.3">
      <c r="B5158" s="4">
        <v>43742</v>
      </c>
      <c r="C5158" s="5">
        <v>1636.96</v>
      </c>
      <c r="D5158" s="6">
        <f t="shared" si="164"/>
        <v>24.339938080495362</v>
      </c>
      <c r="E5158" s="6">
        <v>-1.4033946490308719E-2</v>
      </c>
      <c r="F5158" s="6"/>
      <c r="G5158" s="6">
        <v>5151</v>
      </c>
      <c r="H5158" s="6">
        <f t="shared" ca="1" si="165"/>
        <v>4.8880630179109104E-3</v>
      </c>
    </row>
    <row r="5159" spans="2:8" x14ac:dyDescent="0.3">
      <c r="B5159" s="4">
        <v>39211</v>
      </c>
      <c r="C5159" s="7">
        <v>64.599999999999994</v>
      </c>
      <c r="D5159" s="6">
        <f t="shared" si="164"/>
        <v>1.0919689119170986</v>
      </c>
      <c r="E5159" s="6">
        <v>-1.4041514041514068E-2</v>
      </c>
      <c r="F5159" s="6"/>
      <c r="G5159" s="6">
        <v>5152</v>
      </c>
      <c r="H5159" s="6">
        <f t="shared" ca="1" si="165"/>
        <v>-2.5514815497495659E-2</v>
      </c>
    </row>
    <row r="5160" spans="2:8" x14ac:dyDescent="0.3">
      <c r="B5160" s="4">
        <v>38511</v>
      </c>
      <c r="C5160" s="7">
        <v>30.88</v>
      </c>
      <c r="D5160" s="6">
        <f t="shared" si="164"/>
        <v>-0.98659867635890197</v>
      </c>
      <c r="E5160" s="6">
        <v>-1.404853128991064E-2</v>
      </c>
      <c r="F5160" s="6"/>
      <c r="G5160" s="6">
        <v>5153</v>
      </c>
      <c r="H5160" s="6">
        <f t="shared" ca="1" si="165"/>
        <v>9.0024666875948393E-3</v>
      </c>
    </row>
    <row r="5161" spans="2:8" x14ac:dyDescent="0.3">
      <c r="B5161" s="4">
        <v>44225</v>
      </c>
      <c r="C5161" s="5">
        <v>2304.25</v>
      </c>
      <c r="D5161" s="6">
        <f t="shared" si="164"/>
        <v>1.2052982667700289</v>
      </c>
      <c r="E5161" s="6">
        <v>-1.4068537051854244E-2</v>
      </c>
      <c r="F5161" s="6"/>
      <c r="G5161" s="6">
        <v>5154</v>
      </c>
      <c r="H5161" s="6">
        <f t="shared" ca="1" si="165"/>
        <v>-2.7926986400785038E-2</v>
      </c>
    </row>
    <row r="5162" spans="2:8" x14ac:dyDescent="0.3">
      <c r="B5162" s="4">
        <v>42586</v>
      </c>
      <c r="C5162" s="5">
        <v>1044.8699999999999</v>
      </c>
      <c r="D5162" s="6">
        <f t="shared" si="164"/>
        <v>13.41995583770356</v>
      </c>
      <c r="E5162" s="6">
        <v>-1.4078260787514577E-2</v>
      </c>
      <c r="F5162" s="6"/>
      <c r="G5162" s="6">
        <v>5155</v>
      </c>
      <c r="H5162" s="6">
        <f t="shared" ca="1" si="165"/>
        <v>2.3474221744708219E-2</v>
      </c>
    </row>
    <row r="5163" spans="2:8" x14ac:dyDescent="0.3">
      <c r="B5163" s="4">
        <v>39797</v>
      </c>
      <c r="C5163" s="7">
        <v>72.459999999999994</v>
      </c>
      <c r="D5163" s="6">
        <f t="shared" si="164"/>
        <v>2.0664409648751585</v>
      </c>
      <c r="E5163" s="6">
        <v>-1.4149659863945663E-2</v>
      </c>
      <c r="F5163" s="6"/>
      <c r="G5163" s="6">
        <v>5156</v>
      </c>
      <c r="H5163" s="6">
        <f t="shared" ca="1" si="165"/>
        <v>-3.869590705097456E-2</v>
      </c>
    </row>
    <row r="5164" spans="2:8" x14ac:dyDescent="0.3">
      <c r="B5164" s="4">
        <v>38293</v>
      </c>
      <c r="C5164" s="7">
        <v>23.63</v>
      </c>
      <c r="D5164" s="6">
        <f t="shared" si="164"/>
        <v>-0.40328282828282835</v>
      </c>
      <c r="E5164" s="6">
        <v>-1.4184397163120562E-2</v>
      </c>
      <c r="F5164" s="6"/>
      <c r="G5164" s="6">
        <v>5157</v>
      </c>
      <c r="H5164" s="6">
        <f t="shared" ca="1" si="165"/>
        <v>1.2697203702540169E-2</v>
      </c>
    </row>
    <row r="5165" spans="2:8" x14ac:dyDescent="0.3">
      <c r="B5165" s="4">
        <v>38651</v>
      </c>
      <c r="C5165" s="7">
        <v>39.6</v>
      </c>
      <c r="D5165" s="6">
        <f t="shared" si="164"/>
        <v>-0.98643789170862017</v>
      </c>
      <c r="E5165" s="6">
        <v>-1.4189693801344293E-2</v>
      </c>
      <c r="F5165" s="6"/>
      <c r="G5165" s="6">
        <v>5158</v>
      </c>
      <c r="H5165" s="6">
        <f t="shared" ca="1" si="165"/>
        <v>-2.4237000348457799E-2</v>
      </c>
    </row>
    <row r="5166" spans="2:8" x14ac:dyDescent="0.3">
      <c r="B5166" s="4">
        <v>45488</v>
      </c>
      <c r="C5166" s="5">
        <v>2919.9</v>
      </c>
      <c r="D5166" s="6">
        <f t="shared" si="164"/>
        <v>1.6425869277969845</v>
      </c>
      <c r="E5166" s="6">
        <v>-1.4220025523122697E-2</v>
      </c>
      <c r="F5166" s="6"/>
      <c r="G5166" s="6">
        <v>5159</v>
      </c>
      <c r="H5166" s="6">
        <f t="shared" ca="1" si="165"/>
        <v>-2.2626376928666647E-6</v>
      </c>
    </row>
    <row r="5167" spans="2:8" x14ac:dyDescent="0.3">
      <c r="B5167" s="4">
        <v>43049</v>
      </c>
      <c r="C5167" s="5">
        <v>1104.94</v>
      </c>
      <c r="D5167" s="6">
        <f t="shared" si="164"/>
        <v>0.61569281160437517</v>
      </c>
      <c r="E5167" s="6">
        <v>-1.4220969238455547E-2</v>
      </c>
      <c r="F5167" s="6"/>
      <c r="G5167" s="6">
        <v>5160</v>
      </c>
      <c r="H5167" s="6">
        <f t="shared" ca="1" si="165"/>
        <v>-1.1421940526796272E-2</v>
      </c>
    </row>
    <row r="5168" spans="2:8" x14ac:dyDescent="0.3">
      <c r="B5168" s="4">
        <v>42163</v>
      </c>
      <c r="C5168" s="7">
        <v>683.88</v>
      </c>
      <c r="D5168" s="6">
        <f t="shared" si="164"/>
        <v>-0.27138291071809079</v>
      </c>
      <c r="E5168" s="6">
        <v>-1.4227027027027033E-2</v>
      </c>
      <c r="F5168" s="6"/>
      <c r="G5168" s="6">
        <v>5161</v>
      </c>
      <c r="H5168" s="6">
        <f t="shared" ca="1" si="165"/>
        <v>2.7782096270638063E-2</v>
      </c>
    </row>
    <row r="5169" spans="2:8" x14ac:dyDescent="0.3">
      <c r="B5169" s="4">
        <v>42529</v>
      </c>
      <c r="C5169" s="7">
        <v>938.6</v>
      </c>
      <c r="D5169" s="6">
        <f t="shared" si="164"/>
        <v>-9.0609619036546019E-2</v>
      </c>
      <c r="E5169" s="6">
        <v>-1.4230951005618815E-2</v>
      </c>
      <c r="F5169" s="6"/>
      <c r="G5169" s="6">
        <v>5162</v>
      </c>
      <c r="H5169" s="6">
        <f t="shared" ca="1" si="165"/>
        <v>-4.8251621554823241E-3</v>
      </c>
    </row>
    <row r="5170" spans="2:8" x14ac:dyDescent="0.3">
      <c r="B5170" s="4">
        <v>42599</v>
      </c>
      <c r="C5170" s="5">
        <v>1032.1199999999999</v>
      </c>
      <c r="D5170" s="6">
        <f t="shared" si="164"/>
        <v>41.720198675496682</v>
      </c>
      <c r="E5170" s="6">
        <v>-1.4259108925075273E-2</v>
      </c>
      <c r="F5170" s="6"/>
      <c r="G5170" s="6">
        <v>5163</v>
      </c>
      <c r="H5170" s="6">
        <f t="shared" ca="1" si="165"/>
        <v>2.480937214893543E-2</v>
      </c>
    </row>
    <row r="5171" spans="2:8" x14ac:dyDescent="0.3">
      <c r="B5171" s="4">
        <v>38189</v>
      </c>
      <c r="C5171" s="7">
        <v>24.16</v>
      </c>
      <c r="D5171" s="6">
        <f t="shared" si="164"/>
        <v>-0.98291408244520972</v>
      </c>
      <c r="E5171" s="6">
        <v>-1.427988576091397E-2</v>
      </c>
      <c r="F5171" s="6"/>
      <c r="G5171" s="6">
        <v>5164</v>
      </c>
      <c r="H5171" s="6">
        <f t="shared" ca="1" si="165"/>
        <v>4.3836554751732985E-3</v>
      </c>
    </row>
    <row r="5172" spans="2:8" x14ac:dyDescent="0.3">
      <c r="B5172" s="4">
        <v>43558</v>
      </c>
      <c r="C5172" s="5">
        <v>1414.03</v>
      </c>
      <c r="D5172" s="6">
        <f t="shared" si="164"/>
        <v>12.233785680861022</v>
      </c>
      <c r="E5172" s="6">
        <v>-1.4283523408526901E-2</v>
      </c>
      <c r="F5172" s="6"/>
      <c r="G5172" s="6">
        <v>5165</v>
      </c>
      <c r="H5172" s="6">
        <f t="shared" ca="1" si="165"/>
        <v>-1.0906021837043063E-2</v>
      </c>
    </row>
    <row r="5173" spans="2:8" x14ac:dyDescent="0.3">
      <c r="B5173" s="4">
        <v>39611</v>
      </c>
      <c r="C5173" s="7">
        <v>106.85</v>
      </c>
      <c r="D5173" s="6">
        <f t="shared" si="164"/>
        <v>-0.20816659255965617</v>
      </c>
      <c r="E5173" s="6">
        <v>-1.4298892988929994E-2</v>
      </c>
      <c r="F5173" s="6"/>
      <c r="G5173" s="6">
        <v>5166</v>
      </c>
      <c r="H5173" s="6">
        <f t="shared" ca="1" si="165"/>
        <v>7.7548102672240354E-3</v>
      </c>
    </row>
    <row r="5174" spans="2:8" x14ac:dyDescent="0.3">
      <c r="B5174" s="4">
        <v>40101</v>
      </c>
      <c r="C5174" s="7">
        <v>134.94</v>
      </c>
      <c r="D5174" s="6">
        <f t="shared" si="164"/>
        <v>-0.86392650781005786</v>
      </c>
      <c r="E5174" s="6">
        <v>-1.4317019722425186E-2</v>
      </c>
      <c r="F5174" s="6"/>
      <c r="G5174" s="6">
        <v>5167</v>
      </c>
      <c r="H5174" s="6">
        <f t="shared" ca="1" si="165"/>
        <v>-8.0706940468261174E-3</v>
      </c>
    </row>
    <row r="5175" spans="2:8" x14ac:dyDescent="0.3">
      <c r="B5175" s="4">
        <v>42671</v>
      </c>
      <c r="C5175" s="7">
        <v>991.67</v>
      </c>
      <c r="D5175" s="6">
        <f t="shared" si="164"/>
        <v>1.0963323115949686</v>
      </c>
      <c r="E5175" s="6">
        <v>-1.4322916666666748E-2</v>
      </c>
      <c r="F5175" s="6"/>
      <c r="G5175" s="6">
        <v>5168</v>
      </c>
      <c r="H5175" s="6">
        <f t="shared" ca="1" si="165"/>
        <v>3.52825066871503E-2</v>
      </c>
    </row>
    <row r="5176" spans="2:8" x14ac:dyDescent="0.3">
      <c r="B5176" s="4">
        <v>41591</v>
      </c>
      <c r="C5176" s="7">
        <v>473.05</v>
      </c>
      <c r="D5176" s="6">
        <f t="shared" si="164"/>
        <v>-0.62277015334805941</v>
      </c>
      <c r="E5176" s="6">
        <v>-1.4335423915987739E-2</v>
      </c>
      <c r="F5176" s="6"/>
      <c r="G5176" s="6">
        <v>5169</v>
      </c>
      <c r="H5176" s="6">
        <f t="shared" ca="1" si="165"/>
        <v>-6.1046347849734043E-3</v>
      </c>
    </row>
    <row r="5177" spans="2:8" x14ac:dyDescent="0.3">
      <c r="B5177" s="4">
        <v>43655</v>
      </c>
      <c r="C5177" s="5">
        <v>1254.01</v>
      </c>
      <c r="D5177" s="6">
        <f t="shared" si="164"/>
        <v>-0.51865670209540038</v>
      </c>
      <c r="E5177" s="6">
        <v>-1.4367793506197466E-2</v>
      </c>
      <c r="F5177" s="6"/>
      <c r="G5177" s="6">
        <v>5170</v>
      </c>
      <c r="H5177" s="6">
        <f t="shared" ca="1" si="165"/>
        <v>-1.5387851494451198E-2</v>
      </c>
    </row>
    <row r="5178" spans="2:8" x14ac:dyDescent="0.3">
      <c r="B5178" s="4">
        <v>44720</v>
      </c>
      <c r="C5178" s="5">
        <v>2605.23</v>
      </c>
      <c r="D5178" s="6">
        <f t="shared" si="164"/>
        <v>4.8340107037946202E-2</v>
      </c>
      <c r="E5178" s="6">
        <v>-1.4391265364491696E-2</v>
      </c>
      <c r="F5178" s="6"/>
      <c r="G5178" s="6">
        <v>5171</v>
      </c>
      <c r="H5178" s="6">
        <f t="shared" ca="1" si="165"/>
        <v>9.0173486920847243E-3</v>
      </c>
    </row>
    <row r="5179" spans="2:8" x14ac:dyDescent="0.3">
      <c r="B5179" s="4">
        <v>46136</v>
      </c>
      <c r="C5179" s="5">
        <v>2485.1</v>
      </c>
      <c r="D5179" s="6">
        <f t="shared" si="164"/>
        <v>1.1055886938249846</v>
      </c>
      <c r="E5179" s="6">
        <v>-1.4396763702704918E-2</v>
      </c>
      <c r="F5179" s="6"/>
      <c r="G5179" s="6">
        <v>5172</v>
      </c>
      <c r="H5179" s="6">
        <f t="shared" ca="1" si="165"/>
        <v>-2.5305502931602868E-2</v>
      </c>
    </row>
    <row r="5180" spans="2:8" x14ac:dyDescent="0.3">
      <c r="B5180" s="4">
        <v>43272</v>
      </c>
      <c r="C5180" s="5">
        <v>1180.24</v>
      </c>
      <c r="D5180" s="6">
        <f t="shared" si="164"/>
        <v>11.321119114730138</v>
      </c>
      <c r="E5180" s="6">
        <v>-1.4396900156996366E-2</v>
      </c>
      <c r="F5180" s="6"/>
      <c r="G5180" s="6">
        <v>5173</v>
      </c>
      <c r="H5180" s="6">
        <f t="shared" ca="1" si="165"/>
        <v>1.0332763820336705E-2</v>
      </c>
    </row>
    <row r="5181" spans="2:8" x14ac:dyDescent="0.3">
      <c r="B5181" s="4">
        <v>39968</v>
      </c>
      <c r="C5181" s="7">
        <v>95.79</v>
      </c>
      <c r="D5181" s="6">
        <f t="shared" si="164"/>
        <v>-0.96753200532828976</v>
      </c>
      <c r="E5181" s="6">
        <v>-1.4404774153719432E-2</v>
      </c>
      <c r="F5181" s="6"/>
      <c r="G5181" s="6">
        <v>5174</v>
      </c>
      <c r="H5181" s="6">
        <f t="shared" ca="1" si="165"/>
        <v>-2.0562097412568588E-2</v>
      </c>
    </row>
    <row r="5182" spans="2:8" x14ac:dyDescent="0.3">
      <c r="B5182" s="4">
        <v>44511</v>
      </c>
      <c r="C5182" s="5">
        <v>2950.29</v>
      </c>
      <c r="D5182" s="6">
        <f t="shared" si="164"/>
        <v>0.20760594165585378</v>
      </c>
      <c r="E5182" s="6">
        <v>-1.4411561319289203E-2</v>
      </c>
      <c r="F5182" s="6"/>
      <c r="G5182" s="6">
        <v>5175</v>
      </c>
      <c r="H5182" s="6">
        <f t="shared" ca="1" si="165"/>
        <v>-6.5025500784557924E-3</v>
      </c>
    </row>
    <row r="5183" spans="2:8" x14ac:dyDescent="0.3">
      <c r="B5183" s="4">
        <v>45923</v>
      </c>
      <c r="C5183" s="5">
        <v>2443.09</v>
      </c>
      <c r="D5183" s="6">
        <f t="shared" si="164"/>
        <v>-0.15617595656348654</v>
      </c>
      <c r="E5183" s="6">
        <v>-1.4418092406498139E-2</v>
      </c>
      <c r="F5183" s="6"/>
      <c r="G5183" s="6">
        <v>5176</v>
      </c>
      <c r="H5183" s="6">
        <f t="shared" ca="1" si="165"/>
        <v>2.3848019284962791E-2</v>
      </c>
    </row>
    <row r="5184" spans="2:8" x14ac:dyDescent="0.3">
      <c r="B5184" s="4">
        <v>45491</v>
      </c>
      <c r="C5184" s="5">
        <v>2895.26</v>
      </c>
      <c r="D5184" s="6">
        <f t="shared" si="164"/>
        <v>3.1976715526365393</v>
      </c>
      <c r="E5184" s="6">
        <v>-1.4423191484291721E-2</v>
      </c>
      <c r="F5184" s="6"/>
      <c r="G5184" s="6">
        <v>5177</v>
      </c>
      <c r="H5184" s="6">
        <f t="shared" ca="1" si="165"/>
        <v>1.1293359904790672E-2</v>
      </c>
    </row>
    <row r="5185" spans="2:8" x14ac:dyDescent="0.3">
      <c r="B5185" s="4">
        <v>42123</v>
      </c>
      <c r="C5185" s="7">
        <v>689.73</v>
      </c>
      <c r="D5185" s="6">
        <f t="shared" si="164"/>
        <v>-0.34143966085188043</v>
      </c>
      <c r="E5185" s="6">
        <v>-1.4432076361402086E-2</v>
      </c>
      <c r="F5185" s="6"/>
      <c r="G5185" s="6">
        <v>5178</v>
      </c>
      <c r="H5185" s="6">
        <f t="shared" ca="1" si="165"/>
        <v>-3.5794616169664555E-2</v>
      </c>
    </row>
    <row r="5186" spans="2:8" x14ac:dyDescent="0.3">
      <c r="B5186" s="4">
        <v>42592</v>
      </c>
      <c r="C5186" s="5">
        <v>1047.33</v>
      </c>
      <c r="D5186" s="6">
        <f t="shared" si="164"/>
        <v>1.4249924749357474</v>
      </c>
      <c r="E5186" s="6">
        <v>-1.4435337404838891E-2</v>
      </c>
      <c r="F5186" s="6"/>
      <c r="G5186" s="6">
        <v>5179</v>
      </c>
      <c r="H5186" s="6">
        <f t="shared" ca="1" si="165"/>
        <v>1.451654212477336E-2</v>
      </c>
    </row>
    <row r="5187" spans="2:8" x14ac:dyDescent="0.3">
      <c r="B5187" s="4">
        <v>41682</v>
      </c>
      <c r="C5187" s="7">
        <v>431.89</v>
      </c>
      <c r="D5187" s="6">
        <f t="shared" si="164"/>
        <v>-0.46308382749661237</v>
      </c>
      <c r="E5187" s="6">
        <v>-1.4444799415818631E-2</v>
      </c>
      <c r="F5187" s="6"/>
      <c r="G5187" s="6">
        <v>5180</v>
      </c>
      <c r="H5187" s="6">
        <f t="shared" ca="1" si="165"/>
        <v>1.841507896727029E-2</v>
      </c>
    </row>
    <row r="5188" spans="2:8" x14ac:dyDescent="0.3">
      <c r="B5188" s="4">
        <v>42724</v>
      </c>
      <c r="C5188" s="7">
        <v>804.39</v>
      </c>
      <c r="D5188" s="6">
        <f t="shared" si="164"/>
        <v>1.0885109697520448</v>
      </c>
      <c r="E5188" s="6">
        <v>-1.4457418003161112E-2</v>
      </c>
      <c r="F5188" s="6"/>
      <c r="G5188" s="6">
        <v>5181</v>
      </c>
      <c r="H5188" s="6">
        <f t="shared" ca="1" si="165"/>
        <v>-2.6922717071553966E-2</v>
      </c>
    </row>
    <row r="5189" spans="2:8" x14ac:dyDescent="0.3">
      <c r="B5189" s="4">
        <v>41285</v>
      </c>
      <c r="C5189" s="7">
        <v>385.15</v>
      </c>
      <c r="D5189" s="6">
        <f t="shared" si="164"/>
        <v>-0.78992467505549835</v>
      </c>
      <c r="E5189" s="6">
        <v>-1.4482740973874838E-2</v>
      </c>
      <c r="F5189" s="6"/>
      <c r="G5189" s="6">
        <v>5182</v>
      </c>
      <c r="H5189" s="6">
        <f t="shared" ca="1" si="165"/>
        <v>-1.051706806960191E-2</v>
      </c>
    </row>
    <row r="5190" spans="2:8" x14ac:dyDescent="0.3">
      <c r="B5190" s="4">
        <v>44098</v>
      </c>
      <c r="C5190" s="5">
        <v>1833.39</v>
      </c>
      <c r="D5190" s="6">
        <f t="shared" si="164"/>
        <v>35.485373134328363</v>
      </c>
      <c r="E5190" s="6">
        <v>-1.4486599223797704E-2</v>
      </c>
      <c r="F5190" s="6"/>
      <c r="G5190" s="6">
        <v>5183</v>
      </c>
      <c r="H5190" s="6">
        <f t="shared" ca="1" si="165"/>
        <v>2.6406327228847837E-3</v>
      </c>
    </row>
    <row r="5191" spans="2:8" x14ac:dyDescent="0.3">
      <c r="B5191" s="4">
        <v>38833</v>
      </c>
      <c r="C5191" s="7">
        <v>50.25</v>
      </c>
      <c r="D5191" s="6">
        <f t="shared" si="164"/>
        <v>-0.81441814085755437</v>
      </c>
      <c r="E5191" s="6">
        <v>-1.4512649539125358E-2</v>
      </c>
      <c r="F5191" s="6"/>
      <c r="G5191" s="6">
        <v>5184</v>
      </c>
      <c r="H5191" s="6">
        <f t="shared" ca="1" si="165"/>
        <v>-1.0752150287393779E-2</v>
      </c>
    </row>
    <row r="5192" spans="2:8" x14ac:dyDescent="0.3">
      <c r="B5192" s="4">
        <v>40952</v>
      </c>
      <c r="C5192" s="7">
        <v>270.77</v>
      </c>
      <c r="D5192" s="6">
        <f t="shared" ref="D5192:D5255" si="166">((C5192-C5193)/C5193)</f>
        <v>-0.90973280216025199</v>
      </c>
      <c r="E5192" s="6">
        <v>-1.4521764448973684E-2</v>
      </c>
      <c r="F5192" s="6"/>
      <c r="G5192" s="6">
        <v>5185</v>
      </c>
      <c r="H5192" s="6">
        <f t="shared" ca="1" si="165"/>
        <v>1.4482866234337423E-2</v>
      </c>
    </row>
    <row r="5193" spans="2:8" x14ac:dyDescent="0.3">
      <c r="B5193" s="4">
        <v>45063</v>
      </c>
      <c r="C5193" s="5">
        <v>2999.65</v>
      </c>
      <c r="D5193" s="6">
        <f t="shared" si="166"/>
        <v>0.72189821246110941</v>
      </c>
      <c r="E5193" s="6">
        <v>-1.4550221095028142E-2</v>
      </c>
      <c r="F5193" s="6"/>
      <c r="G5193" s="6">
        <v>5186</v>
      </c>
      <c r="H5193" s="6">
        <f t="shared" ref="H5193:H5256" ca="1" si="167">_xlfn.NORM.INV(RAND(),N$10,N$11)</f>
        <v>-1.2001135944683178E-2</v>
      </c>
    </row>
    <row r="5194" spans="2:8" x14ac:dyDescent="0.3">
      <c r="B5194" s="4">
        <v>43949</v>
      </c>
      <c r="C5194" s="5">
        <v>1742.06</v>
      </c>
      <c r="D5194" s="6">
        <f t="shared" si="166"/>
        <v>1.9490452329360777</v>
      </c>
      <c r="E5194" s="6">
        <v>-1.455489622636174E-2</v>
      </c>
      <c r="F5194" s="6"/>
      <c r="G5194" s="6">
        <v>5187</v>
      </c>
      <c r="H5194" s="6">
        <f t="shared" ca="1" si="167"/>
        <v>1.7063873838226423E-2</v>
      </c>
    </row>
    <row r="5195" spans="2:8" x14ac:dyDescent="0.3">
      <c r="B5195" s="4">
        <v>41926</v>
      </c>
      <c r="C5195" s="7">
        <v>590.72</v>
      </c>
      <c r="D5195" s="6">
        <f t="shared" si="166"/>
        <v>-0.42811779967858732</v>
      </c>
      <c r="E5195" s="6">
        <v>-1.4563349737259184E-2</v>
      </c>
      <c r="F5195" s="6"/>
      <c r="G5195" s="6">
        <v>5188</v>
      </c>
      <c r="H5195" s="6">
        <f t="shared" ca="1" si="167"/>
        <v>2.9044468299352613E-2</v>
      </c>
    </row>
    <row r="5196" spans="2:8" x14ac:dyDescent="0.3">
      <c r="B5196" s="4">
        <v>43154</v>
      </c>
      <c r="C5196" s="5">
        <v>1032.94</v>
      </c>
      <c r="D5196" s="6">
        <f t="shared" si="166"/>
        <v>-0.63005569185036625</v>
      </c>
      <c r="E5196" s="6">
        <v>-1.4577092595065896E-2</v>
      </c>
      <c r="F5196" s="6"/>
      <c r="G5196" s="6">
        <v>5189</v>
      </c>
      <c r="H5196" s="6">
        <f t="shared" ca="1" si="167"/>
        <v>-4.010097502434995E-2</v>
      </c>
    </row>
    <row r="5197" spans="2:8" x14ac:dyDescent="0.3">
      <c r="B5197" s="4">
        <v>45394</v>
      </c>
      <c r="C5197" s="5">
        <v>2792.15</v>
      </c>
      <c r="D5197" s="6">
        <f t="shared" si="166"/>
        <v>5.6008562589351281E-2</v>
      </c>
      <c r="E5197" s="6">
        <v>-1.4586303767804934E-2</v>
      </c>
      <c r="F5197" s="6"/>
      <c r="G5197" s="6">
        <v>5190</v>
      </c>
      <c r="H5197" s="6">
        <f t="shared" ca="1" si="167"/>
        <v>-1.5487483165464613E-4</v>
      </c>
    </row>
    <row r="5198" spans="2:8" x14ac:dyDescent="0.3">
      <c r="B5198" s="4">
        <v>44957</v>
      </c>
      <c r="C5198" s="5">
        <v>2644.06</v>
      </c>
      <c r="D5198" s="6">
        <f t="shared" si="166"/>
        <v>0.40336183515649465</v>
      </c>
      <c r="E5198" s="6">
        <v>-1.4587060226595065E-2</v>
      </c>
      <c r="F5198" s="6"/>
      <c r="G5198" s="6">
        <v>5191</v>
      </c>
      <c r="H5198" s="6">
        <f t="shared" ca="1" si="167"/>
        <v>-1.7707781429607473E-2</v>
      </c>
    </row>
    <row r="5199" spans="2:8" x14ac:dyDescent="0.3">
      <c r="B5199" s="4">
        <v>44069</v>
      </c>
      <c r="C5199" s="5">
        <v>1884.09</v>
      </c>
      <c r="D5199" s="6">
        <f t="shared" si="166"/>
        <v>1.8289214876653503</v>
      </c>
      <c r="E5199" s="6">
        <v>-1.4597280334728076E-2</v>
      </c>
      <c r="F5199" s="6"/>
      <c r="G5199" s="6">
        <v>5192</v>
      </c>
      <c r="H5199" s="6">
        <f t="shared" ca="1" si="167"/>
        <v>-6.5838722523958266E-3</v>
      </c>
    </row>
    <row r="5200" spans="2:8" x14ac:dyDescent="0.3">
      <c r="B5200" s="4">
        <v>41997</v>
      </c>
      <c r="C5200" s="7">
        <v>666.01</v>
      </c>
      <c r="D5200" s="6">
        <f t="shared" si="166"/>
        <v>-0.36020864954177795</v>
      </c>
      <c r="E5200" s="6">
        <v>-1.4603183997159265E-2</v>
      </c>
      <c r="F5200" s="6"/>
      <c r="G5200" s="6">
        <v>5193</v>
      </c>
      <c r="H5200" s="6">
        <f t="shared" ca="1" si="167"/>
        <v>-2.0061688851603122E-3</v>
      </c>
    </row>
    <row r="5201" spans="2:8" x14ac:dyDescent="0.3">
      <c r="B5201" s="4">
        <v>42669</v>
      </c>
      <c r="C5201" s="5">
        <v>1040.98</v>
      </c>
      <c r="D5201" s="6">
        <f t="shared" si="166"/>
        <v>-5.6613349041642141E-2</v>
      </c>
      <c r="E5201" s="6">
        <v>-1.4606071506328094E-2</v>
      </c>
      <c r="F5201" s="6"/>
      <c r="G5201" s="6">
        <v>5194</v>
      </c>
      <c r="H5201" s="6">
        <f t="shared" ca="1" si="167"/>
        <v>3.8817722661771666E-3</v>
      </c>
    </row>
    <row r="5202" spans="2:8" x14ac:dyDescent="0.3">
      <c r="B5202" s="4">
        <v>43026</v>
      </c>
      <c r="C5202" s="5">
        <v>1103.45</v>
      </c>
      <c r="D5202" s="6">
        <f t="shared" si="166"/>
        <v>0.17150258517268113</v>
      </c>
      <c r="E5202" s="6">
        <v>-1.4618420817631308E-2</v>
      </c>
      <c r="F5202" s="6"/>
      <c r="G5202" s="6">
        <v>5195</v>
      </c>
      <c r="H5202" s="6">
        <f t="shared" ca="1" si="167"/>
        <v>-3.6059351841300248E-3</v>
      </c>
    </row>
    <row r="5203" spans="2:8" x14ac:dyDescent="0.3">
      <c r="B5203" s="4">
        <v>42797</v>
      </c>
      <c r="C5203" s="7">
        <v>941.91</v>
      </c>
      <c r="D5203" s="6">
        <f t="shared" si="166"/>
        <v>-0.11985011727108787</v>
      </c>
      <c r="E5203" s="6">
        <v>-1.4625113768320642E-2</v>
      </c>
      <c r="F5203" s="6"/>
      <c r="G5203" s="6">
        <v>5196</v>
      </c>
      <c r="H5203" s="6">
        <f t="shared" ca="1" si="167"/>
        <v>1.036944465010298E-2</v>
      </c>
    </row>
    <row r="5204" spans="2:8" x14ac:dyDescent="0.3">
      <c r="B5204" s="4">
        <v>42625</v>
      </c>
      <c r="C5204" s="5">
        <v>1070.17</v>
      </c>
      <c r="D5204" s="6">
        <f t="shared" si="166"/>
        <v>-1.0695730951984707E-2</v>
      </c>
      <c r="E5204" s="6">
        <v>-1.4639940335337377E-2</v>
      </c>
      <c r="F5204" s="6"/>
      <c r="G5204" s="6">
        <v>5197</v>
      </c>
      <c r="H5204" s="6">
        <f t="shared" ca="1" si="167"/>
        <v>1.7597210670336566E-2</v>
      </c>
    </row>
    <row r="5205" spans="2:8" x14ac:dyDescent="0.3">
      <c r="B5205" s="4">
        <v>43068</v>
      </c>
      <c r="C5205" s="5">
        <v>1081.74</v>
      </c>
      <c r="D5205" s="6">
        <f t="shared" si="166"/>
        <v>1.2529209621993129</v>
      </c>
      <c r="E5205" s="6">
        <v>-1.4647209925124272E-2</v>
      </c>
      <c r="F5205" s="6"/>
      <c r="G5205" s="6">
        <v>5198</v>
      </c>
      <c r="H5205" s="6">
        <f t="shared" ca="1" si="167"/>
        <v>1.0095542526633843E-3</v>
      </c>
    </row>
    <row r="5206" spans="2:8" x14ac:dyDescent="0.3">
      <c r="B5206" s="4">
        <v>41733</v>
      </c>
      <c r="C5206" s="7">
        <v>480.15</v>
      </c>
      <c r="D5206" s="6">
        <f t="shared" si="166"/>
        <v>-0.7094138651012194</v>
      </c>
      <c r="E5206" s="6">
        <v>-1.4672686230248377E-2</v>
      </c>
      <c r="F5206" s="6"/>
      <c r="G5206" s="6">
        <v>5199</v>
      </c>
      <c r="H5206" s="6">
        <f t="shared" ca="1" si="167"/>
        <v>1.2834185221513673E-2</v>
      </c>
    </row>
    <row r="5207" spans="2:8" x14ac:dyDescent="0.3">
      <c r="B5207" s="4">
        <v>43941</v>
      </c>
      <c r="C5207" s="5">
        <v>1652.35</v>
      </c>
      <c r="D5207" s="6">
        <f t="shared" si="166"/>
        <v>101.69422001243008</v>
      </c>
      <c r="E5207" s="6">
        <v>-1.4687116125415992E-2</v>
      </c>
      <c r="F5207" s="6"/>
      <c r="G5207" s="6">
        <v>5200</v>
      </c>
      <c r="H5207" s="6">
        <f t="shared" ca="1" si="167"/>
        <v>-3.7432573936949263E-3</v>
      </c>
    </row>
    <row r="5208" spans="2:8" x14ac:dyDescent="0.3">
      <c r="B5208" s="4">
        <v>37578</v>
      </c>
      <c r="C5208" s="7">
        <v>16.09</v>
      </c>
      <c r="D5208" s="6">
        <f t="shared" si="166"/>
        <v>-0.99368972590114557</v>
      </c>
      <c r="E5208" s="6">
        <v>-1.4696876913655755E-2</v>
      </c>
      <c r="F5208" s="6"/>
      <c r="G5208" s="6">
        <v>5201</v>
      </c>
      <c r="H5208" s="6">
        <f t="shared" ca="1" si="167"/>
        <v>-3.1728325253442033E-2</v>
      </c>
    </row>
    <row r="5209" spans="2:8" x14ac:dyDescent="0.3">
      <c r="B5209" s="4">
        <v>44210</v>
      </c>
      <c r="C5209" s="5">
        <v>2549.81</v>
      </c>
      <c r="D5209" s="6">
        <f t="shared" si="166"/>
        <v>5.1052820611052585</v>
      </c>
      <c r="E5209" s="6">
        <v>-1.4718497623555834E-2</v>
      </c>
      <c r="F5209" s="6"/>
      <c r="G5209" s="6">
        <v>5202</v>
      </c>
      <c r="H5209" s="6">
        <f t="shared" ca="1" si="167"/>
        <v>5.1398090652440441E-3</v>
      </c>
    </row>
    <row r="5210" spans="2:8" x14ac:dyDescent="0.3">
      <c r="B5210" s="4">
        <v>41690</v>
      </c>
      <c r="C5210" s="7">
        <v>417.64</v>
      </c>
      <c r="D5210" s="6">
        <f t="shared" si="166"/>
        <v>25.004981320049815</v>
      </c>
      <c r="E5210" s="6">
        <v>-1.4721147494573957E-2</v>
      </c>
      <c r="F5210" s="6"/>
      <c r="G5210" s="6">
        <v>5203</v>
      </c>
      <c r="H5210" s="6">
        <f t="shared" ca="1" si="167"/>
        <v>8.5480377365064926E-3</v>
      </c>
    </row>
    <row r="5211" spans="2:8" x14ac:dyDescent="0.3">
      <c r="B5211" s="4">
        <v>37732</v>
      </c>
      <c r="C5211" s="7">
        <v>16.059999999999999</v>
      </c>
      <c r="D5211" s="6">
        <f t="shared" si="166"/>
        <v>-0.9782852661609811</v>
      </c>
      <c r="E5211" s="6">
        <v>-1.472392638036822E-2</v>
      </c>
      <c r="F5211" s="6"/>
      <c r="G5211" s="6">
        <v>5204</v>
      </c>
      <c r="H5211" s="6">
        <f t="shared" ca="1" si="167"/>
        <v>6.8424393624817587E-3</v>
      </c>
    </row>
    <row r="5212" spans="2:8" x14ac:dyDescent="0.3">
      <c r="B5212" s="4">
        <v>42312</v>
      </c>
      <c r="C5212" s="7">
        <v>739.59</v>
      </c>
      <c r="D5212" s="6">
        <f t="shared" si="166"/>
        <v>3.470998069336028E-2</v>
      </c>
      <c r="E5212" s="6">
        <v>-1.4747022620094233E-2</v>
      </c>
      <c r="F5212" s="6"/>
      <c r="G5212" s="6">
        <v>5205</v>
      </c>
      <c r="H5212" s="6">
        <f t="shared" ca="1" si="167"/>
        <v>-3.0524100023400016E-3</v>
      </c>
    </row>
    <row r="5213" spans="2:8" x14ac:dyDescent="0.3">
      <c r="B5213" s="4">
        <v>41982</v>
      </c>
      <c r="C5213" s="7">
        <v>714.78</v>
      </c>
      <c r="D5213" s="6">
        <f t="shared" si="166"/>
        <v>-0.31495112133410014</v>
      </c>
      <c r="E5213" s="6">
        <v>-1.4748855929867185E-2</v>
      </c>
      <c r="F5213" s="6"/>
      <c r="G5213" s="6">
        <v>5206</v>
      </c>
      <c r="H5213" s="6">
        <f t="shared" ca="1" si="167"/>
        <v>4.7440285068626811E-3</v>
      </c>
    </row>
    <row r="5214" spans="2:8" x14ac:dyDescent="0.3">
      <c r="B5214" s="4">
        <v>42923</v>
      </c>
      <c r="C5214" s="5">
        <v>1043.4000000000001</v>
      </c>
      <c r="D5214" s="6">
        <f t="shared" si="166"/>
        <v>0.42833675564681739</v>
      </c>
      <c r="E5214" s="6">
        <v>-1.4749485373269524E-2</v>
      </c>
      <c r="F5214" s="6"/>
      <c r="G5214" s="6">
        <v>5207</v>
      </c>
      <c r="H5214" s="6">
        <f t="shared" ca="1" si="167"/>
        <v>2.4816460941147516E-2</v>
      </c>
    </row>
    <row r="5215" spans="2:8" x14ac:dyDescent="0.3">
      <c r="B5215" s="4">
        <v>42275</v>
      </c>
      <c r="C5215" s="7">
        <v>730.5</v>
      </c>
      <c r="D5215" s="6">
        <f t="shared" si="166"/>
        <v>11.052466589671671</v>
      </c>
      <c r="E5215" s="6">
        <v>-1.4755071212775212E-2</v>
      </c>
      <c r="F5215" s="6"/>
      <c r="G5215" s="6">
        <v>5208</v>
      </c>
      <c r="H5215" s="6">
        <f t="shared" ca="1" si="167"/>
        <v>-2.435882736083872E-2</v>
      </c>
    </row>
    <row r="5216" spans="2:8" x14ac:dyDescent="0.3">
      <c r="B5216" s="4">
        <v>39884</v>
      </c>
      <c r="C5216" s="7">
        <v>60.61</v>
      </c>
      <c r="D5216" s="6">
        <f t="shared" si="166"/>
        <v>-0.97766641487186101</v>
      </c>
      <c r="E5216" s="6">
        <v>-1.4791937581274442E-2</v>
      </c>
      <c r="F5216" s="6"/>
      <c r="G5216" s="6">
        <v>5209</v>
      </c>
      <c r="H5216" s="6">
        <f t="shared" ca="1" si="167"/>
        <v>1.6270119607253861E-2</v>
      </c>
    </row>
    <row r="5217" spans="2:8" x14ac:dyDescent="0.3">
      <c r="B5217" s="4">
        <v>45008</v>
      </c>
      <c r="C5217" s="5">
        <v>2713.85</v>
      </c>
      <c r="D5217" s="6">
        <f t="shared" si="166"/>
        <v>9.1710891237538412</v>
      </c>
      <c r="E5217" s="6">
        <v>-1.4804166076750851E-2</v>
      </c>
      <c r="F5217" s="6"/>
      <c r="G5217" s="6">
        <v>5210</v>
      </c>
      <c r="H5217" s="6">
        <f t="shared" ca="1" si="167"/>
        <v>3.1677741593847585E-2</v>
      </c>
    </row>
    <row r="5218" spans="2:8" x14ac:dyDescent="0.3">
      <c r="B5218" s="4">
        <v>40710</v>
      </c>
      <c r="C5218" s="7">
        <v>266.82</v>
      </c>
      <c r="D5218" s="6">
        <f t="shared" si="166"/>
        <v>-0.17625266277669732</v>
      </c>
      <c r="E5218" s="6">
        <v>-1.4806336077982466E-2</v>
      </c>
      <c r="F5218" s="6"/>
      <c r="G5218" s="6">
        <v>5211</v>
      </c>
      <c r="H5218" s="6">
        <f t="shared" ca="1" si="167"/>
        <v>-1.249044446836067E-3</v>
      </c>
    </row>
    <row r="5219" spans="2:8" x14ac:dyDescent="0.3">
      <c r="B5219" s="4">
        <v>41039</v>
      </c>
      <c r="C5219" s="7">
        <v>323.91000000000003</v>
      </c>
      <c r="D5219" s="6">
        <f t="shared" si="166"/>
        <v>5.3325513196480951</v>
      </c>
      <c r="E5219" s="6">
        <v>-1.48123365168196E-2</v>
      </c>
      <c r="F5219" s="6"/>
      <c r="G5219" s="6">
        <v>5212</v>
      </c>
      <c r="H5219" s="6">
        <f t="shared" ca="1" si="167"/>
        <v>-2.5215211643600894E-3</v>
      </c>
    </row>
    <row r="5220" spans="2:8" x14ac:dyDescent="0.3">
      <c r="B5220" s="4">
        <v>38951</v>
      </c>
      <c r="C5220" s="7">
        <v>51.15</v>
      </c>
      <c r="D5220" s="6">
        <f t="shared" si="166"/>
        <v>-0.98426623438542959</v>
      </c>
      <c r="E5220" s="6">
        <v>-1.4830508474576331E-2</v>
      </c>
      <c r="F5220" s="6"/>
      <c r="G5220" s="6">
        <v>5213</v>
      </c>
      <c r="H5220" s="6">
        <f t="shared" ca="1" si="167"/>
        <v>1.1760297416879086E-2</v>
      </c>
    </row>
    <row r="5221" spans="2:8" x14ac:dyDescent="0.3">
      <c r="B5221" s="4">
        <v>44467</v>
      </c>
      <c r="C5221" s="5">
        <v>3250.97</v>
      </c>
      <c r="D5221" s="6">
        <f t="shared" si="166"/>
        <v>40.572506393861893</v>
      </c>
      <c r="E5221" s="6">
        <v>-1.4851605161243467E-2</v>
      </c>
      <c r="F5221" s="6"/>
      <c r="G5221" s="6">
        <v>5214</v>
      </c>
      <c r="H5221" s="6">
        <f t="shared" ca="1" si="167"/>
        <v>8.2628891290311129E-3</v>
      </c>
    </row>
    <row r="5222" spans="2:8" x14ac:dyDescent="0.3">
      <c r="B5222" s="4">
        <v>39346</v>
      </c>
      <c r="C5222" s="7">
        <v>78.2</v>
      </c>
      <c r="D5222" s="6">
        <f t="shared" si="166"/>
        <v>0.11666428673425677</v>
      </c>
      <c r="E5222" s="6">
        <v>-1.4865205341395725E-2</v>
      </c>
      <c r="F5222" s="6"/>
      <c r="G5222" s="6">
        <v>5215</v>
      </c>
      <c r="H5222" s="6">
        <f t="shared" ca="1" si="167"/>
        <v>1.6313326170802637E-3</v>
      </c>
    </row>
    <row r="5223" spans="2:8" x14ac:dyDescent="0.3">
      <c r="B5223" s="4">
        <v>39255</v>
      </c>
      <c r="C5223" s="7">
        <v>70.03</v>
      </c>
      <c r="D5223" s="6">
        <f t="shared" si="166"/>
        <v>0.49445155783183958</v>
      </c>
      <c r="E5223" s="6">
        <v>-1.4910676607117769E-2</v>
      </c>
      <c r="F5223" s="6"/>
      <c r="G5223" s="6">
        <v>5216</v>
      </c>
      <c r="H5223" s="6">
        <f t="shared" ca="1" si="167"/>
        <v>-1.8090034519326382E-2</v>
      </c>
    </row>
    <row r="5224" spans="2:8" x14ac:dyDescent="0.3">
      <c r="B5224" s="4">
        <v>38727</v>
      </c>
      <c r="C5224" s="7">
        <v>46.86</v>
      </c>
      <c r="D5224" s="6">
        <f t="shared" si="166"/>
        <v>-0.98610806420054664</v>
      </c>
      <c r="E5224" s="6">
        <v>-1.4925373134328375E-2</v>
      </c>
      <c r="F5224" s="6"/>
      <c r="G5224" s="6">
        <v>5217</v>
      </c>
      <c r="H5224" s="6">
        <f t="shared" ca="1" si="167"/>
        <v>-2.5254740532730503E-2</v>
      </c>
    </row>
    <row r="5225" spans="2:8" x14ac:dyDescent="0.3">
      <c r="B5225" s="4">
        <v>44792</v>
      </c>
      <c r="C5225" s="5">
        <v>3373.18</v>
      </c>
      <c r="D5225" s="6">
        <f t="shared" si="166"/>
        <v>13.894599726233055</v>
      </c>
      <c r="E5225" s="6">
        <v>-1.4934351929726289E-2</v>
      </c>
      <c r="F5225" s="6"/>
      <c r="G5225" s="6">
        <v>5218</v>
      </c>
      <c r="H5225" s="6">
        <f t="shared" ca="1" si="167"/>
        <v>1.2954775661379614E-2</v>
      </c>
    </row>
    <row r="5226" spans="2:8" x14ac:dyDescent="0.3">
      <c r="B5226" s="4">
        <v>40651</v>
      </c>
      <c r="C5226" s="7">
        <v>226.47</v>
      </c>
      <c r="D5226" s="6">
        <f t="shared" si="166"/>
        <v>-0.51272672504679728</v>
      </c>
      <c r="E5226" s="6">
        <v>-1.4962376582140828E-2</v>
      </c>
      <c r="F5226" s="6"/>
      <c r="G5226" s="6">
        <v>5219</v>
      </c>
      <c r="H5226" s="6">
        <f t="shared" ca="1" si="167"/>
        <v>-1.1444837086018149E-2</v>
      </c>
    </row>
    <row r="5227" spans="2:8" x14ac:dyDescent="0.3">
      <c r="B5227" s="4">
        <v>41572</v>
      </c>
      <c r="C5227" s="7">
        <v>464.77</v>
      </c>
      <c r="D5227" s="6">
        <f t="shared" si="166"/>
        <v>19.260244115082823</v>
      </c>
      <c r="E5227" s="6">
        <v>-1.4963016340631165E-2</v>
      </c>
      <c r="F5227" s="6"/>
      <c r="G5227" s="6">
        <v>5220</v>
      </c>
      <c r="H5227" s="6">
        <f t="shared" ca="1" si="167"/>
        <v>4.6822925251404968E-2</v>
      </c>
    </row>
    <row r="5228" spans="2:8" x14ac:dyDescent="0.3">
      <c r="B5228" s="4">
        <v>38308</v>
      </c>
      <c r="C5228" s="7">
        <v>22.94</v>
      </c>
      <c r="D5228" s="6">
        <f t="shared" si="166"/>
        <v>-0.92948914981250386</v>
      </c>
      <c r="E5228" s="6">
        <v>-1.502790897380841E-2</v>
      </c>
      <c r="F5228" s="6"/>
      <c r="G5228" s="6">
        <v>5221</v>
      </c>
      <c r="H5228" s="6">
        <f t="shared" ca="1" si="167"/>
        <v>-1.6248751988699784E-2</v>
      </c>
    </row>
    <row r="5229" spans="2:8" x14ac:dyDescent="0.3">
      <c r="B5229" s="4">
        <v>41152</v>
      </c>
      <c r="C5229" s="7">
        <v>325.33999999999997</v>
      </c>
      <c r="D5229" s="6">
        <f t="shared" si="166"/>
        <v>-0.25563410895279937</v>
      </c>
      <c r="E5229" s="6">
        <v>-1.5046471496473092E-2</v>
      </c>
      <c r="F5229" s="6"/>
      <c r="G5229" s="6">
        <v>5222</v>
      </c>
      <c r="H5229" s="6">
        <f t="shared" ca="1" si="167"/>
        <v>1.7764833694778583E-2</v>
      </c>
    </row>
    <row r="5230" spans="2:8" x14ac:dyDescent="0.3">
      <c r="B5230" s="4">
        <v>41358</v>
      </c>
      <c r="C5230" s="7">
        <v>437.07</v>
      </c>
      <c r="D5230" s="6">
        <f t="shared" si="166"/>
        <v>13.232171930967112</v>
      </c>
      <c r="E5230" s="6">
        <v>-1.5053521126760578E-2</v>
      </c>
      <c r="F5230" s="6"/>
      <c r="G5230" s="6">
        <v>5223</v>
      </c>
      <c r="H5230" s="6">
        <f t="shared" ca="1" si="167"/>
        <v>4.7820343744523599E-3</v>
      </c>
    </row>
    <row r="5231" spans="2:8" x14ac:dyDescent="0.3">
      <c r="B5231" s="4">
        <v>38490</v>
      </c>
      <c r="C5231" s="7">
        <v>30.71</v>
      </c>
      <c r="D5231" s="6">
        <f t="shared" si="166"/>
        <v>-0.82638928147436252</v>
      </c>
      <c r="E5231" s="6">
        <v>-1.5073765234124403E-2</v>
      </c>
      <c r="F5231" s="6"/>
      <c r="G5231" s="6">
        <v>5224</v>
      </c>
      <c r="H5231" s="6">
        <f t="shared" ca="1" si="167"/>
        <v>-6.1706119781945162E-3</v>
      </c>
    </row>
    <row r="5232" spans="2:8" x14ac:dyDescent="0.3">
      <c r="B5232" s="4">
        <v>40268</v>
      </c>
      <c r="C5232" s="7">
        <v>176.89</v>
      </c>
      <c r="D5232" s="6">
        <f t="shared" si="166"/>
        <v>0.65534344001497269</v>
      </c>
      <c r="E5232" s="6">
        <v>-1.5089086859688241E-2</v>
      </c>
      <c r="F5232" s="6"/>
      <c r="G5232" s="6">
        <v>5225</v>
      </c>
      <c r="H5232" s="6">
        <f t="shared" ca="1" si="167"/>
        <v>-2.1395588614037932E-2</v>
      </c>
    </row>
    <row r="5233" spans="2:8" x14ac:dyDescent="0.3">
      <c r="B5233" s="4">
        <v>39616</v>
      </c>
      <c r="C5233" s="7">
        <v>106.86</v>
      </c>
      <c r="D5233" s="6">
        <f t="shared" si="166"/>
        <v>1.0273192942515652</v>
      </c>
      <c r="E5233" s="6">
        <v>-1.5115207373271895E-2</v>
      </c>
      <c r="F5233" s="6"/>
      <c r="G5233" s="6">
        <v>5226</v>
      </c>
      <c r="H5233" s="6">
        <f t="shared" ca="1" si="167"/>
        <v>-2.2023994672578547E-2</v>
      </c>
    </row>
    <row r="5234" spans="2:8" x14ac:dyDescent="0.3">
      <c r="B5234" s="4">
        <v>38784</v>
      </c>
      <c r="C5234" s="7">
        <v>52.71</v>
      </c>
      <c r="D5234" s="6">
        <f t="shared" si="166"/>
        <v>-0.98266557483795225</v>
      </c>
      <c r="E5234" s="6">
        <v>-1.5134529147982105E-2</v>
      </c>
      <c r="F5234" s="6"/>
      <c r="G5234" s="6">
        <v>5227</v>
      </c>
      <c r="H5234" s="6">
        <f t="shared" ca="1" si="167"/>
        <v>7.2591147830167171E-3</v>
      </c>
    </row>
    <row r="5235" spans="2:8" x14ac:dyDescent="0.3">
      <c r="B5235" s="4">
        <v>44662</v>
      </c>
      <c r="C5235" s="5">
        <v>3040.77</v>
      </c>
      <c r="D5235" s="6">
        <f t="shared" si="166"/>
        <v>99.157114624505923</v>
      </c>
      <c r="E5235" s="6">
        <v>-1.5218151669818974E-2</v>
      </c>
      <c r="F5235" s="6"/>
      <c r="G5235" s="6">
        <v>5228</v>
      </c>
      <c r="H5235" s="6">
        <f t="shared" ca="1" si="167"/>
        <v>-2.42805048764866E-2</v>
      </c>
    </row>
    <row r="5236" spans="2:8" x14ac:dyDescent="0.3">
      <c r="B5236" s="4">
        <v>38495</v>
      </c>
      <c r="C5236" s="7">
        <v>30.36</v>
      </c>
      <c r="D5236" s="6">
        <f t="shared" si="166"/>
        <v>-0.96207986210858942</v>
      </c>
      <c r="E5236" s="6">
        <v>-1.5244891339604246E-2</v>
      </c>
      <c r="F5236" s="6"/>
      <c r="G5236" s="6">
        <v>5229</v>
      </c>
      <c r="H5236" s="6">
        <f t="shared" ca="1" si="167"/>
        <v>2.423657942706587E-2</v>
      </c>
    </row>
    <row r="5237" spans="2:8" x14ac:dyDescent="0.3">
      <c r="B5237" s="4">
        <v>42460</v>
      </c>
      <c r="C5237" s="7">
        <v>800.63</v>
      </c>
      <c r="D5237" s="6">
        <f t="shared" si="166"/>
        <v>2.4449034034680093</v>
      </c>
      <c r="E5237" s="6">
        <v>-1.5251589732236176E-2</v>
      </c>
      <c r="F5237" s="6"/>
      <c r="G5237" s="6">
        <v>5230</v>
      </c>
      <c r="H5237" s="6">
        <f t="shared" ca="1" si="167"/>
        <v>4.7790910560638368E-3</v>
      </c>
    </row>
    <row r="5238" spans="2:8" x14ac:dyDescent="0.3">
      <c r="B5238" s="4">
        <v>40466</v>
      </c>
      <c r="C5238" s="7">
        <v>232.41</v>
      </c>
      <c r="D5238" s="6">
        <f t="shared" si="166"/>
        <v>0.30677537250491987</v>
      </c>
      <c r="E5238" s="6">
        <v>-1.5253590949536013E-2</v>
      </c>
      <c r="F5238" s="6"/>
      <c r="G5238" s="6">
        <v>5231</v>
      </c>
      <c r="H5238" s="6">
        <f t="shared" ca="1" si="167"/>
        <v>4.6947425332973776E-3</v>
      </c>
    </row>
    <row r="5239" spans="2:8" x14ac:dyDescent="0.3">
      <c r="B5239" s="4">
        <v>40289</v>
      </c>
      <c r="C5239" s="7">
        <v>177.85</v>
      </c>
      <c r="D5239" s="6">
        <f t="shared" si="166"/>
        <v>-0.51744627740395055</v>
      </c>
      <c r="E5239" s="6">
        <v>-1.5281545872321682E-2</v>
      </c>
      <c r="F5239" s="6"/>
      <c r="G5239" s="6">
        <v>5232</v>
      </c>
      <c r="H5239" s="6">
        <f t="shared" ca="1" si="167"/>
        <v>1.6419489656071221E-2</v>
      </c>
    </row>
    <row r="5240" spans="2:8" x14ac:dyDescent="0.3">
      <c r="B5240" s="4">
        <v>41222</v>
      </c>
      <c r="C5240" s="7">
        <v>368.56</v>
      </c>
      <c r="D5240" s="6">
        <f t="shared" si="166"/>
        <v>-0.59635077266803194</v>
      </c>
      <c r="E5240" s="6">
        <v>-1.5282676071390324E-2</v>
      </c>
      <c r="F5240" s="6"/>
      <c r="G5240" s="6">
        <v>5233</v>
      </c>
      <c r="H5240" s="6">
        <f t="shared" ca="1" si="167"/>
        <v>-2.4187024838570974E-2</v>
      </c>
    </row>
    <row r="5241" spans="2:8" x14ac:dyDescent="0.3">
      <c r="B5241" s="4">
        <v>42556</v>
      </c>
      <c r="C5241" s="7">
        <v>913.07</v>
      </c>
      <c r="D5241" s="6">
        <f t="shared" si="166"/>
        <v>-0.70978548657264817</v>
      </c>
      <c r="E5241" s="6">
        <v>-1.5292531679697978E-2</v>
      </c>
      <c r="F5241" s="6"/>
      <c r="G5241" s="6">
        <v>5234</v>
      </c>
      <c r="H5241" s="6">
        <f t="shared" ca="1" si="167"/>
        <v>2.299030371854866E-3</v>
      </c>
    </row>
    <row r="5242" spans="2:8" x14ac:dyDescent="0.3">
      <c r="B5242" s="4">
        <v>44846</v>
      </c>
      <c r="C5242" s="5">
        <v>3146.19</v>
      </c>
      <c r="D5242" s="6">
        <f t="shared" si="166"/>
        <v>0.45896051862775106</v>
      </c>
      <c r="E5242" s="6">
        <v>-1.5310896964423783E-2</v>
      </c>
      <c r="F5242" s="6"/>
      <c r="G5242" s="6">
        <v>5235</v>
      </c>
      <c r="H5242" s="6">
        <f t="shared" ca="1" si="167"/>
        <v>-2.1590656100383063E-2</v>
      </c>
    </row>
    <row r="5243" spans="2:8" x14ac:dyDescent="0.3">
      <c r="B5243" s="4">
        <v>45716</v>
      </c>
      <c r="C5243" s="5">
        <v>2156.46</v>
      </c>
      <c r="D5243" s="6">
        <f t="shared" si="166"/>
        <v>3.9984006675474584</v>
      </c>
      <c r="E5243" s="6">
        <v>-1.5315068493150669E-2</v>
      </c>
      <c r="F5243" s="6"/>
      <c r="G5243" s="6">
        <v>5236</v>
      </c>
      <c r="H5243" s="6">
        <f t="shared" ca="1" si="167"/>
        <v>2.149491332556536E-3</v>
      </c>
    </row>
    <row r="5244" spans="2:8" x14ac:dyDescent="0.3">
      <c r="B5244" s="4">
        <v>41542</v>
      </c>
      <c r="C5244" s="7">
        <v>431.43</v>
      </c>
      <c r="D5244" s="6">
        <f t="shared" si="166"/>
        <v>-0.85458118315631948</v>
      </c>
      <c r="E5244" s="6">
        <v>-1.5337213283122151E-2</v>
      </c>
      <c r="F5244" s="6"/>
      <c r="G5244" s="6">
        <v>5237</v>
      </c>
      <c r="H5244" s="6">
        <f t="shared" ca="1" si="167"/>
        <v>-1.6338148071502124E-2</v>
      </c>
    </row>
    <row r="5245" spans="2:8" x14ac:dyDescent="0.3">
      <c r="B5245" s="4">
        <v>44664</v>
      </c>
      <c r="C5245" s="5">
        <v>2966.81</v>
      </c>
      <c r="D5245" s="6">
        <f t="shared" si="166"/>
        <v>0.32745552493109492</v>
      </c>
      <c r="E5245" s="6">
        <v>-1.5340039760639705E-2</v>
      </c>
      <c r="F5245" s="6"/>
      <c r="G5245" s="6">
        <v>5238</v>
      </c>
      <c r="H5245" s="6">
        <f t="shared" ca="1" si="167"/>
        <v>2.6052114716195153E-2</v>
      </c>
    </row>
    <row r="5246" spans="2:8" x14ac:dyDescent="0.3">
      <c r="B5246" s="4">
        <v>45807</v>
      </c>
      <c r="C5246" s="5">
        <v>2234.96</v>
      </c>
      <c r="D5246" s="6">
        <f t="shared" si="166"/>
        <v>-0.22011612975266601</v>
      </c>
      <c r="E5246" s="6">
        <v>-1.5340693811735129E-2</v>
      </c>
      <c r="F5246" s="6"/>
      <c r="G5246" s="6">
        <v>5239</v>
      </c>
      <c r="H5246" s="6">
        <f t="shared" ca="1" si="167"/>
        <v>1.0605182547030415E-2</v>
      </c>
    </row>
    <row r="5247" spans="2:8" x14ac:dyDescent="0.3">
      <c r="B5247" s="4">
        <v>45415</v>
      </c>
      <c r="C5247" s="5">
        <v>2865.76</v>
      </c>
      <c r="D5247" s="6">
        <f t="shared" si="166"/>
        <v>0.26185454433372818</v>
      </c>
      <c r="E5247" s="6">
        <v>-1.5341481097164881E-2</v>
      </c>
      <c r="F5247" s="6"/>
      <c r="G5247" s="6">
        <v>5240</v>
      </c>
      <c r="H5247" s="6">
        <f t="shared" ca="1" si="167"/>
        <v>7.2262516991158576E-3</v>
      </c>
    </row>
    <row r="5248" spans="2:8" x14ac:dyDescent="0.3">
      <c r="B5248" s="4">
        <v>45797</v>
      </c>
      <c r="C5248" s="5">
        <v>2271.0700000000002</v>
      </c>
      <c r="D5248" s="6">
        <f t="shared" si="166"/>
        <v>2.1186591963966932</v>
      </c>
      <c r="E5248" s="6">
        <v>-1.5356667490429016E-2</v>
      </c>
      <c r="F5248" s="6"/>
      <c r="G5248" s="6">
        <v>5241</v>
      </c>
      <c r="H5248" s="6">
        <f t="shared" ca="1" si="167"/>
        <v>5.6681471089429078E-3</v>
      </c>
    </row>
    <row r="5249" spans="2:8" x14ac:dyDescent="0.3">
      <c r="B5249" s="4">
        <v>42115</v>
      </c>
      <c r="C5249" s="7">
        <v>728.22</v>
      </c>
      <c r="D5249" s="6">
        <f t="shared" si="166"/>
        <v>-0.19360839811308211</v>
      </c>
      <c r="E5249" s="6">
        <v>-1.5400008112383535E-2</v>
      </c>
      <c r="F5249" s="6"/>
      <c r="G5249" s="6">
        <v>5242</v>
      </c>
      <c r="H5249" s="6">
        <f t="shared" ca="1" si="167"/>
        <v>2.7282738164464285E-3</v>
      </c>
    </row>
    <row r="5250" spans="2:8" x14ac:dyDescent="0.3">
      <c r="B5250" s="4">
        <v>42548</v>
      </c>
      <c r="C5250" s="7">
        <v>903.06</v>
      </c>
      <c r="D5250" s="6">
        <f t="shared" si="166"/>
        <v>0.49731396736967759</v>
      </c>
      <c r="E5250" s="6">
        <v>-1.5405750171720264E-2</v>
      </c>
      <c r="F5250" s="6"/>
      <c r="G5250" s="6">
        <v>5243</v>
      </c>
      <c r="H5250" s="6">
        <f t="shared" ca="1" si="167"/>
        <v>-8.6067088991601225E-3</v>
      </c>
    </row>
    <row r="5251" spans="2:8" x14ac:dyDescent="0.3">
      <c r="B5251" s="4">
        <v>41897</v>
      </c>
      <c r="C5251" s="7">
        <v>603.12</v>
      </c>
      <c r="D5251" s="6">
        <f t="shared" si="166"/>
        <v>-0.74847572418740049</v>
      </c>
      <c r="E5251" s="6">
        <v>-1.541073527491175E-2</v>
      </c>
      <c r="F5251" s="6"/>
      <c r="G5251" s="6">
        <v>5244</v>
      </c>
      <c r="H5251" s="6">
        <f t="shared" ca="1" si="167"/>
        <v>-2.4855105739361602E-2</v>
      </c>
    </row>
    <row r="5252" spans="2:8" x14ac:dyDescent="0.3">
      <c r="B5252" s="4">
        <v>45852</v>
      </c>
      <c r="C5252" s="5">
        <v>2397.86</v>
      </c>
      <c r="D5252" s="6">
        <f t="shared" si="166"/>
        <v>49.791357763185765</v>
      </c>
      <c r="E5252" s="6">
        <v>-1.5414305658208081E-2</v>
      </c>
      <c r="F5252" s="6"/>
      <c r="G5252" s="6">
        <v>5245</v>
      </c>
      <c r="H5252" s="6">
        <f t="shared" ca="1" si="167"/>
        <v>2.449871491398406E-2</v>
      </c>
    </row>
    <row r="5253" spans="2:8" x14ac:dyDescent="0.3">
      <c r="B5253" s="4">
        <v>38908</v>
      </c>
      <c r="C5253" s="7">
        <v>47.21</v>
      </c>
      <c r="D5253" s="6">
        <f t="shared" si="166"/>
        <v>-0.98423853529553162</v>
      </c>
      <c r="E5253" s="6">
        <v>-1.5432742440041751E-2</v>
      </c>
      <c r="F5253" s="6"/>
      <c r="G5253" s="6">
        <v>5246</v>
      </c>
      <c r="H5253" s="6">
        <f t="shared" ca="1" si="167"/>
        <v>1.5614941690665398E-2</v>
      </c>
    </row>
    <row r="5254" spans="2:8" x14ac:dyDescent="0.3">
      <c r="B5254" s="4">
        <v>44855</v>
      </c>
      <c r="C5254" s="5">
        <v>2995.28</v>
      </c>
      <c r="D5254" s="6">
        <f t="shared" si="166"/>
        <v>179.87439613526573</v>
      </c>
      <c r="E5254" s="6">
        <v>-1.5442467113264486E-2</v>
      </c>
      <c r="F5254" s="6"/>
      <c r="G5254" s="6">
        <v>5247</v>
      </c>
      <c r="H5254" s="6">
        <f t="shared" ca="1" si="167"/>
        <v>1.6607683018025798E-2</v>
      </c>
    </row>
    <row r="5255" spans="2:8" x14ac:dyDescent="0.3">
      <c r="B5255" s="4">
        <v>37708</v>
      </c>
      <c r="C5255" s="7">
        <v>16.559999999999999</v>
      </c>
      <c r="D5255" s="6">
        <f t="shared" si="166"/>
        <v>-0.88492008339124395</v>
      </c>
      <c r="E5255" s="6">
        <v>-1.5457788347205801E-2</v>
      </c>
      <c r="F5255" s="6"/>
      <c r="G5255" s="6">
        <v>5248</v>
      </c>
      <c r="H5255" s="6">
        <f t="shared" ca="1" si="167"/>
        <v>-1.3217585324253014E-2</v>
      </c>
    </row>
    <row r="5256" spans="2:8" x14ac:dyDescent="0.3">
      <c r="B5256" s="4">
        <v>40129</v>
      </c>
      <c r="C5256" s="7">
        <v>143.9</v>
      </c>
      <c r="D5256" s="6">
        <f t="shared" ref="D5256:D5319" si="168">((C5256-C5257)/C5257)</f>
        <v>-0.90643145567686012</v>
      </c>
      <c r="E5256" s="6">
        <v>-1.5462506841817126E-2</v>
      </c>
      <c r="F5256" s="6"/>
      <c r="G5256" s="6">
        <v>5249</v>
      </c>
      <c r="H5256" s="6">
        <f t="shared" ca="1" si="167"/>
        <v>-6.5972889443415995E-3</v>
      </c>
    </row>
    <row r="5257" spans="2:8" x14ac:dyDescent="0.3">
      <c r="B5257" s="4">
        <v>43993</v>
      </c>
      <c r="C5257" s="5">
        <v>1537.91</v>
      </c>
      <c r="D5257" s="6">
        <f t="shared" si="168"/>
        <v>34.104085825154073</v>
      </c>
      <c r="E5257" s="6">
        <v>-1.5491866769945663E-2</v>
      </c>
      <c r="F5257" s="6"/>
      <c r="G5257" s="6">
        <v>5250</v>
      </c>
      <c r="H5257" s="6">
        <f t="shared" ref="H5257:H5320" ca="1" si="169">_xlfn.NORM.INV(RAND(),N$10,N$11)</f>
        <v>4.3696515364691255E-2</v>
      </c>
    </row>
    <row r="5258" spans="2:8" x14ac:dyDescent="0.3">
      <c r="B5258" s="4">
        <v>38691</v>
      </c>
      <c r="C5258" s="7">
        <v>43.81</v>
      </c>
      <c r="D5258" s="6">
        <f t="shared" si="168"/>
        <v>-0.97882674760284571</v>
      </c>
      <c r="E5258" s="6">
        <v>-1.5505617977528039E-2</v>
      </c>
      <c r="F5258" s="6"/>
      <c r="G5258" s="6">
        <v>5251</v>
      </c>
      <c r="H5258" s="6">
        <f t="shared" ca="1" si="169"/>
        <v>-1.097043798548151E-2</v>
      </c>
    </row>
    <row r="5259" spans="2:8" x14ac:dyDescent="0.3">
      <c r="B5259" s="4">
        <v>44154</v>
      </c>
      <c r="C5259" s="5">
        <v>2069.12</v>
      </c>
      <c r="D5259" s="6">
        <f t="shared" si="168"/>
        <v>0.84789054406458741</v>
      </c>
      <c r="E5259" s="6">
        <v>-1.5506420961978648E-2</v>
      </c>
      <c r="F5259" s="6"/>
      <c r="G5259" s="6">
        <v>5252</v>
      </c>
      <c r="H5259" s="6">
        <f t="shared" ca="1" si="169"/>
        <v>-1.3213171363342542E-3</v>
      </c>
    </row>
    <row r="5260" spans="2:8" x14ac:dyDescent="0.3">
      <c r="B5260" s="4">
        <v>42982</v>
      </c>
      <c r="C5260" s="5">
        <v>1119.72</v>
      </c>
      <c r="D5260" s="6">
        <f t="shared" si="168"/>
        <v>-0.65406360642366801</v>
      </c>
      <c r="E5260" s="6">
        <v>-1.5509601181683789E-2</v>
      </c>
      <c r="F5260" s="6"/>
      <c r="G5260" s="6">
        <v>5253</v>
      </c>
      <c r="H5260" s="6">
        <f t="shared" ca="1" si="169"/>
        <v>-1.4665559603350114E-3</v>
      </c>
    </row>
    <row r="5261" spans="2:8" x14ac:dyDescent="0.3">
      <c r="B5261" s="4">
        <v>45566</v>
      </c>
      <c r="C5261" s="5">
        <v>3236.78</v>
      </c>
      <c r="D5261" s="6">
        <f t="shared" si="168"/>
        <v>44.639875916525661</v>
      </c>
      <c r="E5261" s="6">
        <v>-1.5544923948185515E-2</v>
      </c>
      <c r="F5261" s="6"/>
      <c r="G5261" s="6">
        <v>5254</v>
      </c>
      <c r="H5261" s="6">
        <f t="shared" ca="1" si="169"/>
        <v>7.8999786243418822E-3</v>
      </c>
    </row>
    <row r="5262" spans="2:8" x14ac:dyDescent="0.3">
      <c r="B5262" s="4">
        <v>39238</v>
      </c>
      <c r="C5262" s="7">
        <v>70.92</v>
      </c>
      <c r="D5262" s="6">
        <f t="shared" si="168"/>
        <v>-0.85424801677010975</v>
      </c>
      <c r="E5262" s="6">
        <v>-1.5546918378678574E-2</v>
      </c>
      <c r="F5262" s="6"/>
      <c r="G5262" s="6">
        <v>5255</v>
      </c>
      <c r="H5262" s="6">
        <f t="shared" ca="1" si="169"/>
        <v>-5.3252472755792417E-3</v>
      </c>
    </row>
    <row r="5263" spans="2:8" x14ac:dyDescent="0.3">
      <c r="B5263" s="4">
        <v>41781</v>
      </c>
      <c r="C5263" s="7">
        <v>486.58</v>
      </c>
      <c r="D5263" s="6">
        <f t="shared" si="168"/>
        <v>28.597323600973233</v>
      </c>
      <c r="E5263" s="6">
        <v>-1.5558298096182244E-2</v>
      </c>
      <c r="F5263" s="6"/>
      <c r="G5263" s="6">
        <v>5256</v>
      </c>
      <c r="H5263" s="6">
        <f t="shared" ca="1" si="169"/>
        <v>-1.0606444193405905E-2</v>
      </c>
    </row>
    <row r="5264" spans="2:8" x14ac:dyDescent="0.3">
      <c r="B5264" s="4">
        <v>37489</v>
      </c>
      <c r="C5264" s="7">
        <v>16.440000000000001</v>
      </c>
      <c r="D5264" s="6">
        <f t="shared" si="168"/>
        <v>-0.45831960461285004</v>
      </c>
      <c r="E5264" s="6">
        <v>-1.5568862275448984E-2</v>
      </c>
      <c r="F5264" s="6"/>
      <c r="G5264" s="6">
        <v>5257</v>
      </c>
      <c r="H5264" s="6">
        <f t="shared" ca="1" si="169"/>
        <v>-1.7678991323222336E-2</v>
      </c>
    </row>
    <row r="5265" spans="2:8" x14ac:dyDescent="0.3">
      <c r="B5265" s="4">
        <v>38503</v>
      </c>
      <c r="C5265" s="7">
        <v>30.35</v>
      </c>
      <c r="D5265" s="6">
        <f t="shared" si="168"/>
        <v>-0.98717401501929181</v>
      </c>
      <c r="E5265" s="6">
        <v>-1.5569250729808528E-2</v>
      </c>
      <c r="F5265" s="6"/>
      <c r="G5265" s="6">
        <v>5258</v>
      </c>
      <c r="H5265" s="6">
        <f t="shared" ca="1" si="169"/>
        <v>-8.7163795002207761E-3</v>
      </c>
    </row>
    <row r="5266" spans="2:8" x14ac:dyDescent="0.3">
      <c r="B5266" s="4">
        <v>45635</v>
      </c>
      <c r="C5266" s="5">
        <v>2366.29</v>
      </c>
      <c r="D5266" s="6">
        <f t="shared" si="168"/>
        <v>0.43722478331905995</v>
      </c>
      <c r="E5266" s="6">
        <v>-1.5579888007854353E-2</v>
      </c>
      <c r="F5266" s="6"/>
      <c r="G5266" s="6">
        <v>5259</v>
      </c>
      <c r="H5266" s="6">
        <f t="shared" ca="1" si="169"/>
        <v>-2.1853446770157495E-2</v>
      </c>
    </row>
    <row r="5267" spans="2:8" x14ac:dyDescent="0.3">
      <c r="B5267" s="4">
        <v>44033</v>
      </c>
      <c r="C5267" s="5">
        <v>1646.43</v>
      </c>
      <c r="D5267" s="6">
        <f t="shared" si="168"/>
        <v>-0.41313576691249587</v>
      </c>
      <c r="E5267" s="6">
        <v>-1.5610986882226972E-2</v>
      </c>
      <c r="F5267" s="6"/>
      <c r="G5267" s="6">
        <v>5260</v>
      </c>
      <c r="H5267" s="6">
        <f t="shared" ca="1" si="169"/>
        <v>-3.1740358780871995E-2</v>
      </c>
    </row>
    <row r="5268" spans="2:8" x14ac:dyDescent="0.3">
      <c r="B5268" s="4">
        <v>44348</v>
      </c>
      <c r="C5268" s="5">
        <v>2805.47</v>
      </c>
      <c r="D5268" s="6">
        <f t="shared" si="168"/>
        <v>1.1414657232056302</v>
      </c>
      <c r="E5268" s="6">
        <v>-1.561765345721732E-2</v>
      </c>
      <c r="F5268" s="6"/>
      <c r="G5268" s="6">
        <v>5261</v>
      </c>
      <c r="H5268" s="6">
        <f t="shared" ca="1" si="169"/>
        <v>2.5487849246021051E-2</v>
      </c>
    </row>
    <row r="5269" spans="2:8" x14ac:dyDescent="0.3">
      <c r="B5269" s="4">
        <v>43634</v>
      </c>
      <c r="C5269" s="5">
        <v>1310.07</v>
      </c>
      <c r="D5269" s="6">
        <f t="shared" si="168"/>
        <v>0.2332043715229731</v>
      </c>
      <c r="E5269" s="6">
        <v>-1.5621477841395764E-2</v>
      </c>
      <c r="F5269" s="6"/>
      <c r="G5269" s="6">
        <v>5262</v>
      </c>
      <c r="H5269" s="6">
        <f t="shared" ca="1" si="169"/>
        <v>-1.827993388899371E-2</v>
      </c>
    </row>
    <row r="5270" spans="2:8" x14ac:dyDescent="0.3">
      <c r="B5270" s="4">
        <v>42894</v>
      </c>
      <c r="C5270" s="5">
        <v>1062.33</v>
      </c>
      <c r="D5270" s="6">
        <f t="shared" si="168"/>
        <v>-7.7987820824150407E-3</v>
      </c>
      <c r="E5270" s="6">
        <v>-1.566843334198147E-2</v>
      </c>
      <c r="F5270" s="6"/>
      <c r="G5270" s="6">
        <v>5263</v>
      </c>
      <c r="H5270" s="6">
        <f t="shared" ca="1" si="169"/>
        <v>2.3409128379074478E-2</v>
      </c>
    </row>
    <row r="5271" spans="2:8" x14ac:dyDescent="0.3">
      <c r="B5271" s="4">
        <v>42629</v>
      </c>
      <c r="C5271" s="5">
        <v>1070.68</v>
      </c>
      <c r="D5271" s="6">
        <f t="shared" si="168"/>
        <v>0.42629917273901996</v>
      </c>
      <c r="E5271" s="6">
        <v>-1.5683895048449029E-2</v>
      </c>
      <c r="F5271" s="6"/>
      <c r="G5271" s="6">
        <v>5264</v>
      </c>
      <c r="H5271" s="6">
        <f t="shared" ca="1" si="169"/>
        <v>2.7068668276486386E-2</v>
      </c>
    </row>
    <row r="5272" spans="2:8" x14ac:dyDescent="0.3">
      <c r="B5272" s="4">
        <v>42053</v>
      </c>
      <c r="C5272" s="7">
        <v>750.67</v>
      </c>
      <c r="D5272" s="6">
        <f t="shared" si="168"/>
        <v>9.7009265858873839</v>
      </c>
      <c r="E5272" s="6">
        <v>-1.5708385235691364E-2</v>
      </c>
      <c r="F5272" s="6"/>
      <c r="G5272" s="6">
        <v>5265</v>
      </c>
      <c r="H5272" s="6">
        <f t="shared" ca="1" si="169"/>
        <v>-8.602251624495575E-3</v>
      </c>
    </row>
    <row r="5273" spans="2:8" x14ac:dyDescent="0.3">
      <c r="B5273" s="4">
        <v>39244</v>
      </c>
      <c r="C5273" s="7">
        <v>70.150000000000006</v>
      </c>
      <c r="D5273" s="6">
        <f t="shared" si="168"/>
        <v>0.20449862637362642</v>
      </c>
      <c r="E5273" s="6">
        <v>-1.5714887049249199E-2</v>
      </c>
      <c r="F5273" s="6"/>
      <c r="G5273" s="6">
        <v>5266</v>
      </c>
      <c r="H5273" s="6">
        <f t="shared" ca="1" si="169"/>
        <v>-1.5225341544773488E-2</v>
      </c>
    </row>
    <row r="5274" spans="2:8" x14ac:dyDescent="0.3">
      <c r="B5274" s="4">
        <v>39038</v>
      </c>
      <c r="C5274" s="7">
        <v>58.24</v>
      </c>
      <c r="D5274" s="6">
        <f t="shared" si="168"/>
        <v>-0.97863058131129865</v>
      </c>
      <c r="E5274" s="6">
        <v>-1.5717424370457998E-2</v>
      </c>
      <c r="F5274" s="6"/>
      <c r="G5274" s="6">
        <v>5267</v>
      </c>
      <c r="H5274" s="6">
        <f t="shared" ca="1" si="169"/>
        <v>2.5372735941326826E-2</v>
      </c>
    </row>
    <row r="5275" spans="2:8" x14ac:dyDescent="0.3">
      <c r="B5275" s="4">
        <v>45035</v>
      </c>
      <c r="C5275" s="5">
        <v>2725.39</v>
      </c>
      <c r="D5275" s="6">
        <f t="shared" si="168"/>
        <v>25.909458925750393</v>
      </c>
      <c r="E5275" s="6">
        <v>-1.5728040333123933E-2</v>
      </c>
      <c r="F5275" s="6"/>
      <c r="G5275" s="6">
        <v>5268</v>
      </c>
      <c r="H5275" s="6">
        <f t="shared" ca="1" si="169"/>
        <v>-2.2120459954691994E-3</v>
      </c>
    </row>
    <row r="5276" spans="2:8" x14ac:dyDescent="0.3">
      <c r="B5276" s="4">
        <v>39580</v>
      </c>
      <c r="C5276" s="7">
        <v>101.28</v>
      </c>
      <c r="D5276" s="6">
        <f t="shared" si="168"/>
        <v>-0.95829919340560699</v>
      </c>
      <c r="E5276" s="6">
        <v>-1.5743440233236195E-2</v>
      </c>
      <c r="F5276" s="6"/>
      <c r="G5276" s="6">
        <v>5269</v>
      </c>
      <c r="H5276" s="6">
        <f t="shared" ca="1" si="169"/>
        <v>1.389568997420754E-2</v>
      </c>
    </row>
    <row r="5277" spans="2:8" x14ac:dyDescent="0.3">
      <c r="B5277" s="4">
        <v>44286</v>
      </c>
      <c r="C5277" s="5">
        <v>2428.73</v>
      </c>
      <c r="D5277" s="6">
        <f t="shared" si="168"/>
        <v>9.0466227258849632E-2</v>
      </c>
      <c r="E5277" s="6">
        <v>-1.5768102316383207E-2</v>
      </c>
      <c r="F5277" s="6"/>
      <c r="G5277" s="6">
        <v>5270</v>
      </c>
      <c r="H5277" s="6">
        <f t="shared" ca="1" si="169"/>
        <v>9.929876318174078E-3</v>
      </c>
    </row>
    <row r="5278" spans="2:8" x14ac:dyDescent="0.3">
      <c r="B5278" s="4">
        <v>45728</v>
      </c>
      <c r="C5278" s="5">
        <v>2227.2399999999998</v>
      </c>
      <c r="D5278" s="6">
        <f t="shared" si="168"/>
        <v>5.7994871168640856</v>
      </c>
      <c r="E5278" s="6">
        <v>-1.5784636051896742E-2</v>
      </c>
      <c r="F5278" s="6"/>
      <c r="G5278" s="6">
        <v>5271</v>
      </c>
      <c r="H5278" s="6">
        <f t="shared" ca="1" si="169"/>
        <v>2.9822407624989934E-2</v>
      </c>
    </row>
    <row r="5279" spans="2:8" x14ac:dyDescent="0.3">
      <c r="B5279" s="4">
        <v>41046</v>
      </c>
      <c r="C5279" s="7">
        <v>327.56</v>
      </c>
      <c r="D5279" s="6">
        <f t="shared" si="168"/>
        <v>-0.59917770000734194</v>
      </c>
      <c r="E5279" s="6">
        <v>-1.580433868156959E-2</v>
      </c>
      <c r="F5279" s="6"/>
      <c r="G5279" s="6">
        <v>5272</v>
      </c>
      <c r="H5279" s="6">
        <f t="shared" ca="1" si="169"/>
        <v>7.8058674730387525E-3</v>
      </c>
    </row>
    <row r="5280" spans="2:8" x14ac:dyDescent="0.3">
      <c r="B5280" s="4">
        <v>42375</v>
      </c>
      <c r="C5280" s="7">
        <v>817.22</v>
      </c>
      <c r="D5280" s="6">
        <f t="shared" si="168"/>
        <v>-0.6125670832306146</v>
      </c>
      <c r="E5280" s="6">
        <v>-1.5824461679271623E-2</v>
      </c>
      <c r="F5280" s="6"/>
      <c r="G5280" s="6">
        <v>5273</v>
      </c>
      <c r="H5280" s="6">
        <f t="shared" ca="1" si="169"/>
        <v>2.6604725397481547E-3</v>
      </c>
    </row>
    <row r="5281" spans="2:8" x14ac:dyDescent="0.3">
      <c r="B5281" s="4">
        <v>45720</v>
      </c>
      <c r="C5281" s="5">
        <v>2109.3200000000002</v>
      </c>
      <c r="D5281" s="6">
        <f t="shared" si="168"/>
        <v>83.847948511665322</v>
      </c>
      <c r="E5281" s="6">
        <v>-1.5831097632100704E-2</v>
      </c>
      <c r="F5281" s="6"/>
      <c r="G5281" s="6">
        <v>5274</v>
      </c>
      <c r="H5281" s="6">
        <f t="shared" ca="1" si="169"/>
        <v>6.9136552354242542E-3</v>
      </c>
    </row>
    <row r="5282" spans="2:8" x14ac:dyDescent="0.3">
      <c r="B5282" s="4">
        <v>37971</v>
      </c>
      <c r="C5282" s="7">
        <v>24.86</v>
      </c>
      <c r="D5282" s="6">
        <f t="shared" si="168"/>
        <v>-0.96908998221990128</v>
      </c>
      <c r="E5282" s="6">
        <v>-1.5835312747426847E-2</v>
      </c>
      <c r="F5282" s="6"/>
      <c r="G5282" s="6">
        <v>5275</v>
      </c>
      <c r="H5282" s="6">
        <f t="shared" ca="1" si="169"/>
        <v>-5.4664000834323901E-3</v>
      </c>
    </row>
    <row r="5283" spans="2:8" x14ac:dyDescent="0.3">
      <c r="B5283" s="4">
        <v>42376</v>
      </c>
      <c r="C5283" s="7">
        <v>804.27</v>
      </c>
      <c r="D5283" s="6">
        <f t="shared" si="168"/>
        <v>25.430167597765365</v>
      </c>
      <c r="E5283" s="6">
        <v>-1.5846406108514285E-2</v>
      </c>
      <c r="F5283" s="6"/>
      <c r="G5283" s="6">
        <v>5276</v>
      </c>
      <c r="H5283" s="6">
        <f t="shared" ca="1" si="169"/>
        <v>2.0242316070549268E-3</v>
      </c>
    </row>
    <row r="5284" spans="2:8" x14ac:dyDescent="0.3">
      <c r="B5284" s="4">
        <v>38440</v>
      </c>
      <c r="C5284" s="7">
        <v>30.43</v>
      </c>
      <c r="D5284" s="6">
        <f t="shared" si="168"/>
        <v>-0.98527860826487856</v>
      </c>
      <c r="E5284" s="6">
        <v>-1.5847347994825418E-2</v>
      </c>
      <c r="F5284" s="6"/>
      <c r="G5284" s="6">
        <v>5277</v>
      </c>
      <c r="H5284" s="6">
        <f t="shared" ca="1" si="169"/>
        <v>-1.6596224614842954E-2</v>
      </c>
    </row>
    <row r="5285" spans="2:8" x14ac:dyDescent="0.3">
      <c r="B5285" s="4">
        <v>44132</v>
      </c>
      <c r="C5285" s="5">
        <v>2067.06</v>
      </c>
      <c r="D5285" s="6">
        <f t="shared" si="168"/>
        <v>4.840142397016443</v>
      </c>
      <c r="E5285" s="6">
        <v>-1.5901278767508114E-2</v>
      </c>
      <c r="F5285" s="6"/>
      <c r="G5285" s="6">
        <v>5278</v>
      </c>
      <c r="H5285" s="6">
        <f t="shared" ca="1" si="169"/>
        <v>8.1224097958687764E-4</v>
      </c>
    </row>
    <row r="5286" spans="2:8" x14ac:dyDescent="0.3">
      <c r="B5286" s="4">
        <v>41229</v>
      </c>
      <c r="C5286" s="7">
        <v>353.94</v>
      </c>
      <c r="D5286" s="6">
        <f t="shared" si="168"/>
        <v>3.7311856703649244</v>
      </c>
      <c r="E5286" s="6">
        <v>-1.5903909247622829E-2</v>
      </c>
      <c r="F5286" s="6"/>
      <c r="G5286" s="6">
        <v>5279</v>
      </c>
      <c r="H5286" s="6">
        <f t="shared" ca="1" si="169"/>
        <v>-9.4592821074335112E-3</v>
      </c>
    </row>
    <row r="5287" spans="2:8" x14ac:dyDescent="0.3">
      <c r="B5287" s="4">
        <v>39783</v>
      </c>
      <c r="C5287" s="7">
        <v>74.81</v>
      </c>
      <c r="D5287" s="6">
        <f t="shared" si="168"/>
        <v>3.6581569115815693</v>
      </c>
      <c r="E5287" s="6">
        <v>-1.5916863983162246E-2</v>
      </c>
      <c r="F5287" s="6"/>
      <c r="G5287" s="6">
        <v>5280</v>
      </c>
      <c r="H5287" s="6">
        <f t="shared" ca="1" si="169"/>
        <v>-1.5355906687291893E-3</v>
      </c>
    </row>
    <row r="5288" spans="2:8" x14ac:dyDescent="0.3">
      <c r="B5288" s="4">
        <v>37561</v>
      </c>
      <c r="C5288" s="7">
        <v>16.059999999999999</v>
      </c>
      <c r="D5288" s="6">
        <f t="shared" si="168"/>
        <v>-0.9902044500829511</v>
      </c>
      <c r="E5288" s="6">
        <v>-1.5931372549019704E-2</v>
      </c>
      <c r="F5288" s="6"/>
      <c r="G5288" s="6">
        <v>5281</v>
      </c>
      <c r="H5288" s="6">
        <f t="shared" ca="1" si="169"/>
        <v>-1.8283718724399944E-2</v>
      </c>
    </row>
    <row r="5289" spans="2:8" x14ac:dyDescent="0.3">
      <c r="B5289" s="4">
        <v>44043</v>
      </c>
      <c r="C5289" s="5">
        <v>1639.52</v>
      </c>
      <c r="D5289" s="6">
        <f t="shared" si="168"/>
        <v>29.633781763826605</v>
      </c>
      <c r="E5289" s="6">
        <v>-1.597704874740425E-2</v>
      </c>
      <c r="F5289" s="6"/>
      <c r="G5289" s="6">
        <v>5282</v>
      </c>
      <c r="H5289" s="6">
        <f t="shared" ca="1" si="169"/>
        <v>1.1154403330622513E-3</v>
      </c>
    </row>
    <row r="5290" spans="2:8" x14ac:dyDescent="0.3">
      <c r="B5290" s="4">
        <v>38783</v>
      </c>
      <c r="C5290" s="7">
        <v>53.52</v>
      </c>
      <c r="D5290" s="6">
        <f t="shared" si="168"/>
        <v>-0.92778497409326433</v>
      </c>
      <c r="E5290" s="6">
        <v>-1.5995587424158804E-2</v>
      </c>
      <c r="F5290" s="6"/>
      <c r="G5290" s="6">
        <v>5283</v>
      </c>
      <c r="H5290" s="6">
        <f t="shared" ca="1" si="169"/>
        <v>-9.7587378649684371E-3</v>
      </c>
    </row>
    <row r="5291" spans="2:8" x14ac:dyDescent="0.3">
      <c r="B5291" s="4">
        <v>42249</v>
      </c>
      <c r="C5291" s="7">
        <v>741.12</v>
      </c>
      <c r="D5291" s="6">
        <f t="shared" si="168"/>
        <v>2.2233820459290192</v>
      </c>
      <c r="E5291" s="6">
        <v>-1.5999044040521999E-2</v>
      </c>
      <c r="F5291" s="6"/>
      <c r="G5291" s="6">
        <v>5284</v>
      </c>
      <c r="H5291" s="6">
        <f t="shared" ca="1" si="169"/>
        <v>1.4550393679160018E-2</v>
      </c>
    </row>
    <row r="5292" spans="2:8" x14ac:dyDescent="0.3">
      <c r="B5292" s="4">
        <v>40567</v>
      </c>
      <c r="C5292" s="7">
        <v>229.92</v>
      </c>
      <c r="D5292" s="6">
        <f t="shared" si="168"/>
        <v>-0.47754953644791859</v>
      </c>
      <c r="E5292" s="6">
        <v>-1.6006162800650557E-2</v>
      </c>
      <c r="F5292" s="6"/>
      <c r="G5292" s="6">
        <v>5285</v>
      </c>
      <c r="H5292" s="6">
        <f t="shared" ca="1" si="169"/>
        <v>2.5644643910480991E-2</v>
      </c>
    </row>
    <row r="5293" spans="2:8" x14ac:dyDescent="0.3">
      <c r="B5293" s="4">
        <v>41354</v>
      </c>
      <c r="C5293" s="7">
        <v>440.08</v>
      </c>
      <c r="D5293" s="6">
        <f t="shared" si="168"/>
        <v>-0.34333079666353311</v>
      </c>
      <c r="E5293" s="6">
        <v>-1.6009301493605278E-2</v>
      </c>
      <c r="F5293" s="6"/>
      <c r="G5293" s="6">
        <v>5286</v>
      </c>
      <c r="H5293" s="6">
        <f t="shared" ca="1" si="169"/>
        <v>1.4242535090900597E-2</v>
      </c>
    </row>
    <row r="5294" spans="2:8" x14ac:dyDescent="0.3">
      <c r="B5294" s="4">
        <v>41992</v>
      </c>
      <c r="C5294" s="7">
        <v>670.17</v>
      </c>
      <c r="D5294" s="6">
        <f t="shared" si="168"/>
        <v>0.10497938994229176</v>
      </c>
      <c r="E5294" s="6">
        <v>-1.6033123375765422E-2</v>
      </c>
      <c r="F5294" s="6"/>
      <c r="G5294" s="6">
        <v>5287</v>
      </c>
      <c r="H5294" s="6">
        <f t="shared" ca="1" si="169"/>
        <v>5.0531261414255499E-3</v>
      </c>
    </row>
    <row r="5295" spans="2:8" x14ac:dyDescent="0.3">
      <c r="B5295" s="4">
        <v>41891</v>
      </c>
      <c r="C5295" s="7">
        <v>606.5</v>
      </c>
      <c r="D5295" s="6">
        <f t="shared" si="168"/>
        <v>-0.55663584195328775</v>
      </c>
      <c r="E5295" s="6">
        <v>-1.6045036421745949E-2</v>
      </c>
      <c r="F5295" s="6"/>
      <c r="G5295" s="6">
        <v>5288</v>
      </c>
      <c r="H5295" s="6">
        <f t="shared" ca="1" si="169"/>
        <v>5.5489236544010445E-3</v>
      </c>
    </row>
    <row r="5296" spans="2:8" x14ac:dyDescent="0.3">
      <c r="B5296" s="4">
        <v>43504</v>
      </c>
      <c r="C5296" s="5">
        <v>1367.95</v>
      </c>
      <c r="D5296" s="6">
        <f t="shared" si="168"/>
        <v>0.84134013541344188</v>
      </c>
      <c r="E5296" s="6">
        <v>-1.6061512788790696E-2</v>
      </c>
      <c r="F5296" s="6"/>
      <c r="G5296" s="6">
        <v>5289</v>
      </c>
      <c r="H5296" s="6">
        <f t="shared" ca="1" si="169"/>
        <v>1.12691567606066E-3</v>
      </c>
    </row>
    <row r="5297" spans="2:8" x14ac:dyDescent="0.3">
      <c r="B5297" s="4">
        <v>42257</v>
      </c>
      <c r="C5297" s="7">
        <v>742.91</v>
      </c>
      <c r="D5297" s="6">
        <f t="shared" si="168"/>
        <v>-0.69085605379673098</v>
      </c>
      <c r="E5297" s="6">
        <v>-1.6078405403615638E-2</v>
      </c>
      <c r="F5297" s="6"/>
      <c r="G5297" s="6">
        <v>5290</v>
      </c>
      <c r="H5297" s="6">
        <f t="shared" ca="1" si="169"/>
        <v>-1.3736314876662414E-2</v>
      </c>
    </row>
    <row r="5298" spans="2:8" x14ac:dyDescent="0.3">
      <c r="B5298" s="4">
        <v>44291</v>
      </c>
      <c r="C5298" s="5">
        <v>2403.12</v>
      </c>
      <c r="D5298" s="6">
        <f t="shared" si="168"/>
        <v>1.226946279804654</v>
      </c>
      <c r="E5298" s="6">
        <v>-1.6106712085356627E-2</v>
      </c>
      <c r="F5298" s="6"/>
      <c r="G5298" s="6">
        <v>5291</v>
      </c>
      <c r="H5298" s="6">
        <f t="shared" ca="1" si="169"/>
        <v>2.1616049652323627E-2</v>
      </c>
    </row>
    <row r="5299" spans="2:8" x14ac:dyDescent="0.3">
      <c r="B5299" s="4">
        <v>43124</v>
      </c>
      <c r="C5299" s="5">
        <v>1079.1099999999999</v>
      </c>
      <c r="D5299" s="6">
        <f t="shared" si="168"/>
        <v>15.412319391634979</v>
      </c>
      <c r="E5299" s="6">
        <v>-1.6119767685701059E-2</v>
      </c>
      <c r="F5299" s="6"/>
      <c r="G5299" s="6">
        <v>5292</v>
      </c>
      <c r="H5299" s="6">
        <f t="shared" ca="1" si="169"/>
        <v>2.9584808346874419E-3</v>
      </c>
    </row>
    <row r="5300" spans="2:8" x14ac:dyDescent="0.3">
      <c r="B5300" s="4">
        <v>39199</v>
      </c>
      <c r="C5300" s="7">
        <v>65.75</v>
      </c>
      <c r="D5300" s="6">
        <f t="shared" si="168"/>
        <v>-0.97392321726025222</v>
      </c>
      <c r="E5300" s="6">
        <v>-1.6160407002843009E-2</v>
      </c>
      <c r="F5300" s="6"/>
      <c r="G5300" s="6">
        <v>5293</v>
      </c>
      <c r="H5300" s="6">
        <f t="shared" ca="1" si="169"/>
        <v>1.7460332838457535E-2</v>
      </c>
    </row>
    <row r="5301" spans="2:8" x14ac:dyDescent="0.3">
      <c r="B5301" s="4">
        <v>46135</v>
      </c>
      <c r="C5301" s="5">
        <v>2521.4</v>
      </c>
      <c r="D5301" s="6">
        <f t="shared" si="168"/>
        <v>6.4032532738270014</v>
      </c>
      <c r="E5301" s="6">
        <v>-1.6192594326739241E-2</v>
      </c>
      <c r="F5301" s="6"/>
      <c r="G5301" s="6">
        <v>5294</v>
      </c>
      <c r="H5301" s="6">
        <f t="shared" ca="1" si="169"/>
        <v>1.3170623797198728E-2</v>
      </c>
    </row>
    <row r="5302" spans="2:8" x14ac:dyDescent="0.3">
      <c r="B5302" s="4">
        <v>41187</v>
      </c>
      <c r="C5302" s="7">
        <v>340.58</v>
      </c>
      <c r="D5302" s="6">
        <f t="shared" si="168"/>
        <v>-0.77643282416190218</v>
      </c>
      <c r="E5302" s="6">
        <v>-1.6204974147144672E-2</v>
      </c>
      <c r="F5302" s="6"/>
      <c r="G5302" s="6">
        <v>5295</v>
      </c>
      <c r="H5302" s="6">
        <f t="shared" ca="1" si="169"/>
        <v>2.0754463625099712E-2</v>
      </c>
    </row>
    <row r="5303" spans="2:8" x14ac:dyDescent="0.3">
      <c r="B5303" s="4">
        <v>43999</v>
      </c>
      <c r="C5303" s="5">
        <v>1523.39</v>
      </c>
      <c r="D5303" s="6">
        <f t="shared" si="168"/>
        <v>-0.51021753248840962</v>
      </c>
      <c r="E5303" s="6">
        <v>-1.6222045708455153E-2</v>
      </c>
      <c r="F5303" s="6"/>
      <c r="G5303" s="6">
        <v>5296</v>
      </c>
      <c r="H5303" s="6">
        <f t="shared" ca="1" si="169"/>
        <v>-4.7024419855648467E-2</v>
      </c>
    </row>
    <row r="5304" spans="2:8" x14ac:dyDescent="0.3">
      <c r="B5304" s="4">
        <v>45149</v>
      </c>
      <c r="C5304" s="5">
        <v>3110.34</v>
      </c>
      <c r="D5304" s="6">
        <f t="shared" si="168"/>
        <v>10.432551643019922</v>
      </c>
      <c r="E5304" s="6">
        <v>-1.6231979403224798E-2</v>
      </c>
      <c r="F5304" s="6"/>
      <c r="G5304" s="6">
        <v>5297</v>
      </c>
      <c r="H5304" s="6">
        <f t="shared" ca="1" si="169"/>
        <v>-1.1418984116355117E-2</v>
      </c>
    </row>
    <row r="5305" spans="2:8" x14ac:dyDescent="0.3">
      <c r="B5305" s="4">
        <v>40820</v>
      </c>
      <c r="C5305" s="7">
        <v>272.06</v>
      </c>
      <c r="D5305" s="6">
        <f t="shared" si="168"/>
        <v>-0.89926128894895674</v>
      </c>
      <c r="E5305" s="6">
        <v>-1.6235762068342104E-2</v>
      </c>
      <c r="F5305" s="6"/>
      <c r="G5305" s="6">
        <v>5298</v>
      </c>
      <c r="H5305" s="6">
        <f t="shared" ca="1" si="169"/>
        <v>-1.7986506083139193E-2</v>
      </c>
    </row>
    <row r="5306" spans="2:8" x14ac:dyDescent="0.3">
      <c r="B5306" s="4">
        <v>44998</v>
      </c>
      <c r="C5306" s="5">
        <v>2700.65</v>
      </c>
      <c r="D5306" s="6">
        <f t="shared" si="168"/>
        <v>2.7032237717169227</v>
      </c>
      <c r="E5306" s="6">
        <v>-1.6253410411362048E-2</v>
      </c>
      <c r="F5306" s="6"/>
      <c r="G5306" s="6">
        <v>5299</v>
      </c>
      <c r="H5306" s="6">
        <f t="shared" ca="1" si="169"/>
        <v>8.8383338777044459E-3</v>
      </c>
    </row>
    <row r="5307" spans="2:8" x14ac:dyDescent="0.3">
      <c r="B5307" s="4">
        <v>42041</v>
      </c>
      <c r="C5307" s="7">
        <v>729.27</v>
      </c>
      <c r="D5307" s="6">
        <f t="shared" si="168"/>
        <v>1.7249187310839591</v>
      </c>
      <c r="E5307" s="6">
        <v>-1.6281328405320164E-2</v>
      </c>
      <c r="F5307" s="6"/>
      <c r="G5307" s="6">
        <v>5300</v>
      </c>
      <c r="H5307" s="6">
        <f t="shared" ca="1" si="169"/>
        <v>3.5499343831907906E-2</v>
      </c>
    </row>
    <row r="5308" spans="2:8" x14ac:dyDescent="0.3">
      <c r="B5308" s="4">
        <v>40821</v>
      </c>
      <c r="C5308" s="7">
        <v>267.63</v>
      </c>
      <c r="D5308" s="6">
        <f t="shared" si="168"/>
        <v>10.676701570680626</v>
      </c>
      <c r="E5308" s="6">
        <v>-1.6283172829522925E-2</v>
      </c>
      <c r="F5308" s="6"/>
      <c r="G5308" s="6">
        <v>5301</v>
      </c>
      <c r="H5308" s="6">
        <f t="shared" ca="1" si="169"/>
        <v>1.6087218662293078E-2</v>
      </c>
    </row>
    <row r="5309" spans="2:8" x14ac:dyDescent="0.3">
      <c r="B5309" s="4">
        <v>37865</v>
      </c>
      <c r="C5309" s="7">
        <v>22.92</v>
      </c>
      <c r="D5309" s="6">
        <f t="shared" si="168"/>
        <v>-0.65435077665510477</v>
      </c>
      <c r="E5309" s="6">
        <v>-1.6309012875536436E-2</v>
      </c>
      <c r="F5309" s="6"/>
      <c r="G5309" s="6">
        <v>5302</v>
      </c>
      <c r="H5309" s="6">
        <f t="shared" ca="1" si="169"/>
        <v>1.0979198456463085E-2</v>
      </c>
    </row>
    <row r="5310" spans="2:8" x14ac:dyDescent="0.3">
      <c r="B5310" s="4">
        <v>39846</v>
      </c>
      <c r="C5310" s="7">
        <v>66.31</v>
      </c>
      <c r="D5310" s="6">
        <f t="shared" si="168"/>
        <v>-0.75561124829543358</v>
      </c>
      <c r="E5310" s="6">
        <v>-1.6318053701231187E-2</v>
      </c>
      <c r="F5310" s="6"/>
      <c r="G5310" s="6">
        <v>5303</v>
      </c>
      <c r="H5310" s="6">
        <f t="shared" ca="1" si="169"/>
        <v>-1.0076649797166345E-2</v>
      </c>
    </row>
    <row r="5311" spans="2:8" x14ac:dyDescent="0.3">
      <c r="B5311" s="4">
        <v>40994</v>
      </c>
      <c r="C5311" s="7">
        <v>271.33</v>
      </c>
      <c r="D5311" s="6">
        <f t="shared" si="168"/>
        <v>-0.91689637851612271</v>
      </c>
      <c r="E5311" s="6">
        <v>-1.6350058004640341E-2</v>
      </c>
      <c r="F5311" s="6"/>
      <c r="G5311" s="6">
        <v>5304</v>
      </c>
      <c r="H5311" s="6">
        <f t="shared" ca="1" si="169"/>
        <v>4.8081521972554629E-2</v>
      </c>
    </row>
    <row r="5312" spans="2:8" x14ac:dyDescent="0.3">
      <c r="B5312" s="4">
        <v>45114</v>
      </c>
      <c r="C5312" s="5">
        <v>3264.96</v>
      </c>
      <c r="D5312" s="6">
        <f t="shared" si="168"/>
        <v>200.54074074074077</v>
      </c>
      <c r="E5312" s="6">
        <v>-1.638573817162995E-2</v>
      </c>
      <c r="F5312" s="6"/>
      <c r="G5312" s="6">
        <v>5305</v>
      </c>
      <c r="H5312" s="6">
        <f t="shared" ca="1" si="169"/>
        <v>-2.1051067759468162E-3</v>
      </c>
    </row>
    <row r="5313" spans="2:8" x14ac:dyDescent="0.3">
      <c r="B5313" s="4">
        <v>37559</v>
      </c>
      <c r="C5313" s="7">
        <v>16.2</v>
      </c>
      <c r="D5313" s="6">
        <f t="shared" si="168"/>
        <v>-0.98013634803080085</v>
      </c>
      <c r="E5313" s="6">
        <v>-1.6393442622950796E-2</v>
      </c>
      <c r="F5313" s="6"/>
      <c r="G5313" s="6">
        <v>5306</v>
      </c>
      <c r="H5313" s="6">
        <f t="shared" ca="1" si="169"/>
        <v>-5.3268288508653026E-2</v>
      </c>
    </row>
    <row r="5314" spans="2:8" x14ac:dyDescent="0.3">
      <c r="B5314" s="4">
        <v>42444</v>
      </c>
      <c r="C5314" s="7">
        <v>815.56</v>
      </c>
      <c r="D5314" s="6">
        <f t="shared" si="168"/>
        <v>2.1710534557708841E-2</v>
      </c>
      <c r="E5314" s="6">
        <v>-1.6402141926769288E-2</v>
      </c>
      <c r="F5314" s="6"/>
      <c r="G5314" s="6">
        <v>5307</v>
      </c>
      <c r="H5314" s="6">
        <f t="shared" ca="1" si="169"/>
        <v>-9.5255828452312057E-3</v>
      </c>
    </row>
    <row r="5315" spans="2:8" x14ac:dyDescent="0.3">
      <c r="B5315" s="4">
        <v>42433</v>
      </c>
      <c r="C5315" s="7">
        <v>798.23</v>
      </c>
      <c r="D5315" s="6">
        <f t="shared" si="168"/>
        <v>0.18672970280837908</v>
      </c>
      <c r="E5315" s="6">
        <v>-1.6413036781467483E-2</v>
      </c>
      <c r="F5315" s="6"/>
      <c r="G5315" s="6">
        <v>5308</v>
      </c>
      <c r="H5315" s="6">
        <f t="shared" ca="1" si="169"/>
        <v>2.1986118740561562E-2</v>
      </c>
    </row>
    <row r="5316" spans="2:8" x14ac:dyDescent="0.3">
      <c r="B5316" s="4">
        <v>42164</v>
      </c>
      <c r="C5316" s="7">
        <v>672.63</v>
      </c>
      <c r="D5316" s="6">
        <f t="shared" si="168"/>
        <v>6.8780744905130007</v>
      </c>
      <c r="E5316" s="6">
        <v>-1.6450254430601861E-2</v>
      </c>
      <c r="F5316" s="6"/>
      <c r="G5316" s="6">
        <v>5309</v>
      </c>
      <c r="H5316" s="6">
        <f t="shared" ca="1" si="169"/>
        <v>1.7812170413615366E-2</v>
      </c>
    </row>
    <row r="5317" spans="2:8" x14ac:dyDescent="0.3">
      <c r="B5317" s="4">
        <v>39385</v>
      </c>
      <c r="C5317" s="7">
        <v>85.38</v>
      </c>
      <c r="D5317" s="6">
        <f t="shared" si="168"/>
        <v>2.5768747381650603</v>
      </c>
      <c r="E5317" s="6">
        <v>-1.6472756594862421E-2</v>
      </c>
      <c r="F5317" s="6"/>
      <c r="G5317" s="6">
        <v>5310</v>
      </c>
      <c r="H5317" s="6">
        <f t="shared" ca="1" si="169"/>
        <v>5.518455826397318E-3</v>
      </c>
    </row>
    <row r="5318" spans="2:8" x14ac:dyDescent="0.3">
      <c r="B5318" s="4">
        <v>38268</v>
      </c>
      <c r="C5318" s="7">
        <v>23.87</v>
      </c>
      <c r="D5318" s="6">
        <f t="shared" si="168"/>
        <v>-0.98525833425970533</v>
      </c>
      <c r="E5318" s="6">
        <v>-1.6481252575195657E-2</v>
      </c>
      <c r="F5318" s="6"/>
      <c r="G5318" s="6">
        <v>5311</v>
      </c>
      <c r="H5318" s="6">
        <f t="shared" ca="1" si="169"/>
        <v>-3.5857958053782724E-2</v>
      </c>
    </row>
    <row r="5319" spans="2:8" x14ac:dyDescent="0.3">
      <c r="B5319" s="4">
        <v>44034</v>
      </c>
      <c r="C5319" s="5">
        <v>1619.22</v>
      </c>
      <c r="D5319" s="6">
        <f t="shared" si="168"/>
        <v>19.032413707781767</v>
      </c>
      <c r="E5319" s="6">
        <v>-1.6526666788141638E-2</v>
      </c>
      <c r="F5319" s="6"/>
      <c r="G5319" s="6">
        <v>5312</v>
      </c>
      <c r="H5319" s="6">
        <f t="shared" ca="1" si="169"/>
        <v>-1.1511174582255389E-2</v>
      </c>
    </row>
    <row r="5320" spans="2:8" x14ac:dyDescent="0.3">
      <c r="B5320" s="4">
        <v>39771</v>
      </c>
      <c r="C5320" s="7">
        <v>80.83</v>
      </c>
      <c r="D5320" s="6">
        <f t="shared" ref="D5320:D5383" si="170">((C5320-C5321)/C5321)</f>
        <v>-0.9729521718907379</v>
      </c>
      <c r="E5320" s="6">
        <v>-1.6547025185545679E-2</v>
      </c>
      <c r="F5320" s="6"/>
      <c r="G5320" s="6">
        <v>5313</v>
      </c>
      <c r="H5320" s="6">
        <f t="shared" ca="1" si="169"/>
        <v>-2.027865556971532E-2</v>
      </c>
    </row>
    <row r="5321" spans="2:8" x14ac:dyDescent="0.3">
      <c r="B5321" s="4">
        <v>44399</v>
      </c>
      <c r="C5321" s="5">
        <v>2988.41</v>
      </c>
      <c r="D5321" s="6">
        <f t="shared" si="170"/>
        <v>-5.7723838712525434E-2</v>
      </c>
      <c r="E5321" s="6">
        <v>-1.6556313184498718E-2</v>
      </c>
      <c r="F5321" s="6"/>
      <c r="G5321" s="6">
        <v>5314</v>
      </c>
      <c r="H5321" s="6">
        <f t="shared" ref="H5321:H5384" ca="1" si="171">_xlfn.NORM.INV(RAND(),N$10,N$11)</f>
        <v>8.5156575296723973E-3</v>
      </c>
    </row>
    <row r="5322" spans="2:8" x14ac:dyDescent="0.3">
      <c r="B5322" s="4">
        <v>45308</v>
      </c>
      <c r="C5322" s="5">
        <v>3171.48</v>
      </c>
      <c r="D5322" s="6">
        <f t="shared" si="170"/>
        <v>0.31941590048674973</v>
      </c>
      <c r="E5322" s="6">
        <v>-1.6561805208859793E-2</v>
      </c>
      <c r="F5322" s="6"/>
      <c r="G5322" s="6">
        <v>5315</v>
      </c>
      <c r="H5322" s="6">
        <f t="shared" ca="1" si="171"/>
        <v>8.3034071323180945E-3</v>
      </c>
    </row>
    <row r="5323" spans="2:8" x14ac:dyDescent="0.3">
      <c r="B5323" s="4">
        <v>44308</v>
      </c>
      <c r="C5323" s="5">
        <v>2403.6999999999998</v>
      </c>
      <c r="D5323" s="6">
        <f t="shared" si="170"/>
        <v>19.222951371361262</v>
      </c>
      <c r="E5323" s="6">
        <v>-1.6602025954473455E-2</v>
      </c>
      <c r="F5323" s="6"/>
      <c r="G5323" s="6">
        <v>5316</v>
      </c>
      <c r="H5323" s="6">
        <f t="shared" ca="1" si="171"/>
        <v>-2.0310387029430051E-2</v>
      </c>
    </row>
    <row r="5324" spans="2:8" x14ac:dyDescent="0.3">
      <c r="B5324" s="4">
        <v>40057</v>
      </c>
      <c r="C5324" s="7">
        <v>118.86</v>
      </c>
      <c r="D5324" s="6">
        <f t="shared" si="170"/>
        <v>-0.84097294693746483</v>
      </c>
      <c r="E5324" s="6">
        <v>-1.6629436584760529E-2</v>
      </c>
      <c r="F5324" s="6"/>
      <c r="G5324" s="6">
        <v>5317</v>
      </c>
      <c r="H5324" s="6">
        <f t="shared" ca="1" si="171"/>
        <v>-9.7886727107416929E-3</v>
      </c>
    </row>
    <row r="5325" spans="2:8" x14ac:dyDescent="0.3">
      <c r="B5325" s="4">
        <v>42251</v>
      </c>
      <c r="C5325" s="7">
        <v>747.42</v>
      </c>
      <c r="D5325" s="6">
        <f t="shared" si="170"/>
        <v>-0.76073601956572534</v>
      </c>
      <c r="E5325" s="6">
        <v>-1.6630266031629065E-2</v>
      </c>
      <c r="F5325" s="6"/>
      <c r="G5325" s="6">
        <v>5318</v>
      </c>
      <c r="H5325" s="6">
        <f t="shared" ca="1" si="171"/>
        <v>1.9271594636571339E-3</v>
      </c>
    </row>
    <row r="5326" spans="2:8" x14ac:dyDescent="0.3">
      <c r="B5326" s="4">
        <v>44547</v>
      </c>
      <c r="C5326" s="5">
        <v>3123.83</v>
      </c>
      <c r="D5326" s="6">
        <f t="shared" si="170"/>
        <v>11.539962265665769</v>
      </c>
      <c r="E5326" s="6">
        <v>-1.6643057260679286E-2</v>
      </c>
      <c r="F5326" s="6"/>
      <c r="G5326" s="6">
        <v>5319</v>
      </c>
      <c r="H5326" s="6">
        <f t="shared" ca="1" si="171"/>
        <v>9.5168709238463295E-3</v>
      </c>
    </row>
    <row r="5327" spans="2:8" x14ac:dyDescent="0.3">
      <c r="B5327" s="4">
        <v>40539</v>
      </c>
      <c r="C5327" s="7">
        <v>249.11</v>
      </c>
      <c r="D5327" s="6">
        <f t="shared" si="170"/>
        <v>2.7692540475109699</v>
      </c>
      <c r="E5327" s="6">
        <v>-1.6658113922551607E-2</v>
      </c>
      <c r="F5327" s="6"/>
      <c r="G5327" s="6">
        <v>5320</v>
      </c>
      <c r="H5327" s="6">
        <f t="shared" ca="1" si="171"/>
        <v>-2.8916002918707231E-2</v>
      </c>
    </row>
    <row r="5328" spans="2:8" x14ac:dyDescent="0.3">
      <c r="B5328" s="4">
        <v>39874</v>
      </c>
      <c r="C5328" s="7">
        <v>66.09</v>
      </c>
      <c r="D5328" s="6">
        <f t="shared" si="170"/>
        <v>-0.84965194048864834</v>
      </c>
      <c r="E5328" s="6">
        <v>-1.6664186876952692E-2</v>
      </c>
      <c r="F5328" s="6"/>
      <c r="G5328" s="6">
        <v>5321</v>
      </c>
      <c r="H5328" s="6">
        <f t="shared" ca="1" si="171"/>
        <v>-2.5633571825288037E-2</v>
      </c>
    </row>
    <row r="5329" spans="2:8" x14ac:dyDescent="0.3">
      <c r="B5329" s="4">
        <v>41624</v>
      </c>
      <c r="C5329" s="7">
        <v>439.58</v>
      </c>
      <c r="D5329" s="6">
        <f t="shared" si="170"/>
        <v>-0.84762096243041063</v>
      </c>
      <c r="E5329" s="6">
        <v>-1.6687544738725923E-2</v>
      </c>
      <c r="F5329" s="6"/>
      <c r="G5329" s="6">
        <v>5322</v>
      </c>
      <c r="H5329" s="6">
        <f t="shared" ca="1" si="171"/>
        <v>-1.6228213581119619E-4</v>
      </c>
    </row>
    <row r="5330" spans="2:8" x14ac:dyDescent="0.3">
      <c r="B5330" s="4">
        <v>45316</v>
      </c>
      <c r="C5330" s="5">
        <v>2884.78</v>
      </c>
      <c r="D5330" s="6">
        <f t="shared" si="170"/>
        <v>-9.7510691481540457E-2</v>
      </c>
      <c r="E5330" s="6">
        <v>-1.675227425330517E-2</v>
      </c>
      <c r="F5330" s="6"/>
      <c r="G5330" s="6">
        <v>5323</v>
      </c>
      <c r="H5330" s="6">
        <f t="shared" ca="1" si="171"/>
        <v>2.1174237412765008E-2</v>
      </c>
    </row>
    <row r="5331" spans="2:8" x14ac:dyDescent="0.3">
      <c r="B5331" s="4">
        <v>44468</v>
      </c>
      <c r="C5331" s="5">
        <v>3196.47</v>
      </c>
      <c r="D5331" s="6">
        <f t="shared" si="170"/>
        <v>12.202007269122749</v>
      </c>
      <c r="E5331" s="6">
        <v>-1.6764227292162034E-2</v>
      </c>
      <c r="F5331" s="6"/>
      <c r="G5331" s="6">
        <v>5324</v>
      </c>
      <c r="H5331" s="6">
        <f t="shared" ca="1" si="171"/>
        <v>9.5213866825166003E-3</v>
      </c>
    </row>
    <row r="5332" spans="2:8" x14ac:dyDescent="0.3">
      <c r="B5332" s="4">
        <v>40443</v>
      </c>
      <c r="C5332" s="7">
        <v>242.12</v>
      </c>
      <c r="D5332" s="6">
        <f t="shared" si="170"/>
        <v>-0.21899293571175119</v>
      </c>
      <c r="E5332" s="6">
        <v>-1.6771573604060896E-2</v>
      </c>
      <c r="F5332" s="6"/>
      <c r="G5332" s="6">
        <v>5325</v>
      </c>
      <c r="H5332" s="6">
        <f t="shared" ca="1" si="171"/>
        <v>-1.76900090738252E-4</v>
      </c>
    </row>
    <row r="5333" spans="2:8" x14ac:dyDescent="0.3">
      <c r="B5333" s="4">
        <v>41116</v>
      </c>
      <c r="C5333" s="7">
        <v>310.01</v>
      </c>
      <c r="D5333" s="6">
        <f t="shared" si="170"/>
        <v>11.64830681354549</v>
      </c>
      <c r="E5333" s="6">
        <v>-1.6777672058357184E-2</v>
      </c>
      <c r="F5333" s="6"/>
      <c r="G5333" s="6">
        <v>5326</v>
      </c>
      <c r="H5333" s="6">
        <f t="shared" ca="1" si="171"/>
        <v>8.9137134242118256E-3</v>
      </c>
    </row>
    <row r="5334" spans="2:8" x14ac:dyDescent="0.3">
      <c r="B5334" s="4">
        <v>37974</v>
      </c>
      <c r="C5334" s="7">
        <v>24.51</v>
      </c>
      <c r="D5334" s="6">
        <f t="shared" si="170"/>
        <v>-0.94863896397812286</v>
      </c>
      <c r="E5334" s="6">
        <v>-1.6847172081829048E-2</v>
      </c>
      <c r="F5334" s="6"/>
      <c r="G5334" s="6">
        <v>5327</v>
      </c>
      <c r="H5334" s="6">
        <f t="shared" ca="1" si="171"/>
        <v>6.8774113390153747E-3</v>
      </c>
    </row>
    <row r="5335" spans="2:8" x14ac:dyDescent="0.3">
      <c r="B5335" s="4">
        <v>41778</v>
      </c>
      <c r="C5335" s="7">
        <v>477.21</v>
      </c>
      <c r="D5335" s="6">
        <f t="shared" si="170"/>
        <v>1.1734833302969574</v>
      </c>
      <c r="E5335" s="6">
        <v>-1.6872682323856608E-2</v>
      </c>
      <c r="F5335" s="6"/>
      <c r="G5335" s="6">
        <v>5328</v>
      </c>
      <c r="H5335" s="6">
        <f t="shared" ca="1" si="171"/>
        <v>9.2641646789945308E-3</v>
      </c>
    </row>
    <row r="5336" spans="2:8" x14ac:dyDescent="0.3">
      <c r="B5336" s="4">
        <v>40626</v>
      </c>
      <c r="C5336" s="7">
        <v>219.56</v>
      </c>
      <c r="D5336" s="6">
        <f t="shared" si="170"/>
        <v>0.36220374736319638</v>
      </c>
      <c r="E5336" s="6">
        <v>-1.6880848967895087E-2</v>
      </c>
      <c r="F5336" s="6"/>
      <c r="G5336" s="6">
        <v>5329</v>
      </c>
      <c r="H5336" s="6">
        <f t="shared" ca="1" si="171"/>
        <v>3.1161861428216477E-3</v>
      </c>
    </row>
    <row r="5337" spans="2:8" x14ac:dyDescent="0.3">
      <c r="B5337" s="4">
        <v>40227</v>
      </c>
      <c r="C5337" s="7">
        <v>161.18</v>
      </c>
      <c r="D5337" s="6">
        <f t="shared" si="170"/>
        <v>-0.84807095928889886</v>
      </c>
      <c r="E5337" s="6">
        <v>-1.689539493748083E-2</v>
      </c>
      <c r="F5337" s="6"/>
      <c r="G5337" s="6">
        <v>5330</v>
      </c>
      <c r="H5337" s="6">
        <f t="shared" ca="1" si="171"/>
        <v>8.5943952533579556E-3</v>
      </c>
    </row>
    <row r="5338" spans="2:8" x14ac:dyDescent="0.3">
      <c r="B5338" s="4">
        <v>42913</v>
      </c>
      <c r="C5338" s="5">
        <v>1060.8900000000001</v>
      </c>
      <c r="D5338" s="6">
        <f t="shared" si="170"/>
        <v>-0.12919748171617584</v>
      </c>
      <c r="E5338" s="6">
        <v>-1.6902504795529738E-2</v>
      </c>
      <c r="F5338" s="6"/>
      <c r="G5338" s="6">
        <v>5331</v>
      </c>
      <c r="H5338" s="6">
        <f t="shared" ca="1" si="171"/>
        <v>2.0926493642856432E-2</v>
      </c>
    </row>
    <row r="5339" spans="2:8" x14ac:dyDescent="0.3">
      <c r="B5339" s="4">
        <v>43249</v>
      </c>
      <c r="C5339" s="5">
        <v>1218.29</v>
      </c>
      <c r="D5339" s="6">
        <f t="shared" si="170"/>
        <v>1.0432879377431905</v>
      </c>
      <c r="E5339" s="6">
        <v>-1.6905522739743752E-2</v>
      </c>
      <c r="F5339" s="6"/>
      <c r="G5339" s="6">
        <v>5332</v>
      </c>
      <c r="H5339" s="6">
        <f t="shared" ca="1" si="171"/>
        <v>-1.5291737874479227E-2</v>
      </c>
    </row>
    <row r="5340" spans="2:8" x14ac:dyDescent="0.3">
      <c r="B5340" s="4">
        <v>41892</v>
      </c>
      <c r="C5340" s="7">
        <v>596.24</v>
      </c>
      <c r="D5340" s="6">
        <f t="shared" si="170"/>
        <v>-0.74068855139780454</v>
      </c>
      <c r="E5340" s="6">
        <v>-1.6916735366859011E-2</v>
      </c>
      <c r="F5340" s="6"/>
      <c r="G5340" s="6">
        <v>5333</v>
      </c>
      <c r="H5340" s="6">
        <f t="shared" ca="1" si="171"/>
        <v>1.848359103279024E-2</v>
      </c>
    </row>
    <row r="5341" spans="2:8" x14ac:dyDescent="0.3">
      <c r="B5341" s="4">
        <v>44280</v>
      </c>
      <c r="C5341" s="5">
        <v>2299.3200000000002</v>
      </c>
      <c r="D5341" s="6">
        <f t="shared" si="170"/>
        <v>27.68413173652695</v>
      </c>
      <c r="E5341" s="6">
        <v>-1.6922484928812657E-2</v>
      </c>
      <c r="F5341" s="6"/>
      <c r="G5341" s="6">
        <v>5334</v>
      </c>
      <c r="H5341" s="6">
        <f t="shared" ca="1" si="171"/>
        <v>-9.4072848478009216E-3</v>
      </c>
    </row>
    <row r="5342" spans="2:8" x14ac:dyDescent="0.3">
      <c r="B5342" s="4">
        <v>39737</v>
      </c>
      <c r="C5342" s="7">
        <v>80.16</v>
      </c>
      <c r="D5342" s="6">
        <f t="shared" si="170"/>
        <v>-0.83423974854732308</v>
      </c>
      <c r="E5342" s="6">
        <v>-1.6924208977189228E-2</v>
      </c>
      <c r="F5342" s="6"/>
      <c r="G5342" s="6">
        <v>5335</v>
      </c>
      <c r="H5342" s="6">
        <f t="shared" ca="1" si="171"/>
        <v>-5.8384602298292843E-3</v>
      </c>
    </row>
    <row r="5343" spans="2:8" x14ac:dyDescent="0.3">
      <c r="B5343" s="4">
        <v>41744</v>
      </c>
      <c r="C5343" s="7">
        <v>483.59</v>
      </c>
      <c r="D5343" s="6">
        <f t="shared" si="170"/>
        <v>-0.55341410708678873</v>
      </c>
      <c r="E5343" s="6">
        <v>-1.6933647747601317E-2</v>
      </c>
      <c r="F5343" s="6"/>
      <c r="G5343" s="6">
        <v>5336</v>
      </c>
      <c r="H5343" s="6">
        <f t="shared" ca="1" si="171"/>
        <v>3.4195062143524593E-2</v>
      </c>
    </row>
    <row r="5344" spans="2:8" x14ac:dyDescent="0.3">
      <c r="B5344" s="4">
        <v>43053</v>
      </c>
      <c r="C5344" s="5">
        <v>1082.8599999999999</v>
      </c>
      <c r="D5344" s="6">
        <f t="shared" si="170"/>
        <v>-0.66436995366280782</v>
      </c>
      <c r="E5344" s="6">
        <v>-1.6940228048514853E-2</v>
      </c>
      <c r="F5344" s="6"/>
      <c r="G5344" s="6">
        <v>5337</v>
      </c>
      <c r="H5344" s="6">
        <f t="shared" ca="1" si="171"/>
        <v>2.1312073995863475E-3</v>
      </c>
    </row>
    <row r="5345" spans="2:8" x14ac:dyDescent="0.3">
      <c r="B5345" s="4">
        <v>45299</v>
      </c>
      <c r="C5345" s="5">
        <v>3226.35</v>
      </c>
      <c r="D5345" s="6">
        <f t="shared" si="170"/>
        <v>4.4617246749729143</v>
      </c>
      <c r="E5345" s="6">
        <v>-1.7033994869388867E-2</v>
      </c>
      <c r="F5345" s="6"/>
      <c r="G5345" s="6">
        <v>5338</v>
      </c>
      <c r="H5345" s="6">
        <f t="shared" ca="1" si="171"/>
        <v>1.8090010031553888E-2</v>
      </c>
    </row>
    <row r="5346" spans="2:8" x14ac:dyDescent="0.3">
      <c r="B5346" s="4">
        <v>41950</v>
      </c>
      <c r="C5346" s="7">
        <v>590.72</v>
      </c>
      <c r="D5346" s="6">
        <f t="shared" si="170"/>
        <v>-0.81054704412722145</v>
      </c>
      <c r="E5346" s="6">
        <v>-1.7039403620873285E-2</v>
      </c>
      <c r="F5346" s="6"/>
      <c r="G5346" s="6">
        <v>5339</v>
      </c>
      <c r="H5346" s="6">
        <f t="shared" ca="1" si="171"/>
        <v>-5.2784520428426577E-3</v>
      </c>
    </row>
    <row r="5347" spans="2:8" x14ac:dyDescent="0.3">
      <c r="B5347" s="4">
        <v>44487</v>
      </c>
      <c r="C5347" s="5">
        <v>3118.03</v>
      </c>
      <c r="D5347" s="6">
        <f t="shared" si="170"/>
        <v>32.43731903485255</v>
      </c>
      <c r="E5347" s="6">
        <v>-1.7073378328536389E-2</v>
      </c>
      <c r="F5347" s="6"/>
      <c r="G5347" s="6">
        <v>5340</v>
      </c>
      <c r="H5347" s="6">
        <f t="shared" ca="1" si="171"/>
        <v>1.2703714911866549E-2</v>
      </c>
    </row>
    <row r="5348" spans="2:8" x14ac:dyDescent="0.3">
      <c r="B5348" s="4">
        <v>39476</v>
      </c>
      <c r="C5348" s="7">
        <v>93.25</v>
      </c>
      <c r="D5348" s="6">
        <f t="shared" si="170"/>
        <v>-0.8248398670097864</v>
      </c>
      <c r="E5348" s="6">
        <v>-1.7075998735111252E-2</v>
      </c>
      <c r="F5348" s="6"/>
      <c r="G5348" s="6">
        <v>5341</v>
      </c>
      <c r="H5348" s="6">
        <f t="shared" ca="1" si="171"/>
        <v>2.4215344014942151E-2</v>
      </c>
    </row>
    <row r="5349" spans="2:8" x14ac:dyDescent="0.3">
      <c r="B5349" s="4">
        <v>41821</v>
      </c>
      <c r="C5349" s="7">
        <v>532.37</v>
      </c>
      <c r="D5349" s="6">
        <f t="shared" si="170"/>
        <v>22.227312390924954</v>
      </c>
      <c r="E5349" s="6">
        <v>-1.7078394446290758E-2</v>
      </c>
      <c r="F5349" s="6"/>
      <c r="G5349" s="6">
        <v>5342</v>
      </c>
      <c r="H5349" s="6">
        <f t="shared" ca="1" si="171"/>
        <v>5.1870043421809609E-3</v>
      </c>
    </row>
    <row r="5350" spans="2:8" x14ac:dyDescent="0.3">
      <c r="B5350" s="4">
        <v>38296</v>
      </c>
      <c r="C5350" s="7">
        <v>22.92</v>
      </c>
      <c r="D5350" s="6">
        <f t="shared" si="170"/>
        <v>-0.99082723015968299</v>
      </c>
      <c r="E5350" s="6">
        <v>-1.7152658662092563E-2</v>
      </c>
      <c r="F5350" s="6"/>
      <c r="G5350" s="6">
        <v>5343</v>
      </c>
      <c r="H5350" s="6">
        <f t="shared" ca="1" si="171"/>
        <v>1.4937176730842423E-2</v>
      </c>
    </row>
    <row r="5351" spans="2:8" x14ac:dyDescent="0.3">
      <c r="B5351" s="4">
        <v>45915</v>
      </c>
      <c r="C5351" s="5">
        <v>2498.6999999999998</v>
      </c>
      <c r="D5351" s="6">
        <f t="shared" si="170"/>
        <v>7.7266440820032827</v>
      </c>
      <c r="E5351" s="6">
        <v>-1.7161422789331089E-2</v>
      </c>
      <c r="F5351" s="6"/>
      <c r="G5351" s="6">
        <v>5344</v>
      </c>
      <c r="H5351" s="6">
        <f t="shared" ca="1" si="171"/>
        <v>-2.1140392460201336E-2</v>
      </c>
    </row>
    <row r="5352" spans="2:8" x14ac:dyDescent="0.3">
      <c r="B5352" s="4">
        <v>40729</v>
      </c>
      <c r="C5352" s="7">
        <v>286.33</v>
      </c>
      <c r="D5352" s="6">
        <f t="shared" si="170"/>
        <v>-0.90241965715843642</v>
      </c>
      <c r="E5352" s="6">
        <v>-1.7162667765077404E-2</v>
      </c>
      <c r="F5352" s="6"/>
      <c r="G5352" s="6">
        <v>5345</v>
      </c>
      <c r="H5352" s="6">
        <f t="shared" ca="1" si="171"/>
        <v>1.0042144656716849E-2</v>
      </c>
    </row>
    <row r="5353" spans="2:8" x14ac:dyDescent="0.3">
      <c r="B5353" s="4">
        <v>44700</v>
      </c>
      <c r="C5353" s="5">
        <v>2934.3</v>
      </c>
      <c r="D5353" s="6">
        <f t="shared" si="170"/>
        <v>13.578199523052463</v>
      </c>
      <c r="E5353" s="6">
        <v>-1.716272433127668E-2</v>
      </c>
      <c r="F5353" s="6"/>
      <c r="G5353" s="6">
        <v>5346</v>
      </c>
      <c r="H5353" s="6">
        <f t="shared" ca="1" si="171"/>
        <v>9.8030313375545904E-3</v>
      </c>
    </row>
    <row r="5354" spans="2:8" x14ac:dyDescent="0.3">
      <c r="B5354" s="4">
        <v>40359</v>
      </c>
      <c r="C5354" s="7">
        <v>201.28</v>
      </c>
      <c r="D5354" s="6">
        <f t="shared" si="170"/>
        <v>11.147254073627037</v>
      </c>
      <c r="E5354" s="6">
        <v>-1.718750000000005E-2</v>
      </c>
      <c r="F5354" s="6"/>
      <c r="G5354" s="6">
        <v>5347</v>
      </c>
      <c r="H5354" s="6">
        <f t="shared" ca="1" si="171"/>
        <v>-1.2859239665996775E-2</v>
      </c>
    </row>
    <row r="5355" spans="2:8" x14ac:dyDescent="0.3">
      <c r="B5355" s="4">
        <v>37557</v>
      </c>
      <c r="C5355" s="7">
        <v>16.57</v>
      </c>
      <c r="D5355" s="6">
        <f t="shared" si="170"/>
        <v>-0.95211674613495156</v>
      </c>
      <c r="E5355" s="6">
        <v>-1.7200474495848113E-2</v>
      </c>
      <c r="F5355" s="6"/>
      <c r="G5355" s="6">
        <v>5348</v>
      </c>
      <c r="H5355" s="6">
        <f t="shared" ca="1" si="171"/>
        <v>1.0598546925654605E-3</v>
      </c>
    </row>
    <row r="5356" spans="2:8" x14ac:dyDescent="0.3">
      <c r="B5356" s="4">
        <v>41094</v>
      </c>
      <c r="C5356" s="7">
        <v>346.05</v>
      </c>
      <c r="D5356" s="6">
        <f t="shared" si="170"/>
        <v>-0.50089422217094071</v>
      </c>
      <c r="E5356" s="6">
        <v>-1.7210530800034086E-2</v>
      </c>
      <c r="F5356" s="6"/>
      <c r="G5356" s="6">
        <v>5349</v>
      </c>
      <c r="H5356" s="6">
        <f t="shared" ca="1" si="171"/>
        <v>-1.1663205688075856E-2</v>
      </c>
    </row>
    <row r="5357" spans="2:8" x14ac:dyDescent="0.3">
      <c r="B5357" s="4">
        <v>42136</v>
      </c>
      <c r="C5357" s="7">
        <v>693.34</v>
      </c>
      <c r="D5357" s="6">
        <f t="shared" si="170"/>
        <v>6.0098068951572143</v>
      </c>
      <c r="E5357" s="6">
        <v>-1.7236002834868841E-2</v>
      </c>
      <c r="F5357" s="6"/>
      <c r="G5357" s="6">
        <v>5350</v>
      </c>
      <c r="H5357" s="6">
        <f t="shared" ca="1" si="171"/>
        <v>-2.9667466112707503E-3</v>
      </c>
    </row>
    <row r="5358" spans="2:8" x14ac:dyDescent="0.3">
      <c r="B5358" s="4">
        <v>39976</v>
      </c>
      <c r="C5358" s="7">
        <v>98.91</v>
      </c>
      <c r="D5358" s="6">
        <f t="shared" si="170"/>
        <v>-0.96548378879191521</v>
      </c>
      <c r="E5358" s="6">
        <v>-1.7287630402384589E-2</v>
      </c>
      <c r="F5358" s="6"/>
      <c r="G5358" s="6">
        <v>5351</v>
      </c>
      <c r="H5358" s="6">
        <f t="shared" ca="1" si="171"/>
        <v>-4.4970309987829712E-3</v>
      </c>
    </row>
    <row r="5359" spans="2:8" x14ac:dyDescent="0.3">
      <c r="B5359" s="4">
        <v>45330</v>
      </c>
      <c r="C5359" s="5">
        <v>2865.61</v>
      </c>
      <c r="D5359" s="6">
        <f t="shared" si="170"/>
        <v>131.79008341056536</v>
      </c>
      <c r="E5359" s="6">
        <v>-1.7290631440691651E-2</v>
      </c>
      <c r="F5359" s="6"/>
      <c r="G5359" s="6">
        <v>5352</v>
      </c>
      <c r="H5359" s="6">
        <f t="shared" ca="1" si="171"/>
        <v>-1.3825691448031841E-3</v>
      </c>
    </row>
    <row r="5360" spans="2:8" x14ac:dyDescent="0.3">
      <c r="B5360" s="4">
        <v>37917</v>
      </c>
      <c r="C5360" s="7">
        <v>21.58</v>
      </c>
      <c r="D5360" s="6">
        <f t="shared" si="170"/>
        <v>-0.98080190735452422</v>
      </c>
      <c r="E5360" s="6">
        <v>-1.7304189435337094E-2</v>
      </c>
      <c r="F5360" s="6"/>
      <c r="G5360" s="6">
        <v>5353</v>
      </c>
      <c r="H5360" s="6">
        <f t="shared" ca="1" si="171"/>
        <v>3.4929377461313596E-3</v>
      </c>
    </row>
    <row r="5361" spans="2:8" x14ac:dyDescent="0.3">
      <c r="B5361" s="4">
        <v>43033</v>
      </c>
      <c r="C5361" s="5">
        <v>1124.07</v>
      </c>
      <c r="D5361" s="6">
        <f t="shared" si="170"/>
        <v>11.573489932885904</v>
      </c>
      <c r="E5361" s="6">
        <v>-1.7344021819898546E-2</v>
      </c>
      <c r="F5361" s="6"/>
      <c r="G5361" s="6">
        <v>5354</v>
      </c>
      <c r="H5361" s="6">
        <f t="shared" ca="1" si="171"/>
        <v>-1.2633525675582263E-2</v>
      </c>
    </row>
    <row r="5362" spans="2:8" x14ac:dyDescent="0.3">
      <c r="B5362" s="4">
        <v>39958</v>
      </c>
      <c r="C5362" s="7">
        <v>89.4</v>
      </c>
      <c r="D5362" s="6">
        <f t="shared" si="170"/>
        <v>-0.93809507322646535</v>
      </c>
      <c r="E5362" s="6">
        <v>-1.7366454165750694E-2</v>
      </c>
      <c r="F5362" s="6"/>
      <c r="G5362" s="6">
        <v>5355</v>
      </c>
      <c r="H5362" s="6">
        <f t="shared" ca="1" si="171"/>
        <v>2.9248396998792205E-2</v>
      </c>
    </row>
    <row r="5363" spans="2:8" x14ac:dyDescent="0.3">
      <c r="B5363" s="4">
        <v>43724</v>
      </c>
      <c r="C5363" s="5">
        <v>1444.15</v>
      </c>
      <c r="D5363" s="6">
        <f t="shared" si="170"/>
        <v>4.3556462080474692</v>
      </c>
      <c r="E5363" s="6">
        <v>-1.7377814369016569E-2</v>
      </c>
      <c r="F5363" s="6"/>
      <c r="G5363" s="6">
        <v>5356</v>
      </c>
      <c r="H5363" s="6">
        <f t="shared" ca="1" si="171"/>
        <v>9.1625151650787072E-3</v>
      </c>
    </row>
    <row r="5364" spans="2:8" x14ac:dyDescent="0.3">
      <c r="B5364" s="4">
        <v>40864</v>
      </c>
      <c r="C5364" s="7">
        <v>269.64999999999998</v>
      </c>
      <c r="D5364" s="6">
        <f t="shared" si="170"/>
        <v>-0.84064651478887797</v>
      </c>
      <c r="E5364" s="6">
        <v>-1.7382115006195024E-2</v>
      </c>
      <c r="F5364" s="6"/>
      <c r="G5364" s="6">
        <v>5357</v>
      </c>
      <c r="H5364" s="6">
        <f t="shared" ca="1" si="171"/>
        <v>-9.4591166900049352E-3</v>
      </c>
    </row>
    <row r="5365" spans="2:8" x14ac:dyDescent="0.3">
      <c r="B5365" s="4">
        <v>43852</v>
      </c>
      <c r="C5365" s="5">
        <v>1692.15</v>
      </c>
      <c r="D5365" s="6">
        <f t="shared" si="170"/>
        <v>0.38926290208699377</v>
      </c>
      <c r="E5365" s="6">
        <v>-1.7397262660340983E-2</v>
      </c>
      <c r="F5365" s="6"/>
      <c r="G5365" s="6">
        <v>5358</v>
      </c>
      <c r="H5365" s="6">
        <f t="shared" ca="1" si="171"/>
        <v>1.118141583360196E-2</v>
      </c>
    </row>
    <row r="5366" spans="2:8" x14ac:dyDescent="0.3">
      <c r="B5366" s="4">
        <v>43353</v>
      </c>
      <c r="C5366" s="5">
        <v>1218.02</v>
      </c>
      <c r="D5366" s="6">
        <f t="shared" si="170"/>
        <v>23.517310789049919</v>
      </c>
      <c r="E5366" s="6">
        <v>-1.740091481860933E-2</v>
      </c>
      <c r="F5366" s="6"/>
      <c r="G5366" s="6">
        <v>5359</v>
      </c>
      <c r="H5366" s="6">
        <f t="shared" ca="1" si="171"/>
        <v>1.9799620218608957E-4</v>
      </c>
    </row>
    <row r="5367" spans="2:8" x14ac:dyDescent="0.3">
      <c r="B5367" s="4">
        <v>38824</v>
      </c>
      <c r="C5367" s="7">
        <v>49.68</v>
      </c>
      <c r="D5367" s="6">
        <f t="shared" si="170"/>
        <v>-0.92868114672906599</v>
      </c>
      <c r="E5367" s="6">
        <v>-1.7405063291139292E-2</v>
      </c>
      <c r="F5367" s="6"/>
      <c r="G5367" s="6">
        <v>5360</v>
      </c>
      <c r="H5367" s="6">
        <f t="shared" ca="1" si="171"/>
        <v>1.0058026802872783E-2</v>
      </c>
    </row>
    <row r="5368" spans="2:8" x14ac:dyDescent="0.3">
      <c r="B5368" s="4">
        <v>42149</v>
      </c>
      <c r="C5368" s="7">
        <v>696.59</v>
      </c>
      <c r="D5368" s="6">
        <f t="shared" si="170"/>
        <v>0.71904150831647007</v>
      </c>
      <c r="E5368" s="6">
        <v>-1.7406514042288969E-2</v>
      </c>
      <c r="F5368" s="6"/>
      <c r="G5368" s="6">
        <v>5361</v>
      </c>
      <c r="H5368" s="6">
        <f t="shared" ca="1" si="171"/>
        <v>9.3676317629684362E-3</v>
      </c>
    </row>
    <row r="5369" spans="2:8" x14ac:dyDescent="0.3">
      <c r="B5369" s="4">
        <v>41313</v>
      </c>
      <c r="C5369" s="7">
        <v>405.22</v>
      </c>
      <c r="D5369" s="6">
        <f t="shared" si="170"/>
        <v>4.0760241428021073E-2</v>
      </c>
      <c r="E5369" s="6">
        <v>-1.7434106835430754E-2</v>
      </c>
      <c r="F5369" s="6"/>
      <c r="G5369" s="6">
        <v>5362</v>
      </c>
      <c r="H5369" s="6">
        <f t="shared" ca="1" si="171"/>
        <v>9.6950387678332445E-3</v>
      </c>
    </row>
    <row r="5370" spans="2:8" x14ac:dyDescent="0.3">
      <c r="B5370" s="4">
        <v>41270</v>
      </c>
      <c r="C5370" s="7">
        <v>389.35</v>
      </c>
      <c r="D5370" s="6">
        <f t="shared" si="170"/>
        <v>7.8750854798267618</v>
      </c>
      <c r="E5370" s="6">
        <v>-1.7462840992252655E-2</v>
      </c>
      <c r="F5370" s="6"/>
      <c r="G5370" s="6">
        <v>5363</v>
      </c>
      <c r="H5370" s="6">
        <f t="shared" ca="1" si="171"/>
        <v>6.3420758125941777E-3</v>
      </c>
    </row>
    <row r="5371" spans="2:8" x14ac:dyDescent="0.3">
      <c r="B5371" s="4">
        <v>38701</v>
      </c>
      <c r="C5371" s="7">
        <v>43.87</v>
      </c>
      <c r="D5371" s="6">
        <f t="shared" si="170"/>
        <v>-0.97890652421638724</v>
      </c>
      <c r="E5371" s="6">
        <v>-1.7469204927211671E-2</v>
      </c>
      <c r="F5371" s="6"/>
      <c r="G5371" s="6">
        <v>5364</v>
      </c>
      <c r="H5371" s="6">
        <f t="shared" ca="1" si="171"/>
        <v>-7.132435846621309E-3</v>
      </c>
    </row>
    <row r="5372" spans="2:8" x14ac:dyDescent="0.3">
      <c r="B5372" s="4">
        <v>44137</v>
      </c>
      <c r="C5372" s="5">
        <v>2079.79</v>
      </c>
      <c r="D5372" s="6">
        <f t="shared" si="170"/>
        <v>24.759103294525637</v>
      </c>
      <c r="E5372" s="6">
        <v>-1.7474654900367651E-2</v>
      </c>
      <c r="F5372" s="6"/>
      <c r="G5372" s="6">
        <v>5365</v>
      </c>
      <c r="H5372" s="6">
        <f t="shared" ca="1" si="171"/>
        <v>-1.6776962067741482E-2</v>
      </c>
    </row>
    <row r="5373" spans="2:8" x14ac:dyDescent="0.3">
      <c r="B5373" s="4">
        <v>39367</v>
      </c>
      <c r="C5373" s="7">
        <v>80.739999999999995</v>
      </c>
      <c r="D5373" s="6">
        <f t="shared" si="170"/>
        <v>1.6188777165098929</v>
      </c>
      <c r="E5373" s="6">
        <v>-1.7522511559990409E-2</v>
      </c>
      <c r="F5373" s="6"/>
      <c r="G5373" s="6">
        <v>5366</v>
      </c>
      <c r="H5373" s="6">
        <f t="shared" ca="1" si="171"/>
        <v>-2.3307474681225411E-2</v>
      </c>
    </row>
    <row r="5374" spans="2:8" x14ac:dyDescent="0.3">
      <c r="B5374" s="4">
        <v>38502</v>
      </c>
      <c r="C5374" s="7">
        <v>30.83</v>
      </c>
      <c r="D5374" s="6">
        <f t="shared" si="170"/>
        <v>-0.78307064452575292</v>
      </c>
      <c r="E5374" s="6">
        <v>-1.7527087316762294E-2</v>
      </c>
      <c r="F5374" s="6"/>
      <c r="G5374" s="6">
        <v>5367</v>
      </c>
      <c r="H5374" s="6">
        <f t="shared" ca="1" si="171"/>
        <v>-2.7507845580855911E-2</v>
      </c>
    </row>
    <row r="5375" spans="2:8" x14ac:dyDescent="0.3">
      <c r="B5375" s="4">
        <v>40113</v>
      </c>
      <c r="C5375" s="7">
        <v>142.12</v>
      </c>
      <c r="D5375" s="6">
        <f t="shared" si="170"/>
        <v>-0.8556175266424878</v>
      </c>
      <c r="E5375" s="6">
        <v>-1.7558412830084281E-2</v>
      </c>
      <c r="F5375" s="6"/>
      <c r="G5375" s="6">
        <v>5368</v>
      </c>
      <c r="H5375" s="6">
        <f t="shared" ca="1" si="171"/>
        <v>3.0300878200652998E-2</v>
      </c>
    </row>
    <row r="5376" spans="2:8" x14ac:dyDescent="0.3">
      <c r="B5376" s="4">
        <v>42842</v>
      </c>
      <c r="C5376" s="7">
        <v>984.33</v>
      </c>
      <c r="D5376" s="6">
        <f t="shared" si="170"/>
        <v>-0.42335000995910904</v>
      </c>
      <c r="E5376" s="6">
        <v>-1.7566097431956234E-2</v>
      </c>
      <c r="F5376" s="6"/>
      <c r="G5376" s="6">
        <v>5369</v>
      </c>
      <c r="H5376" s="6">
        <f t="shared" ca="1" si="171"/>
        <v>-2.5807080916337287E-2</v>
      </c>
    </row>
    <row r="5377" spans="2:8" x14ac:dyDescent="0.3">
      <c r="B5377" s="4">
        <v>43777</v>
      </c>
      <c r="C5377" s="5">
        <v>1706.98</v>
      </c>
      <c r="D5377" s="6">
        <f t="shared" si="170"/>
        <v>65.393621159082073</v>
      </c>
      <c r="E5377" s="6">
        <v>-1.7571121892823623E-2</v>
      </c>
      <c r="F5377" s="6"/>
      <c r="G5377" s="6">
        <v>5370</v>
      </c>
      <c r="H5377" s="6">
        <f t="shared" ca="1" si="171"/>
        <v>1.1096418590046177E-2</v>
      </c>
    </row>
    <row r="5378" spans="2:8" x14ac:dyDescent="0.3">
      <c r="B5378" s="4">
        <v>38014</v>
      </c>
      <c r="C5378" s="7">
        <v>25.71</v>
      </c>
      <c r="D5378" s="6">
        <f t="shared" si="170"/>
        <v>-0.73794720212006937</v>
      </c>
      <c r="E5378" s="6">
        <v>-1.7577378677875462E-2</v>
      </c>
      <c r="F5378" s="6"/>
      <c r="G5378" s="6">
        <v>5371</v>
      </c>
      <c r="H5378" s="6">
        <f t="shared" ca="1" si="171"/>
        <v>-1.940504003809064E-2</v>
      </c>
    </row>
    <row r="5379" spans="2:8" x14ac:dyDescent="0.3">
      <c r="B5379" s="4">
        <v>39626</v>
      </c>
      <c r="C5379" s="7">
        <v>98.11</v>
      </c>
      <c r="D5379" s="6">
        <f t="shared" si="170"/>
        <v>-0.70442563191034246</v>
      </c>
      <c r="E5379" s="6">
        <v>-1.7622909782717584E-2</v>
      </c>
      <c r="F5379" s="6"/>
      <c r="G5379" s="6">
        <v>5372</v>
      </c>
      <c r="H5379" s="6">
        <f t="shared" ca="1" si="171"/>
        <v>2.5789868482282716E-3</v>
      </c>
    </row>
    <row r="5380" spans="2:8" x14ac:dyDescent="0.3">
      <c r="B5380" s="4">
        <v>41096</v>
      </c>
      <c r="C5380" s="7">
        <v>331.93</v>
      </c>
      <c r="D5380" s="6">
        <f t="shared" si="170"/>
        <v>0.9673423423423424</v>
      </c>
      <c r="E5380" s="6">
        <v>-1.7638876557459469E-2</v>
      </c>
      <c r="F5380" s="6"/>
      <c r="G5380" s="6">
        <v>5373</v>
      </c>
      <c r="H5380" s="6">
        <f t="shared" ca="1" si="171"/>
        <v>1.1123000008227888E-3</v>
      </c>
    </row>
    <row r="5381" spans="2:8" x14ac:dyDescent="0.3">
      <c r="B5381" s="4">
        <v>40220</v>
      </c>
      <c r="C5381" s="7">
        <v>168.72</v>
      </c>
      <c r="D5381" s="6">
        <f t="shared" si="170"/>
        <v>0.62308802308802302</v>
      </c>
      <c r="E5381" s="6">
        <v>-1.7641921397379919E-2</v>
      </c>
      <c r="F5381" s="6"/>
      <c r="G5381" s="6">
        <v>5374</v>
      </c>
      <c r="H5381" s="6">
        <f t="shared" ca="1" si="171"/>
        <v>-7.4400282664376302E-3</v>
      </c>
    </row>
    <row r="5382" spans="2:8" x14ac:dyDescent="0.3">
      <c r="B5382" s="4">
        <v>39623</v>
      </c>
      <c r="C5382" s="7">
        <v>103.95</v>
      </c>
      <c r="D5382" s="6">
        <f t="shared" si="170"/>
        <v>-0.77278191873046409</v>
      </c>
      <c r="E5382" s="6">
        <v>-1.7671517671517582E-2</v>
      </c>
      <c r="F5382" s="6"/>
      <c r="G5382" s="6">
        <v>5375</v>
      </c>
      <c r="H5382" s="6">
        <f t="shared" ca="1" si="171"/>
        <v>-3.055977061254129E-3</v>
      </c>
    </row>
    <row r="5383" spans="2:8" x14ac:dyDescent="0.3">
      <c r="B5383" s="4">
        <v>41766</v>
      </c>
      <c r="C5383" s="7">
        <v>457.49</v>
      </c>
      <c r="D5383" s="6">
        <f t="shared" si="170"/>
        <v>18.157872696817421</v>
      </c>
      <c r="E5383" s="6">
        <v>-1.7671562312118909E-2</v>
      </c>
      <c r="F5383" s="6"/>
      <c r="G5383" s="6">
        <v>5376</v>
      </c>
      <c r="H5383" s="6">
        <f t="shared" ca="1" si="171"/>
        <v>5.3302530811024547E-3</v>
      </c>
    </row>
    <row r="5384" spans="2:8" x14ac:dyDescent="0.3">
      <c r="B5384" s="4">
        <v>38182</v>
      </c>
      <c r="C5384" s="7">
        <v>23.88</v>
      </c>
      <c r="D5384" s="6">
        <f t="shared" ref="D5384:D5447" si="172">((C5384-C5385)/C5385)</f>
        <v>-0.98177586141107331</v>
      </c>
      <c r="E5384" s="6">
        <v>-1.7688194158782384E-2</v>
      </c>
      <c r="F5384" s="6"/>
      <c r="G5384" s="6">
        <v>5377</v>
      </c>
      <c r="H5384" s="6">
        <f t="shared" ca="1" si="171"/>
        <v>-3.1292771301565927E-3</v>
      </c>
    </row>
    <row r="5385" spans="2:8" x14ac:dyDescent="0.3">
      <c r="B5385" s="4">
        <v>43592</v>
      </c>
      <c r="C5385" s="5">
        <v>1310.3499999999999</v>
      </c>
      <c r="D5385" s="6">
        <f t="shared" si="172"/>
        <v>34.811697185023228</v>
      </c>
      <c r="E5385" s="6">
        <v>-1.7699181384749262E-2</v>
      </c>
      <c r="F5385" s="6"/>
      <c r="G5385" s="6">
        <v>5378</v>
      </c>
      <c r="H5385" s="6">
        <f t="shared" ref="H5385:H5448" ca="1" si="173">_xlfn.NORM.INV(RAND(),N$10,N$11)</f>
        <v>-1.8191873745816687E-2</v>
      </c>
    </row>
    <row r="5386" spans="2:8" x14ac:dyDescent="0.3">
      <c r="B5386" s="4">
        <v>38580</v>
      </c>
      <c r="C5386" s="7">
        <v>36.590000000000003</v>
      </c>
      <c r="D5386" s="6">
        <f t="shared" si="172"/>
        <v>-0.98580236614296957</v>
      </c>
      <c r="E5386" s="6">
        <v>-1.7718120805369036E-2</v>
      </c>
      <c r="F5386" s="6"/>
      <c r="G5386" s="6">
        <v>5379</v>
      </c>
      <c r="H5386" s="6">
        <f t="shared" ca="1" si="173"/>
        <v>2.0913698889241911E-2</v>
      </c>
    </row>
    <row r="5387" spans="2:8" x14ac:dyDescent="0.3">
      <c r="B5387" s="4">
        <v>44725</v>
      </c>
      <c r="C5387" s="5">
        <v>2577.19</v>
      </c>
      <c r="D5387" s="6">
        <f t="shared" si="172"/>
        <v>0.39180424369089856</v>
      </c>
      <c r="E5387" s="6">
        <v>-1.7719386510549984E-2</v>
      </c>
      <c r="F5387" s="6"/>
      <c r="G5387" s="6">
        <v>5380</v>
      </c>
      <c r="H5387" s="6">
        <f t="shared" ca="1" si="173"/>
        <v>8.9413608591118864E-3</v>
      </c>
    </row>
    <row r="5388" spans="2:8" x14ac:dyDescent="0.3">
      <c r="B5388" s="4">
        <v>44096</v>
      </c>
      <c r="C5388" s="5">
        <v>1851.69</v>
      </c>
      <c r="D5388" s="6">
        <f t="shared" si="172"/>
        <v>-0.39536258195971891</v>
      </c>
      <c r="E5388" s="6">
        <v>-1.7770092139253867E-2</v>
      </c>
      <c r="F5388" s="6"/>
      <c r="G5388" s="6">
        <v>5381</v>
      </c>
      <c r="H5388" s="6">
        <f t="shared" ca="1" si="173"/>
        <v>2.1274697854067888E-2</v>
      </c>
    </row>
    <row r="5389" spans="2:8" x14ac:dyDescent="0.3">
      <c r="B5389" s="4">
        <v>44488</v>
      </c>
      <c r="C5389" s="5">
        <v>3062.48</v>
      </c>
      <c r="D5389" s="6">
        <f t="shared" si="172"/>
        <v>2.1677769042988957</v>
      </c>
      <c r="E5389" s="6">
        <v>-1.7815736218060822E-2</v>
      </c>
      <c r="F5389" s="6"/>
      <c r="G5389" s="6">
        <v>5382</v>
      </c>
      <c r="H5389" s="6">
        <f t="shared" ca="1" si="173"/>
        <v>1.8756183096570678E-2</v>
      </c>
    </row>
    <row r="5390" spans="2:8" x14ac:dyDescent="0.3">
      <c r="B5390" s="4">
        <v>42843</v>
      </c>
      <c r="C5390" s="7">
        <v>966.76</v>
      </c>
      <c r="D5390" s="6">
        <f t="shared" si="172"/>
        <v>12.624013528748591</v>
      </c>
      <c r="E5390" s="6">
        <v>-1.784970487539753E-2</v>
      </c>
      <c r="F5390" s="6"/>
      <c r="G5390" s="6">
        <v>5383</v>
      </c>
      <c r="H5390" s="6">
        <f t="shared" ca="1" si="173"/>
        <v>2.706951667674435E-2</v>
      </c>
    </row>
    <row r="5391" spans="2:8" x14ac:dyDescent="0.3">
      <c r="B5391" s="4">
        <v>39252</v>
      </c>
      <c r="C5391" s="7">
        <v>70.959999999999994</v>
      </c>
      <c r="D5391" s="6">
        <f t="shared" si="172"/>
        <v>-0.96180551817682713</v>
      </c>
      <c r="E5391" s="6">
        <v>-1.7854671280276901E-2</v>
      </c>
      <c r="F5391" s="6"/>
      <c r="G5391" s="6">
        <v>5384</v>
      </c>
      <c r="H5391" s="6">
        <f t="shared" ca="1" si="173"/>
        <v>1.137697900598861E-2</v>
      </c>
    </row>
    <row r="5392" spans="2:8" x14ac:dyDescent="0.3">
      <c r="B5392" s="4">
        <v>44076</v>
      </c>
      <c r="C5392" s="5">
        <v>1857.86</v>
      </c>
      <c r="D5392" s="6">
        <f t="shared" si="172"/>
        <v>0.36326680363956559</v>
      </c>
      <c r="E5392" s="6">
        <v>-1.7857520458438286E-2</v>
      </c>
      <c r="F5392" s="6"/>
      <c r="G5392" s="6">
        <v>5385</v>
      </c>
      <c r="H5392" s="6">
        <f t="shared" ca="1" si="173"/>
        <v>-1.2150004519867169E-3</v>
      </c>
    </row>
    <row r="5393" spans="2:8" x14ac:dyDescent="0.3">
      <c r="B5393" s="4">
        <v>43577</v>
      </c>
      <c r="C5393" s="5">
        <v>1362.8</v>
      </c>
      <c r="D5393" s="6">
        <f t="shared" si="172"/>
        <v>2.1619838675822303E-2</v>
      </c>
      <c r="E5393" s="6">
        <v>-1.7865507822915967E-2</v>
      </c>
      <c r="F5393" s="6"/>
      <c r="G5393" s="6">
        <v>5386</v>
      </c>
      <c r="H5393" s="6">
        <f t="shared" ca="1" si="173"/>
        <v>2.114974308035417E-3</v>
      </c>
    </row>
    <row r="5394" spans="2:8" x14ac:dyDescent="0.3">
      <c r="B5394" s="4">
        <v>43591</v>
      </c>
      <c r="C5394" s="5">
        <v>1333.96</v>
      </c>
      <c r="D5394" s="6">
        <f t="shared" si="172"/>
        <v>2.1450194506660383</v>
      </c>
      <c r="E5394" s="6">
        <v>-1.789776701244962E-2</v>
      </c>
      <c r="F5394" s="6"/>
      <c r="G5394" s="6">
        <v>5387</v>
      </c>
      <c r="H5394" s="6">
        <f t="shared" ca="1" si="173"/>
        <v>-5.2322303117116097E-3</v>
      </c>
    </row>
    <row r="5395" spans="2:8" x14ac:dyDescent="0.3">
      <c r="B5395" s="4">
        <v>41683</v>
      </c>
      <c r="C5395" s="7">
        <v>424.15</v>
      </c>
      <c r="D5395" s="6">
        <f t="shared" si="172"/>
        <v>-0.46483546986978902</v>
      </c>
      <c r="E5395" s="6">
        <v>-1.7921229942809532E-2</v>
      </c>
      <c r="F5395" s="6"/>
      <c r="G5395" s="6">
        <v>5388</v>
      </c>
      <c r="H5395" s="6">
        <f t="shared" ca="1" si="173"/>
        <v>4.2155228886371646E-2</v>
      </c>
    </row>
    <row r="5396" spans="2:8" x14ac:dyDescent="0.3">
      <c r="B5396" s="4">
        <v>42450</v>
      </c>
      <c r="C5396" s="7">
        <v>792.56</v>
      </c>
      <c r="D5396" s="6">
        <f t="shared" si="172"/>
        <v>-0.23324142601460854</v>
      </c>
      <c r="E5396" s="6">
        <v>-1.7942109436954821E-2</v>
      </c>
      <c r="F5396" s="6"/>
      <c r="G5396" s="6">
        <v>5389</v>
      </c>
      <c r="H5396" s="6">
        <f t="shared" ca="1" si="173"/>
        <v>1.0482393786234107E-3</v>
      </c>
    </row>
    <row r="5397" spans="2:8" x14ac:dyDescent="0.3">
      <c r="B5397" s="4">
        <v>43178</v>
      </c>
      <c r="C5397" s="5">
        <v>1033.6500000000001</v>
      </c>
      <c r="D5397" s="6">
        <f t="shared" si="172"/>
        <v>-3.4071263701862253E-2</v>
      </c>
      <c r="E5397" s="6">
        <v>-1.7984381234680345E-2</v>
      </c>
      <c r="F5397" s="6"/>
      <c r="G5397" s="6">
        <v>5390</v>
      </c>
      <c r="H5397" s="6">
        <f t="shared" ca="1" si="173"/>
        <v>-2.0255952560809455E-2</v>
      </c>
    </row>
    <row r="5398" spans="2:8" x14ac:dyDescent="0.3">
      <c r="B5398" s="4">
        <v>43046</v>
      </c>
      <c r="C5398" s="5">
        <v>1070.1099999999999</v>
      </c>
      <c r="D5398" s="6">
        <f t="shared" si="172"/>
        <v>-0.56237015589471795</v>
      </c>
      <c r="E5398" s="6">
        <v>-1.7986436758403737E-2</v>
      </c>
      <c r="F5398" s="6"/>
      <c r="G5398" s="6">
        <v>5391</v>
      </c>
      <c r="H5398" s="6">
        <f t="shared" ca="1" si="173"/>
        <v>-2.4383875393801605E-3</v>
      </c>
    </row>
    <row r="5399" spans="2:8" x14ac:dyDescent="0.3">
      <c r="B5399" s="4">
        <v>44186</v>
      </c>
      <c r="C5399" s="5">
        <v>2445.2399999999998</v>
      </c>
      <c r="D5399" s="6">
        <f t="shared" si="172"/>
        <v>14.439070589720922</v>
      </c>
      <c r="E5399" s="6">
        <v>-1.8007453575788788E-2</v>
      </c>
      <c r="F5399" s="6"/>
      <c r="G5399" s="6">
        <v>5392</v>
      </c>
      <c r="H5399" s="6">
        <f t="shared" ca="1" si="173"/>
        <v>-4.0625256660082988E-3</v>
      </c>
    </row>
    <row r="5400" spans="2:8" x14ac:dyDescent="0.3">
      <c r="B5400" s="4">
        <v>40231</v>
      </c>
      <c r="C5400" s="7">
        <v>158.38</v>
      </c>
      <c r="D5400" s="6">
        <f t="shared" si="172"/>
        <v>-0.76619427221730141</v>
      </c>
      <c r="E5400" s="6">
        <v>-1.8042036084072149E-2</v>
      </c>
      <c r="F5400" s="6"/>
      <c r="G5400" s="6">
        <v>5393</v>
      </c>
      <c r="H5400" s="6">
        <f t="shared" ca="1" si="173"/>
        <v>2.210789171264245E-2</v>
      </c>
    </row>
    <row r="5401" spans="2:8" x14ac:dyDescent="0.3">
      <c r="B5401" s="4">
        <v>42184</v>
      </c>
      <c r="C5401" s="7">
        <v>677.4</v>
      </c>
      <c r="D5401" s="6">
        <f t="shared" si="172"/>
        <v>-0.76911514589645968</v>
      </c>
      <c r="E5401" s="6">
        <v>-1.8061635694198875E-2</v>
      </c>
      <c r="F5401" s="6"/>
      <c r="G5401" s="6">
        <v>5394</v>
      </c>
      <c r="H5401" s="6">
        <f t="shared" ca="1" si="173"/>
        <v>-6.287596051271588E-3</v>
      </c>
    </row>
    <row r="5402" spans="2:8" x14ac:dyDescent="0.3">
      <c r="B5402" s="4">
        <v>45315</v>
      </c>
      <c r="C5402" s="5">
        <v>2933.93</v>
      </c>
      <c r="D5402" s="6">
        <f t="shared" si="172"/>
        <v>1.1629792912277077</v>
      </c>
      <c r="E5402" s="6">
        <v>-1.8089143836304188E-2</v>
      </c>
      <c r="F5402" s="6"/>
      <c r="G5402" s="6">
        <v>5395</v>
      </c>
      <c r="H5402" s="6">
        <f t="shared" ca="1" si="173"/>
        <v>-3.9864456550794694E-2</v>
      </c>
    </row>
    <row r="5403" spans="2:8" x14ac:dyDescent="0.3">
      <c r="B5403" s="4">
        <v>43587</v>
      </c>
      <c r="C5403" s="5">
        <v>1356.43</v>
      </c>
      <c r="D5403" s="6">
        <f t="shared" si="172"/>
        <v>1.7433107493174236</v>
      </c>
      <c r="E5403" s="6">
        <v>-1.8146941730003575E-2</v>
      </c>
      <c r="F5403" s="6"/>
      <c r="G5403" s="6">
        <v>5396</v>
      </c>
      <c r="H5403" s="6">
        <f t="shared" ca="1" si="173"/>
        <v>2.8629579364180886E-2</v>
      </c>
    </row>
    <row r="5404" spans="2:8" x14ac:dyDescent="0.3">
      <c r="B5404" s="4">
        <v>41589</v>
      </c>
      <c r="C5404" s="7">
        <v>494.45</v>
      </c>
      <c r="D5404" s="6">
        <f t="shared" si="172"/>
        <v>8.5233050847457612</v>
      </c>
      <c r="E5404" s="6">
        <v>-1.8149685259834365E-2</v>
      </c>
      <c r="F5404" s="6"/>
      <c r="G5404" s="6">
        <v>5397</v>
      </c>
      <c r="H5404" s="6">
        <f t="shared" ca="1" si="173"/>
        <v>1.0249473262439877E-2</v>
      </c>
    </row>
    <row r="5405" spans="2:8" x14ac:dyDescent="0.3">
      <c r="B5405" s="4">
        <v>38950</v>
      </c>
      <c r="C5405" s="7">
        <v>51.92</v>
      </c>
      <c r="D5405" s="6">
        <f t="shared" si="172"/>
        <v>0.88320638375045346</v>
      </c>
      <c r="E5405" s="6">
        <v>-1.8154311649016656E-2</v>
      </c>
      <c r="F5405" s="6"/>
      <c r="G5405" s="6">
        <v>5398</v>
      </c>
      <c r="H5405" s="6">
        <f t="shared" ca="1" si="173"/>
        <v>1.7503678502121447E-2</v>
      </c>
    </row>
    <row r="5406" spans="2:8" x14ac:dyDescent="0.3">
      <c r="B5406" s="4">
        <v>38385</v>
      </c>
      <c r="C5406" s="7">
        <v>27.57</v>
      </c>
      <c r="D5406" s="6">
        <f t="shared" si="172"/>
        <v>-0.76375321336760915</v>
      </c>
      <c r="E5406" s="6">
        <v>-1.8162393162393091E-2</v>
      </c>
      <c r="F5406" s="6"/>
      <c r="G5406" s="6">
        <v>5399</v>
      </c>
      <c r="H5406" s="6">
        <f t="shared" ca="1" si="173"/>
        <v>-1.6701007022348727E-2</v>
      </c>
    </row>
    <row r="5407" spans="2:8" x14ac:dyDescent="0.3">
      <c r="B5407" s="4">
        <v>40058</v>
      </c>
      <c r="C5407" s="7">
        <v>116.7</v>
      </c>
      <c r="D5407" s="6">
        <f t="shared" si="172"/>
        <v>-0.94831503470023171</v>
      </c>
      <c r="E5407" s="6">
        <v>-1.8172640080767261E-2</v>
      </c>
      <c r="F5407" s="6"/>
      <c r="G5407" s="6">
        <v>5400</v>
      </c>
      <c r="H5407" s="6">
        <f t="shared" ca="1" si="173"/>
        <v>8.955554834053016E-4</v>
      </c>
    </row>
    <row r="5408" spans="2:8" x14ac:dyDescent="0.3">
      <c r="B5408" s="4">
        <v>45791</v>
      </c>
      <c r="C5408" s="5">
        <v>2257.91</v>
      </c>
      <c r="D5408" s="6">
        <f t="shared" si="172"/>
        <v>0.15212421802447207</v>
      </c>
      <c r="E5408" s="6">
        <v>-1.8197551048805251E-2</v>
      </c>
      <c r="F5408" s="6"/>
      <c r="G5408" s="6">
        <v>5401</v>
      </c>
      <c r="H5408" s="6">
        <f t="shared" ca="1" si="173"/>
        <v>-2.2602929539747803E-2</v>
      </c>
    </row>
    <row r="5409" spans="2:8" x14ac:dyDescent="0.3">
      <c r="B5409" s="4">
        <v>44113</v>
      </c>
      <c r="C5409" s="5">
        <v>1959.78</v>
      </c>
      <c r="D5409" s="6">
        <f t="shared" si="172"/>
        <v>4.4489795918367339</v>
      </c>
      <c r="E5409" s="6">
        <v>-1.8220073641760447E-2</v>
      </c>
      <c r="F5409" s="6"/>
      <c r="G5409" s="6">
        <v>5402</v>
      </c>
      <c r="H5409" s="6">
        <f t="shared" ca="1" si="173"/>
        <v>2.016516766750354E-2</v>
      </c>
    </row>
    <row r="5410" spans="2:8" x14ac:dyDescent="0.3">
      <c r="B5410" s="4">
        <v>41228</v>
      </c>
      <c r="C5410" s="7">
        <v>359.66</v>
      </c>
      <c r="D5410" s="6">
        <f t="shared" si="172"/>
        <v>11.87719298245614</v>
      </c>
      <c r="E5410" s="6">
        <v>-1.8261225603930661E-2</v>
      </c>
      <c r="F5410" s="6"/>
      <c r="G5410" s="6">
        <v>5403</v>
      </c>
      <c r="H5410" s="6">
        <f t="shared" ca="1" si="173"/>
        <v>1.9921809618547986E-3</v>
      </c>
    </row>
    <row r="5411" spans="2:8" x14ac:dyDescent="0.3">
      <c r="B5411" s="4">
        <v>38415</v>
      </c>
      <c r="C5411" s="7">
        <v>27.93</v>
      </c>
      <c r="D5411" s="6">
        <f t="shared" si="172"/>
        <v>-0.98819726166328603</v>
      </c>
      <c r="E5411" s="6">
        <v>-1.8277680140597524E-2</v>
      </c>
      <c r="F5411" s="6"/>
      <c r="G5411" s="6">
        <v>5404</v>
      </c>
      <c r="H5411" s="6">
        <f t="shared" ca="1" si="173"/>
        <v>-2.694061076457463E-3</v>
      </c>
    </row>
    <row r="5412" spans="2:8" x14ac:dyDescent="0.3">
      <c r="B5412" s="4">
        <v>46066</v>
      </c>
      <c r="C5412" s="5">
        <v>2366.4</v>
      </c>
      <c r="D5412" s="6">
        <f t="shared" si="172"/>
        <v>-0.14019126238990776</v>
      </c>
      <c r="E5412" s="6">
        <v>-1.8294959551960137E-2</v>
      </c>
      <c r="F5412" s="6"/>
      <c r="G5412" s="6">
        <v>5405</v>
      </c>
      <c r="H5412" s="6">
        <f t="shared" ca="1" si="173"/>
        <v>4.9661927231495267E-3</v>
      </c>
    </row>
    <row r="5413" spans="2:8" x14ac:dyDescent="0.3">
      <c r="B5413" s="4">
        <v>45427</v>
      </c>
      <c r="C5413" s="5">
        <v>2752.24</v>
      </c>
      <c r="D5413" s="6">
        <f t="shared" si="172"/>
        <v>10.80307058924436</v>
      </c>
      <c r="E5413" s="6">
        <v>-1.8298294299350173E-2</v>
      </c>
      <c r="F5413" s="6"/>
      <c r="G5413" s="6">
        <v>5406</v>
      </c>
      <c r="H5413" s="6">
        <f t="shared" ca="1" si="173"/>
        <v>1.5435666483072765E-2</v>
      </c>
    </row>
    <row r="5414" spans="2:8" x14ac:dyDescent="0.3">
      <c r="B5414" s="4">
        <v>40520</v>
      </c>
      <c r="C5414" s="7">
        <v>233.18</v>
      </c>
      <c r="D5414" s="6">
        <f t="shared" si="172"/>
        <v>4.0113905007522028</v>
      </c>
      <c r="E5414" s="6">
        <v>-1.8313476192480926E-2</v>
      </c>
      <c r="F5414" s="6"/>
      <c r="G5414" s="6">
        <v>5407</v>
      </c>
      <c r="H5414" s="6">
        <f t="shared" ca="1" si="173"/>
        <v>-7.1034708856710718E-3</v>
      </c>
    </row>
    <row r="5415" spans="2:8" x14ac:dyDescent="0.3">
      <c r="B5415" s="4">
        <v>38734</v>
      </c>
      <c r="C5415" s="7">
        <v>46.53</v>
      </c>
      <c r="D5415" s="6">
        <f t="shared" si="172"/>
        <v>-0.94270480599918738</v>
      </c>
      <c r="E5415" s="6">
        <v>-1.8354430379746781E-2</v>
      </c>
      <c r="F5415" s="6"/>
      <c r="G5415" s="6">
        <v>5408</v>
      </c>
      <c r="H5415" s="6">
        <f t="shared" ca="1" si="173"/>
        <v>-1.0501933956462236E-2</v>
      </c>
    </row>
    <row r="5416" spans="2:8" x14ac:dyDescent="0.3">
      <c r="B5416" s="4">
        <v>42236</v>
      </c>
      <c r="C5416" s="7">
        <v>812.11</v>
      </c>
      <c r="D5416" s="6">
        <f t="shared" si="172"/>
        <v>1.2656491595590773E-2</v>
      </c>
      <c r="E5416" s="6">
        <v>-1.8384663733500985E-2</v>
      </c>
      <c r="F5416" s="6"/>
      <c r="G5416" s="6">
        <v>5409</v>
      </c>
      <c r="H5416" s="6">
        <f t="shared" ca="1" si="173"/>
        <v>-1.5475527030121864E-2</v>
      </c>
    </row>
    <row r="5417" spans="2:8" x14ac:dyDescent="0.3">
      <c r="B5417" s="4">
        <v>42465</v>
      </c>
      <c r="C5417" s="7">
        <v>801.96</v>
      </c>
      <c r="D5417" s="6">
        <f t="shared" si="172"/>
        <v>2.0787776412776413</v>
      </c>
      <c r="E5417" s="6">
        <v>-1.8396798002423498E-2</v>
      </c>
      <c r="F5417" s="6"/>
      <c r="G5417" s="6">
        <v>5410</v>
      </c>
      <c r="H5417" s="6">
        <f t="shared" ca="1" si="173"/>
        <v>1.4772434635162984E-2</v>
      </c>
    </row>
    <row r="5418" spans="2:8" x14ac:dyDescent="0.3">
      <c r="B5418" s="4">
        <v>40714</v>
      </c>
      <c r="C5418" s="7">
        <v>260.48</v>
      </c>
      <c r="D5418" s="6">
        <f t="shared" si="172"/>
        <v>-0.69477384579329737</v>
      </c>
      <c r="E5418" s="6">
        <v>-1.8427101782416952E-2</v>
      </c>
      <c r="F5418" s="6"/>
      <c r="G5418" s="6">
        <v>5411</v>
      </c>
      <c r="H5418" s="6">
        <f t="shared" ca="1" si="173"/>
        <v>-1.2699174949667247E-3</v>
      </c>
    </row>
    <row r="5419" spans="2:8" x14ac:dyDescent="0.3">
      <c r="B5419" s="4">
        <v>42691</v>
      </c>
      <c r="C5419" s="7">
        <v>853.4</v>
      </c>
      <c r="D5419" s="6">
        <f t="shared" si="172"/>
        <v>49.229546792230728</v>
      </c>
      <c r="E5419" s="6">
        <v>-1.8437367010570114E-2</v>
      </c>
      <c r="F5419" s="6"/>
      <c r="G5419" s="6">
        <v>5412</v>
      </c>
      <c r="H5419" s="6">
        <f t="shared" ca="1" si="173"/>
        <v>9.2853580879559919E-3</v>
      </c>
    </row>
    <row r="5420" spans="2:8" x14ac:dyDescent="0.3">
      <c r="B5420" s="4">
        <v>37705</v>
      </c>
      <c r="C5420" s="7">
        <v>16.989999999999998</v>
      </c>
      <c r="D5420" s="6">
        <f t="shared" si="172"/>
        <v>-0.9926741348235153</v>
      </c>
      <c r="E5420" s="6">
        <v>-1.8486424032351258E-2</v>
      </c>
      <c r="F5420" s="6"/>
      <c r="G5420" s="6">
        <v>5413</v>
      </c>
      <c r="H5420" s="6">
        <f t="shared" ca="1" si="173"/>
        <v>4.8762560544709779E-3</v>
      </c>
    </row>
    <row r="5421" spans="2:8" x14ac:dyDescent="0.3">
      <c r="B5421" s="4">
        <v>44272</v>
      </c>
      <c r="C5421" s="5">
        <v>2319.1799999999998</v>
      </c>
      <c r="D5421" s="6">
        <f t="shared" si="172"/>
        <v>5.9915890386180699</v>
      </c>
      <c r="E5421" s="6">
        <v>-1.8490225869387675E-2</v>
      </c>
      <c r="F5421" s="6"/>
      <c r="G5421" s="6">
        <v>5414</v>
      </c>
      <c r="H5421" s="6">
        <f t="shared" ca="1" si="173"/>
        <v>-3.0433107485027446E-3</v>
      </c>
    </row>
    <row r="5422" spans="2:8" x14ac:dyDescent="0.3">
      <c r="B5422" s="4">
        <v>41137</v>
      </c>
      <c r="C5422" s="7">
        <v>331.71</v>
      </c>
      <c r="D5422" s="6">
        <f t="shared" si="172"/>
        <v>-0.26253890618052472</v>
      </c>
      <c r="E5422" s="6">
        <v>-1.8493312818084983E-2</v>
      </c>
      <c r="F5422" s="6"/>
      <c r="G5422" s="6">
        <v>5415</v>
      </c>
      <c r="H5422" s="6">
        <f t="shared" ca="1" si="173"/>
        <v>5.8636511673863601E-3</v>
      </c>
    </row>
    <row r="5423" spans="2:8" x14ac:dyDescent="0.3">
      <c r="B5423" s="4">
        <v>41487</v>
      </c>
      <c r="C5423" s="7">
        <v>449.8</v>
      </c>
      <c r="D5423" s="6">
        <f t="shared" si="172"/>
        <v>18.304721030042916</v>
      </c>
      <c r="E5423" s="6">
        <v>-1.8525387854851749E-2</v>
      </c>
      <c r="F5423" s="6"/>
      <c r="G5423" s="6">
        <v>5416</v>
      </c>
      <c r="H5423" s="6">
        <f t="shared" ca="1" si="173"/>
        <v>5.5238573811128028E-3</v>
      </c>
    </row>
    <row r="5424" spans="2:8" x14ac:dyDescent="0.3">
      <c r="B5424" s="4">
        <v>37879</v>
      </c>
      <c r="C5424" s="7">
        <v>23.3</v>
      </c>
      <c r="D5424" s="6">
        <f t="shared" si="172"/>
        <v>-0.94981476695097788</v>
      </c>
      <c r="E5424" s="6">
        <v>-1.8534119629317513E-2</v>
      </c>
      <c r="F5424" s="6"/>
      <c r="G5424" s="6">
        <v>5417</v>
      </c>
      <c r="H5424" s="6">
        <f t="shared" ca="1" si="173"/>
        <v>2.5939518389533477E-2</v>
      </c>
    </row>
    <row r="5425" spans="2:8" x14ac:dyDescent="0.3">
      <c r="B5425" s="4">
        <v>41592</v>
      </c>
      <c r="C5425" s="7">
        <v>464.28</v>
      </c>
      <c r="D5425" s="6">
        <f t="shared" si="172"/>
        <v>1.2738853503184659E-2</v>
      </c>
      <c r="E5425" s="6">
        <v>-1.8539266462319074E-2</v>
      </c>
      <c r="F5425" s="6"/>
      <c r="G5425" s="6">
        <v>5418</v>
      </c>
      <c r="H5425" s="6">
        <f t="shared" ca="1" si="173"/>
        <v>-3.331766713194983E-3</v>
      </c>
    </row>
    <row r="5426" spans="2:8" x14ac:dyDescent="0.3">
      <c r="B5426" s="4">
        <v>41604</v>
      </c>
      <c r="C5426" s="7">
        <v>458.44</v>
      </c>
      <c r="D5426" s="6">
        <f t="shared" si="172"/>
        <v>4.2430306062122031E-2</v>
      </c>
      <c r="E5426" s="6">
        <v>-1.8602958491212292E-2</v>
      </c>
      <c r="F5426" s="6"/>
      <c r="G5426" s="6">
        <v>5419</v>
      </c>
      <c r="H5426" s="6">
        <f t="shared" ca="1" si="173"/>
        <v>4.8557058812376611E-2</v>
      </c>
    </row>
    <row r="5427" spans="2:8" x14ac:dyDescent="0.3">
      <c r="B5427" s="4">
        <v>41352</v>
      </c>
      <c r="C5427" s="7">
        <v>439.78</v>
      </c>
      <c r="D5427" s="6">
        <f t="shared" si="172"/>
        <v>4.6439938398357281</v>
      </c>
      <c r="E5427" s="6">
        <v>-1.8632985963894455E-2</v>
      </c>
      <c r="F5427" s="6"/>
      <c r="G5427" s="6">
        <v>5420</v>
      </c>
      <c r="H5427" s="6">
        <f t="shared" ca="1" si="173"/>
        <v>2.3915091670470331E-2</v>
      </c>
    </row>
    <row r="5428" spans="2:8" x14ac:dyDescent="0.3">
      <c r="B5428" s="4">
        <v>39336</v>
      </c>
      <c r="C5428" s="7">
        <v>77.92</v>
      </c>
      <c r="D5428" s="6">
        <f t="shared" si="172"/>
        <v>0.38499822253821553</v>
      </c>
      <c r="E5428" s="6">
        <v>-1.8639798488665035E-2</v>
      </c>
      <c r="F5428" s="6"/>
      <c r="G5428" s="6">
        <v>5421</v>
      </c>
      <c r="H5428" s="6">
        <f t="shared" ca="1" si="173"/>
        <v>-1.2198213377504347E-2</v>
      </c>
    </row>
    <row r="5429" spans="2:8" x14ac:dyDescent="0.3">
      <c r="B5429" s="4">
        <v>38755</v>
      </c>
      <c r="C5429" s="7">
        <v>56.26</v>
      </c>
      <c r="D5429" s="6">
        <f t="shared" si="172"/>
        <v>-0.78955637016533253</v>
      </c>
      <c r="E5429" s="6">
        <v>-1.8663875806732955E-2</v>
      </c>
      <c r="F5429" s="6"/>
      <c r="G5429" s="6">
        <v>5422</v>
      </c>
      <c r="H5429" s="6">
        <f t="shared" ca="1" si="173"/>
        <v>-2.7153455400313064E-2</v>
      </c>
    </row>
    <row r="5430" spans="2:8" x14ac:dyDescent="0.3">
      <c r="B5430" s="4">
        <v>40988</v>
      </c>
      <c r="C5430" s="7">
        <v>267.33999999999997</v>
      </c>
      <c r="D5430" s="6">
        <f t="shared" si="172"/>
        <v>14.932061978545885</v>
      </c>
      <c r="E5430" s="6">
        <v>-1.868369856476905E-2</v>
      </c>
      <c r="F5430" s="6"/>
      <c r="G5430" s="6">
        <v>5423</v>
      </c>
      <c r="H5430" s="6">
        <f t="shared" ca="1" si="173"/>
        <v>1.7970248744849898E-2</v>
      </c>
    </row>
    <row r="5431" spans="2:8" x14ac:dyDescent="0.3">
      <c r="B5431" s="4">
        <v>37524</v>
      </c>
      <c r="C5431" s="7">
        <v>16.78</v>
      </c>
      <c r="D5431" s="6">
        <f t="shared" si="172"/>
        <v>-0.8212040490143846</v>
      </c>
      <c r="E5431" s="6">
        <v>-1.8713450292397675E-2</v>
      </c>
      <c r="F5431" s="6"/>
      <c r="G5431" s="6">
        <v>5424</v>
      </c>
      <c r="H5431" s="6">
        <f t="shared" ca="1" si="173"/>
        <v>4.9359829059800299E-3</v>
      </c>
    </row>
    <row r="5432" spans="2:8" x14ac:dyDescent="0.3">
      <c r="B5432" s="4">
        <v>39507</v>
      </c>
      <c r="C5432" s="7">
        <v>93.85</v>
      </c>
      <c r="D5432" s="6">
        <f t="shared" si="172"/>
        <v>-0.91934998753942276</v>
      </c>
      <c r="E5432" s="6">
        <v>-1.8716018402342181E-2</v>
      </c>
      <c r="F5432" s="6"/>
      <c r="G5432" s="6">
        <v>5425</v>
      </c>
      <c r="H5432" s="6">
        <f t="shared" ca="1" si="173"/>
        <v>-5.6069998310283569E-3</v>
      </c>
    </row>
    <row r="5433" spans="2:8" x14ac:dyDescent="0.3">
      <c r="B5433" s="4">
        <v>43392</v>
      </c>
      <c r="C5433" s="5">
        <v>1163.67</v>
      </c>
      <c r="D5433" s="6">
        <f t="shared" si="172"/>
        <v>-0.41474417973052485</v>
      </c>
      <c r="E5433" s="6">
        <v>-1.874525676701241E-2</v>
      </c>
      <c r="F5433" s="6"/>
      <c r="G5433" s="6">
        <v>5426</v>
      </c>
      <c r="H5433" s="6">
        <f t="shared" ca="1" si="173"/>
        <v>3.8922129970307799E-2</v>
      </c>
    </row>
    <row r="5434" spans="2:8" x14ac:dyDescent="0.3">
      <c r="B5434" s="4">
        <v>44130</v>
      </c>
      <c r="C5434" s="5">
        <v>1988.31</v>
      </c>
      <c r="D5434" s="6">
        <f t="shared" si="172"/>
        <v>-0.35262458731368074</v>
      </c>
      <c r="E5434" s="6">
        <v>-1.8772670071803964E-2</v>
      </c>
      <c r="F5434" s="6"/>
      <c r="G5434" s="6">
        <v>5427</v>
      </c>
      <c r="H5434" s="6">
        <f t="shared" ca="1" si="173"/>
        <v>-1.0064780394901125E-2</v>
      </c>
    </row>
    <row r="5435" spans="2:8" x14ac:dyDescent="0.3">
      <c r="B5435" s="4">
        <v>44907</v>
      </c>
      <c r="C5435" s="5">
        <v>3071.34</v>
      </c>
      <c r="D5435" s="6">
        <f t="shared" si="172"/>
        <v>9.3914505317595542E-2</v>
      </c>
      <c r="E5435" s="6">
        <v>-1.8778832760405272E-2</v>
      </c>
      <c r="F5435" s="6"/>
      <c r="G5435" s="6">
        <v>5428</v>
      </c>
      <c r="H5435" s="6">
        <f t="shared" ca="1" si="173"/>
        <v>-1.261342389601775E-3</v>
      </c>
    </row>
    <row r="5436" spans="2:8" x14ac:dyDescent="0.3">
      <c r="B5436" s="4">
        <v>45603</v>
      </c>
      <c r="C5436" s="5">
        <v>2807.66</v>
      </c>
      <c r="D5436" s="6">
        <f t="shared" si="172"/>
        <v>7.0847155033402451</v>
      </c>
      <c r="E5436" s="6">
        <v>-1.8794732721986201E-2</v>
      </c>
      <c r="F5436" s="6"/>
      <c r="G5436" s="6">
        <v>5429</v>
      </c>
      <c r="H5436" s="6">
        <f t="shared" ca="1" si="173"/>
        <v>-1.982635922875935E-2</v>
      </c>
    </row>
    <row r="5437" spans="2:8" x14ac:dyDescent="0.3">
      <c r="B5437" s="4">
        <v>41232</v>
      </c>
      <c r="C5437" s="7">
        <v>347.28</v>
      </c>
      <c r="D5437" s="6">
        <f t="shared" si="172"/>
        <v>-0.88008784166401954</v>
      </c>
      <c r="E5437" s="6">
        <v>-1.8816748601457944E-2</v>
      </c>
      <c r="F5437" s="6"/>
      <c r="G5437" s="6">
        <v>5430</v>
      </c>
      <c r="H5437" s="6">
        <f t="shared" ca="1" si="173"/>
        <v>-2.6775897591738568E-3</v>
      </c>
    </row>
    <row r="5438" spans="2:8" x14ac:dyDescent="0.3">
      <c r="B5438" s="4">
        <v>44369</v>
      </c>
      <c r="C5438" s="5">
        <v>2896.12</v>
      </c>
      <c r="D5438" s="6">
        <f t="shared" si="172"/>
        <v>2.5978433710991848</v>
      </c>
      <c r="E5438" s="6">
        <v>-1.8819854523032784E-2</v>
      </c>
      <c r="F5438" s="6"/>
      <c r="G5438" s="6">
        <v>5431</v>
      </c>
      <c r="H5438" s="6">
        <f t="shared" ca="1" si="173"/>
        <v>-7.7655912708684775E-3</v>
      </c>
    </row>
    <row r="5439" spans="2:8" x14ac:dyDescent="0.3">
      <c r="B5439" s="4">
        <v>42488</v>
      </c>
      <c r="C5439" s="7">
        <v>804.96</v>
      </c>
      <c r="D5439" s="6">
        <f t="shared" si="172"/>
        <v>0.13143580012650219</v>
      </c>
      <c r="E5439" s="6">
        <v>-1.8820087762067214E-2</v>
      </c>
      <c r="F5439" s="6"/>
      <c r="G5439" s="6">
        <v>5432</v>
      </c>
      <c r="H5439" s="6">
        <f t="shared" ca="1" si="173"/>
        <v>-5.1459120006983492E-3</v>
      </c>
    </row>
    <row r="5440" spans="2:8" x14ac:dyDescent="0.3">
      <c r="B5440" s="4">
        <v>42090</v>
      </c>
      <c r="C5440" s="7">
        <v>711.45</v>
      </c>
      <c r="D5440" s="6">
        <f t="shared" si="172"/>
        <v>-0.73060830383006115</v>
      </c>
      <c r="E5440" s="6">
        <v>-1.8838521051978276E-2</v>
      </c>
      <c r="F5440" s="6"/>
      <c r="G5440" s="6">
        <v>5433</v>
      </c>
      <c r="H5440" s="6">
        <f t="shared" ca="1" si="173"/>
        <v>2.3911988623282348E-2</v>
      </c>
    </row>
    <row r="5441" spans="2:8" x14ac:dyDescent="0.3">
      <c r="B5441" s="4">
        <v>44953</v>
      </c>
      <c r="C5441" s="5">
        <v>2640.95</v>
      </c>
      <c r="D5441" s="6">
        <f t="shared" si="172"/>
        <v>1.8679480914372588</v>
      </c>
      <c r="E5441" s="6">
        <v>-1.8865190788080601E-2</v>
      </c>
      <c r="F5441" s="6"/>
      <c r="G5441" s="6">
        <v>5434</v>
      </c>
      <c r="H5441" s="6">
        <f t="shared" ca="1" si="173"/>
        <v>5.3303959495380505E-2</v>
      </c>
    </row>
    <row r="5442" spans="2:8" x14ac:dyDescent="0.3">
      <c r="B5442" s="4">
        <v>42530</v>
      </c>
      <c r="C5442" s="7">
        <v>920.85</v>
      </c>
      <c r="D5442" s="6">
        <f t="shared" si="172"/>
        <v>-0.25295701977836554</v>
      </c>
      <c r="E5442" s="6">
        <v>-1.8911144257404644E-2</v>
      </c>
      <c r="F5442" s="6"/>
      <c r="G5442" s="6">
        <v>5435</v>
      </c>
      <c r="H5442" s="6">
        <f t="shared" ca="1" si="173"/>
        <v>1.2108533085055729E-2</v>
      </c>
    </row>
    <row r="5443" spans="2:8" x14ac:dyDescent="0.3">
      <c r="B5443" s="4">
        <v>43360</v>
      </c>
      <c r="C5443" s="5">
        <v>1232.6600000000001</v>
      </c>
      <c r="D5443" s="6">
        <f t="shared" si="172"/>
        <v>4.2215868174693956</v>
      </c>
      <c r="E5443" s="6">
        <v>-1.893429901707188E-2</v>
      </c>
      <c r="F5443" s="6"/>
      <c r="G5443" s="6">
        <v>5436</v>
      </c>
      <c r="H5443" s="6">
        <f t="shared" ca="1" si="173"/>
        <v>2.1430065280778066E-2</v>
      </c>
    </row>
    <row r="5444" spans="2:8" x14ac:dyDescent="0.3">
      <c r="B5444" s="4">
        <v>40673</v>
      </c>
      <c r="C5444" s="7">
        <v>236.07</v>
      </c>
      <c r="D5444" s="6">
        <f t="shared" si="172"/>
        <v>2.574110522331567</v>
      </c>
      <c r="E5444" s="6">
        <v>-1.895025557910486E-2</v>
      </c>
      <c r="F5444" s="6"/>
      <c r="G5444" s="6">
        <v>5437</v>
      </c>
      <c r="H5444" s="6">
        <f t="shared" ca="1" si="173"/>
        <v>4.6612858672664516E-3</v>
      </c>
    </row>
    <row r="5445" spans="2:8" x14ac:dyDescent="0.3">
      <c r="B5445" s="4">
        <v>39195</v>
      </c>
      <c r="C5445" s="7">
        <v>66.05</v>
      </c>
      <c r="D5445" s="6">
        <f t="shared" si="172"/>
        <v>0.19677477803949991</v>
      </c>
      <c r="E5445" s="6">
        <v>-1.9010842120897091E-2</v>
      </c>
      <c r="F5445" s="6"/>
      <c r="G5445" s="6">
        <v>5438</v>
      </c>
      <c r="H5445" s="6">
        <f t="shared" ca="1" si="173"/>
        <v>1.8293943087957735E-2</v>
      </c>
    </row>
    <row r="5446" spans="2:8" x14ac:dyDescent="0.3">
      <c r="B5446" s="4">
        <v>38756</v>
      </c>
      <c r="C5446" s="7">
        <v>55.19</v>
      </c>
      <c r="D5446" s="6">
        <f t="shared" si="172"/>
        <v>-0.97815866332127621</v>
      </c>
      <c r="E5446" s="6">
        <v>-1.9018841094916465E-2</v>
      </c>
      <c r="F5446" s="6"/>
      <c r="G5446" s="6">
        <v>5439</v>
      </c>
      <c r="H5446" s="6">
        <f t="shared" ca="1" si="173"/>
        <v>1.1436182228341115E-2</v>
      </c>
    </row>
    <row r="5447" spans="2:8" x14ac:dyDescent="0.3">
      <c r="B5447" s="4">
        <v>45908</v>
      </c>
      <c r="C5447" s="5">
        <v>2526.86</v>
      </c>
      <c r="D5447" s="6">
        <f t="shared" si="172"/>
        <v>8.3238625880963824</v>
      </c>
      <c r="E5447" s="6">
        <v>-1.9030389614423025E-2</v>
      </c>
      <c r="F5447" s="6"/>
      <c r="G5447" s="6">
        <v>5440</v>
      </c>
      <c r="H5447" s="6">
        <f t="shared" ca="1" si="173"/>
        <v>1.6701181113007543E-2</v>
      </c>
    </row>
    <row r="5448" spans="2:8" x14ac:dyDescent="0.3">
      <c r="B5448" s="4">
        <v>40858</v>
      </c>
      <c r="C5448" s="7">
        <v>271.01</v>
      </c>
      <c r="D5448" s="6">
        <f t="shared" ref="D5448:D5511" si="174">((C5448-C5449)/C5449)</f>
        <v>-0.6262498103735985</v>
      </c>
      <c r="E5448" s="6">
        <v>-1.9039345567741669E-2</v>
      </c>
      <c r="F5448" s="6"/>
      <c r="G5448" s="6">
        <v>5441</v>
      </c>
      <c r="H5448" s="6">
        <f t="shared" ca="1" si="173"/>
        <v>1.763648392975211E-2</v>
      </c>
    </row>
    <row r="5449" spans="2:8" x14ac:dyDescent="0.3">
      <c r="B5449" s="4">
        <v>42089</v>
      </c>
      <c r="C5449" s="7">
        <v>725.11</v>
      </c>
      <c r="D5449" s="6">
        <f t="shared" si="174"/>
        <v>-0.12247219566506509</v>
      </c>
      <c r="E5449" s="6">
        <v>-1.904787672993417E-2</v>
      </c>
      <c r="F5449" s="6"/>
      <c r="G5449" s="6">
        <v>5442</v>
      </c>
      <c r="H5449" s="6">
        <f t="shared" ref="H5449:H5512" ca="1" si="175">_xlfn.NORM.INV(RAND(),N$10,N$11)</f>
        <v>4.0487999039060729E-3</v>
      </c>
    </row>
    <row r="5450" spans="2:8" x14ac:dyDescent="0.3">
      <c r="B5450" s="4">
        <v>42223</v>
      </c>
      <c r="C5450" s="7">
        <v>826.31</v>
      </c>
      <c r="D5450" s="6">
        <f t="shared" si="174"/>
        <v>5.9276731575371305E-2</v>
      </c>
      <c r="E5450" s="6">
        <v>-1.9053611282587098E-2</v>
      </c>
      <c r="F5450" s="6"/>
      <c r="G5450" s="6">
        <v>5443</v>
      </c>
      <c r="H5450" s="6">
        <f t="shared" ca="1" si="175"/>
        <v>1.5806401442422527E-2</v>
      </c>
    </row>
    <row r="5451" spans="2:8" x14ac:dyDescent="0.3">
      <c r="B5451" s="4">
        <v>42429</v>
      </c>
      <c r="C5451" s="7">
        <v>780.07</v>
      </c>
      <c r="D5451" s="6">
        <f t="shared" si="174"/>
        <v>-0.68126322843203746</v>
      </c>
      <c r="E5451" s="6">
        <v>-1.9063667115174186E-2</v>
      </c>
      <c r="F5451" s="6"/>
      <c r="G5451" s="6">
        <v>5444</v>
      </c>
      <c r="H5451" s="6">
        <f t="shared" ca="1" si="175"/>
        <v>-2.7338375881975626E-2</v>
      </c>
    </row>
    <row r="5452" spans="2:8" x14ac:dyDescent="0.3">
      <c r="B5452" s="4">
        <v>45848</v>
      </c>
      <c r="C5452" s="5">
        <v>2447.38</v>
      </c>
      <c r="D5452" s="6">
        <f t="shared" si="174"/>
        <v>0.13032514317384089</v>
      </c>
      <c r="E5452" s="6">
        <v>-1.9090103847279213E-2</v>
      </c>
      <c r="F5452" s="6"/>
      <c r="G5452" s="6">
        <v>5445</v>
      </c>
      <c r="H5452" s="6">
        <f t="shared" ca="1" si="175"/>
        <v>6.461089779800104E-4</v>
      </c>
    </row>
    <row r="5453" spans="2:8" x14ac:dyDescent="0.3">
      <c r="B5453" s="4">
        <v>46111</v>
      </c>
      <c r="C5453" s="5">
        <v>2165.1999999999998</v>
      </c>
      <c r="D5453" s="6">
        <f t="shared" si="174"/>
        <v>19.393708203824055</v>
      </c>
      <c r="E5453" s="6">
        <v>-1.9117513817160581E-2</v>
      </c>
      <c r="F5453" s="6"/>
      <c r="G5453" s="6">
        <v>5446</v>
      </c>
      <c r="H5453" s="6">
        <f t="shared" ca="1" si="175"/>
        <v>-1.147894113107456E-2</v>
      </c>
    </row>
    <row r="5454" spans="2:8" x14ac:dyDescent="0.3">
      <c r="B5454" s="4">
        <v>39601</v>
      </c>
      <c r="C5454" s="7">
        <v>106.17</v>
      </c>
      <c r="D5454" s="6">
        <f t="shared" si="174"/>
        <v>-0.8494533698226111</v>
      </c>
      <c r="E5454" s="6">
        <v>-1.9124168514412353E-2</v>
      </c>
      <c r="F5454" s="6"/>
      <c r="G5454" s="6">
        <v>5447</v>
      </c>
      <c r="H5454" s="6">
        <f t="shared" ca="1" si="175"/>
        <v>5.5110811030124988E-3</v>
      </c>
    </row>
    <row r="5455" spans="2:8" x14ac:dyDescent="0.3">
      <c r="B5455" s="4">
        <v>42118</v>
      </c>
      <c r="C5455" s="7">
        <v>705.23</v>
      </c>
      <c r="D5455" s="6">
        <f t="shared" si="174"/>
        <v>-0.76933518241108401</v>
      </c>
      <c r="E5455" s="6">
        <v>-1.9137957412481383E-2</v>
      </c>
      <c r="F5455" s="6"/>
      <c r="G5455" s="6">
        <v>5448</v>
      </c>
      <c r="H5455" s="6">
        <f t="shared" ca="1" si="175"/>
        <v>2.3910054389854489E-2</v>
      </c>
    </row>
    <row r="5456" spans="2:8" x14ac:dyDescent="0.3">
      <c r="B5456" s="4">
        <v>44599</v>
      </c>
      <c r="C5456" s="5">
        <v>3057.38</v>
      </c>
      <c r="D5456" s="6">
        <f t="shared" si="174"/>
        <v>34.097922167374584</v>
      </c>
      <c r="E5456" s="6">
        <v>-1.9139953289017738E-2</v>
      </c>
      <c r="F5456" s="6"/>
      <c r="G5456" s="6">
        <v>5449</v>
      </c>
      <c r="H5456" s="6">
        <f t="shared" ca="1" si="175"/>
        <v>2.5358365526741575E-2</v>
      </c>
    </row>
    <row r="5457" spans="2:8" x14ac:dyDescent="0.3">
      <c r="B5457" s="4">
        <v>39632</v>
      </c>
      <c r="C5457" s="7">
        <v>87.11</v>
      </c>
      <c r="D5457" s="6">
        <f t="shared" si="174"/>
        <v>-0.88395545253510244</v>
      </c>
      <c r="E5457" s="6">
        <v>-1.9141988514806921E-2</v>
      </c>
      <c r="F5457" s="6"/>
      <c r="G5457" s="6">
        <v>5450</v>
      </c>
      <c r="H5457" s="6">
        <f t="shared" ca="1" si="175"/>
        <v>1.6566394235775196E-2</v>
      </c>
    </row>
    <row r="5458" spans="2:8" x14ac:dyDescent="0.3">
      <c r="B5458" s="4">
        <v>42311</v>
      </c>
      <c r="C5458" s="7">
        <v>750.66</v>
      </c>
      <c r="D5458" s="6">
        <f t="shared" si="174"/>
        <v>-0.31643840606104767</v>
      </c>
      <c r="E5458" s="6">
        <v>-1.9155385982334294E-2</v>
      </c>
      <c r="F5458" s="6"/>
      <c r="G5458" s="6">
        <v>5451</v>
      </c>
      <c r="H5458" s="6">
        <f t="shared" ca="1" si="175"/>
        <v>7.7758062035771557E-3</v>
      </c>
    </row>
    <row r="5459" spans="2:8" x14ac:dyDescent="0.3">
      <c r="B5459" s="4">
        <v>43004</v>
      </c>
      <c r="C5459" s="5">
        <v>1098.1600000000001</v>
      </c>
      <c r="D5459" s="6">
        <f t="shared" si="174"/>
        <v>-0.62261116399588978</v>
      </c>
      <c r="E5459" s="6">
        <v>-1.9175977778373234E-2</v>
      </c>
      <c r="F5459" s="6"/>
      <c r="G5459" s="6">
        <v>5452</v>
      </c>
      <c r="H5459" s="6">
        <f t="shared" ca="1" si="175"/>
        <v>-1.0044471979565218E-2</v>
      </c>
    </row>
    <row r="5460" spans="2:8" x14ac:dyDescent="0.3">
      <c r="B5460" s="4">
        <v>44669</v>
      </c>
      <c r="C5460" s="5">
        <v>2909.89</v>
      </c>
      <c r="D5460" s="6">
        <f t="shared" si="174"/>
        <v>125.51695652173912</v>
      </c>
      <c r="E5460" s="6">
        <v>-1.9185589909701015E-2</v>
      </c>
      <c r="F5460" s="6"/>
      <c r="G5460" s="6">
        <v>5453</v>
      </c>
      <c r="H5460" s="6">
        <f t="shared" ca="1" si="175"/>
        <v>4.4761645277463784E-2</v>
      </c>
    </row>
    <row r="5461" spans="2:8" x14ac:dyDescent="0.3">
      <c r="B5461" s="4">
        <v>38049</v>
      </c>
      <c r="C5461" s="7">
        <v>23</v>
      </c>
      <c r="D5461" s="6">
        <f t="shared" si="174"/>
        <v>-0.51063829787234039</v>
      </c>
      <c r="E5461" s="6">
        <v>-1.9189765458422145E-2</v>
      </c>
      <c r="F5461" s="6"/>
      <c r="G5461" s="6">
        <v>5454</v>
      </c>
      <c r="H5461" s="6">
        <f t="shared" ca="1" si="175"/>
        <v>-7.1868717397983901E-3</v>
      </c>
    </row>
    <row r="5462" spans="2:8" x14ac:dyDescent="0.3">
      <c r="B5462" s="4">
        <v>38922</v>
      </c>
      <c r="C5462" s="7">
        <v>47</v>
      </c>
      <c r="D5462" s="6">
        <f t="shared" si="174"/>
        <v>-0.2804654011022657</v>
      </c>
      <c r="E5462" s="6">
        <v>-1.9198664440734592E-2</v>
      </c>
      <c r="F5462" s="6"/>
      <c r="G5462" s="6">
        <v>5455</v>
      </c>
      <c r="H5462" s="6">
        <f t="shared" ca="1" si="175"/>
        <v>-1.2657315104320331E-2</v>
      </c>
    </row>
    <row r="5463" spans="2:8" x14ac:dyDescent="0.3">
      <c r="B5463" s="4">
        <v>39190</v>
      </c>
      <c r="C5463" s="7">
        <v>65.319999999999993</v>
      </c>
      <c r="D5463" s="6">
        <f t="shared" si="174"/>
        <v>-0.73327888934258889</v>
      </c>
      <c r="E5463" s="6">
        <v>-1.9219219219219239E-2</v>
      </c>
      <c r="F5463" s="6"/>
      <c r="G5463" s="6">
        <v>5456</v>
      </c>
      <c r="H5463" s="6">
        <f t="shared" ca="1" si="175"/>
        <v>1.8796050398138696E-3</v>
      </c>
    </row>
    <row r="5464" spans="2:8" x14ac:dyDescent="0.3">
      <c r="B5464" s="4">
        <v>40437</v>
      </c>
      <c r="C5464" s="7">
        <v>244.9</v>
      </c>
      <c r="D5464" s="6">
        <f t="shared" si="174"/>
        <v>3.2867145107649223</v>
      </c>
      <c r="E5464" s="6">
        <v>-1.9223067681217395E-2</v>
      </c>
      <c r="F5464" s="6"/>
      <c r="G5464" s="6">
        <v>5457</v>
      </c>
      <c r="H5464" s="6">
        <f t="shared" ca="1" si="175"/>
        <v>5.3681853949872505E-3</v>
      </c>
    </row>
    <row r="5465" spans="2:8" x14ac:dyDescent="0.3">
      <c r="B5465" s="4">
        <v>39044</v>
      </c>
      <c r="C5465" s="7">
        <v>57.13</v>
      </c>
      <c r="D5465" s="6">
        <f t="shared" si="174"/>
        <v>-0.97989336055044252</v>
      </c>
      <c r="E5465" s="6">
        <v>-1.9227467811158753E-2</v>
      </c>
      <c r="F5465" s="6"/>
      <c r="G5465" s="6">
        <v>5458</v>
      </c>
      <c r="H5465" s="6">
        <f t="shared" ca="1" si="175"/>
        <v>-2.4247369227186634E-4</v>
      </c>
    </row>
    <row r="5466" spans="2:8" x14ac:dyDescent="0.3">
      <c r="B5466" s="4">
        <v>45449</v>
      </c>
      <c r="C5466" s="5">
        <v>2841.35</v>
      </c>
      <c r="D5466" s="6">
        <f t="shared" si="174"/>
        <v>0.21903450287881507</v>
      </c>
      <c r="E5466" s="6">
        <v>-1.922983990666401E-2</v>
      </c>
      <c r="F5466" s="6"/>
      <c r="G5466" s="6">
        <v>5459</v>
      </c>
      <c r="H5466" s="6">
        <f t="shared" ca="1" si="175"/>
        <v>-1.376990511413223E-2</v>
      </c>
    </row>
    <row r="5467" spans="2:8" x14ac:dyDescent="0.3">
      <c r="B5467" s="4">
        <v>45643</v>
      </c>
      <c r="C5467" s="5">
        <v>2330.8200000000002</v>
      </c>
      <c r="D5467" s="6">
        <f t="shared" si="174"/>
        <v>7.5225053932502099</v>
      </c>
      <c r="E5467" s="6">
        <v>-1.9254559072280238E-2</v>
      </c>
      <c r="F5467" s="6"/>
      <c r="G5467" s="6">
        <v>5460</v>
      </c>
      <c r="H5467" s="6">
        <f t="shared" ca="1" si="175"/>
        <v>5.4089104655173836E-3</v>
      </c>
    </row>
    <row r="5468" spans="2:8" x14ac:dyDescent="0.3">
      <c r="B5468" s="4">
        <v>40736</v>
      </c>
      <c r="C5468" s="7">
        <v>273.49</v>
      </c>
      <c r="D5468" s="6">
        <f t="shared" si="174"/>
        <v>-0.87867213216570395</v>
      </c>
      <c r="E5468" s="6">
        <v>-1.9292143292573585E-2</v>
      </c>
      <c r="F5468" s="6"/>
      <c r="G5468" s="6">
        <v>5461</v>
      </c>
      <c r="H5468" s="6">
        <f t="shared" ca="1" si="175"/>
        <v>2.1395375384918477E-2</v>
      </c>
    </row>
    <row r="5469" spans="2:8" x14ac:dyDescent="0.3">
      <c r="B5469" s="4">
        <v>44270</v>
      </c>
      <c r="C5469" s="5">
        <v>2254.14</v>
      </c>
      <c r="D5469" s="6">
        <f t="shared" si="174"/>
        <v>28.392880427695918</v>
      </c>
      <c r="E5469" s="6">
        <v>-1.9299543180335055E-2</v>
      </c>
      <c r="F5469" s="6"/>
      <c r="G5469" s="6">
        <v>5462</v>
      </c>
      <c r="H5469" s="6">
        <f t="shared" ca="1" si="175"/>
        <v>-3.0905943743976927E-2</v>
      </c>
    </row>
    <row r="5470" spans="2:8" x14ac:dyDescent="0.3">
      <c r="B5470" s="4">
        <v>39945</v>
      </c>
      <c r="C5470" s="7">
        <v>76.69</v>
      </c>
      <c r="D5470" s="6">
        <f t="shared" si="174"/>
        <v>2.2843683083511772</v>
      </c>
      <c r="E5470" s="6">
        <v>-1.9309462915601087E-2</v>
      </c>
      <c r="F5470" s="6"/>
      <c r="G5470" s="6">
        <v>5463</v>
      </c>
      <c r="H5470" s="6">
        <f t="shared" ca="1" si="175"/>
        <v>-9.1717327582866454E-3</v>
      </c>
    </row>
    <row r="5471" spans="2:8" x14ac:dyDescent="0.3">
      <c r="B5471" s="4">
        <v>38117</v>
      </c>
      <c r="C5471" s="7">
        <v>23.35</v>
      </c>
      <c r="D5471" s="6">
        <f t="shared" si="174"/>
        <v>-0.54421237556119451</v>
      </c>
      <c r="E5471" s="6">
        <v>-1.9319613607727732E-2</v>
      </c>
      <c r="F5471" s="6"/>
      <c r="G5471" s="6">
        <v>5464</v>
      </c>
      <c r="H5471" s="6">
        <f t="shared" ca="1" si="175"/>
        <v>-1.8767877626016071E-3</v>
      </c>
    </row>
    <row r="5472" spans="2:8" x14ac:dyDescent="0.3">
      <c r="B5472" s="4">
        <v>38819</v>
      </c>
      <c r="C5472" s="7">
        <v>51.23</v>
      </c>
      <c r="D5472" s="6">
        <f t="shared" si="174"/>
        <v>-0.95325090112697908</v>
      </c>
      <c r="E5472" s="6">
        <v>-1.9333843797856146E-2</v>
      </c>
      <c r="F5472" s="6"/>
      <c r="G5472" s="6">
        <v>5465</v>
      </c>
      <c r="H5472" s="6">
        <f t="shared" ca="1" si="175"/>
        <v>-2.0250543715174367E-2</v>
      </c>
    </row>
    <row r="5473" spans="2:8" x14ac:dyDescent="0.3">
      <c r="B5473" s="4">
        <v>42660</v>
      </c>
      <c r="C5473" s="5">
        <v>1095.8499999999999</v>
      </c>
      <c r="D5473" s="6">
        <f t="shared" si="174"/>
        <v>0.48047824912185877</v>
      </c>
      <c r="E5473" s="6">
        <v>-1.9443798206839797E-2</v>
      </c>
      <c r="F5473" s="6"/>
      <c r="G5473" s="6">
        <v>5466</v>
      </c>
      <c r="H5473" s="6">
        <f t="shared" ca="1" si="175"/>
        <v>-9.6309051355543563E-3</v>
      </c>
    </row>
    <row r="5474" spans="2:8" x14ac:dyDescent="0.3">
      <c r="B5474" s="4">
        <v>42058</v>
      </c>
      <c r="C5474" s="7">
        <v>740.2</v>
      </c>
      <c r="D5474" s="6">
        <f t="shared" si="174"/>
        <v>3.124366189335265</v>
      </c>
      <c r="E5474" s="6">
        <v>-1.9498754834949287E-2</v>
      </c>
      <c r="F5474" s="6"/>
      <c r="G5474" s="6">
        <v>5467</v>
      </c>
      <c r="H5474" s="6">
        <f t="shared" ca="1" si="175"/>
        <v>1.4414206574260117E-2</v>
      </c>
    </row>
    <row r="5475" spans="2:8" x14ac:dyDescent="0.3">
      <c r="B5475" s="4">
        <v>40318</v>
      </c>
      <c r="C5475" s="7">
        <v>179.47</v>
      </c>
      <c r="D5475" s="6">
        <f t="shared" si="174"/>
        <v>2.0387741280054179</v>
      </c>
      <c r="E5475" s="6">
        <v>-1.950393356643353E-2</v>
      </c>
      <c r="F5475" s="6"/>
      <c r="G5475" s="6">
        <v>5468</v>
      </c>
      <c r="H5475" s="6">
        <f t="shared" ca="1" si="175"/>
        <v>-8.7729848276425527E-3</v>
      </c>
    </row>
    <row r="5476" spans="2:8" x14ac:dyDescent="0.3">
      <c r="B5476" s="4">
        <v>39094</v>
      </c>
      <c r="C5476" s="7">
        <v>59.06</v>
      </c>
      <c r="D5476" s="6">
        <f t="shared" si="174"/>
        <v>-0.97966806550559593</v>
      </c>
      <c r="E5476" s="6">
        <v>-1.9588313413014601E-2</v>
      </c>
      <c r="F5476" s="6"/>
      <c r="G5476" s="6">
        <v>5469</v>
      </c>
      <c r="H5476" s="6">
        <f t="shared" ca="1" si="175"/>
        <v>1.7414228841396852E-2</v>
      </c>
    </row>
    <row r="5477" spans="2:8" x14ac:dyDescent="0.3">
      <c r="B5477" s="4">
        <v>44687</v>
      </c>
      <c r="C5477" s="5">
        <v>2904.79</v>
      </c>
      <c r="D5477" s="6">
        <f t="shared" si="174"/>
        <v>11.320961995249405</v>
      </c>
      <c r="E5477" s="6">
        <v>-1.959930607588619E-2</v>
      </c>
      <c r="F5477" s="6"/>
      <c r="G5477" s="6">
        <v>5470</v>
      </c>
      <c r="H5477" s="6">
        <f t="shared" ca="1" si="175"/>
        <v>2.0866665923529094E-3</v>
      </c>
    </row>
    <row r="5478" spans="2:8" x14ac:dyDescent="0.3">
      <c r="B5478" s="4">
        <v>40896</v>
      </c>
      <c r="C5478" s="7">
        <v>235.76</v>
      </c>
      <c r="D5478" s="6">
        <f t="shared" si="174"/>
        <v>-0.419224515938316</v>
      </c>
      <c r="E5478" s="6">
        <v>-1.96274118429807E-2</v>
      </c>
      <c r="F5478" s="6"/>
      <c r="G5478" s="6">
        <v>5471</v>
      </c>
      <c r="H5478" s="6">
        <f t="shared" ca="1" si="175"/>
        <v>-4.8577380493833961E-4</v>
      </c>
    </row>
    <row r="5479" spans="2:8" x14ac:dyDescent="0.3">
      <c r="B5479" s="4">
        <v>41373</v>
      </c>
      <c r="C5479" s="7">
        <v>405.94</v>
      </c>
      <c r="D5479" s="6">
        <f t="shared" si="174"/>
        <v>12.567513368983956</v>
      </c>
      <c r="E5479" s="6">
        <v>-1.9658037094281267E-2</v>
      </c>
      <c r="F5479" s="6"/>
      <c r="G5479" s="6">
        <v>5472</v>
      </c>
      <c r="H5479" s="6">
        <f t="shared" ca="1" si="175"/>
        <v>-3.5841668446961474E-4</v>
      </c>
    </row>
    <row r="5480" spans="2:8" x14ac:dyDescent="0.3">
      <c r="B5480" s="4">
        <v>38469</v>
      </c>
      <c r="C5480" s="7">
        <v>29.92</v>
      </c>
      <c r="D5480" s="6">
        <f t="shared" si="174"/>
        <v>-0.99057640763336174</v>
      </c>
      <c r="E5480" s="6">
        <v>-1.9659239842726012E-2</v>
      </c>
      <c r="F5480" s="6"/>
      <c r="G5480" s="6">
        <v>5473</v>
      </c>
      <c r="H5480" s="6">
        <f t="shared" ca="1" si="175"/>
        <v>3.4709320123171208E-3</v>
      </c>
    </row>
    <row r="5481" spans="2:8" x14ac:dyDescent="0.3">
      <c r="B5481" s="4">
        <v>44844</v>
      </c>
      <c r="C5481" s="5">
        <v>3175.01</v>
      </c>
      <c r="D5481" s="6">
        <f t="shared" si="174"/>
        <v>7.2963417820747338</v>
      </c>
      <c r="E5481" s="6">
        <v>-1.9662270856426467E-2</v>
      </c>
      <c r="F5481" s="6"/>
      <c r="G5481" s="6">
        <v>5474</v>
      </c>
      <c r="H5481" s="6">
        <f t="shared" ca="1" si="175"/>
        <v>-1.3818205820446783E-2</v>
      </c>
    </row>
    <row r="5482" spans="2:8" x14ac:dyDescent="0.3">
      <c r="B5482" s="4">
        <v>41333</v>
      </c>
      <c r="C5482" s="7">
        <v>382.7</v>
      </c>
      <c r="D5482" s="6">
        <f t="shared" si="174"/>
        <v>-0.10784222305110032</v>
      </c>
      <c r="E5482" s="6">
        <v>-1.9723360655737678E-2</v>
      </c>
      <c r="F5482" s="6"/>
      <c r="G5482" s="6">
        <v>5475</v>
      </c>
      <c r="H5482" s="6">
        <f t="shared" ca="1" si="175"/>
        <v>-7.7748175176740007E-3</v>
      </c>
    </row>
    <row r="5483" spans="2:8" x14ac:dyDescent="0.3">
      <c r="B5483" s="4">
        <v>41368</v>
      </c>
      <c r="C5483" s="7">
        <v>428.96</v>
      </c>
      <c r="D5483" s="6">
        <f t="shared" si="174"/>
        <v>9.9249160751351664E-2</v>
      </c>
      <c r="E5483" s="6">
        <v>-1.976645871895074E-2</v>
      </c>
      <c r="F5483" s="6"/>
      <c r="G5483" s="6">
        <v>5476</v>
      </c>
      <c r="H5483" s="6">
        <f t="shared" ca="1" si="175"/>
        <v>8.162017020022767E-3</v>
      </c>
    </row>
    <row r="5484" spans="2:8" x14ac:dyDescent="0.3">
      <c r="B5484" s="4">
        <v>41264</v>
      </c>
      <c r="C5484" s="7">
        <v>390.23</v>
      </c>
      <c r="D5484" s="6">
        <f t="shared" si="174"/>
        <v>-0.5143554067676378</v>
      </c>
      <c r="E5484" s="6">
        <v>-1.9793524402803232E-2</v>
      </c>
      <c r="F5484" s="6"/>
      <c r="G5484" s="6">
        <v>5477</v>
      </c>
      <c r="H5484" s="6">
        <f t="shared" ca="1" si="175"/>
        <v>1.155879736943788E-2</v>
      </c>
    </row>
    <row r="5485" spans="2:8" x14ac:dyDescent="0.3">
      <c r="B5485" s="4">
        <v>42482</v>
      </c>
      <c r="C5485" s="7">
        <v>803.53</v>
      </c>
      <c r="D5485" s="6">
        <f t="shared" si="174"/>
        <v>31.505258899676374</v>
      </c>
      <c r="E5485" s="6">
        <v>-1.979847760320096E-2</v>
      </c>
      <c r="F5485" s="6"/>
      <c r="G5485" s="6">
        <v>5478</v>
      </c>
      <c r="H5485" s="6">
        <f t="shared" ca="1" si="175"/>
        <v>1.4610387022225102E-3</v>
      </c>
    </row>
    <row r="5486" spans="2:8" x14ac:dyDescent="0.3">
      <c r="B5486" s="4">
        <v>38261</v>
      </c>
      <c r="C5486" s="7">
        <v>24.72</v>
      </c>
      <c r="D5486" s="6">
        <f t="shared" si="174"/>
        <v>-0.96711760245819867</v>
      </c>
      <c r="E5486" s="6">
        <v>-1.9825535289452818E-2</v>
      </c>
      <c r="F5486" s="6"/>
      <c r="G5486" s="6">
        <v>5479</v>
      </c>
      <c r="H5486" s="6">
        <f t="shared" ca="1" si="175"/>
        <v>3.2328264525106941E-3</v>
      </c>
    </row>
    <row r="5487" spans="2:8" x14ac:dyDescent="0.3">
      <c r="B5487" s="4">
        <v>42110</v>
      </c>
      <c r="C5487" s="7">
        <v>751.77</v>
      </c>
      <c r="D5487" s="6">
        <f t="shared" si="174"/>
        <v>10.227150537634408</v>
      </c>
      <c r="E5487" s="6">
        <v>-2.0022681944390146E-2</v>
      </c>
      <c r="F5487" s="6"/>
      <c r="G5487" s="6">
        <v>5480</v>
      </c>
      <c r="H5487" s="6">
        <f t="shared" ca="1" si="175"/>
        <v>-8.9710839874142453E-3</v>
      </c>
    </row>
    <row r="5488" spans="2:8" x14ac:dyDescent="0.3">
      <c r="B5488" s="4">
        <v>39909</v>
      </c>
      <c r="C5488" s="7">
        <v>66.959999999999994</v>
      </c>
      <c r="D5488" s="6">
        <f t="shared" si="174"/>
        <v>-0.93090068521423264</v>
      </c>
      <c r="E5488" s="6">
        <v>-2.0049758524806154E-2</v>
      </c>
      <c r="F5488" s="6"/>
      <c r="G5488" s="6">
        <v>5481</v>
      </c>
      <c r="H5488" s="6">
        <f t="shared" ca="1" si="175"/>
        <v>4.4939164321125937E-4</v>
      </c>
    </row>
    <row r="5489" spans="2:8" x14ac:dyDescent="0.3">
      <c r="B5489" s="4">
        <v>42821</v>
      </c>
      <c r="C5489" s="7">
        <v>969.04</v>
      </c>
      <c r="D5489" s="6">
        <f t="shared" si="174"/>
        <v>40.341296928327637</v>
      </c>
      <c r="E5489" s="6">
        <v>-2.0063101690801749E-2</v>
      </c>
      <c r="F5489" s="6"/>
      <c r="G5489" s="6">
        <v>5482</v>
      </c>
      <c r="H5489" s="6">
        <f t="shared" ca="1" si="175"/>
        <v>2.0847553562406019E-2</v>
      </c>
    </row>
    <row r="5490" spans="2:8" x14ac:dyDescent="0.3">
      <c r="B5490" s="4">
        <v>38071</v>
      </c>
      <c r="C5490" s="7">
        <v>23.44</v>
      </c>
      <c r="D5490" s="6">
        <f t="shared" si="174"/>
        <v>-0.9099154496541122</v>
      </c>
      <c r="E5490" s="6">
        <v>-2.0066889632107041E-2</v>
      </c>
      <c r="F5490" s="6"/>
      <c r="G5490" s="6">
        <v>5483</v>
      </c>
      <c r="H5490" s="6">
        <f t="shared" ca="1" si="175"/>
        <v>2.6801691898127376E-3</v>
      </c>
    </row>
    <row r="5491" spans="2:8" x14ac:dyDescent="0.3">
      <c r="B5491" s="4">
        <v>40940</v>
      </c>
      <c r="C5491" s="7">
        <v>260.2</v>
      </c>
      <c r="D5491" s="6">
        <f t="shared" si="174"/>
        <v>-0.84602912546673525</v>
      </c>
      <c r="E5491" s="6">
        <v>-2.0073061424321113E-2</v>
      </c>
      <c r="F5491" s="6"/>
      <c r="G5491" s="6">
        <v>5484</v>
      </c>
      <c r="H5491" s="6">
        <f t="shared" ca="1" si="175"/>
        <v>-2.1940717549440245E-4</v>
      </c>
    </row>
    <row r="5492" spans="2:8" x14ac:dyDescent="0.3">
      <c r="B5492" s="4">
        <v>43760</v>
      </c>
      <c r="C5492" s="5">
        <v>1689.93</v>
      </c>
      <c r="D5492" s="6">
        <f t="shared" si="174"/>
        <v>5.2789997770676971</v>
      </c>
      <c r="E5492" s="6">
        <v>-2.0114575964560209E-2</v>
      </c>
      <c r="F5492" s="6"/>
      <c r="G5492" s="6">
        <v>5485</v>
      </c>
      <c r="H5492" s="6">
        <f t="shared" ca="1" si="175"/>
        <v>1.8135861876249552E-2</v>
      </c>
    </row>
    <row r="5493" spans="2:8" x14ac:dyDescent="0.3">
      <c r="B5493" s="4">
        <v>40862</v>
      </c>
      <c r="C5493" s="7">
        <v>269.14</v>
      </c>
      <c r="D5493" s="6">
        <f t="shared" si="174"/>
        <v>5.4417238001958808E-2</v>
      </c>
      <c r="E5493" s="6">
        <v>-2.0133250810063091E-2</v>
      </c>
      <c r="F5493" s="6"/>
      <c r="G5493" s="6">
        <v>5486</v>
      </c>
      <c r="H5493" s="6">
        <f t="shared" ca="1" si="175"/>
        <v>-1.2242015523420677E-2</v>
      </c>
    </row>
    <row r="5494" spans="2:8" x14ac:dyDescent="0.3">
      <c r="B5494" s="4">
        <v>40877</v>
      </c>
      <c r="C5494" s="7">
        <v>255.25</v>
      </c>
      <c r="D5494" s="6">
        <f t="shared" si="174"/>
        <v>-0.66108558833682984</v>
      </c>
      <c r="E5494" s="6">
        <v>-2.0153550863723609E-2</v>
      </c>
      <c r="F5494" s="6"/>
      <c r="G5494" s="6">
        <v>5487</v>
      </c>
      <c r="H5494" s="6">
        <f t="shared" ca="1" si="175"/>
        <v>9.7222837896132706E-3</v>
      </c>
    </row>
    <row r="5495" spans="2:8" x14ac:dyDescent="0.3">
      <c r="B5495" s="4">
        <v>42047</v>
      </c>
      <c r="C5495" s="7">
        <v>753.14</v>
      </c>
      <c r="D5495" s="6">
        <f t="shared" si="174"/>
        <v>-0.72681635169937253</v>
      </c>
      <c r="E5495" s="6">
        <v>-2.0216474996097161E-2</v>
      </c>
      <c r="F5495" s="6"/>
      <c r="G5495" s="6">
        <v>5488</v>
      </c>
      <c r="H5495" s="6">
        <f t="shared" ca="1" si="175"/>
        <v>-1.6576381690095456E-3</v>
      </c>
    </row>
    <row r="5496" spans="2:8" x14ac:dyDescent="0.3">
      <c r="B5496" s="4">
        <v>46038</v>
      </c>
      <c r="C5496" s="5">
        <v>2756.9</v>
      </c>
      <c r="D5496" s="6">
        <f t="shared" si="174"/>
        <v>74.038105606967889</v>
      </c>
      <c r="E5496" s="6">
        <v>-2.025658338960162E-2</v>
      </c>
      <c r="F5496" s="6"/>
      <c r="G5496" s="6">
        <v>5489</v>
      </c>
      <c r="H5496" s="6">
        <f t="shared" ca="1" si="175"/>
        <v>2.8613882557457703E-4</v>
      </c>
    </row>
    <row r="5497" spans="2:8" x14ac:dyDescent="0.3">
      <c r="B5497" s="4">
        <v>38573</v>
      </c>
      <c r="C5497" s="7">
        <v>36.74</v>
      </c>
      <c r="D5497" s="6">
        <f t="shared" si="174"/>
        <v>-0.86511986489959247</v>
      </c>
      <c r="E5497" s="6">
        <v>-2.0266666666666613E-2</v>
      </c>
      <c r="F5497" s="6"/>
      <c r="G5497" s="6">
        <v>5490</v>
      </c>
      <c r="H5497" s="6">
        <f t="shared" ca="1" si="175"/>
        <v>-3.1226408907314524E-3</v>
      </c>
    </row>
    <row r="5498" spans="2:8" x14ac:dyDescent="0.3">
      <c r="B5498" s="4">
        <v>40696</v>
      </c>
      <c r="C5498" s="7">
        <v>272.39</v>
      </c>
      <c r="D5498" s="6">
        <f t="shared" si="174"/>
        <v>1.8558397986999371</v>
      </c>
      <c r="E5498" s="6">
        <v>-2.0285580692730953E-2</v>
      </c>
      <c r="F5498" s="6"/>
      <c r="G5498" s="6">
        <v>5491</v>
      </c>
      <c r="H5498" s="6">
        <f t="shared" ca="1" si="175"/>
        <v>2.8182961280418348E-2</v>
      </c>
    </row>
    <row r="5499" spans="2:8" x14ac:dyDescent="0.3">
      <c r="B5499" s="4">
        <v>39520</v>
      </c>
      <c r="C5499" s="7">
        <v>95.38</v>
      </c>
      <c r="D5499" s="6">
        <f t="shared" si="174"/>
        <v>-0.96710251749554199</v>
      </c>
      <c r="E5499" s="6">
        <v>-2.0336894001643426E-2</v>
      </c>
      <c r="F5499" s="6"/>
      <c r="G5499" s="6">
        <v>5492</v>
      </c>
      <c r="H5499" s="6">
        <f t="shared" ca="1" si="175"/>
        <v>3.0186500484505684E-2</v>
      </c>
    </row>
    <row r="5500" spans="2:8" x14ac:dyDescent="0.3">
      <c r="B5500" s="4">
        <v>45596</v>
      </c>
      <c r="C5500" s="5">
        <v>2899.31</v>
      </c>
      <c r="D5500" s="6">
        <f t="shared" si="174"/>
        <v>9.3491343922898444</v>
      </c>
      <c r="E5500" s="6">
        <v>-2.0357755882631202E-2</v>
      </c>
      <c r="F5500" s="6"/>
      <c r="G5500" s="6">
        <v>5493</v>
      </c>
      <c r="H5500" s="6">
        <f t="shared" ca="1" si="175"/>
        <v>-5.9116454571202098E-3</v>
      </c>
    </row>
    <row r="5501" spans="2:8" x14ac:dyDescent="0.3">
      <c r="B5501" s="4">
        <v>40855</v>
      </c>
      <c r="C5501" s="7">
        <v>280.14999999999998</v>
      </c>
      <c r="D5501" s="6">
        <f t="shared" si="174"/>
        <v>4.6676107626947196</v>
      </c>
      <c r="E5501" s="6">
        <v>-2.0386040981886986E-2</v>
      </c>
      <c r="F5501" s="6"/>
      <c r="G5501" s="6">
        <v>5494</v>
      </c>
      <c r="H5501" s="6">
        <f t="shared" ca="1" si="175"/>
        <v>-7.3184808027064799E-3</v>
      </c>
    </row>
    <row r="5502" spans="2:8" x14ac:dyDescent="0.3">
      <c r="B5502" s="4">
        <v>38853</v>
      </c>
      <c r="C5502" s="7">
        <v>49.43</v>
      </c>
      <c r="D5502" s="6">
        <f t="shared" si="174"/>
        <v>-0.98274965537699144</v>
      </c>
      <c r="E5502" s="6">
        <v>-2.0412207689258843E-2</v>
      </c>
      <c r="F5502" s="6"/>
      <c r="G5502" s="6">
        <v>5495</v>
      </c>
      <c r="H5502" s="6">
        <f t="shared" ca="1" si="175"/>
        <v>2.6547571983937079E-3</v>
      </c>
    </row>
    <row r="5503" spans="2:8" x14ac:dyDescent="0.3">
      <c r="B5503" s="4">
        <v>45231</v>
      </c>
      <c r="C5503" s="5">
        <v>2865.45</v>
      </c>
      <c r="D5503" s="6">
        <f t="shared" si="174"/>
        <v>0.70933874190950574</v>
      </c>
      <c r="E5503" s="6">
        <v>-2.0412558629271573E-2</v>
      </c>
      <c r="F5503" s="6"/>
      <c r="G5503" s="6">
        <v>5496</v>
      </c>
      <c r="H5503" s="6">
        <f t="shared" ca="1" si="175"/>
        <v>1.8766430884623431E-2</v>
      </c>
    </row>
    <row r="5504" spans="2:8" x14ac:dyDescent="0.3">
      <c r="B5504" s="4">
        <v>43732</v>
      </c>
      <c r="C5504" s="5">
        <v>1676.35</v>
      </c>
      <c r="D5504" s="6">
        <f t="shared" si="174"/>
        <v>34.735450863355361</v>
      </c>
      <c r="E5504" s="6">
        <v>-2.0440242384578089E-2</v>
      </c>
      <c r="F5504" s="6"/>
      <c r="G5504" s="6">
        <v>5497</v>
      </c>
      <c r="H5504" s="6">
        <f t="shared" ca="1" si="175"/>
        <v>1.7208709864075016E-2</v>
      </c>
    </row>
    <row r="5505" spans="2:8" x14ac:dyDescent="0.3">
      <c r="B5505" s="4">
        <v>38873</v>
      </c>
      <c r="C5505" s="7">
        <v>46.91</v>
      </c>
      <c r="D5505" s="6">
        <f t="shared" si="174"/>
        <v>-0.98520921814747908</v>
      </c>
      <c r="E5505" s="6">
        <v>-2.0463562330340447E-2</v>
      </c>
      <c r="F5505" s="6"/>
      <c r="G5505" s="6">
        <v>5498</v>
      </c>
      <c r="H5505" s="6">
        <f t="shared" ca="1" si="175"/>
        <v>-4.8855887571432896E-3</v>
      </c>
    </row>
    <row r="5506" spans="2:8" x14ac:dyDescent="0.3">
      <c r="B5506" s="4">
        <v>45099</v>
      </c>
      <c r="C5506" s="5">
        <v>3171.57</v>
      </c>
      <c r="D5506" s="6">
        <f t="shared" si="174"/>
        <v>2.019593841935392</v>
      </c>
      <c r="E5506" s="6">
        <v>-2.0518775420705942E-2</v>
      </c>
      <c r="F5506" s="6"/>
      <c r="G5506" s="6">
        <v>5499</v>
      </c>
      <c r="H5506" s="6">
        <f t="shared" ca="1" si="175"/>
        <v>2.0282249924224826E-3</v>
      </c>
    </row>
    <row r="5507" spans="2:8" x14ac:dyDescent="0.3">
      <c r="B5507" s="4">
        <v>43150</v>
      </c>
      <c r="C5507" s="5">
        <v>1050.33</v>
      </c>
      <c r="D5507" s="6">
        <f t="shared" si="174"/>
        <v>-0.39009122529919693</v>
      </c>
      <c r="E5507" s="6">
        <v>-2.0543474206423194E-2</v>
      </c>
      <c r="F5507" s="6"/>
      <c r="G5507" s="6">
        <v>5500</v>
      </c>
      <c r="H5507" s="6">
        <f t="shared" ca="1" si="175"/>
        <v>1.7495206849935194E-3</v>
      </c>
    </row>
    <row r="5508" spans="2:8" x14ac:dyDescent="0.3">
      <c r="B5508" s="4">
        <v>43851</v>
      </c>
      <c r="C5508" s="5">
        <v>1722.11</v>
      </c>
      <c r="D5508" s="6">
        <f t="shared" si="174"/>
        <v>4.2831942569640447</v>
      </c>
      <c r="E5508" s="6">
        <v>-2.0554528650647007E-2</v>
      </c>
      <c r="F5508" s="6"/>
      <c r="G5508" s="6">
        <v>5501</v>
      </c>
      <c r="H5508" s="6">
        <f t="shared" ca="1" si="175"/>
        <v>-2.2127495318509122E-3</v>
      </c>
    </row>
    <row r="5509" spans="2:8" x14ac:dyDescent="0.3">
      <c r="B5509" s="4">
        <v>41051</v>
      </c>
      <c r="C5509" s="7">
        <v>325.95999999999998</v>
      </c>
      <c r="D5509" s="6">
        <f t="shared" si="174"/>
        <v>-0.70312756152206779</v>
      </c>
      <c r="E5509" s="6">
        <v>-2.0582314233346423E-2</v>
      </c>
      <c r="F5509" s="6"/>
      <c r="G5509" s="6">
        <v>5502</v>
      </c>
      <c r="H5509" s="6">
        <f t="shared" ca="1" si="175"/>
        <v>-5.1382775788137601E-3</v>
      </c>
    </row>
    <row r="5510" spans="2:8" x14ac:dyDescent="0.3">
      <c r="B5510" s="4">
        <v>42650</v>
      </c>
      <c r="C5510" s="5">
        <v>1097.98</v>
      </c>
      <c r="D5510" s="6">
        <f t="shared" si="174"/>
        <v>-0.64080738026694584</v>
      </c>
      <c r="E5510" s="6">
        <v>-2.0587658109289357E-2</v>
      </c>
      <c r="F5510" s="6"/>
      <c r="G5510" s="6">
        <v>5503</v>
      </c>
      <c r="H5510" s="6">
        <f t="shared" ca="1" si="175"/>
        <v>1.3493261797276029E-2</v>
      </c>
    </row>
    <row r="5511" spans="2:8" x14ac:dyDescent="0.3">
      <c r="B5511" s="4">
        <v>44470</v>
      </c>
      <c r="C5511" s="5">
        <v>3056.8</v>
      </c>
      <c r="D5511" s="6">
        <f t="shared" si="174"/>
        <v>5.2956707995221821</v>
      </c>
      <c r="E5511" s="6">
        <v>-2.0589158811429375E-2</v>
      </c>
      <c r="F5511" s="6"/>
      <c r="G5511" s="6">
        <v>5504</v>
      </c>
      <c r="H5511" s="6">
        <f t="shared" ca="1" si="175"/>
        <v>4.4727974730094256E-3</v>
      </c>
    </row>
    <row r="5512" spans="2:8" x14ac:dyDescent="0.3">
      <c r="B5512" s="4">
        <v>41730</v>
      </c>
      <c r="C5512" s="7">
        <v>485.54</v>
      </c>
      <c r="D5512" s="6">
        <f t="shared" ref="D5512:D5575" si="176">((C5512-C5513)/C5513)</f>
        <v>-0.34775191090931068</v>
      </c>
      <c r="E5512" s="6">
        <v>-2.0614813619493244E-2</v>
      </c>
      <c r="F5512" s="6"/>
      <c r="G5512" s="6">
        <v>5505</v>
      </c>
      <c r="H5512" s="6">
        <f t="shared" ca="1" si="175"/>
        <v>8.3862816413366251E-3</v>
      </c>
    </row>
    <row r="5513" spans="2:8" x14ac:dyDescent="0.3">
      <c r="B5513" s="4">
        <v>42081</v>
      </c>
      <c r="C5513" s="7">
        <v>744.41</v>
      </c>
      <c r="D5513" s="6">
        <f t="shared" si="176"/>
        <v>-0.55588368652157316</v>
      </c>
      <c r="E5513" s="6">
        <v>-2.0680673042769035E-2</v>
      </c>
      <c r="F5513" s="6"/>
      <c r="G5513" s="6">
        <v>5506</v>
      </c>
      <c r="H5513" s="6">
        <f t="shared" ref="H5513:H5576" ca="1" si="177">_xlfn.NORM.INV(RAND(),N$10,N$11)</f>
        <v>-1.2254885473765182E-2</v>
      </c>
    </row>
    <row r="5514" spans="2:8" x14ac:dyDescent="0.3">
      <c r="B5514" s="4">
        <v>43754</v>
      </c>
      <c r="C5514" s="5">
        <v>1676.16</v>
      </c>
      <c r="D5514" s="6">
        <f t="shared" si="176"/>
        <v>1.0634994890987211</v>
      </c>
      <c r="E5514" s="6">
        <v>-2.0740100253555029E-2</v>
      </c>
      <c r="F5514" s="6"/>
      <c r="G5514" s="6">
        <v>5507</v>
      </c>
      <c r="H5514" s="6">
        <f t="shared" ca="1" si="177"/>
        <v>1.5059077360973521E-2</v>
      </c>
    </row>
    <row r="5515" spans="2:8" x14ac:dyDescent="0.3">
      <c r="B5515" s="4">
        <v>42227</v>
      </c>
      <c r="C5515" s="7">
        <v>812.29</v>
      </c>
      <c r="D5515" s="6">
        <f t="shared" si="176"/>
        <v>-0.72512359945991856</v>
      </c>
      <c r="E5515" s="6">
        <v>-2.0782852940821921E-2</v>
      </c>
      <c r="F5515" s="6"/>
      <c r="G5515" s="6">
        <v>5508</v>
      </c>
      <c r="H5515" s="6">
        <f t="shared" ca="1" si="177"/>
        <v>1.4702417469468963E-2</v>
      </c>
    </row>
    <row r="5516" spans="2:8" x14ac:dyDescent="0.3">
      <c r="B5516" s="4">
        <v>45583</v>
      </c>
      <c r="C5516" s="5">
        <v>2955.11</v>
      </c>
      <c r="D5516" s="6">
        <f t="shared" si="176"/>
        <v>5.9669700113164845</v>
      </c>
      <c r="E5516" s="6">
        <v>-2.0844792281031886E-2</v>
      </c>
      <c r="F5516" s="6"/>
      <c r="G5516" s="6">
        <v>5509</v>
      </c>
      <c r="H5516" s="6">
        <f t="shared" ca="1" si="177"/>
        <v>7.3283701820627614E-3</v>
      </c>
    </row>
    <row r="5517" spans="2:8" x14ac:dyDescent="0.3">
      <c r="B5517" s="4">
        <v>41544</v>
      </c>
      <c r="C5517" s="7">
        <v>424.16</v>
      </c>
      <c r="D5517" s="6">
        <f t="shared" si="176"/>
        <v>0.65403213227265644</v>
      </c>
      <c r="E5517" s="6">
        <v>-2.0845356541009656E-2</v>
      </c>
      <c r="F5517" s="6"/>
      <c r="G5517" s="6">
        <v>5510</v>
      </c>
      <c r="H5517" s="6">
        <f t="shared" ca="1" si="177"/>
        <v>7.5342448661504238E-3</v>
      </c>
    </row>
    <row r="5518" spans="2:8" x14ac:dyDescent="0.3">
      <c r="B5518" s="4">
        <v>40870</v>
      </c>
      <c r="C5518" s="7">
        <v>256.44</v>
      </c>
      <c r="D5518" s="6">
        <f t="shared" si="176"/>
        <v>-0.69675397623130142</v>
      </c>
      <c r="E5518" s="6">
        <v>-2.0847651775486749E-2</v>
      </c>
      <c r="F5518" s="6"/>
      <c r="G5518" s="6">
        <v>5511</v>
      </c>
      <c r="H5518" s="6">
        <f t="shared" ca="1" si="177"/>
        <v>1.5365443729199419E-2</v>
      </c>
    </row>
    <row r="5519" spans="2:8" x14ac:dyDescent="0.3">
      <c r="B5519" s="4">
        <v>42744</v>
      </c>
      <c r="C5519" s="7">
        <v>845.65</v>
      </c>
      <c r="D5519" s="6">
        <f t="shared" si="176"/>
        <v>-0.70729031096834927</v>
      </c>
      <c r="E5519" s="6">
        <v>-2.0864450542452537E-2</v>
      </c>
      <c r="F5519" s="6"/>
      <c r="G5519" s="6">
        <v>5512</v>
      </c>
      <c r="H5519" s="6">
        <f t="shared" ca="1" si="177"/>
        <v>-1.9653072326860106E-2</v>
      </c>
    </row>
    <row r="5520" spans="2:8" x14ac:dyDescent="0.3">
      <c r="B5520" s="4">
        <v>44697</v>
      </c>
      <c r="C5520" s="5">
        <v>2889.04</v>
      </c>
      <c r="D5520" s="6">
        <f t="shared" si="176"/>
        <v>35.399647221872243</v>
      </c>
      <c r="E5520" s="6">
        <v>-2.0919963263826058E-2</v>
      </c>
      <c r="F5520" s="6"/>
      <c r="G5520" s="6">
        <v>5513</v>
      </c>
      <c r="H5520" s="6">
        <f t="shared" ca="1" si="177"/>
        <v>-6.4005183410688234E-3</v>
      </c>
    </row>
    <row r="5521" spans="2:8" x14ac:dyDescent="0.3">
      <c r="B5521" s="4">
        <v>39365</v>
      </c>
      <c r="C5521" s="7">
        <v>79.37</v>
      </c>
      <c r="D5521" s="6">
        <f t="shared" si="176"/>
        <v>0.86840866290018859</v>
      </c>
      <c r="E5521" s="6">
        <v>-2.0969532502775241E-2</v>
      </c>
      <c r="F5521" s="6"/>
      <c r="G5521" s="6">
        <v>5514</v>
      </c>
      <c r="H5521" s="6">
        <f t="shared" ca="1" si="177"/>
        <v>-9.4199633501599739E-3</v>
      </c>
    </row>
    <row r="5522" spans="2:8" x14ac:dyDescent="0.3">
      <c r="B5522" s="4">
        <v>38686</v>
      </c>
      <c r="C5522" s="7">
        <v>42.48</v>
      </c>
      <c r="D5522" s="6">
        <f t="shared" si="176"/>
        <v>0.97857475547275263</v>
      </c>
      <c r="E5522" s="6">
        <v>-2.0972574325881625E-2</v>
      </c>
      <c r="F5522" s="6"/>
      <c r="G5522" s="6">
        <v>5515</v>
      </c>
      <c r="H5522" s="6">
        <f t="shared" ca="1" si="177"/>
        <v>-1.3342980464986892E-2</v>
      </c>
    </row>
    <row r="5523" spans="2:8" x14ac:dyDescent="0.3">
      <c r="B5523" s="4">
        <v>37921</v>
      </c>
      <c r="C5523" s="7">
        <v>21.47</v>
      </c>
      <c r="D5523" s="6">
        <f t="shared" si="176"/>
        <v>-0.98780217595091324</v>
      </c>
      <c r="E5523" s="6">
        <v>-2.0975832193342491E-2</v>
      </c>
      <c r="F5523" s="6"/>
      <c r="G5523" s="6">
        <v>5516</v>
      </c>
      <c r="H5523" s="6">
        <f t="shared" ca="1" si="177"/>
        <v>-1.0476604622506474E-2</v>
      </c>
    </row>
    <row r="5524" spans="2:8" x14ac:dyDescent="0.3">
      <c r="B5524" s="4">
        <v>43902</v>
      </c>
      <c r="C5524" s="5">
        <v>1760.15</v>
      </c>
      <c r="D5524" s="6">
        <f t="shared" si="176"/>
        <v>0.69105355187056883</v>
      </c>
      <c r="E5524" s="6">
        <v>-2.0980382341326015E-2</v>
      </c>
      <c r="F5524" s="6"/>
      <c r="G5524" s="6">
        <v>5517</v>
      </c>
      <c r="H5524" s="6">
        <f t="shared" ca="1" si="177"/>
        <v>-1.2781988426767395E-2</v>
      </c>
    </row>
    <row r="5525" spans="2:8" x14ac:dyDescent="0.3">
      <c r="B5525" s="4">
        <v>43137</v>
      </c>
      <c r="C5525" s="5">
        <v>1040.8599999999999</v>
      </c>
      <c r="D5525" s="6">
        <f t="shared" si="176"/>
        <v>2.8391118323989373</v>
      </c>
      <c r="E5525" s="6">
        <v>-2.1030454656609288E-2</v>
      </c>
      <c r="F5525" s="6"/>
      <c r="G5525" s="6">
        <v>5518</v>
      </c>
      <c r="H5525" s="6">
        <f t="shared" ca="1" si="177"/>
        <v>7.8870874243283998E-3</v>
      </c>
    </row>
    <row r="5526" spans="2:8" x14ac:dyDescent="0.3">
      <c r="B5526" s="4">
        <v>40756</v>
      </c>
      <c r="C5526" s="7">
        <v>271.12</v>
      </c>
      <c r="D5526" s="6">
        <f t="shared" si="176"/>
        <v>-0.64694238983227415</v>
      </c>
      <c r="E5526" s="6">
        <v>-2.1086077411900547E-2</v>
      </c>
      <c r="F5526" s="6"/>
      <c r="G5526" s="6">
        <v>5519</v>
      </c>
      <c r="H5526" s="6">
        <f t="shared" ca="1" si="177"/>
        <v>-1.2901220442449147E-3</v>
      </c>
    </row>
    <row r="5527" spans="2:8" x14ac:dyDescent="0.3">
      <c r="B5527" s="4">
        <v>42213</v>
      </c>
      <c r="C5527" s="7">
        <v>767.92</v>
      </c>
      <c r="D5527" s="6">
        <f t="shared" si="176"/>
        <v>-0.66596634086292317</v>
      </c>
      <c r="E5527" s="6">
        <v>-2.1109524780746555E-2</v>
      </c>
      <c r="F5527" s="6"/>
      <c r="G5527" s="6">
        <v>5520</v>
      </c>
      <c r="H5527" s="6">
        <f t="shared" ca="1" si="177"/>
        <v>-2.6652463137866979E-2</v>
      </c>
    </row>
    <row r="5528" spans="2:8" x14ac:dyDescent="0.3">
      <c r="B5528" s="4">
        <v>44231</v>
      </c>
      <c r="C5528" s="5">
        <v>2298.9299999999998</v>
      </c>
      <c r="D5528" s="6">
        <f t="shared" si="176"/>
        <v>0.77444079099708241</v>
      </c>
      <c r="E5528" s="6">
        <v>-2.1132097966413507E-2</v>
      </c>
      <c r="F5528" s="6"/>
      <c r="G5528" s="6">
        <v>5521</v>
      </c>
      <c r="H5528" s="6">
        <f t="shared" ca="1" si="177"/>
        <v>-8.326409335393593E-3</v>
      </c>
    </row>
    <row r="5529" spans="2:8" x14ac:dyDescent="0.3">
      <c r="B5529" s="4">
        <v>43490</v>
      </c>
      <c r="C5529" s="5">
        <v>1295.58</v>
      </c>
      <c r="D5529" s="6">
        <f t="shared" si="176"/>
        <v>-0.41954301075268818</v>
      </c>
      <c r="E5529" s="6">
        <v>-2.118432782822862E-2</v>
      </c>
      <c r="F5529" s="6"/>
      <c r="G5529" s="6">
        <v>5522</v>
      </c>
      <c r="H5529" s="6">
        <f t="shared" ca="1" si="177"/>
        <v>-2.3953468364866278E-2</v>
      </c>
    </row>
    <row r="5530" spans="2:8" x14ac:dyDescent="0.3">
      <c r="B5530" s="4">
        <v>46092</v>
      </c>
      <c r="C5530" s="5">
        <v>2232</v>
      </c>
      <c r="D5530" s="6">
        <f t="shared" si="176"/>
        <v>1.8029989074332218</v>
      </c>
      <c r="E5530" s="6">
        <v>-2.122434660585866E-2</v>
      </c>
      <c r="F5530" s="6"/>
      <c r="G5530" s="6">
        <v>5523</v>
      </c>
      <c r="H5530" s="6">
        <f t="shared" ca="1" si="177"/>
        <v>1.3842297126607258E-2</v>
      </c>
    </row>
    <row r="5531" spans="2:8" x14ac:dyDescent="0.3">
      <c r="B5531" s="4">
        <v>42403</v>
      </c>
      <c r="C5531" s="7">
        <v>796.29</v>
      </c>
      <c r="D5531" s="6">
        <f t="shared" si="176"/>
        <v>35.145710394916023</v>
      </c>
      <c r="E5531" s="6">
        <v>-2.1311898528815348E-2</v>
      </c>
      <c r="F5531" s="6"/>
      <c r="G5531" s="6">
        <v>5524</v>
      </c>
      <c r="H5531" s="6">
        <f t="shared" ca="1" si="177"/>
        <v>2.1507743274741804E-3</v>
      </c>
    </row>
    <row r="5532" spans="2:8" x14ac:dyDescent="0.3">
      <c r="B5532" s="4">
        <v>37915</v>
      </c>
      <c r="C5532" s="7">
        <v>22.03</v>
      </c>
      <c r="D5532" s="6">
        <f t="shared" si="176"/>
        <v>0.23141419787590836</v>
      </c>
      <c r="E5532" s="6">
        <v>-2.1323856063971587E-2</v>
      </c>
      <c r="F5532" s="6"/>
      <c r="G5532" s="6">
        <v>5525</v>
      </c>
      <c r="H5532" s="6">
        <f t="shared" ca="1" si="177"/>
        <v>1.0055622693487285E-2</v>
      </c>
    </row>
    <row r="5533" spans="2:8" x14ac:dyDescent="0.3">
      <c r="B5533" s="4">
        <v>37762</v>
      </c>
      <c r="C5533" s="7">
        <v>17.89</v>
      </c>
      <c r="D5533" s="6">
        <f t="shared" si="176"/>
        <v>-0.80972133588598172</v>
      </c>
      <c r="E5533" s="6">
        <v>-2.1334792122538321E-2</v>
      </c>
      <c r="F5533" s="6"/>
      <c r="G5533" s="6">
        <v>5526</v>
      </c>
      <c r="H5533" s="6">
        <f t="shared" ca="1" si="177"/>
        <v>1.283188408531696E-2</v>
      </c>
    </row>
    <row r="5534" spans="2:8" x14ac:dyDescent="0.3">
      <c r="B5534" s="4">
        <v>39982</v>
      </c>
      <c r="C5534" s="7">
        <v>94.02</v>
      </c>
      <c r="D5534" s="6">
        <f t="shared" si="176"/>
        <v>0.9764557494219045</v>
      </c>
      <c r="E5534" s="6">
        <v>-2.133860726553552E-2</v>
      </c>
      <c r="F5534" s="6"/>
      <c r="G5534" s="6">
        <v>5527</v>
      </c>
      <c r="H5534" s="6">
        <f t="shared" ca="1" si="177"/>
        <v>-2.0176122459221603E-2</v>
      </c>
    </row>
    <row r="5535" spans="2:8" x14ac:dyDescent="0.3">
      <c r="B5535" s="4">
        <v>38901</v>
      </c>
      <c r="C5535" s="7">
        <v>47.57</v>
      </c>
      <c r="D5535" s="6">
        <f t="shared" si="176"/>
        <v>-0.18109829574797731</v>
      </c>
      <c r="E5535" s="6">
        <v>-2.1394774737708275E-2</v>
      </c>
      <c r="F5535" s="6"/>
      <c r="G5535" s="6">
        <v>5528</v>
      </c>
      <c r="H5535" s="6">
        <f t="shared" ca="1" si="177"/>
        <v>1.0379617419086586E-2</v>
      </c>
    </row>
    <row r="5536" spans="2:8" x14ac:dyDescent="0.3">
      <c r="B5536" s="4">
        <v>39143</v>
      </c>
      <c r="C5536" s="7">
        <v>58.09</v>
      </c>
      <c r="D5536" s="6">
        <f t="shared" si="176"/>
        <v>-0.82929266214111497</v>
      </c>
      <c r="E5536" s="6">
        <v>-2.1394878706199393E-2</v>
      </c>
      <c r="F5536" s="6"/>
      <c r="G5536" s="6">
        <v>5529</v>
      </c>
      <c r="H5536" s="6">
        <f t="shared" ca="1" si="177"/>
        <v>5.319470433384637E-3</v>
      </c>
    </row>
    <row r="5537" spans="2:8" x14ac:dyDescent="0.3">
      <c r="B5537" s="4">
        <v>41085</v>
      </c>
      <c r="C5537" s="7">
        <v>340.29</v>
      </c>
      <c r="D5537" s="6">
        <f t="shared" si="176"/>
        <v>-0.56075743494423791</v>
      </c>
      <c r="E5537" s="6">
        <v>-2.1395910620308854E-2</v>
      </c>
      <c r="F5537" s="6"/>
      <c r="G5537" s="6">
        <v>5530</v>
      </c>
      <c r="H5537" s="6">
        <f t="shared" ca="1" si="177"/>
        <v>1.2733055256697901E-2</v>
      </c>
    </row>
    <row r="5538" spans="2:8" x14ac:dyDescent="0.3">
      <c r="B5538" s="4">
        <v>42416</v>
      </c>
      <c r="C5538" s="7">
        <v>774.72</v>
      </c>
      <c r="D5538" s="6">
        <f t="shared" si="176"/>
        <v>-0.75926990469857458</v>
      </c>
      <c r="E5538" s="6">
        <v>-2.1422797089733128E-2</v>
      </c>
      <c r="F5538" s="6"/>
      <c r="G5538" s="6">
        <v>5531</v>
      </c>
      <c r="H5538" s="6">
        <f t="shared" ca="1" si="177"/>
        <v>6.7926113393454164E-4</v>
      </c>
    </row>
    <row r="5539" spans="2:8" x14ac:dyDescent="0.3">
      <c r="B5539" s="4">
        <v>44820</v>
      </c>
      <c r="C5539" s="5">
        <v>3218.21</v>
      </c>
      <c r="D5539" s="6">
        <f t="shared" si="176"/>
        <v>196.0734843845683</v>
      </c>
      <c r="E5539" s="6">
        <v>-2.1454829617151686E-2</v>
      </c>
      <c r="F5539" s="6"/>
      <c r="G5539" s="6">
        <v>5532</v>
      </c>
      <c r="H5539" s="6">
        <f t="shared" ca="1" si="177"/>
        <v>-6.1533191559558099E-3</v>
      </c>
    </row>
    <row r="5540" spans="2:8" x14ac:dyDescent="0.3">
      <c r="B5540" s="4">
        <v>37636</v>
      </c>
      <c r="C5540" s="7">
        <v>16.329999999999998</v>
      </c>
      <c r="D5540" s="6">
        <f t="shared" si="176"/>
        <v>-0.99418219387936868</v>
      </c>
      <c r="E5540" s="6">
        <v>-2.1569802276812641E-2</v>
      </c>
      <c r="F5540" s="6"/>
      <c r="G5540" s="6">
        <v>5533</v>
      </c>
      <c r="H5540" s="6">
        <f t="shared" ca="1" si="177"/>
        <v>1.9815547466896483E-2</v>
      </c>
    </row>
    <row r="5541" spans="2:8" x14ac:dyDescent="0.3">
      <c r="B5541" s="4">
        <v>44494</v>
      </c>
      <c r="C5541" s="5">
        <v>2806.9</v>
      </c>
      <c r="D5541" s="6">
        <f t="shared" si="176"/>
        <v>1.433186834143847</v>
      </c>
      <c r="E5541" s="6">
        <v>-2.1576965978806501E-2</v>
      </c>
      <c r="F5541" s="6"/>
      <c r="G5541" s="6">
        <v>5534</v>
      </c>
      <c r="H5541" s="6">
        <f t="shared" ca="1" si="177"/>
        <v>-1.0320858944258117E-2</v>
      </c>
    </row>
    <row r="5542" spans="2:8" x14ac:dyDescent="0.3">
      <c r="B5542" s="4">
        <v>43377</v>
      </c>
      <c r="C5542" s="5">
        <v>1153.5899999999999</v>
      </c>
      <c r="D5542" s="6">
        <f t="shared" si="176"/>
        <v>1.585944855413584</v>
      </c>
      <c r="E5542" s="6">
        <v>-2.1610252147879278E-2</v>
      </c>
      <c r="F5542" s="6"/>
      <c r="G5542" s="6">
        <v>5535</v>
      </c>
      <c r="H5542" s="6">
        <f t="shared" ca="1" si="177"/>
        <v>1.364914371538984E-2</v>
      </c>
    </row>
    <row r="5543" spans="2:8" x14ac:dyDescent="0.3">
      <c r="B5543" s="4">
        <v>41478</v>
      </c>
      <c r="C5543" s="7">
        <v>446.1</v>
      </c>
      <c r="D5543" s="6">
        <f t="shared" si="176"/>
        <v>-0.81414435996250389</v>
      </c>
      <c r="E5543" s="6">
        <v>-2.1646160931640249E-2</v>
      </c>
      <c r="F5543" s="6"/>
      <c r="G5543" s="6">
        <v>5536</v>
      </c>
      <c r="H5543" s="6">
        <f t="shared" ca="1" si="177"/>
        <v>5.0898401347343044E-3</v>
      </c>
    </row>
    <row r="5544" spans="2:8" x14ac:dyDescent="0.3">
      <c r="B5544" s="4">
        <v>45925</v>
      </c>
      <c r="C5544" s="5">
        <v>2400.25</v>
      </c>
      <c r="D5544" s="6">
        <f t="shared" si="176"/>
        <v>7.7574795680093409</v>
      </c>
      <c r="E5544" s="6">
        <v>-2.1651850312019751E-2</v>
      </c>
      <c r="F5544" s="6"/>
      <c r="G5544" s="6">
        <v>5537</v>
      </c>
      <c r="H5544" s="6">
        <f t="shared" ca="1" si="177"/>
        <v>3.5175387212089384E-4</v>
      </c>
    </row>
    <row r="5545" spans="2:8" x14ac:dyDescent="0.3">
      <c r="B5545" s="4">
        <v>40975</v>
      </c>
      <c r="C5545" s="7">
        <v>274.08</v>
      </c>
      <c r="D5545" s="6">
        <f t="shared" si="176"/>
        <v>15.918518518518519</v>
      </c>
      <c r="E5545" s="6">
        <v>-2.1736802655530685E-2</v>
      </c>
      <c r="F5545" s="6"/>
      <c r="G5545" s="6">
        <v>5538</v>
      </c>
      <c r="H5545" s="6">
        <f t="shared" ca="1" si="177"/>
        <v>5.5161517062575164E-3</v>
      </c>
    </row>
    <row r="5546" spans="2:8" x14ac:dyDescent="0.3">
      <c r="B5546" s="4">
        <v>37456</v>
      </c>
      <c r="C5546" s="7">
        <v>16.2</v>
      </c>
      <c r="D5546" s="6">
        <f t="shared" si="176"/>
        <v>-0.82497839239412274</v>
      </c>
      <c r="E5546" s="6">
        <v>-2.1739130434782577E-2</v>
      </c>
      <c r="F5546" s="6"/>
      <c r="G5546" s="6">
        <v>5539</v>
      </c>
      <c r="H5546" s="6">
        <f t="shared" ca="1" si="177"/>
        <v>1.4726793679439635E-2</v>
      </c>
    </row>
    <row r="5547" spans="2:8" x14ac:dyDescent="0.3">
      <c r="B5547" s="4">
        <v>39462</v>
      </c>
      <c r="C5547" s="7">
        <v>92.56</v>
      </c>
      <c r="D5547" s="6">
        <f t="shared" si="176"/>
        <v>-0.49431818181818177</v>
      </c>
      <c r="E5547" s="6">
        <v>-2.177129570915242E-2</v>
      </c>
      <c r="F5547" s="6"/>
      <c r="G5547" s="6">
        <v>5540</v>
      </c>
      <c r="H5547" s="6">
        <f t="shared" ca="1" si="177"/>
        <v>1.9083820838237172E-3</v>
      </c>
    </row>
    <row r="5548" spans="2:8" x14ac:dyDescent="0.3">
      <c r="B5548" s="4">
        <v>40317</v>
      </c>
      <c r="C5548" s="7">
        <v>183.04</v>
      </c>
      <c r="D5548" s="6">
        <f t="shared" si="176"/>
        <v>0.12480796411233333</v>
      </c>
      <c r="E5548" s="6">
        <v>-2.1804189824711481E-2</v>
      </c>
      <c r="F5548" s="6"/>
      <c r="G5548" s="6">
        <v>5541</v>
      </c>
      <c r="H5548" s="6">
        <f t="shared" ca="1" si="177"/>
        <v>-8.5440035405784341E-3</v>
      </c>
    </row>
    <row r="5549" spans="2:8" x14ac:dyDescent="0.3">
      <c r="B5549" s="4">
        <v>40211</v>
      </c>
      <c r="C5549" s="7">
        <v>162.72999999999999</v>
      </c>
      <c r="D5549" s="6">
        <f t="shared" si="176"/>
        <v>-0.89831726413266932</v>
      </c>
      <c r="E5549" s="6">
        <v>-2.1820149074296847E-2</v>
      </c>
      <c r="F5549" s="6"/>
      <c r="G5549" s="6">
        <v>5542</v>
      </c>
      <c r="H5549" s="6">
        <f t="shared" ca="1" si="177"/>
        <v>-1.2226198080012129E-2</v>
      </c>
    </row>
    <row r="5550" spans="2:8" x14ac:dyDescent="0.3">
      <c r="B5550" s="4">
        <v>43791</v>
      </c>
      <c r="C5550" s="5">
        <v>1600.37</v>
      </c>
      <c r="D5550" s="6">
        <f t="shared" si="176"/>
        <v>16.486560314685313</v>
      </c>
      <c r="E5550" s="6">
        <v>-2.1856453949258444E-2</v>
      </c>
      <c r="F5550" s="6"/>
      <c r="G5550" s="6">
        <v>5543</v>
      </c>
      <c r="H5550" s="6">
        <f t="shared" ca="1" si="177"/>
        <v>-4.5846644782680428E-3</v>
      </c>
    </row>
    <row r="5551" spans="2:8" x14ac:dyDescent="0.3">
      <c r="B5551" s="4">
        <v>39498</v>
      </c>
      <c r="C5551" s="7">
        <v>91.52</v>
      </c>
      <c r="D5551" s="6">
        <f t="shared" si="176"/>
        <v>-0.91541511474228043</v>
      </c>
      <c r="E5551" s="6">
        <v>-2.1908731431014187E-2</v>
      </c>
      <c r="F5551" s="6"/>
      <c r="G5551" s="6">
        <v>5544</v>
      </c>
      <c r="H5551" s="6">
        <f t="shared" ca="1" si="177"/>
        <v>5.6124702823354654E-3</v>
      </c>
    </row>
    <row r="5552" spans="2:8" x14ac:dyDescent="0.3">
      <c r="B5552" s="4">
        <v>42642</v>
      </c>
      <c r="C5552" s="5">
        <v>1081.99</v>
      </c>
      <c r="D5552" s="6">
        <f t="shared" si="176"/>
        <v>-8.2336078434698479E-2</v>
      </c>
      <c r="E5552" s="6">
        <v>-2.1912260560642913E-2</v>
      </c>
      <c r="F5552" s="6"/>
      <c r="G5552" s="6">
        <v>5545</v>
      </c>
      <c r="H5552" s="6">
        <f t="shared" ca="1" si="177"/>
        <v>-3.6065665275246519E-3</v>
      </c>
    </row>
    <row r="5553" spans="2:8" x14ac:dyDescent="0.3">
      <c r="B5553" s="4">
        <v>43376</v>
      </c>
      <c r="C5553" s="5">
        <v>1179.07</v>
      </c>
      <c r="D5553" s="6">
        <f t="shared" si="176"/>
        <v>-0.29213044678986116</v>
      </c>
      <c r="E5553" s="6">
        <v>-2.1916399140598487E-2</v>
      </c>
      <c r="F5553" s="6"/>
      <c r="G5553" s="6">
        <v>5546</v>
      </c>
      <c r="H5553" s="6">
        <f t="shared" ca="1" si="177"/>
        <v>-4.8483785184697393E-4</v>
      </c>
    </row>
    <row r="5554" spans="2:8" x14ac:dyDescent="0.3">
      <c r="B5554" s="4">
        <v>43833</v>
      </c>
      <c r="C5554" s="5">
        <v>1665.66</v>
      </c>
      <c r="D5554" s="6">
        <f t="shared" si="176"/>
        <v>0.69241711458153399</v>
      </c>
      <c r="E5554" s="6">
        <v>-2.1920269643391874E-2</v>
      </c>
      <c r="F5554" s="6"/>
      <c r="G5554" s="6">
        <v>5547</v>
      </c>
      <c r="H5554" s="6">
        <f t="shared" ca="1" si="177"/>
        <v>-2.9810738814487793E-5</v>
      </c>
    </row>
    <row r="5555" spans="2:8" x14ac:dyDescent="0.3">
      <c r="B5555" s="4">
        <v>42835</v>
      </c>
      <c r="C5555" s="7">
        <v>984.19</v>
      </c>
      <c r="D5555" s="6">
        <f t="shared" si="176"/>
        <v>0.25003492817497108</v>
      </c>
      <c r="E5555" s="6">
        <v>-2.1922981366459572E-2</v>
      </c>
      <c r="F5555" s="6"/>
      <c r="G5555" s="6">
        <v>5548</v>
      </c>
      <c r="H5555" s="6">
        <f t="shared" ca="1" si="177"/>
        <v>2.2998376285417413E-2</v>
      </c>
    </row>
    <row r="5556" spans="2:8" x14ac:dyDescent="0.3">
      <c r="B5556" s="4">
        <v>42298</v>
      </c>
      <c r="C5556" s="7">
        <v>787.33</v>
      </c>
      <c r="D5556" s="6">
        <f t="shared" si="176"/>
        <v>0.81579797047970481</v>
      </c>
      <c r="E5556" s="6">
        <v>-2.1926010584113861E-2</v>
      </c>
      <c r="F5556" s="6"/>
      <c r="G5556" s="6">
        <v>5549</v>
      </c>
      <c r="H5556" s="6">
        <f t="shared" ca="1" si="177"/>
        <v>-1.8957670507299804E-3</v>
      </c>
    </row>
    <row r="5557" spans="2:8" x14ac:dyDescent="0.3">
      <c r="B5557" s="4">
        <v>41660</v>
      </c>
      <c r="C5557" s="7">
        <v>433.6</v>
      </c>
      <c r="D5557" s="6">
        <f t="shared" si="176"/>
        <v>-0.81253458771444387</v>
      </c>
      <c r="E5557" s="6">
        <v>-2.1947533440100968E-2</v>
      </c>
      <c r="F5557" s="6"/>
      <c r="G5557" s="6">
        <v>5550</v>
      </c>
      <c r="H5557" s="6">
        <f t="shared" ca="1" si="177"/>
        <v>9.1136337065201162E-3</v>
      </c>
    </row>
    <row r="5558" spans="2:8" x14ac:dyDescent="0.3">
      <c r="B5558" s="4">
        <v>44246</v>
      </c>
      <c r="C5558" s="5">
        <v>2312.96</v>
      </c>
      <c r="D5558" s="6">
        <f t="shared" si="176"/>
        <v>1.1897016917702525</v>
      </c>
      <c r="E5558" s="6">
        <v>-2.197528045227546E-2</v>
      </c>
      <c r="F5558" s="6"/>
      <c r="G5558" s="6">
        <v>5551</v>
      </c>
      <c r="H5558" s="6">
        <f t="shared" ca="1" si="177"/>
        <v>4.5672088145690625E-4</v>
      </c>
    </row>
    <row r="5559" spans="2:8" x14ac:dyDescent="0.3">
      <c r="B5559" s="4">
        <v>43130</v>
      </c>
      <c r="C5559" s="5">
        <v>1056.29</v>
      </c>
      <c r="D5559" s="6">
        <f t="shared" si="176"/>
        <v>1.8002704064049202</v>
      </c>
      <c r="E5559" s="6">
        <v>-2.1998981528632926E-2</v>
      </c>
      <c r="F5559" s="6"/>
      <c r="G5559" s="6">
        <v>5552</v>
      </c>
      <c r="H5559" s="6">
        <f t="shared" ca="1" si="177"/>
        <v>-3.2766180045726758E-3</v>
      </c>
    </row>
    <row r="5560" spans="2:8" x14ac:dyDescent="0.3">
      <c r="B5560" s="4">
        <v>41506</v>
      </c>
      <c r="C5560" s="7">
        <v>377.21</v>
      </c>
      <c r="D5560" s="6">
        <f t="shared" si="176"/>
        <v>-0.63642409638554209</v>
      </c>
      <c r="E5560" s="6">
        <v>-2.2011926367643271E-2</v>
      </c>
      <c r="F5560" s="6"/>
      <c r="G5560" s="6">
        <v>5553</v>
      </c>
      <c r="H5560" s="6">
        <f t="shared" ca="1" si="177"/>
        <v>-2.3965420666931182E-2</v>
      </c>
    </row>
    <row r="5561" spans="2:8" x14ac:dyDescent="0.3">
      <c r="B5561" s="4">
        <v>42914</v>
      </c>
      <c r="C5561" s="5">
        <v>1037.5</v>
      </c>
      <c r="D5561" s="6">
        <f t="shared" si="176"/>
        <v>-0.65364713737272573</v>
      </c>
      <c r="E5561" s="6">
        <v>-2.2047526133718007E-2</v>
      </c>
      <c r="F5561" s="6"/>
      <c r="G5561" s="6">
        <v>5554</v>
      </c>
      <c r="H5561" s="6">
        <f t="shared" ca="1" si="177"/>
        <v>-6.2419566711191385E-3</v>
      </c>
    </row>
    <row r="5562" spans="2:8" x14ac:dyDescent="0.3">
      <c r="B5562" s="4">
        <v>44533</v>
      </c>
      <c r="C5562" s="5">
        <v>2995.5</v>
      </c>
      <c r="D5562" s="6">
        <f t="shared" si="176"/>
        <v>18.340779958677686</v>
      </c>
      <c r="E5562" s="6">
        <v>-2.2056374997551451E-2</v>
      </c>
      <c r="F5562" s="6"/>
      <c r="G5562" s="6">
        <v>5555</v>
      </c>
      <c r="H5562" s="6">
        <f t="shared" ca="1" si="177"/>
        <v>1.0475303216465658E-3</v>
      </c>
    </row>
    <row r="5563" spans="2:8" x14ac:dyDescent="0.3">
      <c r="B5563" s="4">
        <v>40232</v>
      </c>
      <c r="C5563" s="7">
        <v>154.88</v>
      </c>
      <c r="D5563" s="6">
        <f t="shared" si="176"/>
        <v>-0.73738915170320629</v>
      </c>
      <c r="E5563" s="6">
        <v>-2.2098749842151787E-2</v>
      </c>
      <c r="F5563" s="6"/>
      <c r="G5563" s="6">
        <v>5556</v>
      </c>
      <c r="H5563" s="6">
        <f t="shared" ca="1" si="177"/>
        <v>-5.619085927603064E-3</v>
      </c>
    </row>
    <row r="5564" spans="2:8" x14ac:dyDescent="0.3">
      <c r="B5564" s="4">
        <v>41898</v>
      </c>
      <c r="C5564" s="7">
        <v>589.77</v>
      </c>
      <c r="D5564" s="6">
        <f t="shared" si="176"/>
        <v>6.296424594828653</v>
      </c>
      <c r="E5564" s="6">
        <v>-2.2134898527656224E-2</v>
      </c>
      <c r="F5564" s="6"/>
      <c r="G5564" s="6">
        <v>5557</v>
      </c>
      <c r="H5564" s="6">
        <f t="shared" ca="1" si="177"/>
        <v>-2.2687864187929386E-2</v>
      </c>
    </row>
    <row r="5565" spans="2:8" x14ac:dyDescent="0.3">
      <c r="B5565" s="4">
        <v>39356</v>
      </c>
      <c r="C5565" s="7">
        <v>80.83</v>
      </c>
      <c r="D5565" s="6">
        <f t="shared" si="176"/>
        <v>-0.85654704859262421</v>
      </c>
      <c r="E5565" s="6">
        <v>-2.2138882167916749E-2</v>
      </c>
      <c r="F5565" s="6"/>
      <c r="G5565" s="6">
        <v>5558</v>
      </c>
      <c r="H5565" s="6">
        <f t="shared" ca="1" si="177"/>
        <v>-1.6385787813740286E-2</v>
      </c>
    </row>
    <row r="5566" spans="2:8" x14ac:dyDescent="0.3">
      <c r="B5566" s="4">
        <v>41859</v>
      </c>
      <c r="C5566" s="7">
        <v>563.46</v>
      </c>
      <c r="D5566" s="6">
        <f t="shared" si="176"/>
        <v>21.386174016686532</v>
      </c>
      <c r="E5566" s="6">
        <v>-2.2144319877824427E-2</v>
      </c>
      <c r="F5566" s="6"/>
      <c r="G5566" s="6">
        <v>5559</v>
      </c>
      <c r="H5566" s="6">
        <f t="shared" ca="1" si="177"/>
        <v>-4.4185650064433048E-4</v>
      </c>
    </row>
    <row r="5567" spans="2:8" x14ac:dyDescent="0.3">
      <c r="B5567" s="4">
        <v>38007</v>
      </c>
      <c r="C5567" s="7">
        <v>25.17</v>
      </c>
      <c r="D5567" s="6">
        <f t="shared" si="176"/>
        <v>-0.37341299477221807</v>
      </c>
      <c r="E5567" s="6">
        <v>-2.2144522144522019E-2</v>
      </c>
      <c r="F5567" s="6"/>
      <c r="G5567" s="6">
        <v>5560</v>
      </c>
      <c r="H5567" s="6">
        <f t="shared" ca="1" si="177"/>
        <v>-1.0346272268522203E-2</v>
      </c>
    </row>
    <row r="5568" spans="2:8" x14ac:dyDescent="0.3">
      <c r="B5568" s="4">
        <v>38643</v>
      </c>
      <c r="C5568" s="7">
        <v>40.17</v>
      </c>
      <c r="D5568" s="6">
        <f t="shared" si="176"/>
        <v>-0.94962377727614755</v>
      </c>
      <c r="E5568" s="6">
        <v>-2.2151898734177132E-2</v>
      </c>
      <c r="F5568" s="6"/>
      <c r="G5568" s="6">
        <v>5561</v>
      </c>
      <c r="H5568" s="6">
        <f t="shared" ca="1" si="177"/>
        <v>-2.1928131639062546E-2</v>
      </c>
    </row>
    <row r="5569" spans="2:8" x14ac:dyDescent="0.3">
      <c r="B5569" s="4">
        <v>42445</v>
      </c>
      <c r="C5569" s="7">
        <v>797.4</v>
      </c>
      <c r="D5569" s="6">
        <f t="shared" si="176"/>
        <v>14.261244019138756</v>
      </c>
      <c r="E5569" s="6">
        <v>-2.2266908627200904E-2</v>
      </c>
      <c r="F5569" s="6"/>
      <c r="G5569" s="6">
        <v>5562</v>
      </c>
      <c r="H5569" s="6">
        <f t="shared" ca="1" si="177"/>
        <v>-1.5956853989935957E-3</v>
      </c>
    </row>
    <row r="5570" spans="2:8" x14ac:dyDescent="0.3">
      <c r="B5570" s="4">
        <v>38807</v>
      </c>
      <c r="C5570" s="7">
        <v>52.25</v>
      </c>
      <c r="D5570" s="6">
        <f t="shared" si="176"/>
        <v>-0.88540912779349523</v>
      </c>
      <c r="E5570" s="6">
        <v>-2.2267964071856244E-2</v>
      </c>
      <c r="F5570" s="6"/>
      <c r="G5570" s="6">
        <v>5563</v>
      </c>
      <c r="H5570" s="6">
        <f t="shared" ca="1" si="177"/>
        <v>-5.2335426542384732E-3</v>
      </c>
    </row>
    <row r="5571" spans="2:8" x14ac:dyDescent="0.3">
      <c r="B5571" s="4">
        <v>41477</v>
      </c>
      <c r="C5571" s="7">
        <v>455.97</v>
      </c>
      <c r="D5571" s="6">
        <f t="shared" si="176"/>
        <v>-0.85012129140836079</v>
      </c>
      <c r="E5571" s="6">
        <v>-2.2278926151470937E-2</v>
      </c>
      <c r="F5571" s="6"/>
      <c r="G5571" s="6">
        <v>5564</v>
      </c>
      <c r="H5571" s="6">
        <f t="shared" ca="1" si="177"/>
        <v>1.4684829157848543E-2</v>
      </c>
    </row>
    <row r="5572" spans="2:8" x14ac:dyDescent="0.3">
      <c r="B5572" s="4">
        <v>44854</v>
      </c>
      <c r="C5572" s="5">
        <v>3042.26</v>
      </c>
      <c r="D5572" s="6">
        <f t="shared" si="176"/>
        <v>0.26644742319540438</v>
      </c>
      <c r="E5572" s="6">
        <v>-2.2362903096228834E-2</v>
      </c>
      <c r="F5572" s="6"/>
      <c r="G5572" s="6">
        <v>5565</v>
      </c>
      <c r="H5572" s="6">
        <f t="shared" ca="1" si="177"/>
        <v>1.5932757593091998E-2</v>
      </c>
    </row>
    <row r="5573" spans="2:8" x14ac:dyDescent="0.3">
      <c r="B5573" s="4">
        <v>45617</v>
      </c>
      <c r="C5573" s="5">
        <v>2402.1999999999998</v>
      </c>
      <c r="D5573" s="6">
        <f t="shared" si="176"/>
        <v>3.0251340482573728</v>
      </c>
      <c r="E5573" s="6">
        <v>-2.2367285809633902E-2</v>
      </c>
      <c r="F5573" s="6"/>
      <c r="G5573" s="6">
        <v>5566</v>
      </c>
      <c r="H5573" s="6">
        <f t="shared" ca="1" si="177"/>
        <v>-8.3177803906186697E-3</v>
      </c>
    </row>
    <row r="5574" spans="2:8" x14ac:dyDescent="0.3">
      <c r="B5574" s="4">
        <v>41904</v>
      </c>
      <c r="C5574" s="7">
        <v>596.79999999999995</v>
      </c>
      <c r="D5574" s="6">
        <f t="shared" si="176"/>
        <v>-0.45303907911137181</v>
      </c>
      <c r="E5574" s="6">
        <v>-2.2376568489336043E-2</v>
      </c>
      <c r="F5574" s="6"/>
      <c r="G5574" s="6">
        <v>5567</v>
      </c>
      <c r="H5574" s="6">
        <f t="shared" ca="1" si="177"/>
        <v>2.4778336181005543E-3</v>
      </c>
    </row>
    <row r="5575" spans="2:8" x14ac:dyDescent="0.3">
      <c r="B5575" s="4">
        <v>42620</v>
      </c>
      <c r="C5575" s="5">
        <v>1091.1199999999999</v>
      </c>
      <c r="D5575" s="6">
        <f t="shared" si="176"/>
        <v>-0.14844067055848661</v>
      </c>
      <c r="E5575" s="6">
        <v>-2.2381507033419963E-2</v>
      </c>
      <c r="F5575" s="6"/>
      <c r="G5575" s="6">
        <v>5568</v>
      </c>
      <c r="H5575" s="6">
        <f t="shared" ca="1" si="177"/>
        <v>2.2724487173790376E-2</v>
      </c>
    </row>
    <row r="5576" spans="2:8" x14ac:dyDescent="0.3">
      <c r="B5576" s="4">
        <v>43458</v>
      </c>
      <c r="C5576" s="5">
        <v>1281.32</v>
      </c>
      <c r="D5576" s="6">
        <f t="shared" ref="D5576:D5639" si="178">((C5576-C5577)/C5577)</f>
        <v>2.0902732556737331</v>
      </c>
      <c r="E5576" s="6">
        <v>-2.2437878128981622E-2</v>
      </c>
      <c r="F5576" s="6"/>
      <c r="G5576" s="6">
        <v>5569</v>
      </c>
      <c r="H5576" s="6">
        <f t="shared" ca="1" si="177"/>
        <v>3.410970784285064E-2</v>
      </c>
    </row>
    <row r="5577" spans="2:8" x14ac:dyDescent="0.3">
      <c r="B5577" s="4">
        <v>41547</v>
      </c>
      <c r="C5577" s="7">
        <v>414.63</v>
      </c>
      <c r="D5577" s="6">
        <f t="shared" si="178"/>
        <v>1.9999999999999996</v>
      </c>
      <c r="E5577" s="6">
        <v>-2.2467936627687733E-2</v>
      </c>
      <c r="F5577" s="6"/>
      <c r="G5577" s="6">
        <v>5570</v>
      </c>
      <c r="H5577" s="6">
        <f t="shared" ref="H5577:H5640" ca="1" si="179">_xlfn.NORM.INV(RAND(),N$10,N$11)</f>
        <v>1.5846994773557863E-2</v>
      </c>
    </row>
    <row r="5578" spans="2:8" x14ac:dyDescent="0.3">
      <c r="B5578" s="4">
        <v>40115</v>
      </c>
      <c r="C5578" s="7">
        <v>138.21</v>
      </c>
      <c r="D5578" s="6">
        <f t="shared" si="178"/>
        <v>-0.68565060158755431</v>
      </c>
      <c r="E5578" s="6">
        <v>-2.2490982389136282E-2</v>
      </c>
      <c r="F5578" s="6"/>
      <c r="G5578" s="6">
        <v>5571</v>
      </c>
      <c r="H5578" s="6">
        <f t="shared" ca="1" si="179"/>
        <v>8.1535852117511367E-4</v>
      </c>
    </row>
    <row r="5579" spans="2:8" x14ac:dyDescent="0.3">
      <c r="B5579" s="4">
        <v>41627</v>
      </c>
      <c r="C5579" s="7">
        <v>439.67</v>
      </c>
      <c r="D5579" s="6">
        <f t="shared" si="178"/>
        <v>-0.57928328788096251</v>
      </c>
      <c r="E5579" s="6">
        <v>-2.2521120497999099E-2</v>
      </c>
      <c r="F5579" s="6"/>
      <c r="G5579" s="6">
        <v>5572</v>
      </c>
      <c r="H5579" s="6">
        <f t="shared" ca="1" si="179"/>
        <v>2.7217481550753379E-2</v>
      </c>
    </row>
    <row r="5580" spans="2:8" x14ac:dyDescent="0.3">
      <c r="B5580" s="4">
        <v>42667</v>
      </c>
      <c r="C5580" s="5">
        <v>1045.05</v>
      </c>
      <c r="D5580" s="6">
        <f t="shared" si="178"/>
        <v>15.987158647594278</v>
      </c>
      <c r="E5580" s="6">
        <v>-2.2541271103212957E-2</v>
      </c>
      <c r="F5580" s="6"/>
      <c r="G5580" s="6">
        <v>5573</v>
      </c>
      <c r="H5580" s="6">
        <f t="shared" ca="1" si="179"/>
        <v>4.2694459196468838E-4</v>
      </c>
    </row>
    <row r="5581" spans="2:8" x14ac:dyDescent="0.3">
      <c r="B5581" s="4">
        <v>39881</v>
      </c>
      <c r="C5581" s="7">
        <v>61.52</v>
      </c>
      <c r="D5581" s="6">
        <f t="shared" si="178"/>
        <v>2.6510385756676556</v>
      </c>
      <c r="E5581" s="6">
        <v>-2.2561169367651648E-2</v>
      </c>
      <c r="F5581" s="6"/>
      <c r="G5581" s="6">
        <v>5574</v>
      </c>
      <c r="H5581" s="6">
        <f t="shared" ca="1" si="179"/>
        <v>6.5196630049838633E-3</v>
      </c>
    </row>
    <row r="5582" spans="2:8" x14ac:dyDescent="0.3">
      <c r="B5582" s="4">
        <v>37508</v>
      </c>
      <c r="C5582" s="7">
        <v>16.850000000000001</v>
      </c>
      <c r="D5582" s="6">
        <f t="shared" si="178"/>
        <v>-0.99038274944921978</v>
      </c>
      <c r="E5582" s="6">
        <v>-2.2621809744779411E-2</v>
      </c>
      <c r="F5582" s="6"/>
      <c r="G5582" s="6">
        <v>5575</v>
      </c>
      <c r="H5582" s="6">
        <f t="shared" ca="1" si="179"/>
        <v>3.6820411665047521E-2</v>
      </c>
    </row>
    <row r="5583" spans="2:8" x14ac:dyDescent="0.3">
      <c r="B5583" s="4">
        <v>43881</v>
      </c>
      <c r="C5583" s="5">
        <v>1752.06</v>
      </c>
      <c r="D5583" s="6">
        <f t="shared" si="178"/>
        <v>-0.42124474364860981</v>
      </c>
      <c r="E5583" s="6">
        <v>-2.2631552523387517E-2</v>
      </c>
      <c r="F5583" s="6"/>
      <c r="G5583" s="6">
        <v>5576</v>
      </c>
      <c r="H5583" s="6">
        <f t="shared" ca="1" si="179"/>
        <v>-2.0522197270311588E-2</v>
      </c>
    </row>
    <row r="5584" spans="2:8" x14ac:dyDescent="0.3">
      <c r="B5584" s="4">
        <v>44606</v>
      </c>
      <c r="C5584" s="5">
        <v>3027.29</v>
      </c>
      <c r="D5584" s="6">
        <f t="shared" si="178"/>
        <v>6.6803582301603406</v>
      </c>
      <c r="E5584" s="6">
        <v>-2.2647734903662408E-2</v>
      </c>
      <c r="F5584" s="6"/>
      <c r="G5584" s="6">
        <v>5577</v>
      </c>
      <c r="H5584" s="6">
        <f t="shared" ca="1" si="179"/>
        <v>2.0489545796966626E-2</v>
      </c>
    </row>
    <row r="5585" spans="2:8" x14ac:dyDescent="0.3">
      <c r="B5585" s="4">
        <v>41331</v>
      </c>
      <c r="C5585" s="7">
        <v>394.16</v>
      </c>
      <c r="D5585" s="6">
        <f t="shared" si="178"/>
        <v>23.092909535452325</v>
      </c>
      <c r="E5585" s="6">
        <v>-2.266303000247951E-2</v>
      </c>
      <c r="F5585" s="6"/>
      <c r="G5585" s="6">
        <v>5578</v>
      </c>
      <c r="H5585" s="6">
        <f t="shared" ca="1" si="179"/>
        <v>-8.4393071360799148E-3</v>
      </c>
    </row>
    <row r="5586" spans="2:8" x14ac:dyDescent="0.3">
      <c r="B5586" s="4">
        <v>37466</v>
      </c>
      <c r="C5586" s="7">
        <v>16.36</v>
      </c>
      <c r="D5586" s="6">
        <f t="shared" si="178"/>
        <v>-0.98720505541086956</v>
      </c>
      <c r="E5586" s="6">
        <v>-2.2700119474312965E-2</v>
      </c>
      <c r="F5586" s="6"/>
      <c r="G5586" s="6">
        <v>5579</v>
      </c>
      <c r="H5586" s="6">
        <f t="shared" ca="1" si="179"/>
        <v>-6.6272341675793697E-3</v>
      </c>
    </row>
    <row r="5587" spans="2:8" x14ac:dyDescent="0.3">
      <c r="B5587" s="4">
        <v>43594</v>
      </c>
      <c r="C5587" s="5">
        <v>1278.6300000000001</v>
      </c>
      <c r="D5587" s="6">
        <f t="shared" si="178"/>
        <v>2.0980567939523165</v>
      </c>
      <c r="E5587" s="6">
        <v>-2.2730573155911388E-2</v>
      </c>
      <c r="F5587" s="6"/>
      <c r="G5587" s="6">
        <v>5580</v>
      </c>
      <c r="H5587" s="6">
        <f t="shared" ca="1" si="179"/>
        <v>-4.279916705793251E-3</v>
      </c>
    </row>
    <row r="5588" spans="2:8" x14ac:dyDescent="0.3">
      <c r="B5588" s="4">
        <v>41458</v>
      </c>
      <c r="C5588" s="7">
        <v>412.72</v>
      </c>
      <c r="D5588" s="6">
        <f t="shared" si="178"/>
        <v>1.3531558241632935</v>
      </c>
      <c r="E5588" s="6">
        <v>-2.2731577950369307E-2</v>
      </c>
      <c r="F5588" s="6"/>
      <c r="G5588" s="6">
        <v>5581</v>
      </c>
      <c r="H5588" s="6">
        <f t="shared" ca="1" si="179"/>
        <v>2.2841819952869286E-2</v>
      </c>
    </row>
    <row r="5589" spans="2:8" x14ac:dyDescent="0.3">
      <c r="B5589" s="4">
        <v>40319</v>
      </c>
      <c r="C5589" s="7">
        <v>175.39</v>
      </c>
      <c r="D5589" s="6">
        <f t="shared" si="178"/>
        <v>1.1621055226824455</v>
      </c>
      <c r="E5589" s="6">
        <v>-2.2733604502145274E-2</v>
      </c>
      <c r="F5589" s="6"/>
      <c r="G5589" s="6">
        <v>5582</v>
      </c>
      <c r="H5589" s="6">
        <f t="shared" ca="1" si="179"/>
        <v>1.5626913602876335E-2</v>
      </c>
    </row>
    <row r="5590" spans="2:8" x14ac:dyDescent="0.3">
      <c r="B5590" s="4">
        <v>39745</v>
      </c>
      <c r="C5590" s="7">
        <v>81.12</v>
      </c>
      <c r="D5590" s="6">
        <f t="shared" si="178"/>
        <v>-0.88971367974549309</v>
      </c>
      <c r="E5590" s="6">
        <v>-2.2768341163715219E-2</v>
      </c>
      <c r="F5590" s="6"/>
      <c r="G5590" s="6">
        <v>5583</v>
      </c>
      <c r="H5590" s="6">
        <f t="shared" ca="1" si="179"/>
        <v>7.5226564142947452E-3</v>
      </c>
    </row>
    <row r="5591" spans="2:8" x14ac:dyDescent="0.3">
      <c r="B5591" s="4">
        <v>42318</v>
      </c>
      <c r="C5591" s="7">
        <v>735.54</v>
      </c>
      <c r="D5591" s="6">
        <f t="shared" si="178"/>
        <v>-7.4151929007489556E-2</v>
      </c>
      <c r="E5591" s="6">
        <v>-2.2784944665134504E-2</v>
      </c>
      <c r="F5591" s="6"/>
      <c r="G5591" s="6">
        <v>5584</v>
      </c>
      <c r="H5591" s="6">
        <f t="shared" ca="1" si="179"/>
        <v>-4.0788608259049773E-3</v>
      </c>
    </row>
    <row r="5592" spans="2:8" x14ac:dyDescent="0.3">
      <c r="B5592" s="4">
        <v>42425</v>
      </c>
      <c r="C5592" s="7">
        <v>794.45</v>
      </c>
      <c r="D5592" s="6">
        <f t="shared" si="178"/>
        <v>-0.70934507977507122</v>
      </c>
      <c r="E5592" s="6">
        <v>-2.279268862702646E-2</v>
      </c>
      <c r="F5592" s="6"/>
      <c r="G5592" s="6">
        <v>5585</v>
      </c>
      <c r="H5592" s="6">
        <f t="shared" ca="1" si="179"/>
        <v>-2.1205701365471633E-2</v>
      </c>
    </row>
    <row r="5593" spans="2:8" x14ac:dyDescent="0.3">
      <c r="B5593" s="4">
        <v>45350</v>
      </c>
      <c r="C5593" s="5">
        <v>2733.31</v>
      </c>
      <c r="D5593" s="6">
        <f t="shared" si="178"/>
        <v>2.4531109847767039</v>
      </c>
      <c r="E5593" s="6">
        <v>-2.280226950151772E-2</v>
      </c>
      <c r="F5593" s="6"/>
      <c r="G5593" s="6">
        <v>5586</v>
      </c>
      <c r="H5593" s="6">
        <f t="shared" ca="1" si="179"/>
        <v>2.6995960329076567E-2</v>
      </c>
    </row>
    <row r="5594" spans="2:8" x14ac:dyDescent="0.3">
      <c r="B5594" s="4">
        <v>42396</v>
      </c>
      <c r="C5594" s="7">
        <v>791.55</v>
      </c>
      <c r="D5594" s="6">
        <f t="shared" si="178"/>
        <v>-0.65089355020817163</v>
      </c>
      <c r="E5594" s="6">
        <v>-2.2813969852968432E-2</v>
      </c>
      <c r="F5594" s="6"/>
      <c r="G5594" s="6">
        <v>5587</v>
      </c>
      <c r="H5594" s="6">
        <f t="shared" ca="1" si="179"/>
        <v>6.06000221446335E-3</v>
      </c>
    </row>
    <row r="5595" spans="2:8" x14ac:dyDescent="0.3">
      <c r="B5595" s="4">
        <v>45645</v>
      </c>
      <c r="C5595" s="5">
        <v>2267.36</v>
      </c>
      <c r="D5595" s="6">
        <f t="shared" si="178"/>
        <v>27.599394550958625</v>
      </c>
      <c r="E5595" s="6">
        <v>-2.2853916798469116E-2</v>
      </c>
      <c r="F5595" s="6"/>
      <c r="G5595" s="6">
        <v>5588</v>
      </c>
      <c r="H5595" s="6">
        <f t="shared" ca="1" si="179"/>
        <v>-1.1190290839088451E-3</v>
      </c>
    </row>
    <row r="5596" spans="2:8" x14ac:dyDescent="0.3">
      <c r="B5596" s="4">
        <v>39372</v>
      </c>
      <c r="C5596" s="7">
        <v>79.28</v>
      </c>
      <c r="D5596" s="6">
        <f t="shared" si="178"/>
        <v>-0.71702894671092554</v>
      </c>
      <c r="E5596" s="6">
        <v>-2.2923342371210246E-2</v>
      </c>
      <c r="F5596" s="6"/>
      <c r="G5596" s="6">
        <v>5589</v>
      </c>
      <c r="H5596" s="6">
        <f t="shared" ca="1" si="179"/>
        <v>-9.2598615883556518E-3</v>
      </c>
    </row>
    <row r="5597" spans="2:8" x14ac:dyDescent="0.3">
      <c r="B5597" s="4">
        <v>40974</v>
      </c>
      <c r="C5597" s="7">
        <v>280.17</v>
      </c>
      <c r="D5597" s="6">
        <f t="shared" si="178"/>
        <v>1.6521204089360093</v>
      </c>
      <c r="E5597" s="6">
        <v>-2.2946817785527408E-2</v>
      </c>
      <c r="F5597" s="6"/>
      <c r="G5597" s="6">
        <v>5590</v>
      </c>
      <c r="H5597" s="6">
        <f t="shared" ca="1" si="179"/>
        <v>2.1272732133644633E-2</v>
      </c>
    </row>
    <row r="5598" spans="2:8" x14ac:dyDescent="0.3">
      <c r="B5598" s="4">
        <v>39674</v>
      </c>
      <c r="C5598" s="7">
        <v>105.64</v>
      </c>
      <c r="D5598" s="6">
        <f t="shared" si="178"/>
        <v>-0.54777397260273974</v>
      </c>
      <c r="E5598" s="6">
        <v>-2.3118180136859626E-2</v>
      </c>
      <c r="F5598" s="6"/>
      <c r="G5598" s="6">
        <v>5591</v>
      </c>
      <c r="H5598" s="6">
        <f t="shared" ca="1" si="179"/>
        <v>-1.3609427925239824E-2</v>
      </c>
    </row>
    <row r="5599" spans="2:8" x14ac:dyDescent="0.3">
      <c r="B5599" s="4">
        <v>40560</v>
      </c>
      <c r="C5599" s="7">
        <v>233.6</v>
      </c>
      <c r="D5599" s="6">
        <f t="shared" si="178"/>
        <v>-0.92016459217640345</v>
      </c>
      <c r="E5599" s="6">
        <v>-2.3125496591811991E-2</v>
      </c>
      <c r="F5599" s="6"/>
      <c r="G5599" s="6">
        <v>5592</v>
      </c>
      <c r="H5599" s="6">
        <f t="shared" ca="1" si="179"/>
        <v>-3.2157823581174349E-4</v>
      </c>
    </row>
    <row r="5600" spans="2:8" x14ac:dyDescent="0.3">
      <c r="B5600" s="4">
        <v>44536</v>
      </c>
      <c r="C5600" s="5">
        <v>2926.02</v>
      </c>
      <c r="D5600" s="6">
        <f t="shared" si="178"/>
        <v>-4.6224856005710857E-2</v>
      </c>
      <c r="E5600" s="6">
        <v>-2.319479218828243E-2</v>
      </c>
      <c r="F5600" s="6"/>
      <c r="G5600" s="6">
        <v>5593</v>
      </c>
      <c r="H5600" s="6">
        <f t="shared" ca="1" si="179"/>
        <v>-5.3793064382963761E-3</v>
      </c>
    </row>
    <row r="5601" spans="2:8" x14ac:dyDescent="0.3">
      <c r="B5601" s="4">
        <v>44523</v>
      </c>
      <c r="C5601" s="5">
        <v>3067.83</v>
      </c>
      <c r="D5601" s="6">
        <f t="shared" si="178"/>
        <v>191.21992481203006</v>
      </c>
      <c r="E5601" s="6">
        <v>-2.3211164283462791E-2</v>
      </c>
      <c r="F5601" s="6"/>
      <c r="G5601" s="6">
        <v>5594</v>
      </c>
      <c r="H5601" s="6">
        <f t="shared" ca="1" si="179"/>
        <v>-7.1936167131893443E-3</v>
      </c>
    </row>
    <row r="5602" spans="2:8" x14ac:dyDescent="0.3">
      <c r="B5602" s="4">
        <v>37487</v>
      </c>
      <c r="C5602" s="7">
        <v>15.96</v>
      </c>
      <c r="D5602" s="6">
        <f t="shared" si="178"/>
        <v>-0.97967060262142225</v>
      </c>
      <c r="E5602" s="6">
        <v>-2.3255813953488313E-2</v>
      </c>
      <c r="F5602" s="6"/>
      <c r="G5602" s="6">
        <v>5595</v>
      </c>
      <c r="H5602" s="6">
        <f t="shared" ca="1" si="179"/>
        <v>1.8847888573983007E-2</v>
      </c>
    </row>
    <row r="5603" spans="2:8" x14ac:dyDescent="0.3">
      <c r="B5603" s="4">
        <v>42286</v>
      </c>
      <c r="C5603" s="7">
        <v>785.07</v>
      </c>
      <c r="D5603" s="6">
        <f t="shared" si="178"/>
        <v>3.3746238716148445</v>
      </c>
      <c r="E5603" s="6">
        <v>-2.3289665211062485E-2</v>
      </c>
      <c r="F5603" s="6"/>
      <c r="G5603" s="6">
        <v>5596</v>
      </c>
      <c r="H5603" s="6">
        <f t="shared" ca="1" si="179"/>
        <v>1.2127893610282846E-2</v>
      </c>
    </row>
    <row r="5604" spans="2:8" x14ac:dyDescent="0.3">
      <c r="B5604" s="4">
        <v>40309</v>
      </c>
      <c r="C5604" s="7">
        <v>179.46</v>
      </c>
      <c r="D5604" s="6">
        <f t="shared" si="178"/>
        <v>6.3010577705451585</v>
      </c>
      <c r="E5604" s="6">
        <v>-2.3293784695765762E-2</v>
      </c>
      <c r="F5604" s="6"/>
      <c r="G5604" s="6">
        <v>5597</v>
      </c>
      <c r="H5604" s="6">
        <f t="shared" ca="1" si="179"/>
        <v>-1.0537417028333095E-3</v>
      </c>
    </row>
    <row r="5605" spans="2:8" x14ac:dyDescent="0.3">
      <c r="B5605" s="4">
        <v>38008</v>
      </c>
      <c r="C5605" s="7">
        <v>24.58</v>
      </c>
      <c r="D5605" s="6">
        <f t="shared" si="178"/>
        <v>-0.92725443191571222</v>
      </c>
      <c r="E5605" s="6">
        <v>-2.3440603893524172E-2</v>
      </c>
      <c r="F5605" s="6"/>
      <c r="G5605" s="6">
        <v>5598</v>
      </c>
      <c r="H5605" s="6">
        <f t="shared" ca="1" si="179"/>
        <v>2.1785692145056199E-3</v>
      </c>
    </row>
    <row r="5606" spans="2:8" x14ac:dyDescent="0.3">
      <c r="B5606" s="4">
        <v>41095</v>
      </c>
      <c r="C5606" s="7">
        <v>337.89</v>
      </c>
      <c r="D5606" s="6">
        <f t="shared" si="178"/>
        <v>0.53446866485013622</v>
      </c>
      <c r="E5606" s="6">
        <v>-2.3580407455570076E-2</v>
      </c>
      <c r="F5606" s="6"/>
      <c r="G5606" s="6">
        <v>5599</v>
      </c>
      <c r="H5606" s="6">
        <f t="shared" ca="1" si="179"/>
        <v>-8.8768634947713728E-4</v>
      </c>
    </row>
    <row r="5607" spans="2:8" x14ac:dyDescent="0.3">
      <c r="B5607" s="4">
        <v>40596</v>
      </c>
      <c r="C5607" s="7">
        <v>220.2</v>
      </c>
      <c r="D5607" s="6">
        <f t="shared" si="178"/>
        <v>-0.92944704683665169</v>
      </c>
      <c r="E5607" s="6">
        <v>-2.3589925505498498E-2</v>
      </c>
      <c r="F5607" s="6"/>
      <c r="G5607" s="6">
        <v>5600</v>
      </c>
      <c r="H5607" s="6">
        <f t="shared" ca="1" si="179"/>
        <v>9.2738191378701658E-3</v>
      </c>
    </row>
    <row r="5608" spans="2:8" x14ac:dyDescent="0.3">
      <c r="B5608" s="4">
        <v>44469</v>
      </c>
      <c r="C5608" s="5">
        <v>3121.06</v>
      </c>
      <c r="D5608" s="6">
        <f t="shared" si="178"/>
        <v>5.8779144078628409</v>
      </c>
      <c r="E5608" s="6">
        <v>-2.3591649538397E-2</v>
      </c>
      <c r="F5608" s="6"/>
      <c r="G5608" s="6">
        <v>5601</v>
      </c>
      <c r="H5608" s="6">
        <f t="shared" ca="1" si="179"/>
        <v>-7.3646447635392874E-3</v>
      </c>
    </row>
    <row r="5609" spans="2:8" x14ac:dyDescent="0.3">
      <c r="B5609" s="4">
        <v>41575</v>
      </c>
      <c r="C5609" s="7">
        <v>453.78</v>
      </c>
      <c r="D5609" s="6">
        <f t="shared" si="178"/>
        <v>-0.2083667701754999</v>
      </c>
      <c r="E5609" s="6">
        <v>-2.3646104524818749E-2</v>
      </c>
      <c r="F5609" s="6"/>
      <c r="G5609" s="6">
        <v>5602</v>
      </c>
      <c r="H5609" s="6">
        <f t="shared" ca="1" si="179"/>
        <v>-2.6165067216390118E-2</v>
      </c>
    </row>
    <row r="5610" spans="2:8" x14ac:dyDescent="0.3">
      <c r="B5610" s="4">
        <v>41851</v>
      </c>
      <c r="C5610" s="7">
        <v>573.22</v>
      </c>
      <c r="D5610" s="6">
        <f t="shared" si="178"/>
        <v>5.0851380042462848</v>
      </c>
      <c r="E5610" s="6">
        <v>-2.3674887586864656E-2</v>
      </c>
      <c r="F5610" s="6"/>
      <c r="G5610" s="6">
        <v>5603</v>
      </c>
      <c r="H5610" s="6">
        <f t="shared" ca="1" si="179"/>
        <v>1.3469937619452354E-2</v>
      </c>
    </row>
    <row r="5611" spans="2:8" x14ac:dyDescent="0.3">
      <c r="B5611" s="4">
        <v>39986</v>
      </c>
      <c r="C5611" s="7">
        <v>94.2</v>
      </c>
      <c r="D5611" s="6">
        <f t="shared" si="178"/>
        <v>-0.88059625817573384</v>
      </c>
      <c r="E5611" s="6">
        <v>-2.3733029329464111E-2</v>
      </c>
      <c r="F5611" s="6"/>
      <c r="G5611" s="6">
        <v>5604</v>
      </c>
      <c r="H5611" s="6">
        <f t="shared" ca="1" si="179"/>
        <v>2.0749687031586004E-2</v>
      </c>
    </row>
    <row r="5612" spans="2:8" x14ac:dyDescent="0.3">
      <c r="B5612" s="4">
        <v>42411</v>
      </c>
      <c r="C5612" s="7">
        <v>788.92</v>
      </c>
      <c r="D5612" s="6">
        <f t="shared" si="178"/>
        <v>-0.7338506173672491</v>
      </c>
      <c r="E5612" s="6">
        <v>-2.3783007894671748E-2</v>
      </c>
      <c r="F5612" s="6"/>
      <c r="G5612" s="6">
        <v>5605</v>
      </c>
      <c r="H5612" s="6">
        <f t="shared" ca="1" si="179"/>
        <v>7.7876898683160384E-3</v>
      </c>
    </row>
    <row r="5613" spans="2:8" x14ac:dyDescent="0.3">
      <c r="B5613" s="4">
        <v>44911</v>
      </c>
      <c r="C5613" s="5">
        <v>2964.2</v>
      </c>
      <c r="D5613" s="6">
        <f t="shared" si="178"/>
        <v>3.285693631171835</v>
      </c>
      <c r="E5613" s="6">
        <v>-2.3861742835878906E-2</v>
      </c>
      <c r="F5613" s="6"/>
      <c r="G5613" s="6">
        <v>5606</v>
      </c>
      <c r="H5613" s="6">
        <f t="shared" ca="1" si="179"/>
        <v>1.1163265344376422E-2</v>
      </c>
    </row>
    <row r="5614" spans="2:8" x14ac:dyDescent="0.3">
      <c r="B5614" s="4">
        <v>42010</v>
      </c>
      <c r="C5614" s="7">
        <v>691.65</v>
      </c>
      <c r="D5614" s="6">
        <f t="shared" si="178"/>
        <v>-0.15258702017912504</v>
      </c>
      <c r="E5614" s="6">
        <v>-2.3879080401371877E-2</v>
      </c>
      <c r="F5614" s="6"/>
      <c r="G5614" s="6">
        <v>5607</v>
      </c>
      <c r="H5614" s="6">
        <f t="shared" ca="1" si="179"/>
        <v>-3.140404052959684E-2</v>
      </c>
    </row>
    <row r="5615" spans="2:8" x14ac:dyDescent="0.3">
      <c r="B5615" s="4">
        <v>42723</v>
      </c>
      <c r="C5615" s="7">
        <v>816.19</v>
      </c>
      <c r="D5615" s="6">
        <f t="shared" si="178"/>
        <v>-0.51413791461294855</v>
      </c>
      <c r="E5615" s="6">
        <v>-2.3894662568616318E-2</v>
      </c>
      <c r="F5615" s="6"/>
      <c r="G5615" s="6">
        <v>5608</v>
      </c>
      <c r="H5615" s="6">
        <f t="shared" ca="1" si="179"/>
        <v>4.668742362968578E-3</v>
      </c>
    </row>
    <row r="5616" spans="2:8" x14ac:dyDescent="0.3">
      <c r="B5616" s="4">
        <v>43770</v>
      </c>
      <c r="C5616" s="5">
        <v>1679.88</v>
      </c>
      <c r="D5616" s="6">
        <f t="shared" si="178"/>
        <v>23.795276752767528</v>
      </c>
      <c r="E5616" s="6">
        <v>-2.3898757125176428E-2</v>
      </c>
      <c r="F5616" s="6"/>
      <c r="G5616" s="6">
        <v>5609</v>
      </c>
      <c r="H5616" s="6">
        <f t="shared" ca="1" si="179"/>
        <v>-6.4532024104615018E-2</v>
      </c>
    </row>
    <row r="5617" spans="2:8" x14ac:dyDescent="0.3">
      <c r="B5617" s="4">
        <v>39262</v>
      </c>
      <c r="C5617" s="7">
        <v>67.75</v>
      </c>
      <c r="D5617" s="6">
        <f t="shared" si="178"/>
        <v>-0.97563992391745979</v>
      </c>
      <c r="E5617" s="6">
        <v>-2.3915862267684725E-2</v>
      </c>
      <c r="F5617" s="6"/>
      <c r="G5617" s="6">
        <v>5610</v>
      </c>
      <c r="H5617" s="6">
        <f t="shared" ca="1" si="179"/>
        <v>-1.4044247600137566E-2</v>
      </c>
    </row>
    <row r="5618" spans="2:8" x14ac:dyDescent="0.3">
      <c r="B5618" s="4">
        <v>45420</v>
      </c>
      <c r="C5618" s="5">
        <v>2781.19</v>
      </c>
      <c r="D5618" s="6">
        <f t="shared" si="178"/>
        <v>27.689808128739426</v>
      </c>
      <c r="E5618" s="6">
        <v>-2.392809638621865E-2</v>
      </c>
      <c r="F5618" s="6"/>
      <c r="G5618" s="6">
        <v>5611</v>
      </c>
      <c r="H5618" s="6">
        <f t="shared" ca="1" si="179"/>
        <v>2.2065029172220866E-2</v>
      </c>
    </row>
    <row r="5619" spans="2:8" x14ac:dyDescent="0.3">
      <c r="B5619" s="4">
        <v>39489</v>
      </c>
      <c r="C5619" s="7">
        <v>96.94</v>
      </c>
      <c r="D5619" s="6">
        <f t="shared" si="178"/>
        <v>-0.87460223009856919</v>
      </c>
      <c r="E5619" s="6">
        <v>-2.3962948046717635E-2</v>
      </c>
      <c r="F5619" s="6"/>
      <c r="G5619" s="6">
        <v>5612</v>
      </c>
      <c r="H5619" s="6">
        <f t="shared" ca="1" si="179"/>
        <v>1.2525482134666178E-2</v>
      </c>
    </row>
    <row r="5620" spans="2:8" x14ac:dyDescent="0.3">
      <c r="B5620" s="4">
        <v>42338</v>
      </c>
      <c r="C5620" s="7">
        <v>773.06</v>
      </c>
      <c r="D5620" s="6">
        <f t="shared" si="178"/>
        <v>44.234640140432994</v>
      </c>
      <c r="E5620" s="6">
        <v>-2.3975759106117052E-2</v>
      </c>
      <c r="F5620" s="6"/>
      <c r="G5620" s="6">
        <v>5613</v>
      </c>
      <c r="H5620" s="6">
        <f t="shared" ca="1" si="179"/>
        <v>1.4548621275150725E-2</v>
      </c>
    </row>
    <row r="5621" spans="2:8" x14ac:dyDescent="0.3">
      <c r="B5621" s="4">
        <v>37452</v>
      </c>
      <c r="C5621" s="7">
        <v>17.09</v>
      </c>
      <c r="D5621" s="6">
        <f t="shared" si="178"/>
        <v>-0.99370146646371793</v>
      </c>
      <c r="E5621" s="6">
        <v>-2.3986293546544926E-2</v>
      </c>
      <c r="F5621" s="6"/>
      <c r="G5621" s="6">
        <v>5614</v>
      </c>
      <c r="H5621" s="6">
        <f t="shared" ca="1" si="179"/>
        <v>1.1924256076981093E-2</v>
      </c>
    </row>
    <row r="5622" spans="2:8" x14ac:dyDescent="0.3">
      <c r="B5622" s="4">
        <v>44718</v>
      </c>
      <c r="C5622" s="5">
        <v>2713.33</v>
      </c>
      <c r="D5622" s="6">
        <f t="shared" si="178"/>
        <v>1.8155338798381238</v>
      </c>
      <c r="E5622" s="6">
        <v>-2.4059247109940896E-2</v>
      </c>
      <c r="F5622" s="6"/>
      <c r="G5622" s="6">
        <v>5615</v>
      </c>
      <c r="H5622" s="6">
        <f t="shared" ca="1" si="179"/>
        <v>-4.0905514847350008E-3</v>
      </c>
    </row>
    <row r="5623" spans="2:8" x14ac:dyDescent="0.3">
      <c r="B5623" s="4">
        <v>42677</v>
      </c>
      <c r="C5623" s="7">
        <v>963.7</v>
      </c>
      <c r="D5623" s="6">
        <f t="shared" si="178"/>
        <v>0.24438303806621556</v>
      </c>
      <c r="E5623" s="6">
        <v>-2.4091383203880507E-2</v>
      </c>
      <c r="F5623" s="6"/>
      <c r="G5623" s="6">
        <v>5616</v>
      </c>
      <c r="H5623" s="6">
        <f t="shared" ca="1" si="179"/>
        <v>2.9847005978955898E-2</v>
      </c>
    </row>
    <row r="5624" spans="2:8" x14ac:dyDescent="0.3">
      <c r="B5624" s="4">
        <v>42347</v>
      </c>
      <c r="C5624" s="7">
        <v>774.44</v>
      </c>
      <c r="D5624" s="6">
        <f t="shared" si="178"/>
        <v>8.9850438370293979</v>
      </c>
      <c r="E5624" s="6">
        <v>-2.410625401665889E-2</v>
      </c>
      <c r="F5624" s="6"/>
      <c r="G5624" s="6">
        <v>5617</v>
      </c>
      <c r="H5624" s="6">
        <f t="shared" ca="1" si="179"/>
        <v>-1.1675846498634925E-2</v>
      </c>
    </row>
    <row r="5625" spans="2:8" x14ac:dyDescent="0.3">
      <c r="B5625" s="4">
        <v>39374</v>
      </c>
      <c r="C5625" s="7">
        <v>77.56</v>
      </c>
      <c r="D5625" s="6">
        <f t="shared" si="178"/>
        <v>-0.96898344397344638</v>
      </c>
      <c r="E5625" s="6">
        <v>-2.4157020634121812E-2</v>
      </c>
      <c r="F5625" s="6"/>
      <c r="G5625" s="6">
        <v>5618</v>
      </c>
      <c r="H5625" s="6">
        <f t="shared" ca="1" si="179"/>
        <v>4.5730679039512664E-3</v>
      </c>
    </row>
    <row r="5626" spans="2:8" x14ac:dyDescent="0.3">
      <c r="B5626" s="4">
        <v>45891</v>
      </c>
      <c r="C5626" s="5">
        <v>2500.6</v>
      </c>
      <c r="D5626" s="6">
        <f t="shared" si="178"/>
        <v>-0.19198381770358736</v>
      </c>
      <c r="E5626" s="6">
        <v>-2.4194177788183877E-2</v>
      </c>
      <c r="F5626" s="6"/>
      <c r="G5626" s="6">
        <v>5619</v>
      </c>
      <c r="H5626" s="6">
        <f t="shared" ca="1" si="179"/>
        <v>3.7044647031628797E-3</v>
      </c>
    </row>
    <row r="5627" spans="2:8" x14ac:dyDescent="0.3">
      <c r="B5627" s="4">
        <v>45309</v>
      </c>
      <c r="C5627" s="5">
        <v>3094.74</v>
      </c>
      <c r="D5627" s="6">
        <f t="shared" si="178"/>
        <v>138.59133964817318</v>
      </c>
      <c r="E5627" s="6">
        <v>-2.4196904915055505E-2</v>
      </c>
      <c r="F5627" s="6"/>
      <c r="G5627" s="6">
        <v>5620</v>
      </c>
      <c r="H5627" s="6">
        <f t="shared" ca="1" si="179"/>
        <v>1.9528824802518092E-3</v>
      </c>
    </row>
    <row r="5628" spans="2:8" x14ac:dyDescent="0.3">
      <c r="B5628" s="4">
        <v>38148</v>
      </c>
      <c r="C5628" s="7">
        <v>22.17</v>
      </c>
      <c r="D5628" s="6">
        <f t="shared" si="178"/>
        <v>-0.98334547803811678</v>
      </c>
      <c r="E5628" s="6">
        <v>-2.4207746478873117E-2</v>
      </c>
      <c r="F5628" s="6"/>
      <c r="G5628" s="6">
        <v>5621</v>
      </c>
      <c r="H5628" s="6">
        <f t="shared" ca="1" si="179"/>
        <v>2.0044406547583018E-2</v>
      </c>
    </row>
    <row r="5629" spans="2:8" x14ac:dyDescent="0.3">
      <c r="B5629" s="4">
        <v>43565</v>
      </c>
      <c r="C5629" s="5">
        <v>1331.17</v>
      </c>
      <c r="D5629" s="6">
        <f t="shared" si="178"/>
        <v>5.4720439517697397</v>
      </c>
      <c r="E5629" s="6">
        <v>-2.4226297811203439E-2</v>
      </c>
      <c r="F5629" s="6"/>
      <c r="G5629" s="6">
        <v>5622</v>
      </c>
      <c r="H5629" s="6">
        <f t="shared" ca="1" si="179"/>
        <v>-1.8475346965497706E-2</v>
      </c>
    </row>
    <row r="5630" spans="2:8" x14ac:dyDescent="0.3">
      <c r="B5630" s="4">
        <v>40351</v>
      </c>
      <c r="C5630" s="7">
        <v>205.68</v>
      </c>
      <c r="D5630" s="6">
        <f t="shared" si="178"/>
        <v>-0.73290392956393002</v>
      </c>
      <c r="E5630" s="6">
        <v>-2.424213672375343E-2</v>
      </c>
      <c r="F5630" s="6"/>
      <c r="G5630" s="6">
        <v>5623</v>
      </c>
      <c r="H5630" s="6">
        <f t="shared" ca="1" si="179"/>
        <v>3.1796170222128411E-2</v>
      </c>
    </row>
    <row r="5631" spans="2:8" x14ac:dyDescent="0.3">
      <c r="B5631" s="4">
        <v>42418</v>
      </c>
      <c r="C5631" s="7">
        <v>770.06</v>
      </c>
      <c r="D5631" s="6">
        <f t="shared" si="178"/>
        <v>-0.62655247498823985</v>
      </c>
      <c r="E5631" s="6">
        <v>-2.4252407501267233E-2</v>
      </c>
      <c r="F5631" s="6"/>
      <c r="G5631" s="6">
        <v>5624</v>
      </c>
      <c r="H5631" s="6">
        <f t="shared" ca="1" si="179"/>
        <v>3.3378768174116185E-3</v>
      </c>
    </row>
    <row r="5632" spans="2:8" x14ac:dyDescent="0.3">
      <c r="B5632" s="4">
        <v>44160</v>
      </c>
      <c r="C5632" s="5">
        <v>2062.0300000000002</v>
      </c>
      <c r="D5632" s="6">
        <f t="shared" si="178"/>
        <v>-0.32046452922586138</v>
      </c>
      <c r="E5632" s="6">
        <v>-2.4279103220494546E-2</v>
      </c>
      <c r="F5632" s="6"/>
      <c r="G5632" s="6">
        <v>5625</v>
      </c>
      <c r="H5632" s="6">
        <f t="shared" ca="1" si="179"/>
        <v>-2.1884879576373167E-2</v>
      </c>
    </row>
    <row r="5633" spans="2:8" x14ac:dyDescent="0.3">
      <c r="B5633" s="4">
        <v>45569</v>
      </c>
      <c r="C5633" s="5">
        <v>3034.47</v>
      </c>
      <c r="D5633" s="6">
        <f t="shared" si="178"/>
        <v>1.0273184615076263</v>
      </c>
      <c r="E5633" s="6">
        <v>-2.4386558296252591E-2</v>
      </c>
      <c r="F5633" s="6"/>
      <c r="G5633" s="6">
        <v>5626</v>
      </c>
      <c r="H5633" s="6">
        <f t="shared" ca="1" si="179"/>
        <v>6.1473835315370559E-4</v>
      </c>
    </row>
    <row r="5634" spans="2:8" x14ac:dyDescent="0.3">
      <c r="B5634" s="4">
        <v>43711</v>
      </c>
      <c r="C5634" s="5">
        <v>1496.79</v>
      </c>
      <c r="D5634" s="6">
        <f t="shared" si="178"/>
        <v>-0.50279695192033003</v>
      </c>
      <c r="E5634" s="6">
        <v>-2.4409479612055508E-2</v>
      </c>
      <c r="F5634" s="6"/>
      <c r="G5634" s="6">
        <v>5627</v>
      </c>
      <c r="H5634" s="6">
        <f t="shared" ca="1" si="179"/>
        <v>-1.3608208269310907E-2</v>
      </c>
    </row>
    <row r="5635" spans="2:8" x14ac:dyDescent="0.3">
      <c r="B5635" s="4">
        <v>44872</v>
      </c>
      <c r="C5635" s="5">
        <v>3010.42</v>
      </c>
      <c r="D5635" s="6">
        <f t="shared" si="178"/>
        <v>1.8846216498500401</v>
      </c>
      <c r="E5635" s="6">
        <v>-2.4456477709834053E-2</v>
      </c>
      <c r="F5635" s="6"/>
      <c r="G5635" s="6">
        <v>5628</v>
      </c>
      <c r="H5635" s="6">
        <f t="shared" ca="1" si="179"/>
        <v>-2.431931444826025E-3</v>
      </c>
    </row>
    <row r="5636" spans="2:8" x14ac:dyDescent="0.3">
      <c r="B5636" s="4">
        <v>42874</v>
      </c>
      <c r="C5636" s="5">
        <v>1043.6099999999999</v>
      </c>
      <c r="D5636" s="6">
        <f t="shared" si="178"/>
        <v>4.013258394581352</v>
      </c>
      <c r="E5636" s="6">
        <v>-2.4490330058608581E-2</v>
      </c>
      <c r="F5636" s="6"/>
      <c r="G5636" s="6">
        <v>5629</v>
      </c>
      <c r="H5636" s="6">
        <f t="shared" ca="1" si="179"/>
        <v>-9.354619025409832E-3</v>
      </c>
    </row>
    <row r="5637" spans="2:8" x14ac:dyDescent="0.3">
      <c r="B5637" s="4">
        <v>40354</v>
      </c>
      <c r="C5637" s="7">
        <v>208.17</v>
      </c>
      <c r="D5637" s="6">
        <f t="shared" si="178"/>
        <v>0.56967274920826405</v>
      </c>
      <c r="E5637" s="6">
        <v>-2.4599381501265113E-2</v>
      </c>
      <c r="F5637" s="6"/>
      <c r="G5637" s="6">
        <v>5630</v>
      </c>
      <c r="H5637" s="6">
        <f t="shared" ca="1" si="179"/>
        <v>3.7857404149318815E-3</v>
      </c>
    </row>
    <row r="5638" spans="2:8" x14ac:dyDescent="0.3">
      <c r="B5638" s="4">
        <v>40107</v>
      </c>
      <c r="C5638" s="7">
        <v>132.62</v>
      </c>
      <c r="D5638" s="6">
        <f t="shared" si="178"/>
        <v>-0.96015658563990713</v>
      </c>
      <c r="E5638" s="6">
        <v>-2.4637787747297156E-2</v>
      </c>
      <c r="F5638" s="6"/>
      <c r="G5638" s="6">
        <v>5631</v>
      </c>
      <c r="H5638" s="6">
        <f t="shared" ca="1" si="179"/>
        <v>-2.347563777099583E-3</v>
      </c>
    </row>
    <row r="5639" spans="2:8" x14ac:dyDescent="0.3">
      <c r="B5639" s="4">
        <v>44574</v>
      </c>
      <c r="C5639" s="5">
        <v>3328.53</v>
      </c>
      <c r="D5639" s="6">
        <f t="shared" si="178"/>
        <v>141.97809278350516</v>
      </c>
      <c r="E5639" s="6">
        <v>-2.4703765778647677E-2</v>
      </c>
      <c r="F5639" s="6"/>
      <c r="G5639" s="6">
        <v>5632</v>
      </c>
      <c r="H5639" s="6">
        <f t="shared" ca="1" si="179"/>
        <v>1.0778217992783E-2</v>
      </c>
    </row>
    <row r="5640" spans="2:8" x14ac:dyDescent="0.3">
      <c r="B5640" s="4">
        <v>38271</v>
      </c>
      <c r="C5640" s="7">
        <v>23.28</v>
      </c>
      <c r="D5640" s="6">
        <f t="shared" ref="D5640:D5703" si="180">((C5640-C5641)/C5641)</f>
        <v>-0.53864447086801426</v>
      </c>
      <c r="E5640" s="6">
        <v>-2.4717218265605356E-2</v>
      </c>
      <c r="F5640" s="6"/>
      <c r="G5640" s="6">
        <v>5633</v>
      </c>
      <c r="H5640" s="6">
        <f t="shared" ca="1" si="179"/>
        <v>-2.2719599125839339E-2</v>
      </c>
    </row>
    <row r="5641" spans="2:8" x14ac:dyDescent="0.3">
      <c r="B5641" s="4">
        <v>38852</v>
      </c>
      <c r="C5641" s="7">
        <v>50.46</v>
      </c>
      <c r="D5641" s="6">
        <f t="shared" si="180"/>
        <v>-0.97060399869506453</v>
      </c>
      <c r="E5641" s="6">
        <v>-2.4739080015461944E-2</v>
      </c>
      <c r="F5641" s="6"/>
      <c r="G5641" s="6">
        <v>5634</v>
      </c>
      <c r="H5641" s="6">
        <f t="shared" ref="H5641:H5704" ca="1" si="181">_xlfn.NORM.INV(RAND(),N$10,N$11)</f>
        <v>2.5391524424304968E-2</v>
      </c>
    </row>
    <row r="5642" spans="2:8" x14ac:dyDescent="0.3">
      <c r="B5642" s="4">
        <v>43903</v>
      </c>
      <c r="C5642" s="5">
        <v>1716.56</v>
      </c>
      <c r="D5642" s="6">
        <f t="shared" si="180"/>
        <v>92.088937093275476</v>
      </c>
      <c r="E5642" s="6">
        <v>-2.4764934806692694E-2</v>
      </c>
      <c r="F5642" s="6"/>
      <c r="G5642" s="6">
        <v>5635</v>
      </c>
      <c r="H5642" s="6">
        <f t="shared" ca="1" si="181"/>
        <v>-4.5202458065044544E-3</v>
      </c>
    </row>
    <row r="5643" spans="2:8" x14ac:dyDescent="0.3">
      <c r="B5643" s="4">
        <v>37768</v>
      </c>
      <c r="C5643" s="7">
        <v>18.440000000000001</v>
      </c>
      <c r="D5643" s="6">
        <f t="shared" si="180"/>
        <v>-0.98921593281596321</v>
      </c>
      <c r="E5643" s="6">
        <v>-2.4854574299312471E-2</v>
      </c>
      <c r="F5643" s="6"/>
      <c r="G5643" s="6">
        <v>5636</v>
      </c>
      <c r="H5643" s="6">
        <f t="shared" ca="1" si="181"/>
        <v>1.3893802441955143E-2</v>
      </c>
    </row>
    <row r="5644" spans="2:8" x14ac:dyDescent="0.3">
      <c r="B5644" s="4">
        <v>43889</v>
      </c>
      <c r="C5644" s="5">
        <v>1709.93</v>
      </c>
      <c r="D5644" s="6">
        <f t="shared" si="180"/>
        <v>15.810165159260716</v>
      </c>
      <c r="E5644" s="6">
        <v>-2.4869692165562177E-2</v>
      </c>
      <c r="F5644" s="6"/>
      <c r="G5644" s="6">
        <v>5637</v>
      </c>
      <c r="H5644" s="6">
        <f t="shared" ca="1" si="181"/>
        <v>1.0739279905929218E-2</v>
      </c>
    </row>
    <row r="5645" spans="2:8" x14ac:dyDescent="0.3">
      <c r="B5645" s="4">
        <v>39692</v>
      </c>
      <c r="C5645" s="7">
        <v>101.72</v>
      </c>
      <c r="D5645" s="6">
        <f t="shared" si="180"/>
        <v>0.16919540229885055</v>
      </c>
      <c r="E5645" s="6">
        <v>-2.4923312883435529E-2</v>
      </c>
      <c r="F5645" s="6"/>
      <c r="G5645" s="6">
        <v>5638</v>
      </c>
      <c r="H5645" s="6">
        <f t="shared" ca="1" si="181"/>
        <v>2.9925842814331829E-2</v>
      </c>
    </row>
    <row r="5646" spans="2:8" x14ac:dyDescent="0.3">
      <c r="B5646" s="4">
        <v>39637</v>
      </c>
      <c r="C5646" s="7">
        <v>87</v>
      </c>
      <c r="D5646" s="6">
        <f t="shared" si="180"/>
        <v>-0.96163615197375385</v>
      </c>
      <c r="E5646" s="6">
        <v>-2.4991594755127244E-2</v>
      </c>
      <c r="F5646" s="6"/>
      <c r="G5646" s="6">
        <v>5639</v>
      </c>
      <c r="H5646" s="6">
        <f t="shared" ca="1" si="181"/>
        <v>7.7888622849857465E-3</v>
      </c>
    </row>
    <row r="5647" spans="2:8" x14ac:dyDescent="0.3">
      <c r="B5647" s="4">
        <v>45691</v>
      </c>
      <c r="C5647" s="5">
        <v>2267.7600000000002</v>
      </c>
      <c r="D5647" s="6">
        <f t="shared" si="180"/>
        <v>97.85614646904969</v>
      </c>
      <c r="E5647" s="6">
        <v>-2.5051267610477927E-2</v>
      </c>
      <c r="F5647" s="6"/>
      <c r="G5647" s="6">
        <v>5640</v>
      </c>
      <c r="H5647" s="6">
        <f t="shared" ca="1" si="181"/>
        <v>-2.112619943702625E-2</v>
      </c>
    </row>
    <row r="5648" spans="2:8" x14ac:dyDescent="0.3">
      <c r="B5648" s="4">
        <v>38278</v>
      </c>
      <c r="C5648" s="7">
        <v>22.94</v>
      </c>
      <c r="D5648" s="6">
        <f t="shared" si="180"/>
        <v>-0.99184761363232521</v>
      </c>
      <c r="E5648" s="6">
        <v>-2.5074373140671475E-2</v>
      </c>
      <c r="F5648" s="6"/>
      <c r="G5648" s="6">
        <v>5641</v>
      </c>
      <c r="H5648" s="6">
        <f t="shared" ca="1" si="181"/>
        <v>-1.1646965076606727E-2</v>
      </c>
    </row>
    <row r="5649" spans="2:8" x14ac:dyDescent="0.3">
      <c r="B5649" s="4">
        <v>46036</v>
      </c>
      <c r="C5649" s="5">
        <v>2813.9</v>
      </c>
      <c r="D5649" s="6">
        <f t="shared" si="180"/>
        <v>124.00666370501997</v>
      </c>
      <c r="E5649" s="6">
        <v>-2.5084017600388069E-2</v>
      </c>
      <c r="F5649" s="6"/>
      <c r="G5649" s="6">
        <v>5642</v>
      </c>
      <c r="H5649" s="6">
        <f t="shared" ca="1" si="181"/>
        <v>-3.1713860745002674E-2</v>
      </c>
    </row>
    <row r="5650" spans="2:8" x14ac:dyDescent="0.3">
      <c r="B5650" s="4">
        <v>37914</v>
      </c>
      <c r="C5650" s="7">
        <v>22.51</v>
      </c>
      <c r="D5650" s="6">
        <f t="shared" si="180"/>
        <v>-0.77326752618855754</v>
      </c>
      <c r="E5650" s="6">
        <v>-2.5119099177132884E-2</v>
      </c>
      <c r="F5650" s="6"/>
      <c r="G5650" s="6">
        <v>5643</v>
      </c>
      <c r="H5650" s="6">
        <f t="shared" ca="1" si="181"/>
        <v>2.253076245058876E-2</v>
      </c>
    </row>
    <row r="5651" spans="2:8" x14ac:dyDescent="0.3">
      <c r="B5651" s="4">
        <v>39709</v>
      </c>
      <c r="C5651" s="7">
        <v>99.28</v>
      </c>
      <c r="D5651" s="6">
        <f t="shared" si="180"/>
        <v>-0.91713477284678113</v>
      </c>
      <c r="E5651" s="6">
        <v>-2.5137470542026731E-2</v>
      </c>
      <c r="F5651" s="6"/>
      <c r="G5651" s="6">
        <v>5644</v>
      </c>
      <c r="H5651" s="6">
        <f t="shared" ca="1" si="181"/>
        <v>1.8525072803507372E-2</v>
      </c>
    </row>
    <row r="5652" spans="2:8" x14ac:dyDescent="0.3">
      <c r="B5652" s="4">
        <v>43367</v>
      </c>
      <c r="C5652" s="5">
        <v>1198.0899999999999</v>
      </c>
      <c r="D5652" s="6">
        <f t="shared" si="180"/>
        <v>12.886068613815484</v>
      </c>
      <c r="E5652" s="6">
        <v>-2.5142596766450573E-2</v>
      </c>
      <c r="F5652" s="6"/>
      <c r="G5652" s="6">
        <v>5645</v>
      </c>
      <c r="H5652" s="6">
        <f t="shared" ca="1" si="181"/>
        <v>4.855254305876756E-3</v>
      </c>
    </row>
    <row r="5653" spans="2:8" x14ac:dyDescent="0.3">
      <c r="B5653" s="4">
        <v>39394</v>
      </c>
      <c r="C5653" s="7">
        <v>86.28</v>
      </c>
      <c r="D5653" s="6">
        <f t="shared" si="180"/>
        <v>-0.94685817760750934</v>
      </c>
      <c r="E5653" s="6">
        <v>-2.5194893232403162E-2</v>
      </c>
      <c r="F5653" s="6"/>
      <c r="G5653" s="6">
        <v>5646</v>
      </c>
      <c r="H5653" s="6">
        <f t="shared" ca="1" si="181"/>
        <v>1.6684032487983988E-2</v>
      </c>
    </row>
    <row r="5654" spans="2:8" x14ac:dyDescent="0.3">
      <c r="B5654" s="4">
        <v>43836</v>
      </c>
      <c r="C5654" s="5">
        <v>1623.58</v>
      </c>
      <c r="D5654" s="6">
        <f t="shared" si="180"/>
        <v>3.9711573790569501</v>
      </c>
      <c r="E5654" s="6">
        <v>-2.5263259008441188E-2</v>
      </c>
      <c r="F5654" s="6"/>
      <c r="G5654" s="6">
        <v>5647</v>
      </c>
      <c r="H5654" s="6">
        <f t="shared" ca="1" si="181"/>
        <v>-3.5910899396114082E-2</v>
      </c>
    </row>
    <row r="5655" spans="2:8" x14ac:dyDescent="0.3">
      <c r="B5655" s="4">
        <v>41064</v>
      </c>
      <c r="C5655" s="7">
        <v>326.60000000000002</v>
      </c>
      <c r="D5655" s="6">
        <f t="shared" si="180"/>
        <v>-0.85712223354783956</v>
      </c>
      <c r="E5655" s="6">
        <v>-2.5307389280171785E-2</v>
      </c>
      <c r="F5655" s="6"/>
      <c r="G5655" s="6">
        <v>5648</v>
      </c>
      <c r="H5655" s="6">
        <f t="shared" ca="1" si="181"/>
        <v>-2.4834281159734619E-3</v>
      </c>
    </row>
    <row r="5656" spans="2:8" x14ac:dyDescent="0.3">
      <c r="B5656" s="4">
        <v>44244</v>
      </c>
      <c r="C5656" s="5">
        <v>2285.87</v>
      </c>
      <c r="D5656" s="6">
        <f t="shared" si="180"/>
        <v>29.510811532301119</v>
      </c>
      <c r="E5656" s="6">
        <v>-2.5344197568764919E-2</v>
      </c>
      <c r="F5656" s="6"/>
      <c r="G5656" s="6">
        <v>5649</v>
      </c>
      <c r="H5656" s="6">
        <f t="shared" ca="1" si="181"/>
        <v>5.225512571062358E-2</v>
      </c>
    </row>
    <row r="5657" spans="2:8" x14ac:dyDescent="0.3">
      <c r="B5657" s="4">
        <v>39804</v>
      </c>
      <c r="C5657" s="7">
        <v>74.92</v>
      </c>
      <c r="D5657" s="6">
        <f t="shared" si="180"/>
        <v>-0.8800397092259904</v>
      </c>
      <c r="E5657" s="6">
        <v>-2.5367503577468489E-2</v>
      </c>
      <c r="F5657" s="6"/>
      <c r="G5657" s="6">
        <v>5650</v>
      </c>
      <c r="H5657" s="6">
        <f t="shared" ca="1" si="181"/>
        <v>1.1980682837880147E-2</v>
      </c>
    </row>
    <row r="5658" spans="2:8" x14ac:dyDescent="0.3">
      <c r="B5658" s="4">
        <v>41962</v>
      </c>
      <c r="C5658" s="7">
        <v>624.54</v>
      </c>
      <c r="D5658" s="6">
        <f t="shared" si="180"/>
        <v>8.5320512820512828</v>
      </c>
      <c r="E5658" s="6">
        <v>-2.5404949907930598E-2</v>
      </c>
      <c r="F5658" s="6"/>
      <c r="G5658" s="6">
        <v>5651</v>
      </c>
      <c r="H5658" s="6">
        <f t="shared" ca="1" si="181"/>
        <v>1.2696255763132668E-2</v>
      </c>
    </row>
    <row r="5659" spans="2:8" x14ac:dyDescent="0.3">
      <c r="B5659" s="4">
        <v>39210</v>
      </c>
      <c r="C5659" s="7">
        <v>65.52</v>
      </c>
      <c r="D5659" s="6">
        <f t="shared" si="180"/>
        <v>-0.97198982536391421</v>
      </c>
      <c r="E5659" s="6">
        <v>-2.5435073627844831E-2</v>
      </c>
      <c r="F5659" s="6"/>
      <c r="G5659" s="6">
        <v>5652</v>
      </c>
      <c r="H5659" s="6">
        <f t="shared" ca="1" si="181"/>
        <v>-9.1122350235161749E-3</v>
      </c>
    </row>
    <row r="5660" spans="2:8" x14ac:dyDescent="0.3">
      <c r="B5660" s="4">
        <v>45926</v>
      </c>
      <c r="C5660" s="5">
        <v>2339.15</v>
      </c>
      <c r="D5660" s="6">
        <f t="shared" si="180"/>
        <v>22.706800445930881</v>
      </c>
      <c r="E5660" s="6">
        <v>-2.5455681699822898E-2</v>
      </c>
      <c r="F5660" s="6"/>
      <c r="G5660" s="6">
        <v>5653</v>
      </c>
      <c r="H5660" s="6">
        <f t="shared" ca="1" si="181"/>
        <v>-1.4966267838329538E-2</v>
      </c>
    </row>
    <row r="5661" spans="2:8" x14ac:dyDescent="0.3">
      <c r="B5661" s="4">
        <v>39457</v>
      </c>
      <c r="C5661" s="7">
        <v>98.67</v>
      </c>
      <c r="D5661" s="6">
        <f t="shared" si="180"/>
        <v>-0.86719875099261101</v>
      </c>
      <c r="E5661" s="6">
        <v>-2.5481481481481466E-2</v>
      </c>
      <c r="F5661" s="6"/>
      <c r="G5661" s="6">
        <v>5654</v>
      </c>
      <c r="H5661" s="6">
        <f t="shared" ca="1" si="181"/>
        <v>2.0022917421827425E-2</v>
      </c>
    </row>
    <row r="5662" spans="2:8" x14ac:dyDescent="0.3">
      <c r="B5662" s="4">
        <v>42072</v>
      </c>
      <c r="C5662" s="7">
        <v>742.99</v>
      </c>
      <c r="D5662" s="6">
        <f t="shared" si="180"/>
        <v>-0.65745043798985703</v>
      </c>
      <c r="E5662" s="6">
        <v>-2.5484641011515898E-2</v>
      </c>
      <c r="F5662" s="6"/>
      <c r="G5662" s="6">
        <v>5655</v>
      </c>
      <c r="H5662" s="6">
        <f t="shared" ca="1" si="181"/>
        <v>-2.0445446735928513E-3</v>
      </c>
    </row>
    <row r="5663" spans="2:8" x14ac:dyDescent="0.3">
      <c r="B5663" s="4">
        <v>46114</v>
      </c>
      <c r="C5663" s="5">
        <v>2169</v>
      </c>
      <c r="D5663" s="6">
        <f t="shared" si="180"/>
        <v>21.683539008575611</v>
      </c>
      <c r="E5663" s="6">
        <v>-2.5518914547578479E-2</v>
      </c>
      <c r="F5663" s="6"/>
      <c r="G5663" s="6">
        <v>5656</v>
      </c>
      <c r="H5663" s="6">
        <f t="shared" ca="1" si="181"/>
        <v>-7.4324562922323673E-3</v>
      </c>
    </row>
    <row r="5664" spans="2:8" x14ac:dyDescent="0.3">
      <c r="B5664" s="4">
        <v>39512</v>
      </c>
      <c r="C5664" s="7">
        <v>95.62</v>
      </c>
      <c r="D5664" s="6">
        <f t="shared" si="180"/>
        <v>-0.62254766510085657</v>
      </c>
      <c r="E5664" s="6">
        <v>-2.5677603423680417E-2</v>
      </c>
      <c r="F5664" s="6"/>
      <c r="G5664" s="6">
        <v>5657</v>
      </c>
      <c r="H5664" s="6">
        <f t="shared" ca="1" si="181"/>
        <v>-3.9652380092437489E-2</v>
      </c>
    </row>
    <row r="5665" spans="2:8" x14ac:dyDescent="0.3">
      <c r="B5665" s="4">
        <v>40536</v>
      </c>
      <c r="C5665" s="7">
        <v>253.33</v>
      </c>
      <c r="D5665" s="6">
        <f t="shared" si="180"/>
        <v>-0.88592849423631126</v>
      </c>
      <c r="E5665" s="6">
        <v>-2.5691319564632047E-2</v>
      </c>
      <c r="F5665" s="6"/>
      <c r="G5665" s="6">
        <v>5658</v>
      </c>
      <c r="H5665" s="6">
        <f t="shared" ca="1" si="181"/>
        <v>-5.1927821703454504E-4</v>
      </c>
    </row>
    <row r="5666" spans="2:8" x14ac:dyDescent="0.3">
      <c r="B5666" s="4">
        <v>46090</v>
      </c>
      <c r="C5666" s="5">
        <v>2220.8000000000002</v>
      </c>
      <c r="D5666" s="6">
        <f t="shared" si="180"/>
        <v>3.6950381598697706</v>
      </c>
      <c r="E5666" s="6">
        <v>-2.5751261241500248E-2</v>
      </c>
      <c r="F5666" s="6"/>
      <c r="G5666" s="6">
        <v>5659</v>
      </c>
      <c r="H5666" s="6">
        <f t="shared" ca="1" si="181"/>
        <v>-1.0900468129824351E-2</v>
      </c>
    </row>
    <row r="5667" spans="2:8" x14ac:dyDescent="0.3">
      <c r="B5667" s="4">
        <v>41731</v>
      </c>
      <c r="C5667" s="7">
        <v>473.01</v>
      </c>
      <c r="D5667" s="6">
        <f t="shared" si="180"/>
        <v>-0.82706376568915274</v>
      </c>
      <c r="E5667" s="6">
        <v>-2.5806318737900128E-2</v>
      </c>
      <c r="F5667" s="6"/>
      <c r="G5667" s="6">
        <v>5660</v>
      </c>
      <c r="H5667" s="6">
        <f t="shared" ca="1" si="181"/>
        <v>3.3145917456799998E-2</v>
      </c>
    </row>
    <row r="5668" spans="2:8" x14ac:dyDescent="0.3">
      <c r="B5668" s="4">
        <v>45604</v>
      </c>
      <c r="C5668" s="5">
        <v>2735.17</v>
      </c>
      <c r="D5668" s="6">
        <f t="shared" si="180"/>
        <v>33.193899237404679</v>
      </c>
      <c r="E5668" s="6">
        <v>-2.5818653255736016E-2</v>
      </c>
      <c r="F5668" s="6"/>
      <c r="G5668" s="6">
        <v>5661</v>
      </c>
      <c r="H5668" s="6">
        <f t="shared" ca="1" si="181"/>
        <v>-6.3503630023692024E-3</v>
      </c>
    </row>
    <row r="5669" spans="2:8" x14ac:dyDescent="0.3">
      <c r="B5669" s="4">
        <v>39352</v>
      </c>
      <c r="C5669" s="7">
        <v>79.989999999999995</v>
      </c>
      <c r="D5669" s="6">
        <f t="shared" si="180"/>
        <v>-0.96973824089101768</v>
      </c>
      <c r="E5669" s="6">
        <v>-2.5819023261478561E-2</v>
      </c>
      <c r="F5669" s="6"/>
      <c r="G5669" s="6">
        <v>5662</v>
      </c>
      <c r="H5669" s="6">
        <f t="shared" ca="1" si="181"/>
        <v>-2.181851221633704E-2</v>
      </c>
    </row>
    <row r="5670" spans="2:8" x14ac:dyDescent="0.3">
      <c r="B5670" s="4">
        <v>44719</v>
      </c>
      <c r="C5670" s="5">
        <v>2643.27</v>
      </c>
      <c r="D5670" s="6">
        <f t="shared" si="180"/>
        <v>1.5007048183082468</v>
      </c>
      <c r="E5670" s="6">
        <v>-2.5820670541364284E-2</v>
      </c>
      <c r="F5670" s="6"/>
      <c r="G5670" s="6">
        <v>5663</v>
      </c>
      <c r="H5670" s="6">
        <f t="shared" ca="1" si="181"/>
        <v>-2.435674929082474E-2</v>
      </c>
    </row>
    <row r="5671" spans="2:8" x14ac:dyDescent="0.3">
      <c r="B5671" s="4">
        <v>43006</v>
      </c>
      <c r="C5671" s="5">
        <v>1057.01</v>
      </c>
      <c r="D5671" s="6">
        <f t="shared" si="180"/>
        <v>1.2898334091549142</v>
      </c>
      <c r="E5671" s="6">
        <v>-2.5860082759637578E-2</v>
      </c>
      <c r="F5671" s="6"/>
      <c r="G5671" s="6">
        <v>5664</v>
      </c>
      <c r="H5671" s="6">
        <f t="shared" ca="1" si="181"/>
        <v>-5.2976506393542944E-3</v>
      </c>
    </row>
    <row r="5672" spans="2:8" x14ac:dyDescent="0.3">
      <c r="B5672" s="4">
        <v>41787</v>
      </c>
      <c r="C5672" s="7">
        <v>461.61</v>
      </c>
      <c r="D5672" s="6">
        <f t="shared" si="180"/>
        <v>-0.62250680797821445</v>
      </c>
      <c r="E5672" s="6">
        <v>-2.5872074619621394E-2</v>
      </c>
      <c r="F5672" s="6"/>
      <c r="G5672" s="6">
        <v>5665</v>
      </c>
      <c r="H5672" s="6">
        <f t="shared" ca="1" si="181"/>
        <v>4.0879768038746137E-3</v>
      </c>
    </row>
    <row r="5673" spans="2:8" x14ac:dyDescent="0.3">
      <c r="B5673" s="4">
        <v>43440</v>
      </c>
      <c r="C5673" s="5">
        <v>1222.83</v>
      </c>
      <c r="D5673" s="6">
        <f t="shared" si="180"/>
        <v>-8.8915711124522331E-2</v>
      </c>
      <c r="E5673" s="6">
        <v>-2.5874086878938284E-2</v>
      </c>
      <c r="F5673" s="6"/>
      <c r="G5673" s="6">
        <v>5666</v>
      </c>
      <c r="H5673" s="6">
        <f t="shared" ca="1" si="181"/>
        <v>-6.1146878845968157E-3</v>
      </c>
    </row>
    <row r="5674" spans="2:8" x14ac:dyDescent="0.3">
      <c r="B5674" s="4">
        <v>43620</v>
      </c>
      <c r="C5674" s="5">
        <v>1342.17</v>
      </c>
      <c r="D5674" s="6">
        <f t="shared" si="180"/>
        <v>4.5119917864476387</v>
      </c>
      <c r="E5674" s="6">
        <v>-2.5874207080750652E-2</v>
      </c>
      <c r="F5674" s="6"/>
      <c r="G5674" s="6">
        <v>5667</v>
      </c>
      <c r="H5674" s="6">
        <f t="shared" ca="1" si="181"/>
        <v>-3.2546568710904757E-2</v>
      </c>
    </row>
    <row r="5675" spans="2:8" x14ac:dyDescent="0.3">
      <c r="B5675" s="4">
        <v>40550</v>
      </c>
      <c r="C5675" s="7">
        <v>243.5</v>
      </c>
      <c r="D5675" s="6">
        <f t="shared" si="180"/>
        <v>0.59015215829687195</v>
      </c>
      <c r="E5675" s="6">
        <v>-2.5883105972716723E-2</v>
      </c>
      <c r="F5675" s="6"/>
      <c r="G5675" s="6">
        <v>5668</v>
      </c>
      <c r="H5675" s="6">
        <f t="shared" ca="1" si="181"/>
        <v>-2.853104630316974E-2</v>
      </c>
    </row>
    <row r="5676" spans="2:8" x14ac:dyDescent="0.3">
      <c r="B5676" s="4">
        <v>40200</v>
      </c>
      <c r="C5676" s="7">
        <v>153.13</v>
      </c>
      <c r="D5676" s="6">
        <f t="shared" si="180"/>
        <v>1.295457952330985</v>
      </c>
      <c r="E5676" s="6">
        <v>-2.5952547547865992E-2</v>
      </c>
      <c r="F5676" s="6"/>
      <c r="G5676" s="6">
        <v>5669</v>
      </c>
      <c r="H5676" s="6">
        <f t="shared" ca="1" si="181"/>
        <v>7.6542176724576126E-3</v>
      </c>
    </row>
    <row r="5677" spans="2:8" x14ac:dyDescent="0.3">
      <c r="B5677" s="4">
        <v>39841</v>
      </c>
      <c r="C5677" s="7">
        <v>66.709999999999994</v>
      </c>
      <c r="D5677" s="6">
        <f t="shared" si="180"/>
        <v>-0.25078616352201272</v>
      </c>
      <c r="E5677" s="6">
        <v>-2.5989195502993157E-2</v>
      </c>
      <c r="F5677" s="6"/>
      <c r="G5677" s="6">
        <v>5670</v>
      </c>
      <c r="H5677" s="6">
        <f t="shared" ca="1" si="181"/>
        <v>6.23376494626777E-3</v>
      </c>
    </row>
    <row r="5678" spans="2:8" x14ac:dyDescent="0.3">
      <c r="B5678" s="4">
        <v>39388</v>
      </c>
      <c r="C5678" s="7">
        <v>89.04</v>
      </c>
      <c r="D5678" s="6">
        <f t="shared" si="180"/>
        <v>-0.93874897674194635</v>
      </c>
      <c r="E5678" s="6">
        <v>-2.6140216559116268E-2</v>
      </c>
      <c r="F5678" s="6"/>
      <c r="G5678" s="6">
        <v>5671</v>
      </c>
      <c r="H5678" s="6">
        <f t="shared" ca="1" si="181"/>
        <v>-9.7939697943934534E-3</v>
      </c>
    </row>
    <row r="5679" spans="2:8" x14ac:dyDescent="0.3">
      <c r="B5679" s="4">
        <v>43965</v>
      </c>
      <c r="C5679" s="5">
        <v>1453.69</v>
      </c>
      <c r="D5679" s="6">
        <f t="shared" si="180"/>
        <v>9.2156711173576955</v>
      </c>
      <c r="E5679" s="6">
        <v>-2.6159947479132303E-2</v>
      </c>
      <c r="F5679" s="6"/>
      <c r="G5679" s="6">
        <v>5672</v>
      </c>
      <c r="H5679" s="6">
        <f t="shared" ca="1" si="181"/>
        <v>6.0634227406684109E-3</v>
      </c>
    </row>
    <row r="5680" spans="2:8" x14ac:dyDescent="0.3">
      <c r="B5680" s="4">
        <v>40144</v>
      </c>
      <c r="C5680" s="7">
        <v>142.30000000000001</v>
      </c>
      <c r="D5680" s="6">
        <f t="shared" si="180"/>
        <v>-0.79543722956169216</v>
      </c>
      <c r="E5680" s="6">
        <v>-2.6276173532229202E-2</v>
      </c>
      <c r="F5680" s="6"/>
      <c r="G5680" s="6">
        <v>5673</v>
      </c>
      <c r="H5680" s="6">
        <f t="shared" ca="1" si="181"/>
        <v>1.591161957258928E-2</v>
      </c>
    </row>
    <row r="5681" spans="2:8" x14ac:dyDescent="0.3">
      <c r="B5681" s="4">
        <v>42130</v>
      </c>
      <c r="C5681" s="7">
        <v>695.63</v>
      </c>
      <c r="D5681" s="6">
        <f t="shared" si="180"/>
        <v>1.8926729873586161</v>
      </c>
      <c r="E5681" s="6">
        <v>-2.6301055401584453E-2</v>
      </c>
      <c r="F5681" s="6"/>
      <c r="G5681" s="6">
        <v>5674</v>
      </c>
      <c r="H5681" s="6">
        <f t="shared" ca="1" si="181"/>
        <v>1.2894604443246223E-2</v>
      </c>
    </row>
    <row r="5682" spans="2:8" x14ac:dyDescent="0.3">
      <c r="B5682" s="4">
        <v>40893</v>
      </c>
      <c r="C5682" s="7">
        <v>240.48</v>
      </c>
      <c r="D5682" s="6">
        <f t="shared" si="180"/>
        <v>-0.8165297200796503</v>
      </c>
      <c r="E5682" s="6">
        <v>-2.6357342402526494E-2</v>
      </c>
      <c r="F5682" s="6"/>
      <c r="G5682" s="6">
        <v>5675</v>
      </c>
      <c r="H5682" s="6">
        <f t="shared" ca="1" si="181"/>
        <v>-4.0689059354522029E-3</v>
      </c>
    </row>
    <row r="5683" spans="2:8" x14ac:dyDescent="0.3">
      <c r="B5683" s="4">
        <v>43455</v>
      </c>
      <c r="C5683" s="5">
        <v>1310.73</v>
      </c>
      <c r="D5683" s="6">
        <f t="shared" si="180"/>
        <v>-0.1005764084265422</v>
      </c>
      <c r="E5683" s="6">
        <v>-2.6369936786433224E-2</v>
      </c>
      <c r="F5683" s="6"/>
      <c r="G5683" s="6">
        <v>5676</v>
      </c>
      <c r="H5683" s="6">
        <f t="shared" ca="1" si="181"/>
        <v>1.1522640544086317E-2</v>
      </c>
    </row>
    <row r="5684" spans="2:8" x14ac:dyDescent="0.3">
      <c r="B5684" s="4">
        <v>43712</v>
      </c>
      <c r="C5684" s="5">
        <v>1457.3</v>
      </c>
      <c r="D5684" s="6">
        <f t="shared" si="180"/>
        <v>-0.55022576672726209</v>
      </c>
      <c r="E5684" s="6">
        <v>-2.6383126557499723E-2</v>
      </c>
      <c r="F5684" s="6"/>
      <c r="G5684" s="6">
        <v>5677</v>
      </c>
      <c r="H5684" s="6">
        <f t="shared" ca="1" si="181"/>
        <v>1.6350993616680028E-2</v>
      </c>
    </row>
    <row r="5685" spans="2:8" x14ac:dyDescent="0.3">
      <c r="B5685" s="4">
        <v>44575</v>
      </c>
      <c r="C5685" s="5">
        <v>3240.07</v>
      </c>
      <c r="D5685" s="6">
        <f t="shared" si="180"/>
        <v>3.2236257218463624</v>
      </c>
      <c r="E5685" s="6">
        <v>-2.6576296443174625E-2</v>
      </c>
      <c r="F5685" s="6"/>
      <c r="G5685" s="6">
        <v>5678</v>
      </c>
      <c r="H5685" s="6">
        <f t="shared" ca="1" si="181"/>
        <v>-1.2342774889786816E-2</v>
      </c>
    </row>
    <row r="5686" spans="2:8" x14ac:dyDescent="0.3">
      <c r="B5686" s="4">
        <v>42109</v>
      </c>
      <c r="C5686" s="7">
        <v>767.13</v>
      </c>
      <c r="D5686" s="6">
        <f t="shared" si="180"/>
        <v>1.8038377192982453</v>
      </c>
      <c r="E5686" s="6">
        <v>-2.6670050117363425E-2</v>
      </c>
      <c r="F5686" s="6"/>
      <c r="G5686" s="6">
        <v>5679</v>
      </c>
      <c r="H5686" s="6">
        <f t="shared" ca="1" si="181"/>
        <v>4.028756720495958E-2</v>
      </c>
    </row>
    <row r="5687" spans="2:8" x14ac:dyDescent="0.3">
      <c r="B5687" s="4">
        <v>40703</v>
      </c>
      <c r="C5687" s="7">
        <v>273.60000000000002</v>
      </c>
      <c r="D5687" s="6">
        <f t="shared" si="180"/>
        <v>-0.63950669336987453</v>
      </c>
      <c r="E5687" s="6">
        <v>-2.6680896478121663E-2</v>
      </c>
      <c r="F5687" s="6"/>
      <c r="G5687" s="6">
        <v>5680</v>
      </c>
      <c r="H5687" s="6">
        <f t="shared" ca="1" si="181"/>
        <v>2.9381966258114074E-2</v>
      </c>
    </row>
    <row r="5688" spans="2:8" x14ac:dyDescent="0.3">
      <c r="B5688" s="4">
        <v>42202</v>
      </c>
      <c r="C5688" s="7">
        <v>758.96</v>
      </c>
      <c r="D5688" s="6">
        <f t="shared" si="180"/>
        <v>-3.2210349136721828E-2</v>
      </c>
      <c r="E5688" s="6">
        <v>-2.6712319983585232E-2</v>
      </c>
      <c r="F5688" s="6"/>
      <c r="G5688" s="6">
        <v>5681</v>
      </c>
      <c r="H5688" s="6">
        <f t="shared" ca="1" si="181"/>
        <v>-2.732569760318657E-2</v>
      </c>
    </row>
    <row r="5689" spans="2:8" x14ac:dyDescent="0.3">
      <c r="B5689" s="4">
        <v>42034</v>
      </c>
      <c r="C5689" s="7">
        <v>784.22</v>
      </c>
      <c r="D5689" s="6">
        <f t="shared" si="180"/>
        <v>12.211253369272237</v>
      </c>
      <c r="E5689" s="6">
        <v>-2.672044678870614E-2</v>
      </c>
      <c r="F5689" s="6"/>
      <c r="G5689" s="6">
        <v>5682</v>
      </c>
      <c r="H5689" s="6">
        <f t="shared" ca="1" si="181"/>
        <v>-6.6548570805659733E-3</v>
      </c>
    </row>
    <row r="5690" spans="2:8" x14ac:dyDescent="0.3">
      <c r="B5690" s="4">
        <v>39142</v>
      </c>
      <c r="C5690" s="7">
        <v>59.36</v>
      </c>
      <c r="D5690" s="6">
        <f t="shared" si="180"/>
        <v>0.49559082892416234</v>
      </c>
      <c r="E5690" s="6">
        <v>-2.6725692736514223E-2</v>
      </c>
      <c r="F5690" s="6"/>
      <c r="G5690" s="6">
        <v>5683</v>
      </c>
      <c r="H5690" s="6">
        <f t="shared" ca="1" si="181"/>
        <v>-1.1720713816681909E-2</v>
      </c>
    </row>
    <row r="5691" spans="2:8" x14ac:dyDescent="0.3">
      <c r="B5691" s="4">
        <v>38624</v>
      </c>
      <c r="C5691" s="7">
        <v>39.69</v>
      </c>
      <c r="D5691" s="6">
        <f t="shared" si="180"/>
        <v>-0.19247202441505598</v>
      </c>
      <c r="E5691" s="6">
        <v>-2.6728788621873549E-2</v>
      </c>
      <c r="F5691" s="6"/>
      <c r="G5691" s="6">
        <v>5684</v>
      </c>
      <c r="H5691" s="6">
        <f t="shared" ca="1" si="181"/>
        <v>-1.5143023683652427E-2</v>
      </c>
    </row>
    <row r="5692" spans="2:8" x14ac:dyDescent="0.3">
      <c r="B5692" s="4">
        <v>38855</v>
      </c>
      <c r="C5692" s="7">
        <v>49.15</v>
      </c>
      <c r="D5692" s="6">
        <f t="shared" si="180"/>
        <v>0.37829500841278751</v>
      </c>
      <c r="E5692" s="6">
        <v>-2.673267326732676E-2</v>
      </c>
      <c r="F5692" s="6"/>
      <c r="G5692" s="6">
        <v>5685</v>
      </c>
      <c r="H5692" s="6">
        <f t="shared" ca="1" si="181"/>
        <v>4.0298901821000949E-3</v>
      </c>
    </row>
    <row r="5693" spans="2:8" x14ac:dyDescent="0.3">
      <c r="B5693" s="4">
        <v>38558</v>
      </c>
      <c r="C5693" s="7">
        <v>35.659999999999997</v>
      </c>
      <c r="D5693" s="6">
        <f t="shared" si="180"/>
        <v>-0.40872160504062355</v>
      </c>
      <c r="E5693" s="6">
        <v>-2.6746724890829802E-2</v>
      </c>
      <c r="F5693" s="6"/>
      <c r="G5693" s="6">
        <v>5686</v>
      </c>
      <c r="H5693" s="6">
        <f t="shared" ca="1" si="181"/>
        <v>-7.6049152893491925E-3</v>
      </c>
    </row>
    <row r="5694" spans="2:8" x14ac:dyDescent="0.3">
      <c r="B5694" s="4">
        <v>39090</v>
      </c>
      <c r="C5694" s="7">
        <v>60.31</v>
      </c>
      <c r="D5694" s="6">
        <f t="shared" si="180"/>
        <v>-0.97532536075050835</v>
      </c>
      <c r="E5694" s="6">
        <v>-2.6787155075036255E-2</v>
      </c>
      <c r="F5694" s="6"/>
      <c r="G5694" s="6">
        <v>5687</v>
      </c>
      <c r="H5694" s="6">
        <f t="shared" ca="1" si="181"/>
        <v>-1.8838738475073634E-2</v>
      </c>
    </row>
    <row r="5695" spans="2:8" x14ac:dyDescent="0.3">
      <c r="B5695" s="4">
        <v>45608</v>
      </c>
      <c r="C5695" s="5">
        <v>2444.21</v>
      </c>
      <c r="D5695" s="6">
        <f t="shared" si="180"/>
        <v>-0.12083520673344965</v>
      </c>
      <c r="E5695" s="6">
        <v>-2.6839251160605451E-2</v>
      </c>
      <c r="F5695" s="6"/>
      <c r="G5695" s="6">
        <v>5688</v>
      </c>
      <c r="H5695" s="6">
        <f t="shared" ca="1" si="181"/>
        <v>2.0571848716603343E-2</v>
      </c>
    </row>
    <row r="5696" spans="2:8" x14ac:dyDescent="0.3">
      <c r="B5696" s="4">
        <v>44945</v>
      </c>
      <c r="C5696" s="5">
        <v>2780.15</v>
      </c>
      <c r="D5696" s="6">
        <f t="shared" si="180"/>
        <v>11.06557590486937</v>
      </c>
      <c r="E5696" s="6">
        <v>-2.6854564610920274E-2</v>
      </c>
      <c r="F5696" s="6"/>
      <c r="G5696" s="6">
        <v>5689</v>
      </c>
      <c r="H5696" s="6">
        <f t="shared" ca="1" si="181"/>
        <v>2.098428646265069E-2</v>
      </c>
    </row>
    <row r="5697" spans="2:8" x14ac:dyDescent="0.3">
      <c r="B5697" s="4">
        <v>40905</v>
      </c>
      <c r="C5697" s="7">
        <v>230.42</v>
      </c>
      <c r="D5697" s="6">
        <f t="shared" si="180"/>
        <v>8.925025999810908E-2</v>
      </c>
      <c r="E5697" s="6">
        <v>-2.6860376721006898E-2</v>
      </c>
      <c r="F5697" s="6"/>
      <c r="G5697" s="6">
        <v>5690</v>
      </c>
      <c r="H5697" s="6">
        <f t="shared" ca="1" si="181"/>
        <v>3.1883049889036813E-2</v>
      </c>
    </row>
    <row r="5698" spans="2:8" x14ac:dyDescent="0.3">
      <c r="B5698" s="4">
        <v>40598</v>
      </c>
      <c r="C5698" s="7">
        <v>211.54</v>
      </c>
      <c r="D5698" s="6">
        <f t="shared" si="180"/>
        <v>-0.6272094457661469</v>
      </c>
      <c r="E5698" s="6">
        <v>-2.6910161460968741E-2</v>
      </c>
      <c r="F5698" s="6"/>
      <c r="G5698" s="6">
        <v>5691</v>
      </c>
      <c r="H5698" s="6">
        <f t="shared" ca="1" si="181"/>
        <v>2.3720965803289633E-2</v>
      </c>
    </row>
    <row r="5699" spans="2:8" x14ac:dyDescent="0.3">
      <c r="B5699" s="4">
        <v>41907</v>
      </c>
      <c r="C5699" s="7">
        <v>567.45000000000005</v>
      </c>
      <c r="D5699" s="6">
        <f t="shared" si="180"/>
        <v>-0.21625093229468792</v>
      </c>
      <c r="E5699" s="6">
        <v>-2.6956119141931023E-2</v>
      </c>
      <c r="F5699" s="6"/>
      <c r="G5699" s="6">
        <v>5692</v>
      </c>
      <c r="H5699" s="6">
        <f t="shared" ca="1" si="181"/>
        <v>-7.4495795193728798E-4</v>
      </c>
    </row>
    <row r="5700" spans="2:8" x14ac:dyDescent="0.3">
      <c r="B5700" s="4">
        <v>42061</v>
      </c>
      <c r="C5700" s="7">
        <v>724.02</v>
      </c>
      <c r="D5700" s="6">
        <f t="shared" si="180"/>
        <v>8.3845755022683086</v>
      </c>
      <c r="E5700" s="6">
        <v>-2.6972543643914108E-2</v>
      </c>
      <c r="F5700" s="6"/>
      <c r="G5700" s="6">
        <v>5693</v>
      </c>
      <c r="H5700" s="6">
        <f t="shared" ca="1" si="181"/>
        <v>2.6799546359850433E-3</v>
      </c>
    </row>
    <row r="5701" spans="2:8" x14ac:dyDescent="0.3">
      <c r="B5701" s="4">
        <v>39835</v>
      </c>
      <c r="C5701" s="7">
        <v>77.150000000000006</v>
      </c>
      <c r="D5701" s="6">
        <f t="shared" si="180"/>
        <v>-0.67404622079513288</v>
      </c>
      <c r="E5701" s="6">
        <v>-2.698953209736411E-2</v>
      </c>
      <c r="F5701" s="6"/>
      <c r="G5701" s="6">
        <v>5694</v>
      </c>
      <c r="H5701" s="6">
        <f t="shared" ca="1" si="181"/>
        <v>1.7015411542176177E-2</v>
      </c>
    </row>
    <row r="5702" spans="2:8" x14ac:dyDescent="0.3">
      <c r="B5702" s="4">
        <v>40667</v>
      </c>
      <c r="C5702" s="7">
        <v>236.69</v>
      </c>
      <c r="D5702" s="6">
        <f t="shared" si="180"/>
        <v>-0.67913836810497918</v>
      </c>
      <c r="E5702" s="6">
        <v>-2.7008139439283044E-2</v>
      </c>
      <c r="F5702" s="6"/>
      <c r="G5702" s="6">
        <v>5695</v>
      </c>
      <c r="H5702" s="6">
        <f t="shared" ca="1" si="181"/>
        <v>4.4108539681584893E-3</v>
      </c>
    </row>
    <row r="5703" spans="2:8" x14ac:dyDescent="0.3">
      <c r="B5703" s="4">
        <v>42193</v>
      </c>
      <c r="C5703" s="7">
        <v>737.67</v>
      </c>
      <c r="D5703" s="6">
        <f t="shared" si="180"/>
        <v>7.1241189427312781</v>
      </c>
      <c r="E5703" s="6">
        <v>-2.7102951649916999E-2</v>
      </c>
      <c r="F5703" s="6"/>
      <c r="G5703" s="6">
        <v>5696</v>
      </c>
      <c r="H5703" s="6">
        <f t="shared" ca="1" si="181"/>
        <v>-4.1842348314440871E-2</v>
      </c>
    </row>
    <row r="5704" spans="2:8" x14ac:dyDescent="0.3">
      <c r="B5704" s="4">
        <v>39961</v>
      </c>
      <c r="C5704" s="7">
        <v>90.8</v>
      </c>
      <c r="D5704" s="6">
        <f t="shared" ref="D5704:D5767" si="182">((C5704-C5705)/C5705)</f>
        <v>-0.96642198102915877</v>
      </c>
      <c r="E5704" s="6">
        <v>-2.7108111003964441E-2</v>
      </c>
      <c r="F5704" s="6"/>
      <c r="G5704" s="6">
        <v>5697</v>
      </c>
      <c r="H5704" s="6">
        <f t="shared" ca="1" si="181"/>
        <v>-8.2698115689061671E-3</v>
      </c>
    </row>
    <row r="5705" spans="2:8" x14ac:dyDescent="0.3">
      <c r="B5705" s="4">
        <v>44946</v>
      </c>
      <c r="C5705" s="5">
        <v>2704.15</v>
      </c>
      <c r="D5705" s="6">
        <f t="shared" si="182"/>
        <v>96.517129462675797</v>
      </c>
      <c r="E5705" s="6">
        <v>-2.733665449705951E-2</v>
      </c>
      <c r="F5705" s="6"/>
      <c r="G5705" s="6">
        <v>5698</v>
      </c>
      <c r="H5705" s="6">
        <f t="shared" ref="H5705:H5768" ca="1" si="183">_xlfn.NORM.INV(RAND(),N$10,N$11)</f>
        <v>6.5897825873229765E-3</v>
      </c>
    </row>
    <row r="5706" spans="2:8" x14ac:dyDescent="0.3">
      <c r="B5706" s="4">
        <v>38404</v>
      </c>
      <c r="C5706" s="7">
        <v>27.73</v>
      </c>
      <c r="D5706" s="6">
        <f t="shared" si="182"/>
        <v>-0.9888182327726992</v>
      </c>
      <c r="E5706" s="6">
        <v>-2.7358821466152265E-2</v>
      </c>
      <c r="F5706" s="6"/>
      <c r="G5706" s="6">
        <v>5699</v>
      </c>
      <c r="H5706" s="6">
        <f t="shared" ca="1" si="183"/>
        <v>-2.3046493811925356E-3</v>
      </c>
    </row>
    <row r="5707" spans="2:8" x14ac:dyDescent="0.3">
      <c r="B5707" s="4">
        <v>44211</v>
      </c>
      <c r="C5707" s="5">
        <v>2479.9299999999998</v>
      </c>
      <c r="D5707" s="6">
        <f t="shared" si="182"/>
        <v>106.91688424717144</v>
      </c>
      <c r="E5707" s="6">
        <v>-2.7405963581600242E-2</v>
      </c>
      <c r="F5707" s="6"/>
      <c r="G5707" s="6">
        <v>5700</v>
      </c>
      <c r="H5707" s="6">
        <f t="shared" ca="1" si="183"/>
        <v>1.1638972718326026E-2</v>
      </c>
    </row>
    <row r="5708" spans="2:8" x14ac:dyDescent="0.3">
      <c r="B5708" s="4">
        <v>38294</v>
      </c>
      <c r="C5708" s="7">
        <v>22.98</v>
      </c>
      <c r="D5708" s="6">
        <f t="shared" si="182"/>
        <v>-0.96040525173162405</v>
      </c>
      <c r="E5708" s="6">
        <v>-2.7507405840033795E-2</v>
      </c>
      <c r="F5708" s="6"/>
      <c r="G5708" s="6">
        <v>5701</v>
      </c>
      <c r="H5708" s="6">
        <f t="shared" ca="1" si="183"/>
        <v>1.7408553850273945E-2</v>
      </c>
    </row>
    <row r="5709" spans="2:8" x14ac:dyDescent="0.3">
      <c r="B5709" s="4">
        <v>41905</v>
      </c>
      <c r="C5709" s="7">
        <v>580.38</v>
      </c>
      <c r="D5709" s="6">
        <f t="shared" si="182"/>
        <v>-0.80476860043460996</v>
      </c>
      <c r="E5709" s="6">
        <v>-2.7513404825737199E-2</v>
      </c>
      <c r="F5709" s="6"/>
      <c r="G5709" s="6">
        <v>5702</v>
      </c>
      <c r="H5709" s="6">
        <f t="shared" ca="1" si="183"/>
        <v>-1.4605036950714651E-2</v>
      </c>
    </row>
    <row r="5710" spans="2:8" x14ac:dyDescent="0.3">
      <c r="B5710" s="4">
        <v>44705</v>
      </c>
      <c r="C5710" s="5">
        <v>2972.78</v>
      </c>
      <c r="D5710" s="6">
        <f t="shared" si="182"/>
        <v>0.57691267193227214</v>
      </c>
      <c r="E5710" s="6">
        <v>-2.7518073865680882E-2</v>
      </c>
      <c r="F5710" s="6"/>
      <c r="G5710" s="6">
        <v>5703</v>
      </c>
      <c r="H5710" s="6">
        <f t="shared" ca="1" si="183"/>
        <v>2.9050122138752792E-2</v>
      </c>
    </row>
    <row r="5711" spans="2:8" x14ac:dyDescent="0.3">
      <c r="B5711" s="4">
        <v>44095</v>
      </c>
      <c r="C5711" s="5">
        <v>1885.19</v>
      </c>
      <c r="D5711" s="6">
        <f t="shared" si="182"/>
        <v>26.329515801681644</v>
      </c>
      <c r="E5711" s="6">
        <v>-2.7535760895918065E-2</v>
      </c>
      <c r="F5711" s="6"/>
      <c r="G5711" s="6">
        <v>5704</v>
      </c>
      <c r="H5711" s="6">
        <f t="shared" ca="1" si="183"/>
        <v>-8.2464642477909026E-3</v>
      </c>
    </row>
    <row r="5712" spans="2:8" x14ac:dyDescent="0.3">
      <c r="B5712" s="4">
        <v>39860</v>
      </c>
      <c r="C5712" s="7">
        <v>68.98</v>
      </c>
      <c r="D5712" s="6">
        <f t="shared" si="182"/>
        <v>-0.97816515097319867</v>
      </c>
      <c r="E5712" s="6">
        <v>-2.7628982238511332E-2</v>
      </c>
      <c r="F5712" s="6"/>
      <c r="G5712" s="6">
        <v>5705</v>
      </c>
      <c r="H5712" s="6">
        <f t="shared" ca="1" si="183"/>
        <v>7.5664522343303507E-3</v>
      </c>
    </row>
    <row r="5713" spans="2:8" x14ac:dyDescent="0.3">
      <c r="B5713" s="4">
        <v>44580</v>
      </c>
      <c r="C5713" s="5">
        <v>3159.17</v>
      </c>
      <c r="D5713" s="6">
        <f t="shared" si="182"/>
        <v>0.43117242004167794</v>
      </c>
      <c r="E5713" s="6">
        <v>-2.7657485464892637E-2</v>
      </c>
      <c r="F5713" s="6"/>
      <c r="G5713" s="6">
        <v>5706</v>
      </c>
      <c r="H5713" s="6">
        <f t="shared" ca="1" si="183"/>
        <v>3.9338324181492357E-3</v>
      </c>
    </row>
    <row r="5714" spans="2:8" x14ac:dyDescent="0.3">
      <c r="B5714" s="4">
        <v>46108</v>
      </c>
      <c r="C5714" s="5">
        <v>2207.4</v>
      </c>
      <c r="D5714" s="6">
        <f t="shared" si="182"/>
        <v>3.7379265936896333</v>
      </c>
      <c r="E5714" s="6">
        <v>-2.7662760990221007E-2</v>
      </c>
      <c r="F5714" s="6"/>
      <c r="G5714" s="6">
        <v>5707</v>
      </c>
      <c r="H5714" s="6">
        <f t="shared" ca="1" si="183"/>
        <v>-1.6071404035399008E-2</v>
      </c>
    </row>
    <row r="5715" spans="2:8" x14ac:dyDescent="0.3">
      <c r="B5715" s="4">
        <v>41754</v>
      </c>
      <c r="C5715" s="7">
        <v>465.9</v>
      </c>
      <c r="D5715" s="6">
        <f t="shared" si="182"/>
        <v>2.8749337572866945E-2</v>
      </c>
      <c r="E5715" s="6">
        <v>-2.7673428499874878E-2</v>
      </c>
      <c r="F5715" s="6"/>
      <c r="G5715" s="6">
        <v>5708</v>
      </c>
      <c r="H5715" s="6">
        <f t="shared" ca="1" si="183"/>
        <v>-3.918266246664695E-2</v>
      </c>
    </row>
    <row r="5716" spans="2:8" x14ac:dyDescent="0.3">
      <c r="B5716" s="4">
        <v>41757</v>
      </c>
      <c r="C5716" s="7">
        <v>452.88</v>
      </c>
      <c r="D5716" s="6">
        <f t="shared" si="182"/>
        <v>-0.85675879126787824</v>
      </c>
      <c r="E5716" s="6">
        <v>-2.7945911139729517E-2</v>
      </c>
      <c r="F5716" s="6"/>
      <c r="G5716" s="6">
        <v>5709</v>
      </c>
      <c r="H5716" s="6">
        <f t="shared" ca="1" si="183"/>
        <v>2.7448435162899673E-2</v>
      </c>
    </row>
    <row r="5717" spans="2:8" x14ac:dyDescent="0.3">
      <c r="B5717" s="4">
        <v>45148</v>
      </c>
      <c r="C5717" s="5">
        <v>3161.66</v>
      </c>
      <c r="D5717" s="6">
        <f t="shared" si="182"/>
        <v>10.773077639173337</v>
      </c>
      <c r="E5717" s="6">
        <v>-2.7947216961408887E-2</v>
      </c>
      <c r="F5717" s="6"/>
      <c r="G5717" s="6">
        <v>5710</v>
      </c>
      <c r="H5717" s="6">
        <f t="shared" ca="1" si="183"/>
        <v>-1.2868293630462449E-2</v>
      </c>
    </row>
    <row r="5718" spans="2:8" x14ac:dyDescent="0.3">
      <c r="B5718" s="4">
        <v>40802</v>
      </c>
      <c r="C5718" s="7">
        <v>268.55</v>
      </c>
      <c r="D5718" s="6">
        <f t="shared" si="182"/>
        <v>1.7492833742833742</v>
      </c>
      <c r="E5718" s="6">
        <v>-2.7978862024033452E-2</v>
      </c>
      <c r="F5718" s="6"/>
      <c r="G5718" s="6">
        <v>5711</v>
      </c>
      <c r="H5718" s="6">
        <f t="shared" ca="1" si="183"/>
        <v>-9.3697237701386837E-3</v>
      </c>
    </row>
    <row r="5719" spans="2:8" x14ac:dyDescent="0.3">
      <c r="B5719" s="4">
        <v>39724</v>
      </c>
      <c r="C5719" s="7">
        <v>97.68</v>
      </c>
      <c r="D5719" s="6">
        <f t="shared" si="182"/>
        <v>0.356478266907374</v>
      </c>
      <c r="E5719" s="6">
        <v>-2.8059701492537246E-2</v>
      </c>
      <c r="F5719" s="6"/>
      <c r="G5719" s="6">
        <v>5712</v>
      </c>
      <c r="H5719" s="6">
        <f t="shared" ca="1" si="183"/>
        <v>-7.803796385675861E-3</v>
      </c>
    </row>
    <row r="5720" spans="2:8" x14ac:dyDescent="0.3">
      <c r="B5720" s="4">
        <v>39295</v>
      </c>
      <c r="C5720" s="7">
        <v>72.010000000000005</v>
      </c>
      <c r="D5720" s="6">
        <f t="shared" si="182"/>
        <v>0.24477095937770102</v>
      </c>
      <c r="E5720" s="6">
        <v>-2.8073964097718965E-2</v>
      </c>
      <c r="F5720" s="6"/>
      <c r="G5720" s="6">
        <v>5713</v>
      </c>
      <c r="H5720" s="6">
        <f t="shared" ca="1" si="183"/>
        <v>-1.576137486531299E-2</v>
      </c>
    </row>
    <row r="5721" spans="2:8" x14ac:dyDescent="0.3">
      <c r="B5721" s="4">
        <v>39058</v>
      </c>
      <c r="C5721" s="7">
        <v>57.85</v>
      </c>
      <c r="D5721" s="6">
        <f t="shared" si="182"/>
        <v>-0.94883700362607237</v>
      </c>
      <c r="E5721" s="6">
        <v>-2.8221065009239033E-2</v>
      </c>
      <c r="F5721" s="6"/>
      <c r="G5721" s="6">
        <v>5714</v>
      </c>
      <c r="H5721" s="6">
        <f t="shared" ca="1" si="183"/>
        <v>1.8120114356244658E-2</v>
      </c>
    </row>
    <row r="5722" spans="2:8" x14ac:dyDescent="0.3">
      <c r="B5722" s="4">
        <v>43395</v>
      </c>
      <c r="C5722" s="5">
        <v>1130.7</v>
      </c>
      <c r="D5722" s="6">
        <f t="shared" si="182"/>
        <v>23.801491555165608</v>
      </c>
      <c r="E5722" s="6">
        <v>-2.8332774755729737E-2</v>
      </c>
      <c r="F5722" s="6"/>
      <c r="G5722" s="6">
        <v>5715</v>
      </c>
      <c r="H5722" s="6">
        <f t="shared" ca="1" si="183"/>
        <v>-4.9737054997952435E-3</v>
      </c>
    </row>
    <row r="5723" spans="2:8" x14ac:dyDescent="0.3">
      <c r="B5723" s="4">
        <v>38889</v>
      </c>
      <c r="C5723" s="7">
        <v>45.59</v>
      </c>
      <c r="D5723" s="6">
        <f t="shared" si="182"/>
        <v>-0.40209836065573767</v>
      </c>
      <c r="E5723" s="6">
        <v>-2.8346121057118461E-2</v>
      </c>
      <c r="F5723" s="6"/>
      <c r="G5723" s="6">
        <v>5716</v>
      </c>
      <c r="H5723" s="6">
        <f t="shared" ca="1" si="183"/>
        <v>-6.6761822378209991E-3</v>
      </c>
    </row>
    <row r="5724" spans="2:8" x14ac:dyDescent="0.3">
      <c r="B5724" s="4">
        <v>39820</v>
      </c>
      <c r="C5724" s="7">
        <v>76.25</v>
      </c>
      <c r="D5724" s="6">
        <f t="shared" si="182"/>
        <v>-0.82642840883223312</v>
      </c>
      <c r="E5724" s="6">
        <v>-2.8414882772680988E-2</v>
      </c>
      <c r="F5724" s="6"/>
      <c r="G5724" s="6">
        <v>5717</v>
      </c>
      <c r="H5724" s="6">
        <f t="shared" ca="1" si="183"/>
        <v>-7.5264333343174113E-3</v>
      </c>
    </row>
    <row r="5725" spans="2:8" x14ac:dyDescent="0.3">
      <c r="B5725" s="4">
        <v>41641</v>
      </c>
      <c r="C5725" s="7">
        <v>439.3</v>
      </c>
      <c r="D5725" s="6">
        <f t="shared" si="182"/>
        <v>-0.83581252803109574</v>
      </c>
      <c r="E5725" s="6">
        <v>-2.8419772199491246E-2</v>
      </c>
      <c r="F5725" s="6"/>
      <c r="G5725" s="6">
        <v>5718</v>
      </c>
      <c r="H5725" s="6">
        <f t="shared" ca="1" si="183"/>
        <v>-3.5265853286199338E-3</v>
      </c>
    </row>
    <row r="5726" spans="2:8" x14ac:dyDescent="0.3">
      <c r="B5726" s="4">
        <v>46042</v>
      </c>
      <c r="C5726" s="5">
        <v>2675.6</v>
      </c>
      <c r="D5726" s="6">
        <f t="shared" si="182"/>
        <v>35.712403951701425</v>
      </c>
      <c r="E5726" s="6">
        <v>-2.8467683369644187E-2</v>
      </c>
      <c r="F5726" s="6"/>
      <c r="G5726" s="6">
        <v>5719</v>
      </c>
      <c r="H5726" s="6">
        <f t="shared" ca="1" si="183"/>
        <v>2.6893705374737009E-3</v>
      </c>
    </row>
    <row r="5727" spans="2:8" x14ac:dyDescent="0.3">
      <c r="B5727" s="4">
        <v>39288</v>
      </c>
      <c r="C5727" s="7">
        <v>72.88</v>
      </c>
      <c r="D5727" s="6">
        <f t="shared" si="182"/>
        <v>-0.22976114986260843</v>
      </c>
      <c r="E5727" s="6">
        <v>-2.8525726472940559E-2</v>
      </c>
      <c r="F5727" s="6"/>
      <c r="G5727" s="6">
        <v>5720</v>
      </c>
      <c r="H5727" s="6">
        <f t="shared" ca="1" si="183"/>
        <v>-1.7393298819394935E-2</v>
      </c>
    </row>
    <row r="5728" spans="2:8" x14ac:dyDescent="0.3">
      <c r="B5728" s="4">
        <v>39461</v>
      </c>
      <c r="C5728" s="7">
        <v>94.62</v>
      </c>
      <c r="D5728" s="6">
        <f t="shared" si="182"/>
        <v>-0.79463917525773198</v>
      </c>
      <c r="E5728" s="6">
        <v>-2.8542094455852166E-2</v>
      </c>
      <c r="F5728" s="6"/>
      <c r="G5728" s="6">
        <v>5721</v>
      </c>
      <c r="H5728" s="6">
        <f t="shared" ca="1" si="183"/>
        <v>-3.3067358562258401E-3</v>
      </c>
    </row>
    <row r="5729" spans="2:8" x14ac:dyDescent="0.3">
      <c r="B5729" s="4">
        <v>41599</v>
      </c>
      <c r="C5729" s="7">
        <v>460.75</v>
      </c>
      <c r="D5729" s="6">
        <f t="shared" si="182"/>
        <v>-0.56232010715201719</v>
      </c>
      <c r="E5729" s="6">
        <v>-2.8691289316131238E-2</v>
      </c>
      <c r="F5729" s="6"/>
      <c r="G5729" s="6">
        <v>5722</v>
      </c>
      <c r="H5729" s="6">
        <f t="shared" ca="1" si="183"/>
        <v>-1.2182460459471049E-2</v>
      </c>
    </row>
    <row r="5730" spans="2:8" x14ac:dyDescent="0.3">
      <c r="B5730" s="4">
        <v>42867</v>
      </c>
      <c r="C5730" s="5">
        <v>1052.71</v>
      </c>
      <c r="D5730" s="6">
        <f t="shared" si="182"/>
        <v>35.225395732966284</v>
      </c>
      <c r="E5730" s="6">
        <v>-2.8721951579568833E-2</v>
      </c>
      <c r="F5730" s="6"/>
      <c r="G5730" s="6">
        <v>5723</v>
      </c>
      <c r="H5730" s="6">
        <f t="shared" ca="1" si="183"/>
        <v>1.1248649659559346E-2</v>
      </c>
    </row>
    <row r="5731" spans="2:8" x14ac:dyDescent="0.3">
      <c r="B5731" s="4">
        <v>38470</v>
      </c>
      <c r="C5731" s="7">
        <v>29.06</v>
      </c>
      <c r="D5731" s="6">
        <f t="shared" si="182"/>
        <v>-0.8827611247831525</v>
      </c>
      <c r="E5731" s="6">
        <v>-2.8743315508021488E-2</v>
      </c>
      <c r="F5731" s="6"/>
      <c r="G5731" s="6">
        <v>5724</v>
      </c>
      <c r="H5731" s="6">
        <f t="shared" ca="1" si="183"/>
        <v>-1.4039361501602683E-2</v>
      </c>
    </row>
    <row r="5732" spans="2:8" x14ac:dyDescent="0.3">
      <c r="B5732" s="4">
        <v>40878</v>
      </c>
      <c r="C5732" s="7">
        <v>247.87</v>
      </c>
      <c r="D5732" s="6">
        <f t="shared" si="182"/>
        <v>-0.91549502250102277</v>
      </c>
      <c r="E5732" s="6">
        <v>-2.8912830558276183E-2</v>
      </c>
      <c r="F5732" s="6"/>
      <c r="G5732" s="6">
        <v>5725</v>
      </c>
      <c r="H5732" s="6">
        <f t="shared" ca="1" si="183"/>
        <v>-2.5047001612496296E-2</v>
      </c>
    </row>
    <row r="5733" spans="2:8" x14ac:dyDescent="0.3">
      <c r="B5733" s="4">
        <v>44641</v>
      </c>
      <c r="C5733" s="5">
        <v>2933.2</v>
      </c>
      <c r="D5733" s="6">
        <f t="shared" si="182"/>
        <v>0.17366965832656431</v>
      </c>
      <c r="E5733" s="6">
        <v>-2.8963581168541041E-2</v>
      </c>
      <c r="F5733" s="6"/>
      <c r="G5733" s="6">
        <v>5726</v>
      </c>
      <c r="H5733" s="6">
        <f t="shared" ca="1" si="183"/>
        <v>-7.5113746114204537E-3</v>
      </c>
    </row>
    <row r="5734" spans="2:8" x14ac:dyDescent="0.3">
      <c r="B5734" s="4">
        <v>44729</v>
      </c>
      <c r="C5734" s="5">
        <v>2499.17</v>
      </c>
      <c r="D5734" s="6">
        <f t="shared" si="182"/>
        <v>8.3251701269992706E-2</v>
      </c>
      <c r="E5734" s="6">
        <v>-2.9067711995772988E-2</v>
      </c>
      <c r="F5734" s="6"/>
      <c r="G5734" s="6">
        <v>5727</v>
      </c>
      <c r="H5734" s="6">
        <f t="shared" ca="1" si="183"/>
        <v>3.7757657223635608E-3</v>
      </c>
    </row>
    <row r="5735" spans="2:8" x14ac:dyDescent="0.3">
      <c r="B5735" s="4">
        <v>46083</v>
      </c>
      <c r="C5735" s="5">
        <v>2307.1</v>
      </c>
      <c r="D5735" s="6">
        <f t="shared" si="182"/>
        <v>36.307567917205688</v>
      </c>
      <c r="E5735" s="6">
        <v>-2.9080043767359613E-2</v>
      </c>
      <c r="F5735" s="6"/>
      <c r="G5735" s="6">
        <v>5728</v>
      </c>
      <c r="H5735" s="6">
        <f t="shared" ca="1" si="183"/>
        <v>-9.3089986227061963E-3</v>
      </c>
    </row>
    <row r="5736" spans="2:8" x14ac:dyDescent="0.3">
      <c r="B5736" s="4">
        <v>39174</v>
      </c>
      <c r="C5736" s="7">
        <v>61.84</v>
      </c>
      <c r="D5736" s="6">
        <f t="shared" si="182"/>
        <v>-0.9722513887767098</v>
      </c>
      <c r="E5736" s="6">
        <v>-2.9199372056514905E-2</v>
      </c>
      <c r="F5736" s="6"/>
      <c r="G5736" s="6">
        <v>5729</v>
      </c>
      <c r="H5736" s="6">
        <f t="shared" ca="1" si="183"/>
        <v>3.051290377442905E-2</v>
      </c>
    </row>
    <row r="5737" spans="2:8" x14ac:dyDescent="0.3">
      <c r="B5737" s="4">
        <v>45670</v>
      </c>
      <c r="C5737" s="5">
        <v>2228.58</v>
      </c>
      <c r="D5737" s="6">
        <f t="shared" si="182"/>
        <v>3.643552184693601</v>
      </c>
      <c r="E5737" s="6">
        <v>-2.9342973496809553E-2</v>
      </c>
      <c r="F5737" s="6"/>
      <c r="G5737" s="6">
        <v>5730</v>
      </c>
      <c r="H5737" s="6">
        <f t="shared" ca="1" si="183"/>
        <v>2.7277914298375139E-3</v>
      </c>
    </row>
    <row r="5738" spans="2:8" x14ac:dyDescent="0.3">
      <c r="B5738" s="4">
        <v>41590</v>
      </c>
      <c r="C5738" s="7">
        <v>479.93</v>
      </c>
      <c r="D5738" s="6">
        <f t="shared" si="182"/>
        <v>-0.78602446810407856</v>
      </c>
      <c r="E5738" s="6">
        <v>-2.9365962180200187E-2</v>
      </c>
      <c r="F5738" s="6"/>
      <c r="G5738" s="6">
        <v>5731</v>
      </c>
      <c r="H5738" s="6">
        <f t="shared" ca="1" si="183"/>
        <v>1.6787418214906206E-2</v>
      </c>
    </row>
    <row r="5739" spans="2:8" x14ac:dyDescent="0.3">
      <c r="B5739" s="4">
        <v>45663</v>
      </c>
      <c r="C5739" s="5">
        <v>2242.92</v>
      </c>
      <c r="D5739" s="6">
        <f t="shared" si="182"/>
        <v>0.54194967688711693</v>
      </c>
      <c r="E5739" s="6">
        <v>-2.9454908935131575E-2</v>
      </c>
      <c r="F5739" s="6"/>
      <c r="G5739" s="6">
        <v>5732</v>
      </c>
      <c r="H5739" s="6">
        <f t="shared" ca="1" si="183"/>
        <v>4.5899462220190214E-3</v>
      </c>
    </row>
    <row r="5740" spans="2:8" x14ac:dyDescent="0.3">
      <c r="B5740" s="4">
        <v>43963</v>
      </c>
      <c r="C5740" s="5">
        <v>1454.6</v>
      </c>
      <c r="D5740" s="6">
        <f t="shared" si="182"/>
        <v>-0.40084933910543424</v>
      </c>
      <c r="E5740" s="6">
        <v>-2.9464357201953669E-2</v>
      </c>
      <c r="F5740" s="6"/>
      <c r="G5740" s="6">
        <v>5733</v>
      </c>
      <c r="H5740" s="6">
        <f t="shared" ca="1" si="183"/>
        <v>1.1296512544971944E-2</v>
      </c>
    </row>
    <row r="5741" spans="2:8" x14ac:dyDescent="0.3">
      <c r="B5741" s="4">
        <v>44316</v>
      </c>
      <c r="C5741" s="5">
        <v>2427.77</v>
      </c>
      <c r="D5741" s="6">
        <f t="shared" si="182"/>
        <v>102.0900212314225</v>
      </c>
      <c r="E5741" s="6">
        <v>-2.9482074898461736E-2</v>
      </c>
      <c r="F5741" s="6"/>
      <c r="G5741" s="6">
        <v>5734</v>
      </c>
      <c r="H5741" s="6">
        <f t="shared" ca="1" si="183"/>
        <v>-1.2820487619352909E-2</v>
      </c>
    </row>
    <row r="5742" spans="2:8" x14ac:dyDescent="0.3">
      <c r="B5742" s="4">
        <v>38104</v>
      </c>
      <c r="C5742" s="7">
        <v>23.55</v>
      </c>
      <c r="D5742" s="6">
        <f t="shared" si="182"/>
        <v>-0.96819802301085733</v>
      </c>
      <c r="E5742" s="6">
        <v>-2.9666254635352239E-2</v>
      </c>
      <c r="F5742" s="6"/>
      <c r="G5742" s="6">
        <v>5735</v>
      </c>
      <c r="H5742" s="6">
        <f t="shared" ca="1" si="183"/>
        <v>9.7461885588630958E-3</v>
      </c>
    </row>
    <row r="5743" spans="2:8" x14ac:dyDescent="0.3">
      <c r="B5743" s="4">
        <v>42083</v>
      </c>
      <c r="C5743" s="7">
        <v>740.52</v>
      </c>
      <c r="D5743" s="6">
        <f t="shared" si="182"/>
        <v>5.6346466577273116E-2</v>
      </c>
      <c r="E5743" s="6">
        <v>-2.976783187463973E-2</v>
      </c>
      <c r="F5743" s="6"/>
      <c r="G5743" s="6">
        <v>5736</v>
      </c>
      <c r="H5743" s="6">
        <f t="shared" ca="1" si="183"/>
        <v>1.3814292402998064E-2</v>
      </c>
    </row>
    <row r="5744" spans="2:8" x14ac:dyDescent="0.3">
      <c r="B5744" s="4">
        <v>42142</v>
      </c>
      <c r="C5744" s="7">
        <v>701.02</v>
      </c>
      <c r="D5744" s="6">
        <f t="shared" si="182"/>
        <v>0.64992468461683295</v>
      </c>
      <c r="E5744" s="6">
        <v>-2.9797245865338003E-2</v>
      </c>
      <c r="F5744" s="6"/>
      <c r="G5744" s="6">
        <v>5737</v>
      </c>
      <c r="H5744" s="6">
        <f t="shared" ca="1" si="183"/>
        <v>-1.0548627322891514E-2</v>
      </c>
    </row>
    <row r="5745" spans="2:8" x14ac:dyDescent="0.3">
      <c r="B5745" s="4">
        <v>41561</v>
      </c>
      <c r="C5745" s="7">
        <v>424.88</v>
      </c>
      <c r="D5745" s="6">
        <f t="shared" si="182"/>
        <v>17.976328718177758</v>
      </c>
      <c r="E5745" s="6">
        <v>-2.9799282990432285E-2</v>
      </c>
      <c r="F5745" s="6"/>
      <c r="G5745" s="6">
        <v>5738</v>
      </c>
      <c r="H5745" s="6">
        <f t="shared" ca="1" si="183"/>
        <v>7.7137469537149131E-3</v>
      </c>
    </row>
    <row r="5746" spans="2:8" x14ac:dyDescent="0.3">
      <c r="B5746" s="4">
        <v>38135</v>
      </c>
      <c r="C5746" s="7">
        <v>22.39</v>
      </c>
      <c r="D5746" s="6">
        <f t="shared" si="182"/>
        <v>-0.99146332164099438</v>
      </c>
      <c r="E5746" s="6">
        <v>-2.9896013864817928E-2</v>
      </c>
      <c r="F5746" s="6"/>
      <c r="G5746" s="6">
        <v>5739</v>
      </c>
      <c r="H5746" s="6">
        <f t="shared" ca="1" si="183"/>
        <v>2.8919826871313382E-2</v>
      </c>
    </row>
    <row r="5747" spans="2:8" x14ac:dyDescent="0.3">
      <c r="B5747" s="4">
        <v>46049</v>
      </c>
      <c r="C5747" s="5">
        <v>2622.8</v>
      </c>
      <c r="D5747" s="6">
        <f t="shared" si="182"/>
        <v>42.266248762784564</v>
      </c>
      <c r="E5747" s="6">
        <v>-2.9921958797203701E-2</v>
      </c>
      <c r="F5747" s="6"/>
      <c r="G5747" s="6">
        <v>5740</v>
      </c>
      <c r="H5747" s="6">
        <f t="shared" ca="1" si="183"/>
        <v>2.7397332412138625E-2</v>
      </c>
    </row>
    <row r="5748" spans="2:8" x14ac:dyDescent="0.3">
      <c r="B5748" s="4">
        <v>39136</v>
      </c>
      <c r="C5748" s="7">
        <v>60.62</v>
      </c>
      <c r="D5748" s="6">
        <f t="shared" si="182"/>
        <v>-0.91807333126106527</v>
      </c>
      <c r="E5748" s="6">
        <v>-2.9924787966074645E-2</v>
      </c>
      <c r="F5748" s="6"/>
      <c r="G5748" s="6">
        <v>5741</v>
      </c>
      <c r="H5748" s="6">
        <f t="shared" ca="1" si="183"/>
        <v>-1.1474509622493209E-2</v>
      </c>
    </row>
    <row r="5749" spans="2:8" x14ac:dyDescent="0.3">
      <c r="B5749" s="4">
        <v>42269</v>
      </c>
      <c r="C5749" s="7">
        <v>739.93</v>
      </c>
      <c r="D5749" s="6">
        <f t="shared" si="182"/>
        <v>-0.59232282271527659</v>
      </c>
      <c r="E5749" s="6">
        <v>-3.012150843480885E-2</v>
      </c>
      <c r="F5749" s="6"/>
      <c r="G5749" s="6">
        <v>5742</v>
      </c>
      <c r="H5749" s="6">
        <f t="shared" ca="1" si="183"/>
        <v>5.5569498316645543E-3</v>
      </c>
    </row>
    <row r="5750" spans="2:8" x14ac:dyDescent="0.3">
      <c r="B5750" s="4">
        <v>44074</v>
      </c>
      <c r="C5750" s="5">
        <v>1814.99</v>
      </c>
      <c r="D5750" s="6">
        <f t="shared" si="182"/>
        <v>72.421925566343049</v>
      </c>
      <c r="E5750" s="6">
        <v>-3.0132843142493825E-2</v>
      </c>
      <c r="F5750" s="6"/>
      <c r="G5750" s="6">
        <v>5743</v>
      </c>
      <c r="H5750" s="6">
        <f t="shared" ca="1" si="183"/>
        <v>3.4838258297525083E-3</v>
      </c>
    </row>
    <row r="5751" spans="2:8" x14ac:dyDescent="0.3">
      <c r="B5751" s="4">
        <v>38016</v>
      </c>
      <c r="C5751" s="7">
        <v>24.72</v>
      </c>
      <c r="D5751" s="6">
        <f t="shared" si="182"/>
        <v>-0.94030139103554877</v>
      </c>
      <c r="E5751" s="6">
        <v>-3.0207924676343648E-2</v>
      </c>
      <c r="F5751" s="6"/>
      <c r="G5751" s="6">
        <v>5744</v>
      </c>
      <c r="H5751" s="6">
        <f t="shared" ca="1" si="183"/>
        <v>4.6312098349976924E-3</v>
      </c>
    </row>
    <row r="5752" spans="2:8" x14ac:dyDescent="0.3">
      <c r="B5752" s="4">
        <v>41372</v>
      </c>
      <c r="C5752" s="7">
        <v>414.08</v>
      </c>
      <c r="D5752" s="6">
        <f t="shared" si="182"/>
        <v>16.825226000860955</v>
      </c>
      <c r="E5752" s="6">
        <v>-3.0439261964971435E-2</v>
      </c>
      <c r="F5752" s="6"/>
      <c r="G5752" s="6">
        <v>5745</v>
      </c>
      <c r="H5752" s="6">
        <f t="shared" ca="1" si="183"/>
        <v>-5.6682871084141823E-3</v>
      </c>
    </row>
    <row r="5753" spans="2:8" x14ac:dyDescent="0.3">
      <c r="B5753" s="4">
        <v>38042</v>
      </c>
      <c r="C5753" s="7">
        <v>23.23</v>
      </c>
      <c r="D5753" s="6">
        <f t="shared" si="182"/>
        <v>-0.96793960555915926</v>
      </c>
      <c r="E5753" s="6">
        <v>-3.0467445742904858E-2</v>
      </c>
      <c r="F5753" s="6"/>
      <c r="G5753" s="6">
        <v>5746</v>
      </c>
      <c r="H5753" s="6">
        <f t="shared" ca="1" si="183"/>
        <v>-1.1399306229436044E-2</v>
      </c>
    </row>
    <row r="5754" spans="2:8" x14ac:dyDescent="0.3">
      <c r="B5754" s="4">
        <v>42254</v>
      </c>
      <c r="C5754" s="7">
        <v>724.57</v>
      </c>
      <c r="D5754" s="6">
        <f t="shared" si="182"/>
        <v>5.0618254831423082</v>
      </c>
      <c r="E5754" s="6">
        <v>-3.0571833774852036E-2</v>
      </c>
      <c r="F5754" s="6"/>
      <c r="G5754" s="6">
        <v>5747</v>
      </c>
      <c r="H5754" s="6">
        <f t="shared" ca="1" si="183"/>
        <v>-1.4946013923435092E-2</v>
      </c>
    </row>
    <row r="5755" spans="2:8" x14ac:dyDescent="0.3">
      <c r="B5755" s="4">
        <v>40031</v>
      </c>
      <c r="C5755" s="7">
        <v>119.53</v>
      </c>
      <c r="D5755" s="6">
        <f t="shared" si="182"/>
        <v>1.9689518132141086</v>
      </c>
      <c r="E5755" s="6">
        <v>-3.0575831305758281E-2</v>
      </c>
      <c r="F5755" s="6"/>
      <c r="G5755" s="6">
        <v>5748</v>
      </c>
      <c r="H5755" s="6">
        <f t="shared" ca="1" si="183"/>
        <v>2.4714361932542686E-2</v>
      </c>
    </row>
    <row r="5756" spans="2:8" x14ac:dyDescent="0.3">
      <c r="B5756" s="4">
        <v>38635</v>
      </c>
      <c r="C5756" s="7">
        <v>40.26</v>
      </c>
      <c r="D5756" s="6">
        <f t="shared" si="182"/>
        <v>-0.56742237025894482</v>
      </c>
      <c r="E5756" s="6">
        <v>-3.0580303395136121E-2</v>
      </c>
      <c r="F5756" s="6"/>
      <c r="G5756" s="6">
        <v>5749</v>
      </c>
      <c r="H5756" s="6">
        <f t="shared" ca="1" si="183"/>
        <v>3.1051216085053882E-3</v>
      </c>
    </row>
    <row r="5757" spans="2:8" x14ac:dyDescent="0.3">
      <c r="B5757" s="4">
        <v>39524</v>
      </c>
      <c r="C5757" s="7">
        <v>93.07</v>
      </c>
      <c r="D5757" s="6">
        <f t="shared" si="182"/>
        <v>-0.96009415840565282</v>
      </c>
      <c r="E5757" s="6">
        <v>-3.0722766090397865E-2</v>
      </c>
      <c r="F5757" s="6"/>
      <c r="G5757" s="6">
        <v>5750</v>
      </c>
      <c r="H5757" s="6">
        <f t="shared" ca="1" si="183"/>
        <v>1.8471586794832472E-3</v>
      </c>
    </row>
    <row r="5758" spans="2:8" x14ac:dyDescent="0.3">
      <c r="B5758" s="4">
        <v>44223</v>
      </c>
      <c r="C5758" s="5">
        <v>2332.2399999999998</v>
      </c>
      <c r="D5758" s="6">
        <f t="shared" si="182"/>
        <v>25.293573844419392</v>
      </c>
      <c r="E5758" s="6">
        <v>-3.0769486510298226E-2</v>
      </c>
      <c r="F5758" s="6"/>
      <c r="G5758" s="6">
        <v>5751</v>
      </c>
      <c r="H5758" s="6">
        <f t="shared" ca="1" si="183"/>
        <v>-1.6085120492511425E-2</v>
      </c>
    </row>
    <row r="5759" spans="2:8" x14ac:dyDescent="0.3">
      <c r="B5759" s="4">
        <v>39499</v>
      </c>
      <c r="C5759" s="7">
        <v>88.7</v>
      </c>
      <c r="D5759" s="6">
        <f t="shared" si="182"/>
        <v>-0.72447426459168152</v>
      </c>
      <c r="E5759" s="6">
        <v>-3.0812937062936991E-2</v>
      </c>
      <c r="F5759" s="6"/>
      <c r="G5759" s="6">
        <v>5752</v>
      </c>
      <c r="H5759" s="6">
        <f t="shared" ca="1" si="183"/>
        <v>2.5337171516184469E-2</v>
      </c>
    </row>
    <row r="5760" spans="2:8" x14ac:dyDescent="0.3">
      <c r="B5760" s="4">
        <v>41113</v>
      </c>
      <c r="C5760" s="7">
        <v>321.93</v>
      </c>
      <c r="D5760" s="6">
        <f t="shared" si="182"/>
        <v>-0.37934026104224106</v>
      </c>
      <c r="E5760" s="6">
        <v>-3.085676440484075E-2</v>
      </c>
      <c r="F5760" s="6"/>
      <c r="G5760" s="6">
        <v>5753</v>
      </c>
      <c r="H5760" s="6">
        <f t="shared" ca="1" si="183"/>
        <v>-2.0981516799184072E-2</v>
      </c>
    </row>
    <row r="5761" spans="2:8" x14ac:dyDescent="0.3">
      <c r="B5761" s="4">
        <v>41831</v>
      </c>
      <c r="C5761" s="7">
        <v>518.69000000000005</v>
      </c>
      <c r="D5761" s="6">
        <f t="shared" si="182"/>
        <v>5.5982699402111695</v>
      </c>
      <c r="E5761" s="6">
        <v>-3.0920708467229569E-2</v>
      </c>
      <c r="F5761" s="6"/>
      <c r="G5761" s="6">
        <v>5754</v>
      </c>
      <c r="H5761" s="6">
        <f t="shared" ca="1" si="183"/>
        <v>1.3805110173177064E-2</v>
      </c>
    </row>
    <row r="5762" spans="2:8" x14ac:dyDescent="0.3">
      <c r="B5762" s="4">
        <v>39748</v>
      </c>
      <c r="C5762" s="7">
        <v>78.61</v>
      </c>
      <c r="D5762" s="6">
        <f t="shared" si="182"/>
        <v>-0.97351593558385552</v>
      </c>
      <c r="E5762" s="6">
        <v>-3.094181459566081E-2</v>
      </c>
      <c r="F5762" s="6"/>
      <c r="G5762" s="6">
        <v>5755</v>
      </c>
      <c r="H5762" s="6">
        <f t="shared" ca="1" si="183"/>
        <v>6.2238528118159298E-3</v>
      </c>
    </row>
    <row r="5763" spans="2:8" x14ac:dyDescent="0.3">
      <c r="B5763" s="4">
        <v>45512</v>
      </c>
      <c r="C5763" s="5">
        <v>2968.2</v>
      </c>
      <c r="D5763" s="6">
        <f t="shared" si="182"/>
        <v>-6.0476984589420881E-3</v>
      </c>
      <c r="E5763" s="6">
        <v>-3.096903096903101E-2</v>
      </c>
      <c r="F5763" s="6"/>
      <c r="G5763" s="6">
        <v>5756</v>
      </c>
      <c r="H5763" s="6">
        <f t="shared" ca="1" si="183"/>
        <v>-1.9531670165996901E-2</v>
      </c>
    </row>
    <row r="5764" spans="2:8" x14ac:dyDescent="0.3">
      <c r="B5764" s="4">
        <v>44685</v>
      </c>
      <c r="C5764" s="5">
        <v>2986.26</v>
      </c>
      <c r="D5764" s="6">
        <f t="shared" si="182"/>
        <v>0.76939439365301332</v>
      </c>
      <c r="E5764" s="6">
        <v>-3.098564127524938E-2</v>
      </c>
      <c r="F5764" s="6"/>
      <c r="G5764" s="6">
        <v>5757</v>
      </c>
      <c r="H5764" s="6">
        <f t="shared" ca="1" si="183"/>
        <v>-3.3015190484366526E-2</v>
      </c>
    </row>
    <row r="5765" spans="2:8" x14ac:dyDescent="0.3">
      <c r="B5765" s="4">
        <v>43950</v>
      </c>
      <c r="C5765" s="5">
        <v>1687.73</v>
      </c>
      <c r="D5765" s="6">
        <f t="shared" si="182"/>
        <v>80.179894179894191</v>
      </c>
      <c r="E5765" s="6">
        <v>-3.1187215136103192E-2</v>
      </c>
      <c r="F5765" s="6"/>
      <c r="G5765" s="6">
        <v>5758</v>
      </c>
      <c r="H5765" s="6">
        <f t="shared" ca="1" si="183"/>
        <v>-5.845974322607533E-3</v>
      </c>
    </row>
    <row r="5766" spans="2:8" x14ac:dyDescent="0.3">
      <c r="B5766" s="4">
        <v>37925</v>
      </c>
      <c r="C5766" s="7">
        <v>20.79</v>
      </c>
      <c r="D5766" s="6">
        <f t="shared" si="182"/>
        <v>-0.96366972477064228</v>
      </c>
      <c r="E5766" s="6">
        <v>-3.1220876048462333E-2</v>
      </c>
      <c r="F5766" s="6"/>
      <c r="G5766" s="6">
        <v>5759</v>
      </c>
      <c r="H5766" s="6">
        <f t="shared" ca="1" si="183"/>
        <v>5.2709862861430572E-3</v>
      </c>
    </row>
    <row r="5767" spans="2:8" x14ac:dyDescent="0.3">
      <c r="B5767" s="4">
        <v>41928</v>
      </c>
      <c r="C5767" s="7">
        <v>572.25</v>
      </c>
      <c r="D5767" s="6">
        <f t="shared" si="182"/>
        <v>1.457274132600481</v>
      </c>
      <c r="E5767" s="6">
        <v>-3.1266928494041217E-2</v>
      </c>
      <c r="F5767" s="6"/>
      <c r="G5767" s="6">
        <v>5760</v>
      </c>
      <c r="H5767" s="6">
        <f t="shared" ca="1" si="183"/>
        <v>1.9751118234498037E-2</v>
      </c>
    </row>
    <row r="5768" spans="2:8" x14ac:dyDescent="0.3">
      <c r="B5768" s="4">
        <v>40451</v>
      </c>
      <c r="C5768" s="7">
        <v>232.88</v>
      </c>
      <c r="D5768" s="6">
        <f t="shared" ref="D5768:D5831" si="184">((C5768-C5769)/C5769)</f>
        <v>-0.50841196462119775</v>
      </c>
      <c r="E5768" s="6">
        <v>-3.1321492450397247E-2</v>
      </c>
      <c r="F5768" s="6"/>
      <c r="G5768" s="6">
        <v>5761</v>
      </c>
      <c r="H5768" s="6">
        <f t="shared" ca="1" si="183"/>
        <v>1.8566342610634164E-2</v>
      </c>
    </row>
    <row r="5769" spans="2:8" x14ac:dyDescent="0.3">
      <c r="B5769" s="4">
        <v>41785</v>
      </c>
      <c r="C5769" s="7">
        <v>473.73</v>
      </c>
      <c r="D5769" s="6">
        <f t="shared" si="184"/>
        <v>7.3979790817230997</v>
      </c>
      <c r="E5769" s="6">
        <v>-3.1365653178481556E-2</v>
      </c>
      <c r="F5769" s="6"/>
      <c r="G5769" s="6">
        <v>5762</v>
      </c>
      <c r="H5769" s="6">
        <f t="shared" ref="H5769:H5832" ca="1" si="185">_xlfn.NORM.INV(RAND(),N$10,N$11)</f>
        <v>3.0639186894378213E-2</v>
      </c>
    </row>
    <row r="5770" spans="2:8" x14ac:dyDescent="0.3">
      <c r="B5770" s="4">
        <v>39041</v>
      </c>
      <c r="C5770" s="7">
        <v>56.41</v>
      </c>
      <c r="D5770" s="6">
        <f t="shared" si="184"/>
        <v>-0.3799736205759508</v>
      </c>
      <c r="E5770" s="6">
        <v>-3.1421703296703386E-2</v>
      </c>
      <c r="F5770" s="6"/>
      <c r="G5770" s="6">
        <v>5763</v>
      </c>
      <c r="H5770" s="6">
        <f t="shared" ca="1" si="185"/>
        <v>-2.6306309606865405E-2</v>
      </c>
    </row>
    <row r="5771" spans="2:8" x14ac:dyDescent="0.3">
      <c r="B5771" s="4">
        <v>39955</v>
      </c>
      <c r="C5771" s="7">
        <v>90.98</v>
      </c>
      <c r="D5771" s="6">
        <f t="shared" si="184"/>
        <v>4.5105996365838879</v>
      </c>
      <c r="E5771" s="6">
        <v>-3.1509474132424886E-2</v>
      </c>
      <c r="F5771" s="6"/>
      <c r="G5771" s="6">
        <v>5764</v>
      </c>
      <c r="H5771" s="6">
        <f t="shared" ca="1" si="185"/>
        <v>7.4674701313389106E-3</v>
      </c>
    </row>
    <row r="5772" spans="2:8" x14ac:dyDescent="0.3">
      <c r="B5772" s="4">
        <v>37454</v>
      </c>
      <c r="C5772" s="7">
        <v>16.510000000000002</v>
      </c>
      <c r="D5772" s="6">
        <f t="shared" si="184"/>
        <v>-0.9810803997066373</v>
      </c>
      <c r="E5772" s="6">
        <v>-3.1671554252199363E-2</v>
      </c>
      <c r="F5772" s="6"/>
      <c r="G5772" s="6">
        <v>5765</v>
      </c>
      <c r="H5772" s="6">
        <f t="shared" ca="1" si="185"/>
        <v>2.064424057890168E-3</v>
      </c>
    </row>
    <row r="5773" spans="2:8" x14ac:dyDescent="0.3">
      <c r="B5773" s="4">
        <v>42705</v>
      </c>
      <c r="C5773" s="7">
        <v>872.64</v>
      </c>
      <c r="D5773" s="6">
        <f t="shared" si="184"/>
        <v>8.3015823766676988E-2</v>
      </c>
      <c r="E5773" s="6">
        <v>-3.1701823104492904E-2</v>
      </c>
      <c r="F5773" s="6"/>
      <c r="G5773" s="6">
        <v>5766</v>
      </c>
      <c r="H5773" s="6">
        <f t="shared" ca="1" si="185"/>
        <v>-4.3974606619783876E-3</v>
      </c>
    </row>
    <row r="5774" spans="2:8" x14ac:dyDescent="0.3">
      <c r="B5774" s="4">
        <v>42033</v>
      </c>
      <c r="C5774" s="7">
        <v>805.75</v>
      </c>
      <c r="D5774" s="6">
        <f t="shared" si="184"/>
        <v>10.72170497526913</v>
      </c>
      <c r="E5774" s="6">
        <v>-3.1806493475283013E-2</v>
      </c>
      <c r="F5774" s="6"/>
      <c r="G5774" s="6">
        <v>5767</v>
      </c>
      <c r="H5774" s="6">
        <f t="shared" ca="1" si="185"/>
        <v>-2.9016563532724372E-4</v>
      </c>
    </row>
    <row r="5775" spans="2:8" x14ac:dyDescent="0.3">
      <c r="B5775" s="4">
        <v>39855</v>
      </c>
      <c r="C5775" s="7">
        <v>68.739999999999995</v>
      </c>
      <c r="D5775" s="6">
        <f t="shared" si="184"/>
        <v>-0.97143308343168722</v>
      </c>
      <c r="E5775" s="6">
        <v>-3.1830985915493028E-2</v>
      </c>
      <c r="F5775" s="6"/>
      <c r="G5775" s="6">
        <v>5768</v>
      </c>
      <c r="H5775" s="6">
        <f t="shared" ca="1" si="185"/>
        <v>1.3313420610106666E-2</v>
      </c>
    </row>
    <row r="5776" spans="2:8" x14ac:dyDescent="0.3">
      <c r="B5776" s="4">
        <v>44221</v>
      </c>
      <c r="C5776" s="5">
        <v>2406.2800000000002</v>
      </c>
      <c r="D5776" s="6">
        <f t="shared" si="184"/>
        <v>107.48872858431021</v>
      </c>
      <c r="E5776" s="6">
        <v>-3.1849491438135646E-2</v>
      </c>
      <c r="F5776" s="6"/>
      <c r="G5776" s="6">
        <v>5769</v>
      </c>
      <c r="H5776" s="6">
        <f t="shared" ca="1" si="185"/>
        <v>1.3158650392327446E-2</v>
      </c>
    </row>
    <row r="5777" spans="2:8" x14ac:dyDescent="0.3">
      <c r="B5777" s="4">
        <v>37853</v>
      </c>
      <c r="C5777" s="7">
        <v>22.18</v>
      </c>
      <c r="D5777" s="6">
        <f t="shared" si="184"/>
        <v>-0.78642272508425604</v>
      </c>
      <c r="E5777" s="6">
        <v>-3.1863814927979066E-2</v>
      </c>
      <c r="F5777" s="6"/>
      <c r="G5777" s="6">
        <v>5770</v>
      </c>
      <c r="H5777" s="6">
        <f t="shared" ca="1" si="185"/>
        <v>-1.1424132398333484E-2</v>
      </c>
    </row>
    <row r="5778" spans="2:8" x14ac:dyDescent="0.3">
      <c r="B5778" s="4">
        <v>39576</v>
      </c>
      <c r="C5778" s="7">
        <v>103.85</v>
      </c>
      <c r="D5778" s="6">
        <f t="shared" si="184"/>
        <v>4.6440217391304346</v>
      </c>
      <c r="E5778" s="6">
        <v>-3.1882166495758382E-2</v>
      </c>
      <c r="F5778" s="6"/>
      <c r="G5778" s="6">
        <v>5771</v>
      </c>
      <c r="H5778" s="6">
        <f t="shared" ca="1" si="185"/>
        <v>2.4090906907742488E-2</v>
      </c>
    </row>
    <row r="5779" spans="2:8" x14ac:dyDescent="0.3">
      <c r="B5779" s="4">
        <v>37782</v>
      </c>
      <c r="C5779" s="7">
        <v>18.399999999999999</v>
      </c>
      <c r="D5779" s="6">
        <f t="shared" si="184"/>
        <v>-0.83673469387755106</v>
      </c>
      <c r="E5779" s="6">
        <v>-3.2088374539716094E-2</v>
      </c>
      <c r="F5779" s="6"/>
      <c r="G5779" s="6">
        <v>5772</v>
      </c>
      <c r="H5779" s="6">
        <f t="shared" ca="1" si="185"/>
        <v>4.5444278471432221E-3</v>
      </c>
    </row>
    <row r="5780" spans="2:8" x14ac:dyDescent="0.3">
      <c r="B5780" s="4">
        <v>40044</v>
      </c>
      <c r="C5780" s="7">
        <v>112.7</v>
      </c>
      <c r="D5780" s="6">
        <f t="shared" si="184"/>
        <v>-0.49027589326096788</v>
      </c>
      <c r="E5780" s="6">
        <v>-3.2119546547578107E-2</v>
      </c>
      <c r="F5780" s="6"/>
      <c r="G5780" s="6">
        <v>5773</v>
      </c>
      <c r="H5780" s="6">
        <f t="shared" ca="1" si="185"/>
        <v>-9.7542726279640675E-3</v>
      </c>
    </row>
    <row r="5781" spans="2:8" x14ac:dyDescent="0.3">
      <c r="B5781" s="4">
        <v>40507</v>
      </c>
      <c r="C5781" s="7">
        <v>221.1</v>
      </c>
      <c r="D5781" s="6">
        <f t="shared" si="184"/>
        <v>3.0405701754385963</v>
      </c>
      <c r="E5781" s="6">
        <v>-3.2130975310803729E-2</v>
      </c>
      <c r="F5781" s="6"/>
      <c r="G5781" s="6">
        <v>5774</v>
      </c>
      <c r="H5781" s="6">
        <f t="shared" ca="1" si="185"/>
        <v>-6.2880970475782819E-3</v>
      </c>
    </row>
    <row r="5782" spans="2:8" x14ac:dyDescent="0.3">
      <c r="B5782" s="4">
        <v>39148</v>
      </c>
      <c r="C5782" s="7">
        <v>54.72</v>
      </c>
      <c r="D5782" s="6">
        <f t="shared" si="184"/>
        <v>-0.97915230021906852</v>
      </c>
      <c r="E5782" s="6">
        <v>-3.2189600282985502E-2</v>
      </c>
      <c r="F5782" s="6"/>
      <c r="G5782" s="6">
        <v>5775</v>
      </c>
      <c r="H5782" s="6">
        <f t="shared" ca="1" si="185"/>
        <v>2.2195843248785144E-3</v>
      </c>
    </row>
    <row r="5783" spans="2:8" x14ac:dyDescent="0.3">
      <c r="B5783" s="4">
        <v>44980</v>
      </c>
      <c r="C5783" s="5">
        <v>2624.75</v>
      </c>
      <c r="D5783" s="6">
        <f t="shared" si="184"/>
        <v>5.869454840482609</v>
      </c>
      <c r="E5783" s="6">
        <v>-3.2189672019321242E-2</v>
      </c>
      <c r="F5783" s="6"/>
      <c r="G5783" s="6">
        <v>5776</v>
      </c>
      <c r="H5783" s="6">
        <f t="shared" ca="1" si="185"/>
        <v>5.346190835043986E-3</v>
      </c>
    </row>
    <row r="5784" spans="2:8" x14ac:dyDescent="0.3">
      <c r="B5784" s="4">
        <v>41493</v>
      </c>
      <c r="C5784" s="7">
        <v>382.09</v>
      </c>
      <c r="D5784" s="6">
        <f t="shared" si="184"/>
        <v>3.3023308186015083</v>
      </c>
      <c r="E5784" s="6">
        <v>-3.2340576406827831E-2</v>
      </c>
      <c r="F5784" s="6"/>
      <c r="G5784" s="6">
        <v>5777</v>
      </c>
      <c r="H5784" s="6">
        <f t="shared" ca="1" si="185"/>
        <v>5.2281000549289905E-3</v>
      </c>
    </row>
    <row r="5785" spans="2:8" x14ac:dyDescent="0.3">
      <c r="B5785" s="4">
        <v>39631</v>
      </c>
      <c r="C5785" s="7">
        <v>88.81</v>
      </c>
      <c r="D5785" s="6">
        <f t="shared" si="184"/>
        <v>4.6102337334175623</v>
      </c>
      <c r="E5785" s="6">
        <v>-3.2359991283504017E-2</v>
      </c>
      <c r="F5785" s="6"/>
      <c r="G5785" s="6">
        <v>5778</v>
      </c>
      <c r="H5785" s="6">
        <f t="shared" ca="1" si="185"/>
        <v>-3.4534689205490444E-3</v>
      </c>
    </row>
    <row r="5786" spans="2:8" x14ac:dyDescent="0.3">
      <c r="B5786" s="4">
        <v>37467</v>
      </c>
      <c r="C5786" s="7">
        <v>15.83</v>
      </c>
      <c r="D5786" s="6">
        <f t="shared" si="184"/>
        <v>-0.98496076307739089</v>
      </c>
      <c r="E5786" s="6">
        <v>-3.2396088019559864E-2</v>
      </c>
      <c r="F5786" s="6"/>
      <c r="G5786" s="6">
        <v>5779</v>
      </c>
      <c r="H5786" s="6">
        <f t="shared" ca="1" si="185"/>
        <v>9.1766136148603277E-3</v>
      </c>
    </row>
    <row r="5787" spans="2:8" x14ac:dyDescent="0.3">
      <c r="B5787" s="4">
        <v>43175</v>
      </c>
      <c r="C5787" s="5">
        <v>1052.58</v>
      </c>
      <c r="D5787" s="6">
        <f t="shared" si="184"/>
        <v>-0.63585980716739499</v>
      </c>
      <c r="E5787" s="6">
        <v>-3.2786282689798454E-2</v>
      </c>
      <c r="F5787" s="6"/>
      <c r="G5787" s="6">
        <v>5780</v>
      </c>
      <c r="H5787" s="6">
        <f t="shared" ca="1" si="185"/>
        <v>2.0748192991312357E-2</v>
      </c>
    </row>
    <row r="5788" spans="2:8" x14ac:dyDescent="0.3">
      <c r="B5788" s="4">
        <v>45225</v>
      </c>
      <c r="C5788" s="5">
        <v>2890.59</v>
      </c>
      <c r="D5788" s="6">
        <f t="shared" si="184"/>
        <v>2.6872592290226294</v>
      </c>
      <c r="E5788" s="6">
        <v>-3.2836689831466835E-2</v>
      </c>
      <c r="F5788" s="6"/>
      <c r="G5788" s="6">
        <v>5781</v>
      </c>
      <c r="H5788" s="6">
        <f t="shared" ca="1" si="185"/>
        <v>-9.2011158594208897E-3</v>
      </c>
    </row>
    <row r="5789" spans="2:8" x14ac:dyDescent="0.3">
      <c r="B5789" s="4">
        <v>42387</v>
      </c>
      <c r="C5789" s="7">
        <v>783.94</v>
      </c>
      <c r="D5789" s="6">
        <f t="shared" si="184"/>
        <v>-0.51391704954829265</v>
      </c>
      <c r="E5789" s="6">
        <v>-3.292500894366103E-2</v>
      </c>
      <c r="F5789" s="6"/>
      <c r="G5789" s="6">
        <v>5782</v>
      </c>
      <c r="H5789" s="6">
        <f t="shared" ca="1" si="185"/>
        <v>-9.9205836798770576E-3</v>
      </c>
    </row>
    <row r="5790" spans="2:8" x14ac:dyDescent="0.3">
      <c r="B5790" s="4">
        <v>44007</v>
      </c>
      <c r="C5790" s="5">
        <v>1612.77</v>
      </c>
      <c r="D5790" s="6">
        <f t="shared" si="184"/>
        <v>0.12517528865943425</v>
      </c>
      <c r="E5790" s="6">
        <v>-3.3337528995019218E-2</v>
      </c>
      <c r="F5790" s="6"/>
      <c r="G5790" s="6">
        <v>5783</v>
      </c>
      <c r="H5790" s="6">
        <f t="shared" ca="1" si="185"/>
        <v>-1.466241723629543E-2</v>
      </c>
    </row>
    <row r="5791" spans="2:8" x14ac:dyDescent="0.3">
      <c r="B5791" s="4">
        <v>43969</v>
      </c>
      <c r="C5791" s="5">
        <v>1433.35</v>
      </c>
      <c r="D5791" s="6">
        <f t="shared" si="184"/>
        <v>0.6946878066659572</v>
      </c>
      <c r="E5791" s="6">
        <v>-3.338818229637322E-2</v>
      </c>
      <c r="F5791" s="6"/>
      <c r="G5791" s="6">
        <v>5784</v>
      </c>
      <c r="H5791" s="6">
        <f t="shared" ca="1" si="185"/>
        <v>9.6393008616756717E-3</v>
      </c>
    </row>
    <row r="5792" spans="2:8" x14ac:dyDescent="0.3">
      <c r="B5792" s="4">
        <v>42716</v>
      </c>
      <c r="C5792" s="7">
        <v>845.79</v>
      </c>
      <c r="D5792" s="6">
        <f t="shared" si="184"/>
        <v>9.489768076398363</v>
      </c>
      <c r="E5792" s="6">
        <v>-3.3438089252042731E-2</v>
      </c>
      <c r="F5792" s="6"/>
      <c r="G5792" s="6">
        <v>5785</v>
      </c>
      <c r="H5792" s="6">
        <f t="shared" ca="1" si="185"/>
        <v>2.8061535022758519E-2</v>
      </c>
    </row>
    <row r="5793" spans="2:8" x14ac:dyDescent="0.3">
      <c r="B5793" s="4">
        <v>39758</v>
      </c>
      <c r="C5793" s="7">
        <v>80.63</v>
      </c>
      <c r="D5793" s="6">
        <f t="shared" si="184"/>
        <v>-0.96946851049650118</v>
      </c>
      <c r="E5793" s="6">
        <v>-3.3445216974346756E-2</v>
      </c>
      <c r="F5793" s="6"/>
      <c r="G5793" s="6">
        <v>5786</v>
      </c>
      <c r="H5793" s="6">
        <f t="shared" ca="1" si="185"/>
        <v>-1.7357665412765563E-2</v>
      </c>
    </row>
    <row r="5794" spans="2:8" x14ac:dyDescent="0.3">
      <c r="B5794" s="4">
        <v>44740</v>
      </c>
      <c r="C5794" s="5">
        <v>2640.88</v>
      </c>
      <c r="D5794" s="6">
        <f t="shared" si="184"/>
        <v>1.62492048346056</v>
      </c>
      <c r="E5794" s="6">
        <v>-3.3480214905795724E-2</v>
      </c>
      <c r="F5794" s="6"/>
      <c r="G5794" s="6">
        <v>5787</v>
      </c>
      <c r="H5794" s="6">
        <f t="shared" ca="1" si="185"/>
        <v>-1.3506285588429584E-2</v>
      </c>
    </row>
    <row r="5795" spans="2:8" x14ac:dyDescent="0.3">
      <c r="B5795" s="4">
        <v>42670</v>
      </c>
      <c r="C5795" s="5">
        <v>1006.08</v>
      </c>
      <c r="D5795" s="6">
        <f t="shared" si="184"/>
        <v>7.7091412742382275</v>
      </c>
      <c r="E5795" s="6">
        <v>-3.3526100405387206E-2</v>
      </c>
      <c r="F5795" s="6"/>
      <c r="G5795" s="6">
        <v>5788</v>
      </c>
      <c r="H5795" s="6">
        <f t="shared" ca="1" si="185"/>
        <v>-6.2948882484479742E-3</v>
      </c>
    </row>
    <row r="5796" spans="2:8" x14ac:dyDescent="0.3">
      <c r="B5796" s="4">
        <v>40032</v>
      </c>
      <c r="C5796" s="7">
        <v>115.52</v>
      </c>
      <c r="D5796" s="6">
        <f t="shared" si="184"/>
        <v>-0.94867807844896912</v>
      </c>
      <c r="E5796" s="6">
        <v>-3.3548063247720278E-2</v>
      </c>
      <c r="F5796" s="6"/>
      <c r="G5796" s="6">
        <v>5789</v>
      </c>
      <c r="H5796" s="6">
        <f t="shared" ca="1" si="185"/>
        <v>1.412676473981527E-2</v>
      </c>
    </row>
    <row r="5797" spans="2:8" x14ac:dyDescent="0.3">
      <c r="B5797" s="4">
        <v>45693</v>
      </c>
      <c r="C5797" s="5">
        <v>2250.89</v>
      </c>
      <c r="D5797" s="6">
        <f t="shared" si="184"/>
        <v>2.9684354986276244E-2</v>
      </c>
      <c r="E5797" s="6">
        <v>-3.3616836754408262E-2</v>
      </c>
      <c r="F5797" s="6"/>
      <c r="G5797" s="6">
        <v>5790</v>
      </c>
      <c r="H5797" s="6">
        <f t="shared" ca="1" si="185"/>
        <v>-2.9230484348838112E-2</v>
      </c>
    </row>
    <row r="5798" spans="2:8" x14ac:dyDescent="0.3">
      <c r="B5798" s="4">
        <v>46100</v>
      </c>
      <c r="C5798" s="5">
        <v>2186</v>
      </c>
      <c r="D5798" s="6">
        <f t="shared" si="184"/>
        <v>22.362188735705889</v>
      </c>
      <c r="E5798" s="6">
        <v>-3.3641306750364669E-2</v>
      </c>
      <c r="F5798" s="6"/>
      <c r="G5798" s="6">
        <v>5791</v>
      </c>
      <c r="H5798" s="6">
        <f t="shared" ca="1" si="185"/>
        <v>-8.3978558296647458E-3</v>
      </c>
    </row>
    <row r="5799" spans="2:8" x14ac:dyDescent="0.3">
      <c r="B5799" s="4">
        <v>39497</v>
      </c>
      <c r="C5799" s="7">
        <v>93.57</v>
      </c>
      <c r="D5799" s="6">
        <f t="shared" si="184"/>
        <v>-0.92222526992993048</v>
      </c>
      <c r="E5799" s="6">
        <v>-3.3667251884746514E-2</v>
      </c>
      <c r="F5799" s="6"/>
      <c r="G5799" s="6">
        <v>5792</v>
      </c>
      <c r="H5799" s="6">
        <f t="shared" ca="1" si="185"/>
        <v>-4.4483367264428744E-3</v>
      </c>
    </row>
    <row r="5800" spans="2:8" x14ac:dyDescent="0.3">
      <c r="B5800" s="4">
        <v>43444</v>
      </c>
      <c r="C5800" s="5">
        <v>1203.0899999999999</v>
      </c>
      <c r="D5800" s="6">
        <f t="shared" si="184"/>
        <v>-0.43285249611087551</v>
      </c>
      <c r="E5800" s="6">
        <v>-3.3709218832827355E-2</v>
      </c>
      <c r="F5800" s="6"/>
      <c r="G5800" s="6">
        <v>5793</v>
      </c>
      <c r="H5800" s="6">
        <f t="shared" ca="1" si="185"/>
        <v>-1.1689547838681005E-2</v>
      </c>
    </row>
    <row r="5801" spans="2:8" x14ac:dyDescent="0.3">
      <c r="B5801" s="4">
        <v>46104</v>
      </c>
      <c r="C5801" s="5">
        <v>2121.3000000000002</v>
      </c>
      <c r="D5801" s="6">
        <f t="shared" si="184"/>
        <v>2.0130390318731894</v>
      </c>
      <c r="E5801" s="6">
        <v>-3.3752391363760549E-2</v>
      </c>
      <c r="F5801" s="6"/>
      <c r="G5801" s="6">
        <v>5794</v>
      </c>
      <c r="H5801" s="6">
        <f t="shared" ca="1" si="185"/>
        <v>-2.1323417432728376E-3</v>
      </c>
    </row>
    <row r="5802" spans="2:8" x14ac:dyDescent="0.3">
      <c r="B5802" s="4">
        <v>41975</v>
      </c>
      <c r="C5802" s="7">
        <v>704.04</v>
      </c>
      <c r="D5802" s="6">
        <f t="shared" si="184"/>
        <v>2.3019416565050181</v>
      </c>
      <c r="E5802" s="6">
        <v>-3.3880861224321837E-2</v>
      </c>
      <c r="F5802" s="6"/>
      <c r="G5802" s="6">
        <v>5795</v>
      </c>
      <c r="H5802" s="6">
        <f t="shared" ca="1" si="185"/>
        <v>1.1430932796869984E-2</v>
      </c>
    </row>
    <row r="5803" spans="2:8" x14ac:dyDescent="0.3">
      <c r="B5803" s="4">
        <v>40386</v>
      </c>
      <c r="C5803" s="7">
        <v>213.22</v>
      </c>
      <c r="D5803" s="6">
        <f t="shared" si="184"/>
        <v>-0.86757673245804712</v>
      </c>
      <c r="E5803" s="6">
        <v>-3.3979702790866255E-2</v>
      </c>
      <c r="F5803" s="6"/>
      <c r="G5803" s="6">
        <v>5796</v>
      </c>
      <c r="H5803" s="6">
        <f t="shared" ca="1" si="185"/>
        <v>1.4479642104135071E-2</v>
      </c>
    </row>
    <row r="5804" spans="2:8" x14ac:dyDescent="0.3">
      <c r="B5804" s="4">
        <v>44020</v>
      </c>
      <c r="C5804" s="5">
        <v>1610.14</v>
      </c>
      <c r="D5804" s="6">
        <f t="shared" si="184"/>
        <v>4.1440555731629337E-2</v>
      </c>
      <c r="E5804" s="6">
        <v>-3.4086000863847922E-2</v>
      </c>
      <c r="F5804" s="6"/>
      <c r="G5804" s="6">
        <v>5797</v>
      </c>
      <c r="H5804" s="6">
        <f t="shared" ca="1" si="185"/>
        <v>-4.1437809004857161E-3</v>
      </c>
    </row>
    <row r="5805" spans="2:8" x14ac:dyDescent="0.3">
      <c r="B5805" s="4">
        <v>43956</v>
      </c>
      <c r="C5805" s="5">
        <v>1546.07</v>
      </c>
      <c r="D5805" s="6">
        <f t="shared" si="184"/>
        <v>39.80416996569015</v>
      </c>
      <c r="E5805" s="6">
        <v>-3.4382182472269388E-2</v>
      </c>
      <c r="F5805" s="6"/>
      <c r="G5805" s="6">
        <v>5798</v>
      </c>
      <c r="H5805" s="6">
        <f t="shared" ca="1" si="185"/>
        <v>1.0914952914905181E-2</v>
      </c>
    </row>
    <row r="5806" spans="2:8" x14ac:dyDescent="0.3">
      <c r="B5806" s="4">
        <v>38653</v>
      </c>
      <c r="C5806" s="7">
        <v>37.89</v>
      </c>
      <c r="D5806" s="6">
        <f t="shared" si="184"/>
        <v>-0.97222588732022686</v>
      </c>
      <c r="E5806" s="6">
        <v>-3.4403669724770679E-2</v>
      </c>
      <c r="F5806" s="6"/>
      <c r="G5806" s="6">
        <v>5799</v>
      </c>
      <c r="H5806" s="6">
        <f t="shared" ca="1" si="185"/>
        <v>-1.1270452951740685E-2</v>
      </c>
    </row>
    <row r="5807" spans="2:8" x14ac:dyDescent="0.3">
      <c r="B5807" s="4">
        <v>43564</v>
      </c>
      <c r="C5807" s="5">
        <v>1364.22</v>
      </c>
      <c r="D5807" s="6">
        <f t="shared" si="184"/>
        <v>1.0034070049195976</v>
      </c>
      <c r="E5807" s="6">
        <v>-3.4419789786601471E-2</v>
      </c>
      <c r="F5807" s="6"/>
      <c r="G5807" s="6">
        <v>5800</v>
      </c>
      <c r="H5807" s="6">
        <f t="shared" ca="1" si="185"/>
        <v>-2.5799150109969493E-3</v>
      </c>
    </row>
    <row r="5808" spans="2:8" x14ac:dyDescent="0.3">
      <c r="B5808" s="4">
        <v>42121</v>
      </c>
      <c r="C5808" s="7">
        <v>680.95</v>
      </c>
      <c r="D5808" s="6">
        <f t="shared" si="184"/>
        <v>2.1116340705538295</v>
      </c>
      <c r="E5808" s="6">
        <v>-3.4428484324262966E-2</v>
      </c>
      <c r="F5808" s="6"/>
      <c r="G5808" s="6">
        <v>5801</v>
      </c>
      <c r="H5808" s="6">
        <f t="shared" ca="1" si="185"/>
        <v>2.178690098782218E-2</v>
      </c>
    </row>
    <row r="5809" spans="2:8" x14ac:dyDescent="0.3">
      <c r="B5809" s="4">
        <v>40478</v>
      </c>
      <c r="C5809" s="7">
        <v>218.84</v>
      </c>
      <c r="D5809" s="6">
        <f t="shared" si="184"/>
        <v>-0.91110388950949517</v>
      </c>
      <c r="E5809" s="6">
        <v>-3.4458416060004424E-2</v>
      </c>
      <c r="F5809" s="6"/>
      <c r="G5809" s="6">
        <v>5802</v>
      </c>
      <c r="H5809" s="6">
        <f t="shared" ca="1" si="185"/>
        <v>2.0694777381642483E-2</v>
      </c>
    </row>
    <row r="5810" spans="2:8" x14ac:dyDescent="0.3">
      <c r="B5810" s="4">
        <v>44305</v>
      </c>
      <c r="C5810" s="5">
        <v>2461.75</v>
      </c>
      <c r="D5810" s="6">
        <f t="shared" si="184"/>
        <v>9.4271676055741445</v>
      </c>
      <c r="E5810" s="6">
        <v>-3.4463959335116562E-2</v>
      </c>
      <c r="F5810" s="6"/>
      <c r="G5810" s="6">
        <v>5803</v>
      </c>
      <c r="H5810" s="6">
        <f t="shared" ca="1" si="185"/>
        <v>-9.0354394025318058E-3</v>
      </c>
    </row>
    <row r="5811" spans="2:8" x14ac:dyDescent="0.3">
      <c r="B5811" s="4">
        <v>40900</v>
      </c>
      <c r="C5811" s="7">
        <v>236.09</v>
      </c>
      <c r="D5811" s="6">
        <f t="shared" si="184"/>
        <v>0.56579121899456164</v>
      </c>
      <c r="E5811" s="6">
        <v>-3.4475707508588284E-2</v>
      </c>
      <c r="F5811" s="6"/>
      <c r="G5811" s="6">
        <v>5804</v>
      </c>
      <c r="H5811" s="6">
        <f t="shared" ca="1" si="185"/>
        <v>-3.5822189876508578E-2</v>
      </c>
    </row>
    <row r="5812" spans="2:8" x14ac:dyDescent="0.3">
      <c r="B5812" s="4">
        <v>40168</v>
      </c>
      <c r="C5812" s="7">
        <v>150.78</v>
      </c>
      <c r="D5812" s="6">
        <f t="shared" si="184"/>
        <v>-0.93470352855583838</v>
      </c>
      <c r="E5812" s="6">
        <v>-3.4513670999551688E-2</v>
      </c>
      <c r="F5812" s="6"/>
      <c r="G5812" s="6">
        <v>5805</v>
      </c>
      <c r="H5812" s="6">
        <f t="shared" ca="1" si="185"/>
        <v>1.5634048128993609E-2</v>
      </c>
    </row>
    <row r="5813" spans="2:8" x14ac:dyDescent="0.3">
      <c r="B5813" s="4">
        <v>45784</v>
      </c>
      <c r="C5813" s="5">
        <v>2309.16</v>
      </c>
      <c r="D5813" s="6">
        <f t="shared" si="184"/>
        <v>4.4912013697327113</v>
      </c>
      <c r="E5813" s="6">
        <v>-3.4696675807638286E-2</v>
      </c>
      <c r="F5813" s="6"/>
      <c r="G5813" s="6">
        <v>5806</v>
      </c>
      <c r="H5813" s="6">
        <f t="shared" ca="1" si="185"/>
        <v>4.8826001077315476E-3</v>
      </c>
    </row>
    <row r="5814" spans="2:8" x14ac:dyDescent="0.3">
      <c r="B5814" s="4">
        <v>41428</v>
      </c>
      <c r="C5814" s="7">
        <v>420.52</v>
      </c>
      <c r="D5814" s="6">
        <f t="shared" si="184"/>
        <v>-0.44166655602320859</v>
      </c>
      <c r="E5814" s="6">
        <v>-3.4707556698191179E-2</v>
      </c>
      <c r="F5814" s="6"/>
      <c r="G5814" s="6">
        <v>5807</v>
      </c>
      <c r="H5814" s="6">
        <f t="shared" ca="1" si="185"/>
        <v>-1.2326575763435228E-2</v>
      </c>
    </row>
    <row r="5815" spans="2:8" x14ac:dyDescent="0.3">
      <c r="B5815" s="4">
        <v>42248</v>
      </c>
      <c r="C5815" s="7">
        <v>753.17</v>
      </c>
      <c r="D5815" s="6">
        <f t="shared" si="184"/>
        <v>2.450950744558992</v>
      </c>
      <c r="E5815" s="6">
        <v>-3.4756308551948639E-2</v>
      </c>
      <c r="F5815" s="6"/>
      <c r="G5815" s="6">
        <v>5808</v>
      </c>
      <c r="H5815" s="6">
        <f t="shared" ca="1" si="185"/>
        <v>8.5634838097502618E-3</v>
      </c>
    </row>
    <row r="5816" spans="2:8" x14ac:dyDescent="0.3">
      <c r="B5816" s="4">
        <v>40575</v>
      </c>
      <c r="C5816" s="7">
        <v>218.25</v>
      </c>
      <c r="D5816" s="6">
        <f t="shared" si="184"/>
        <v>5.4820314820314815</v>
      </c>
      <c r="E5816" s="6">
        <v>-3.4761841581531172E-2</v>
      </c>
      <c r="F5816" s="6"/>
      <c r="G5816" s="6">
        <v>5809</v>
      </c>
      <c r="H5816" s="6">
        <f t="shared" ca="1" si="185"/>
        <v>1.0737714345092367E-2</v>
      </c>
    </row>
    <row r="5817" spans="2:8" x14ac:dyDescent="0.3">
      <c r="B5817" s="4">
        <v>38545</v>
      </c>
      <c r="C5817" s="7">
        <v>33.67</v>
      </c>
      <c r="D5817" s="6">
        <f t="shared" si="184"/>
        <v>-0.85757793663550619</v>
      </c>
      <c r="E5817" s="6">
        <v>-3.4967039266265369E-2</v>
      </c>
      <c r="F5817" s="6"/>
      <c r="G5817" s="6">
        <v>5810</v>
      </c>
      <c r="H5817" s="6">
        <f t="shared" ca="1" si="185"/>
        <v>-2.5312478388902397E-3</v>
      </c>
    </row>
    <row r="5818" spans="2:8" x14ac:dyDescent="0.3">
      <c r="B5818" s="4">
        <v>40485</v>
      </c>
      <c r="C5818" s="7">
        <v>236.41</v>
      </c>
      <c r="D5818" s="6">
        <f t="shared" si="184"/>
        <v>-0.92087965782903503</v>
      </c>
      <c r="E5818" s="6">
        <v>-3.5061224489795935E-2</v>
      </c>
      <c r="F5818" s="6"/>
      <c r="G5818" s="6">
        <v>5811</v>
      </c>
      <c r="H5818" s="6">
        <f t="shared" ca="1" si="185"/>
        <v>-7.3973035980909123E-4</v>
      </c>
    </row>
    <row r="5819" spans="2:8" x14ac:dyDescent="0.3">
      <c r="B5819" s="4">
        <v>45314</v>
      </c>
      <c r="C5819" s="5">
        <v>2987.98</v>
      </c>
      <c r="D5819" s="6">
        <f t="shared" si="184"/>
        <v>11.848763706729734</v>
      </c>
      <c r="E5819" s="6">
        <v>-3.5108341137339689E-2</v>
      </c>
      <c r="F5819" s="6"/>
      <c r="G5819" s="6">
        <v>5812</v>
      </c>
      <c r="H5819" s="6">
        <f t="shared" ca="1" si="185"/>
        <v>-4.1246450345425205E-3</v>
      </c>
    </row>
    <row r="5820" spans="2:8" x14ac:dyDescent="0.3">
      <c r="B5820" s="4">
        <v>40493</v>
      </c>
      <c r="C5820" s="7">
        <v>232.55</v>
      </c>
      <c r="D5820" s="6">
        <f t="shared" si="184"/>
        <v>-1.0046400749223043E-2</v>
      </c>
      <c r="E5820" s="6">
        <v>-3.5142311841340965E-2</v>
      </c>
      <c r="F5820" s="6"/>
      <c r="G5820" s="6">
        <v>5813</v>
      </c>
      <c r="H5820" s="6">
        <f t="shared" ca="1" si="185"/>
        <v>-2.0594116887913069E-2</v>
      </c>
    </row>
    <row r="5821" spans="2:8" x14ac:dyDescent="0.3">
      <c r="B5821" s="4">
        <v>40553</v>
      </c>
      <c r="C5821" s="7">
        <v>234.91</v>
      </c>
      <c r="D5821" s="6">
        <f t="shared" si="184"/>
        <v>8.3366454689984106</v>
      </c>
      <c r="E5821" s="6">
        <v>-3.5277207392197141E-2</v>
      </c>
      <c r="F5821" s="6"/>
      <c r="G5821" s="6">
        <v>5814</v>
      </c>
      <c r="H5821" s="6">
        <f t="shared" ca="1" si="185"/>
        <v>2.0589964573941827E-2</v>
      </c>
    </row>
    <row r="5822" spans="2:8" x14ac:dyDescent="0.3">
      <c r="B5822" s="4">
        <v>37992</v>
      </c>
      <c r="C5822" s="7">
        <v>25.16</v>
      </c>
      <c r="D5822" s="6">
        <f t="shared" si="184"/>
        <v>-0.60082500396636529</v>
      </c>
      <c r="E5822" s="6">
        <v>-3.5645841318512832E-2</v>
      </c>
      <c r="F5822" s="6"/>
      <c r="G5822" s="6">
        <v>5815</v>
      </c>
      <c r="H5822" s="6">
        <f t="shared" ca="1" si="185"/>
        <v>6.1964833273122346E-3</v>
      </c>
    </row>
    <row r="5823" spans="2:8" x14ac:dyDescent="0.3">
      <c r="B5823" s="4">
        <v>39133</v>
      </c>
      <c r="C5823" s="7">
        <v>63.03</v>
      </c>
      <c r="D5823" s="6">
        <f t="shared" si="184"/>
        <v>-0.84109015732150072</v>
      </c>
      <c r="E5823" s="6">
        <v>-3.5943713673906308E-2</v>
      </c>
      <c r="F5823" s="6"/>
      <c r="G5823" s="6">
        <v>5816</v>
      </c>
      <c r="H5823" s="6">
        <f t="shared" ca="1" si="185"/>
        <v>-1.8569819480581146E-3</v>
      </c>
    </row>
    <row r="5824" spans="2:8" x14ac:dyDescent="0.3">
      <c r="B5824" s="4">
        <v>41449</v>
      </c>
      <c r="C5824" s="7">
        <v>396.64</v>
      </c>
      <c r="D5824" s="6">
        <f t="shared" si="184"/>
        <v>3.6647065741503</v>
      </c>
      <c r="E5824" s="6">
        <v>-3.6088361807091358E-2</v>
      </c>
      <c r="F5824" s="6"/>
      <c r="G5824" s="6">
        <v>5817</v>
      </c>
      <c r="H5824" s="6">
        <f t="shared" ca="1" si="185"/>
        <v>1.3187760608257774E-2</v>
      </c>
    </row>
    <row r="5825" spans="2:8" x14ac:dyDescent="0.3">
      <c r="B5825" s="4">
        <v>39645</v>
      </c>
      <c r="C5825" s="7">
        <v>85.03</v>
      </c>
      <c r="D5825" s="6">
        <f t="shared" si="184"/>
        <v>-0.16019753086419752</v>
      </c>
      <c r="E5825" s="6">
        <v>-3.615960099750621E-2</v>
      </c>
      <c r="F5825" s="6"/>
      <c r="G5825" s="6">
        <v>5818</v>
      </c>
      <c r="H5825" s="6">
        <f t="shared" ca="1" si="185"/>
        <v>9.5039380655897888E-3</v>
      </c>
    </row>
    <row r="5826" spans="2:8" x14ac:dyDescent="0.3">
      <c r="B5826" s="4">
        <v>39456</v>
      </c>
      <c r="C5826" s="7">
        <v>101.25</v>
      </c>
      <c r="D5826" s="6">
        <f t="shared" si="184"/>
        <v>-0.84856642885987343</v>
      </c>
      <c r="E5826" s="6">
        <v>-3.6264991433466613E-2</v>
      </c>
      <c r="F5826" s="6"/>
      <c r="G5826" s="6">
        <v>5819</v>
      </c>
      <c r="H5826" s="6">
        <f t="shared" ca="1" si="185"/>
        <v>-1.6214300065885742E-2</v>
      </c>
    </row>
    <row r="5827" spans="2:8" x14ac:dyDescent="0.3">
      <c r="B5827" s="4">
        <v>41990</v>
      </c>
      <c r="C5827" s="7">
        <v>668.61</v>
      </c>
      <c r="D5827" s="6">
        <f t="shared" si="184"/>
        <v>-0.49390668523676873</v>
      </c>
      <c r="E5827" s="6">
        <v>-3.6307293168059876E-2</v>
      </c>
      <c r="F5827" s="6"/>
      <c r="G5827" s="6">
        <v>5820</v>
      </c>
      <c r="H5827" s="6">
        <f t="shared" ca="1" si="185"/>
        <v>-1.0405980961336797E-2</v>
      </c>
    </row>
    <row r="5828" spans="2:8" x14ac:dyDescent="0.3">
      <c r="B5828" s="4">
        <v>43510</v>
      </c>
      <c r="C5828" s="5">
        <v>1321.12</v>
      </c>
      <c r="D5828" s="6">
        <f t="shared" si="184"/>
        <v>4.072841070537188</v>
      </c>
      <c r="E5828" s="6">
        <v>-3.6431400293201695E-2</v>
      </c>
      <c r="F5828" s="6"/>
      <c r="G5828" s="6">
        <v>5821</v>
      </c>
      <c r="H5828" s="6">
        <f t="shared" ca="1" si="185"/>
        <v>7.7172939237223227E-3</v>
      </c>
    </row>
    <row r="5829" spans="2:8" x14ac:dyDescent="0.3">
      <c r="B5829" s="4">
        <v>40868</v>
      </c>
      <c r="C5829" s="7">
        <v>260.43</v>
      </c>
      <c r="D5829" s="6">
        <f t="shared" si="184"/>
        <v>-0.69024822484151427</v>
      </c>
      <c r="E5829" s="6">
        <v>-3.6514983351831315E-2</v>
      </c>
      <c r="F5829" s="6"/>
      <c r="G5829" s="6">
        <v>5822</v>
      </c>
      <c r="H5829" s="6">
        <f t="shared" ca="1" si="185"/>
        <v>3.8998940099282439E-2</v>
      </c>
    </row>
    <row r="5830" spans="2:8" x14ac:dyDescent="0.3">
      <c r="B5830" s="4">
        <v>42706</v>
      </c>
      <c r="C5830" s="7">
        <v>840.77</v>
      </c>
      <c r="D5830" s="6">
        <f t="shared" si="184"/>
        <v>-0.72329894192953881</v>
      </c>
      <c r="E5830" s="6">
        <v>-3.652136046938028E-2</v>
      </c>
      <c r="F5830" s="6"/>
      <c r="G5830" s="6">
        <v>5823</v>
      </c>
      <c r="H5830" s="6">
        <f t="shared" ca="1" si="185"/>
        <v>-7.0056409629504889E-3</v>
      </c>
    </row>
    <row r="5831" spans="2:8" x14ac:dyDescent="0.3">
      <c r="B5831" s="4">
        <v>44585</v>
      </c>
      <c r="C5831" s="5">
        <v>3038.55</v>
      </c>
      <c r="D5831" s="6">
        <f t="shared" si="184"/>
        <v>7.0380667689540246</v>
      </c>
      <c r="E5831" s="6">
        <v>-3.655238234147045E-2</v>
      </c>
      <c r="F5831" s="6"/>
      <c r="G5831" s="6">
        <v>5824</v>
      </c>
      <c r="H5831" s="6">
        <f t="shared" ca="1" si="185"/>
        <v>-7.8481436397572144E-3</v>
      </c>
    </row>
    <row r="5832" spans="2:8" x14ac:dyDescent="0.3">
      <c r="B5832" s="4">
        <v>41502</v>
      </c>
      <c r="C5832" s="7">
        <v>378.02</v>
      </c>
      <c r="D5832" s="6">
        <f t="shared" ref="D5832:D5895" si="186">((C5832-C5833)/C5833)</f>
        <v>-0.69395058130120801</v>
      </c>
      <c r="E5832" s="6">
        <v>-3.6916256910651979E-2</v>
      </c>
      <c r="F5832" s="6"/>
      <c r="G5832" s="6">
        <v>5825</v>
      </c>
      <c r="H5832" s="6">
        <f t="shared" ca="1" si="185"/>
        <v>5.4610089640460581E-4</v>
      </c>
    </row>
    <row r="5833" spans="2:8" x14ac:dyDescent="0.3">
      <c r="B5833" s="4">
        <v>43347</v>
      </c>
      <c r="C5833" s="5">
        <v>1235.1600000000001</v>
      </c>
      <c r="D5833" s="6">
        <f t="shared" si="186"/>
        <v>9.1477855148280343E-2</v>
      </c>
      <c r="E5833" s="6">
        <v>-3.694231758853516E-2</v>
      </c>
      <c r="F5833" s="6"/>
      <c r="G5833" s="6">
        <v>5826</v>
      </c>
      <c r="H5833" s="6">
        <f t="shared" ref="H5833:H5896" ca="1" si="187">_xlfn.NORM.INV(RAND(),N$10,N$11)</f>
        <v>5.0924848837516712E-3</v>
      </c>
    </row>
    <row r="5834" spans="2:8" x14ac:dyDescent="0.3">
      <c r="B5834" s="4">
        <v>43382</v>
      </c>
      <c r="C5834" s="5">
        <v>1131.6400000000001</v>
      </c>
      <c r="D5834" s="6">
        <f t="shared" si="186"/>
        <v>1.7045552315854882</v>
      </c>
      <c r="E5834" s="6">
        <v>-3.7188922448632165E-2</v>
      </c>
      <c r="F5834" s="6"/>
      <c r="G5834" s="6">
        <v>5827</v>
      </c>
      <c r="H5834" s="6">
        <f t="shared" ca="1" si="187"/>
        <v>1.8490561648086296E-2</v>
      </c>
    </row>
    <row r="5835" spans="2:8" x14ac:dyDescent="0.3">
      <c r="B5835" s="4">
        <v>41403</v>
      </c>
      <c r="C5835" s="7">
        <v>418.42</v>
      </c>
      <c r="D5835" s="6">
        <f t="shared" si="186"/>
        <v>-0.55472075600204329</v>
      </c>
      <c r="E5835" s="6">
        <v>-3.7628225769354519E-2</v>
      </c>
      <c r="F5835" s="6"/>
      <c r="G5835" s="6">
        <v>5828</v>
      </c>
      <c r="H5835" s="6">
        <f t="shared" ca="1" si="187"/>
        <v>2.6596360901120733E-2</v>
      </c>
    </row>
    <row r="5836" spans="2:8" x14ac:dyDescent="0.3">
      <c r="B5836" s="4">
        <v>42684</v>
      </c>
      <c r="C5836" s="7">
        <v>939.68</v>
      </c>
      <c r="D5836" s="6">
        <f t="shared" si="186"/>
        <v>-0.38616707167306841</v>
      </c>
      <c r="E5836" s="6">
        <v>-3.7725801826895541E-2</v>
      </c>
      <c r="F5836" s="6"/>
      <c r="G5836" s="6">
        <v>5829</v>
      </c>
      <c r="H5836" s="6">
        <f t="shared" ca="1" si="187"/>
        <v>5.8023594132990365E-3</v>
      </c>
    </row>
    <row r="5837" spans="2:8" x14ac:dyDescent="0.3">
      <c r="B5837" s="4">
        <v>43922</v>
      </c>
      <c r="C5837" s="5">
        <v>1530.84</v>
      </c>
      <c r="D5837" s="6">
        <f t="shared" si="186"/>
        <v>-0.5281811036969688</v>
      </c>
      <c r="E5837" s="6">
        <v>-3.7988047433214593E-2</v>
      </c>
      <c r="F5837" s="6"/>
      <c r="G5837" s="6">
        <v>5830</v>
      </c>
      <c r="H5837" s="6">
        <f t="shared" ca="1" si="187"/>
        <v>-8.2841293515596107E-3</v>
      </c>
    </row>
    <row r="5838" spans="2:8" x14ac:dyDescent="0.3">
      <c r="B5838" s="4">
        <v>44795</v>
      </c>
      <c r="C5838" s="5">
        <v>3244.55</v>
      </c>
      <c r="D5838" s="6">
        <f t="shared" si="186"/>
        <v>0.34294288079470209</v>
      </c>
      <c r="E5838" s="6">
        <v>-3.8133156250185186E-2</v>
      </c>
      <c r="F5838" s="6"/>
      <c r="G5838" s="6">
        <v>5831</v>
      </c>
      <c r="H5838" s="6">
        <f t="shared" ca="1" si="187"/>
        <v>1.1297872627899972E-2</v>
      </c>
    </row>
    <row r="5839" spans="2:8" x14ac:dyDescent="0.3">
      <c r="B5839" s="4">
        <v>46051</v>
      </c>
      <c r="C5839" s="5">
        <v>2416</v>
      </c>
      <c r="D5839" s="6">
        <f t="shared" si="186"/>
        <v>149.2487562189055</v>
      </c>
      <c r="E5839" s="6">
        <v>-3.8139979297714857E-2</v>
      </c>
      <c r="F5839" s="6"/>
      <c r="G5839" s="6">
        <v>5832</v>
      </c>
      <c r="H5839" s="6">
        <f t="shared" ca="1" si="187"/>
        <v>3.7978425705813119E-2</v>
      </c>
    </row>
    <row r="5840" spans="2:8" x14ac:dyDescent="0.3">
      <c r="B5840" s="4">
        <v>37567</v>
      </c>
      <c r="C5840" s="7">
        <v>16.079999999999998</v>
      </c>
      <c r="D5840" s="6">
        <f t="shared" si="186"/>
        <v>-0.80437956204379568</v>
      </c>
      <c r="E5840" s="6">
        <v>-3.8277511961722521E-2</v>
      </c>
      <c r="F5840" s="6"/>
      <c r="G5840" s="6">
        <v>5833</v>
      </c>
      <c r="H5840" s="6">
        <f t="shared" ca="1" si="187"/>
        <v>1.231000302745462E-2</v>
      </c>
    </row>
    <row r="5841" spans="2:8" x14ac:dyDescent="0.3">
      <c r="B5841" s="4">
        <v>39731</v>
      </c>
      <c r="C5841" s="7">
        <v>82.2</v>
      </c>
      <c r="D5841" s="6">
        <f t="shared" si="186"/>
        <v>2.3619631901840492</v>
      </c>
      <c r="E5841" s="6">
        <v>-3.8484033220259589E-2</v>
      </c>
      <c r="F5841" s="6"/>
      <c r="G5841" s="6">
        <v>5834</v>
      </c>
      <c r="H5841" s="6">
        <f t="shared" ca="1" si="187"/>
        <v>1.301374698176482E-2</v>
      </c>
    </row>
    <row r="5842" spans="2:8" x14ac:dyDescent="0.3">
      <c r="B5842" s="4">
        <v>38358</v>
      </c>
      <c r="C5842" s="7">
        <v>24.45</v>
      </c>
      <c r="D5842" s="6">
        <f t="shared" si="186"/>
        <v>-0.96477554313375202</v>
      </c>
      <c r="E5842" s="6">
        <v>-3.8537160833661051E-2</v>
      </c>
      <c r="F5842" s="6"/>
      <c r="G5842" s="6">
        <v>5835</v>
      </c>
      <c r="H5842" s="6">
        <f t="shared" ca="1" si="187"/>
        <v>2.8460184325022194E-3</v>
      </c>
    </row>
    <row r="5843" spans="2:8" x14ac:dyDescent="0.3">
      <c r="B5843" s="4">
        <v>42157</v>
      </c>
      <c r="C5843" s="7">
        <v>694.12</v>
      </c>
      <c r="D5843" s="6">
        <f t="shared" si="186"/>
        <v>-0.77683325188405061</v>
      </c>
      <c r="E5843" s="6">
        <v>-3.8681531749878748E-2</v>
      </c>
      <c r="F5843" s="6"/>
      <c r="G5843" s="6">
        <v>5836</v>
      </c>
      <c r="H5843" s="6">
        <f t="shared" ca="1" si="187"/>
        <v>5.0068640088417561E-3</v>
      </c>
    </row>
    <row r="5844" spans="2:8" x14ac:dyDescent="0.3">
      <c r="B5844" s="4">
        <v>45568</v>
      </c>
      <c r="C5844" s="5">
        <v>3110.32</v>
      </c>
      <c r="D5844" s="6">
        <f t="shared" si="186"/>
        <v>80.14583876858859</v>
      </c>
      <c r="E5844" s="6">
        <v>-3.9069692719307471E-2</v>
      </c>
      <c r="F5844" s="6"/>
      <c r="G5844" s="6">
        <v>5837</v>
      </c>
      <c r="H5844" s="6">
        <f t="shared" ca="1" si="187"/>
        <v>1.1594663600500644E-2</v>
      </c>
    </row>
    <row r="5845" spans="2:8" x14ac:dyDescent="0.3">
      <c r="B5845" s="4">
        <v>38617</v>
      </c>
      <c r="C5845" s="7">
        <v>38.33</v>
      </c>
      <c r="D5845" s="6">
        <f t="shared" si="186"/>
        <v>-0.98633896335791349</v>
      </c>
      <c r="E5845" s="6">
        <v>-3.91075457508148E-2</v>
      </c>
      <c r="F5845" s="6"/>
      <c r="G5845" s="6">
        <v>5838</v>
      </c>
      <c r="H5845" s="6">
        <f t="shared" ca="1" si="187"/>
        <v>-1.7086920524425241E-2</v>
      </c>
    </row>
    <row r="5846" spans="2:8" x14ac:dyDescent="0.3">
      <c r="B5846" s="4">
        <v>45348</v>
      </c>
      <c r="C5846" s="5">
        <v>2805.79</v>
      </c>
      <c r="D5846" s="6">
        <f t="shared" si="186"/>
        <v>42.785736579275905</v>
      </c>
      <c r="E5846" s="6">
        <v>-3.9353175404778958E-2</v>
      </c>
      <c r="F5846" s="6"/>
      <c r="G5846" s="6">
        <v>5839</v>
      </c>
      <c r="H5846" s="6">
        <f t="shared" ca="1" si="187"/>
        <v>-3.1865793426829108E-3</v>
      </c>
    </row>
    <row r="5847" spans="2:8" x14ac:dyDescent="0.3">
      <c r="B5847" s="4">
        <v>39842</v>
      </c>
      <c r="C5847" s="7">
        <v>64.08</v>
      </c>
      <c r="D5847" s="6">
        <f t="shared" si="186"/>
        <v>-0.19019335271072915</v>
      </c>
      <c r="E5847" s="6">
        <v>-3.9424374156798017E-2</v>
      </c>
      <c r="F5847" s="6"/>
      <c r="G5847" s="6">
        <v>5840</v>
      </c>
      <c r="H5847" s="6">
        <f t="shared" ca="1" si="187"/>
        <v>-5.7922596517553547E-3</v>
      </c>
    </row>
    <row r="5848" spans="2:8" x14ac:dyDescent="0.3">
      <c r="B5848" s="4">
        <v>39360</v>
      </c>
      <c r="C5848" s="7">
        <v>79.13</v>
      </c>
      <c r="D5848" s="6">
        <f t="shared" si="186"/>
        <v>-0.97443873760377298</v>
      </c>
      <c r="E5848" s="6">
        <v>-3.9800995024875635E-2</v>
      </c>
      <c r="F5848" s="6"/>
      <c r="G5848" s="6">
        <v>5841</v>
      </c>
      <c r="H5848" s="6">
        <f t="shared" ca="1" si="187"/>
        <v>-1.4305905655991626E-3</v>
      </c>
    </row>
    <row r="5849" spans="2:8" x14ac:dyDescent="0.3">
      <c r="B5849" s="4">
        <v>45197</v>
      </c>
      <c r="C5849" s="5">
        <v>3095.7</v>
      </c>
      <c r="D5849" s="6">
        <f t="shared" si="186"/>
        <v>47.797288776796968</v>
      </c>
      <c r="E5849" s="6">
        <v>-3.9810176641181236E-2</v>
      </c>
      <c r="F5849" s="6"/>
      <c r="G5849" s="6">
        <v>5842</v>
      </c>
      <c r="H5849" s="6">
        <f t="shared" ca="1" si="187"/>
        <v>3.2433878276346998E-3</v>
      </c>
    </row>
    <row r="5850" spans="2:8" x14ac:dyDescent="0.3">
      <c r="B5850" s="4">
        <v>39875</v>
      </c>
      <c r="C5850" s="7">
        <v>63.44</v>
      </c>
      <c r="D5850" s="6">
        <f t="shared" si="186"/>
        <v>2.7361601884570077</v>
      </c>
      <c r="E5850" s="6">
        <v>-4.0096837645634827E-2</v>
      </c>
      <c r="F5850" s="6"/>
      <c r="G5850" s="6">
        <v>5843</v>
      </c>
      <c r="H5850" s="6">
        <f t="shared" ca="1" si="187"/>
        <v>-7.9186885875471551E-3</v>
      </c>
    </row>
    <row r="5851" spans="2:8" x14ac:dyDescent="0.3">
      <c r="B5851" s="4">
        <v>37746</v>
      </c>
      <c r="C5851" s="7">
        <v>16.98</v>
      </c>
      <c r="D5851" s="6">
        <f t="shared" si="186"/>
        <v>-0.8250206100577081</v>
      </c>
      <c r="E5851" s="6">
        <v>-4.0135669869983084E-2</v>
      </c>
      <c r="F5851" s="6"/>
      <c r="G5851" s="6">
        <v>5844</v>
      </c>
      <c r="H5851" s="6">
        <f t="shared" ca="1" si="187"/>
        <v>-1.1770666114330296E-2</v>
      </c>
    </row>
    <row r="5852" spans="2:8" x14ac:dyDescent="0.3">
      <c r="B5852" s="4">
        <v>40007</v>
      </c>
      <c r="C5852" s="7">
        <v>97.04</v>
      </c>
      <c r="D5852" s="6">
        <f t="shared" si="186"/>
        <v>-0.97077398933238568</v>
      </c>
      <c r="E5852" s="6">
        <v>-4.0253189595489992E-2</v>
      </c>
      <c r="F5852" s="6"/>
      <c r="G5852" s="6">
        <v>5845</v>
      </c>
      <c r="H5852" s="6">
        <f t="shared" ca="1" si="187"/>
        <v>4.6749476798146762E-2</v>
      </c>
    </row>
    <row r="5853" spans="2:8" x14ac:dyDescent="0.3">
      <c r="B5853" s="4">
        <v>45132</v>
      </c>
      <c r="C5853" s="5">
        <v>3320.33</v>
      </c>
      <c r="D5853" s="6">
        <f t="shared" si="186"/>
        <v>63.497474747474747</v>
      </c>
      <c r="E5853" s="6">
        <v>-4.0436384654288005E-2</v>
      </c>
      <c r="F5853" s="6"/>
      <c r="G5853" s="6">
        <v>5846</v>
      </c>
      <c r="H5853" s="6">
        <f t="shared" ca="1" si="187"/>
        <v>1.6550117150041219E-2</v>
      </c>
    </row>
    <row r="5854" spans="2:8" x14ac:dyDescent="0.3">
      <c r="B5854" s="4">
        <v>38848</v>
      </c>
      <c r="C5854" s="7">
        <v>51.48</v>
      </c>
      <c r="D5854" s="6">
        <f t="shared" si="186"/>
        <v>-0.97638174586061188</v>
      </c>
      <c r="E5854" s="6">
        <v>-4.044734389561979E-2</v>
      </c>
      <c r="F5854" s="6"/>
      <c r="G5854" s="6">
        <v>5847</v>
      </c>
      <c r="H5854" s="6">
        <f t="shared" ca="1" si="187"/>
        <v>-1.4230554274751903E-2</v>
      </c>
    </row>
    <row r="5855" spans="2:8" x14ac:dyDescent="0.3">
      <c r="B5855" s="4">
        <v>44253</v>
      </c>
      <c r="C5855" s="5">
        <v>2179.67</v>
      </c>
      <c r="D5855" s="6">
        <f t="shared" si="186"/>
        <v>24.496198385776118</v>
      </c>
      <c r="E5855" s="6">
        <v>-4.0671983380866805E-2</v>
      </c>
      <c r="F5855" s="6"/>
      <c r="G5855" s="6">
        <v>5848</v>
      </c>
      <c r="H5855" s="6">
        <f t="shared" ca="1" si="187"/>
        <v>7.0097987544934532E-3</v>
      </c>
    </row>
    <row r="5856" spans="2:8" x14ac:dyDescent="0.3">
      <c r="B5856" s="4">
        <v>39729</v>
      </c>
      <c r="C5856" s="7">
        <v>85.49</v>
      </c>
      <c r="D5856" s="6">
        <f t="shared" si="186"/>
        <v>-0.86800376735065699</v>
      </c>
      <c r="E5856" s="6">
        <v>-4.1591928251121166E-2</v>
      </c>
      <c r="F5856" s="6"/>
      <c r="G5856" s="6">
        <v>5849</v>
      </c>
      <c r="H5856" s="6">
        <f t="shared" ca="1" si="187"/>
        <v>5.3153471755956203E-3</v>
      </c>
    </row>
    <row r="5857" spans="2:8" x14ac:dyDescent="0.3">
      <c r="B5857" s="4">
        <v>42166</v>
      </c>
      <c r="C5857" s="7">
        <v>647.66999999999996</v>
      </c>
      <c r="D5857" s="6">
        <f t="shared" si="186"/>
        <v>0.74965556365993979</v>
      </c>
      <c r="E5857" s="6">
        <v>-4.161055949333374E-2</v>
      </c>
      <c r="F5857" s="6"/>
      <c r="G5857" s="6">
        <v>5850</v>
      </c>
      <c r="H5857" s="6">
        <f t="shared" ca="1" si="187"/>
        <v>5.4900547062205858E-3</v>
      </c>
    </row>
    <row r="5858" spans="2:8" x14ac:dyDescent="0.3">
      <c r="B5858" s="4">
        <v>41513</v>
      </c>
      <c r="C5858" s="7">
        <v>370.17</v>
      </c>
      <c r="D5858" s="6">
        <f t="shared" si="186"/>
        <v>-0.85262759773867347</v>
      </c>
      <c r="E5858" s="6">
        <v>-4.1705498602050216E-2</v>
      </c>
      <c r="F5858" s="6"/>
      <c r="G5858" s="6">
        <v>5851</v>
      </c>
      <c r="H5858" s="6">
        <f t="shared" ca="1" si="187"/>
        <v>9.805886518657657E-4</v>
      </c>
    </row>
    <row r="5859" spans="2:8" x14ac:dyDescent="0.3">
      <c r="B5859" s="4">
        <v>46050</v>
      </c>
      <c r="C5859" s="5">
        <v>2511.8000000000002</v>
      </c>
      <c r="D5859" s="6">
        <f t="shared" si="186"/>
        <v>2.3474598859214244</v>
      </c>
      <c r="E5859" s="6">
        <v>-4.232118346804941E-2</v>
      </c>
      <c r="F5859" s="6"/>
      <c r="G5859" s="6">
        <v>5852</v>
      </c>
      <c r="H5859" s="6">
        <f t="shared" ca="1" si="187"/>
        <v>2.9299830570613732E-2</v>
      </c>
    </row>
    <row r="5860" spans="2:8" x14ac:dyDescent="0.3">
      <c r="B5860" s="4">
        <v>42206</v>
      </c>
      <c r="C5860" s="7">
        <v>750.36</v>
      </c>
      <c r="D5860" s="6">
        <f t="shared" si="186"/>
        <v>1.754322211210219</v>
      </c>
      <c r="E5860" s="6">
        <v>-4.2529571641848229E-2</v>
      </c>
      <c r="F5860" s="6"/>
      <c r="G5860" s="6">
        <v>5853</v>
      </c>
      <c r="H5860" s="6">
        <f t="shared" ca="1" si="187"/>
        <v>-1.425625353007209E-2</v>
      </c>
    </row>
    <row r="5861" spans="2:8" x14ac:dyDescent="0.3">
      <c r="B5861" s="4">
        <v>40987</v>
      </c>
      <c r="C5861" s="7">
        <v>272.43</v>
      </c>
      <c r="D5861" s="6">
        <f t="shared" si="186"/>
        <v>2.1120630568882794</v>
      </c>
      <c r="E5861" s="6">
        <v>-4.2660856731208445E-2</v>
      </c>
      <c r="F5861" s="6"/>
      <c r="G5861" s="6">
        <v>5854</v>
      </c>
      <c r="H5861" s="6">
        <f t="shared" ca="1" si="187"/>
        <v>-1.1646833995856575E-2</v>
      </c>
    </row>
    <row r="5862" spans="2:8" x14ac:dyDescent="0.3">
      <c r="B5862" s="4">
        <v>39465</v>
      </c>
      <c r="C5862" s="7">
        <v>87.54</v>
      </c>
      <c r="D5862" s="6">
        <f t="shared" si="186"/>
        <v>0.15305584826132776</v>
      </c>
      <c r="E5862" s="6">
        <v>-4.2964906526729997E-2</v>
      </c>
      <c r="F5862" s="6"/>
      <c r="G5862" s="6">
        <v>5855</v>
      </c>
      <c r="H5862" s="6">
        <f t="shared" ca="1" si="187"/>
        <v>9.174498011391816E-3</v>
      </c>
    </row>
    <row r="5863" spans="2:8" x14ac:dyDescent="0.3">
      <c r="B5863" s="4">
        <v>39924</v>
      </c>
      <c r="C5863" s="7">
        <v>75.92</v>
      </c>
      <c r="D5863" s="6">
        <f t="shared" si="186"/>
        <v>-0.78548824593128386</v>
      </c>
      <c r="E5863" s="6">
        <v>-4.3828715365239343E-2</v>
      </c>
      <c r="F5863" s="6"/>
      <c r="G5863" s="6">
        <v>5856</v>
      </c>
      <c r="H5863" s="6">
        <f t="shared" ca="1" si="187"/>
        <v>1.2088657543310596E-4</v>
      </c>
    </row>
    <row r="5864" spans="2:8" x14ac:dyDescent="0.3">
      <c r="B5864" s="4">
        <v>41514</v>
      </c>
      <c r="C5864" s="7">
        <v>353.92</v>
      </c>
      <c r="D5864" s="6">
        <f t="shared" si="186"/>
        <v>-0.85760267799665246</v>
      </c>
      <c r="E5864" s="6">
        <v>-4.3898749223329821E-2</v>
      </c>
      <c r="F5864" s="6"/>
      <c r="G5864" s="6">
        <v>5857</v>
      </c>
      <c r="H5864" s="6">
        <f t="shared" ca="1" si="187"/>
        <v>8.2928324232475602E-3</v>
      </c>
    </row>
    <row r="5865" spans="2:8" x14ac:dyDescent="0.3">
      <c r="B5865" s="4">
        <v>44218</v>
      </c>
      <c r="C5865" s="5">
        <v>2485.44</v>
      </c>
      <c r="D5865" s="6">
        <f t="shared" si="186"/>
        <v>25.624959828602037</v>
      </c>
      <c r="E5865" s="6">
        <v>-4.4065215133788006E-2</v>
      </c>
      <c r="F5865" s="6"/>
      <c r="G5865" s="6">
        <v>5858</v>
      </c>
      <c r="H5865" s="6">
        <f t="shared" ca="1" si="187"/>
        <v>3.0179995055668794E-2</v>
      </c>
    </row>
    <row r="5866" spans="2:8" x14ac:dyDescent="0.3">
      <c r="B5866" s="4">
        <v>39727</v>
      </c>
      <c r="C5866" s="7">
        <v>93.35</v>
      </c>
      <c r="D5866" s="6">
        <f t="shared" si="186"/>
        <v>4.652466367712995E-2</v>
      </c>
      <c r="E5866" s="6">
        <v>-4.4328419328419452E-2</v>
      </c>
      <c r="F5866" s="6"/>
      <c r="G5866" s="6">
        <v>5859</v>
      </c>
      <c r="H5866" s="6">
        <f t="shared" ca="1" si="187"/>
        <v>-2.0640421345027596E-2</v>
      </c>
    </row>
    <row r="5867" spans="2:8" x14ac:dyDescent="0.3">
      <c r="B5867" s="4">
        <v>39728</v>
      </c>
      <c r="C5867" s="7">
        <v>89.2</v>
      </c>
      <c r="D5867" s="6">
        <f t="shared" si="186"/>
        <v>-0.66527824683853054</v>
      </c>
      <c r="E5867" s="6">
        <v>-4.4456347080878325E-2</v>
      </c>
      <c r="F5867" s="6"/>
      <c r="G5867" s="6">
        <v>5860</v>
      </c>
      <c r="H5867" s="6">
        <f t="shared" ca="1" si="187"/>
        <v>-4.6519198289988297E-3</v>
      </c>
    </row>
    <row r="5868" spans="2:8" x14ac:dyDescent="0.3">
      <c r="B5868" s="4">
        <v>40837</v>
      </c>
      <c r="C5868" s="7">
        <v>266.49</v>
      </c>
      <c r="D5868" s="6">
        <f t="shared" si="186"/>
        <v>-0.90468884120171678</v>
      </c>
      <c r="E5868" s="6">
        <v>-4.4804473278612138E-2</v>
      </c>
      <c r="F5868" s="6"/>
      <c r="G5868" s="6">
        <v>5861</v>
      </c>
      <c r="H5868" s="6">
        <f t="shared" ca="1" si="187"/>
        <v>-1.5435952036206379E-2</v>
      </c>
    </row>
    <row r="5869" spans="2:8" x14ac:dyDescent="0.3">
      <c r="B5869" s="4">
        <v>46000</v>
      </c>
      <c r="C5869" s="5">
        <v>2796</v>
      </c>
      <c r="D5869" s="6">
        <f t="shared" si="186"/>
        <v>7.3720348843907241E-2</v>
      </c>
      <c r="E5869" s="6">
        <v>-4.5179797151931211E-2</v>
      </c>
      <c r="F5869" s="6"/>
      <c r="G5869" s="6">
        <v>5862</v>
      </c>
      <c r="H5869" s="6">
        <f t="shared" ca="1" si="187"/>
        <v>-1.5352246737654984E-2</v>
      </c>
    </row>
    <row r="5870" spans="2:8" x14ac:dyDescent="0.3">
      <c r="B5870" s="4">
        <v>44208</v>
      </c>
      <c r="C5870" s="5">
        <v>2604.0300000000002</v>
      </c>
      <c r="D5870" s="6">
        <f t="shared" si="186"/>
        <v>57.781715575620773</v>
      </c>
      <c r="E5870" s="6">
        <v>-4.518804518804511E-2</v>
      </c>
      <c r="F5870" s="6"/>
      <c r="G5870" s="6">
        <v>5863</v>
      </c>
      <c r="H5870" s="6">
        <f t="shared" ca="1" si="187"/>
        <v>-1.0310616434795085E-2</v>
      </c>
    </row>
    <row r="5871" spans="2:8" x14ac:dyDescent="0.3">
      <c r="B5871" s="4">
        <v>38859</v>
      </c>
      <c r="C5871" s="7">
        <v>44.3</v>
      </c>
      <c r="D5871" s="6">
        <f t="shared" si="186"/>
        <v>-0.98481326833549299</v>
      </c>
      <c r="E5871" s="6">
        <v>-4.5875511522722436E-2</v>
      </c>
      <c r="F5871" s="6"/>
      <c r="G5871" s="6">
        <v>5864</v>
      </c>
      <c r="H5871" s="6">
        <f t="shared" ca="1" si="187"/>
        <v>-1.3722278344782575E-2</v>
      </c>
    </row>
    <row r="5872" spans="2:8" x14ac:dyDescent="0.3">
      <c r="B5872" s="4">
        <v>44622</v>
      </c>
      <c r="C5872" s="5">
        <v>2917.02</v>
      </c>
      <c r="D5872" s="6">
        <f t="shared" si="186"/>
        <v>36.834241245136191</v>
      </c>
      <c r="E5872" s="6">
        <v>-4.5892985055587705E-2</v>
      </c>
      <c r="F5872" s="6"/>
      <c r="G5872" s="6">
        <v>5865</v>
      </c>
      <c r="H5872" s="6">
        <f t="shared" ca="1" si="187"/>
        <v>-2.562776252450559E-2</v>
      </c>
    </row>
    <row r="5873" spans="2:8" x14ac:dyDescent="0.3">
      <c r="B5873" s="4">
        <v>39772</v>
      </c>
      <c r="C5873" s="7">
        <v>77.099999999999994</v>
      </c>
      <c r="D5873" s="6">
        <f t="shared" si="186"/>
        <v>-0.95184620765464178</v>
      </c>
      <c r="E5873" s="6">
        <v>-4.6146232834343735E-2</v>
      </c>
      <c r="F5873" s="6"/>
      <c r="G5873" s="6">
        <v>5866</v>
      </c>
      <c r="H5873" s="6">
        <f t="shared" ca="1" si="187"/>
        <v>9.5462491974080219E-3</v>
      </c>
    </row>
    <row r="5874" spans="2:8" x14ac:dyDescent="0.3">
      <c r="B5874" s="4">
        <v>43955</v>
      </c>
      <c r="C5874" s="5">
        <v>1601.12</v>
      </c>
      <c r="D5874" s="6">
        <f t="shared" si="186"/>
        <v>-0.39281596990473883</v>
      </c>
      <c r="E5874" s="6">
        <v>-4.6566467379653698E-2</v>
      </c>
      <c r="F5874" s="6"/>
      <c r="G5874" s="6">
        <v>5867</v>
      </c>
      <c r="H5874" s="6">
        <f t="shared" ca="1" si="187"/>
        <v>-1.4931345683678399E-4</v>
      </c>
    </row>
    <row r="5875" spans="2:8" x14ac:dyDescent="0.3">
      <c r="B5875" s="4">
        <v>44624</v>
      </c>
      <c r="C5875" s="5">
        <v>2636.96</v>
      </c>
      <c r="D5875" s="6">
        <f t="shared" si="186"/>
        <v>-5.2585914217813026E-3</v>
      </c>
      <c r="E5875" s="6">
        <v>-4.6572925442101093E-2</v>
      </c>
      <c r="F5875" s="6"/>
      <c r="G5875" s="6">
        <v>5868</v>
      </c>
      <c r="H5875" s="6">
        <f t="shared" ca="1" si="187"/>
        <v>2.5803128278279755E-2</v>
      </c>
    </row>
    <row r="5876" spans="2:8" x14ac:dyDescent="0.3">
      <c r="B5876" s="4">
        <v>45421</v>
      </c>
      <c r="C5876" s="5">
        <v>2650.9</v>
      </c>
      <c r="D5876" s="6">
        <f t="shared" si="186"/>
        <v>2.5256955897217641</v>
      </c>
      <c r="E5876" s="6">
        <v>-4.6846853325375096E-2</v>
      </c>
      <c r="F5876" s="6"/>
      <c r="G5876" s="6">
        <v>5869</v>
      </c>
      <c r="H5876" s="6">
        <f t="shared" ca="1" si="187"/>
        <v>2.9293930839755435E-2</v>
      </c>
    </row>
    <row r="5877" spans="2:8" x14ac:dyDescent="0.3">
      <c r="B5877" s="4">
        <v>42303</v>
      </c>
      <c r="C5877" s="7">
        <v>751.88</v>
      </c>
      <c r="D5877" s="6">
        <f t="shared" si="186"/>
        <v>16.026268115942031</v>
      </c>
      <c r="E5877" s="6">
        <v>-4.7638348807457993E-2</v>
      </c>
      <c r="F5877" s="6"/>
      <c r="G5877" s="6">
        <v>5870</v>
      </c>
      <c r="H5877" s="6">
        <f t="shared" ca="1" si="187"/>
        <v>5.914637172621493E-3</v>
      </c>
    </row>
    <row r="5878" spans="2:8" x14ac:dyDescent="0.3">
      <c r="B5878" s="4">
        <v>38881</v>
      </c>
      <c r="C5878" s="7">
        <v>44.16</v>
      </c>
      <c r="D5878" s="6">
        <f t="shared" si="186"/>
        <v>-0.97169248915071049</v>
      </c>
      <c r="E5878" s="6">
        <v>-4.8070704893296054E-2</v>
      </c>
      <c r="F5878" s="6"/>
      <c r="G5878" s="6">
        <v>5871</v>
      </c>
      <c r="H5878" s="6">
        <f t="shared" ca="1" si="187"/>
        <v>5.5210321843377121E-3</v>
      </c>
    </row>
    <row r="5879" spans="2:8" x14ac:dyDescent="0.3">
      <c r="B5879" s="4">
        <v>43986</v>
      </c>
      <c r="C5879" s="5">
        <v>1560.01</v>
      </c>
      <c r="D5879" s="6">
        <f t="shared" si="186"/>
        <v>0.74468489627020074</v>
      </c>
      <c r="E5879" s="6">
        <v>-4.8240476364789966E-2</v>
      </c>
      <c r="F5879" s="6"/>
      <c r="G5879" s="6">
        <v>5872</v>
      </c>
      <c r="H5879" s="6">
        <f t="shared" ca="1" si="187"/>
        <v>3.0607135851823467E-3</v>
      </c>
    </row>
    <row r="5880" spans="2:8" x14ac:dyDescent="0.3">
      <c r="B5880" s="4">
        <v>42685</v>
      </c>
      <c r="C5880" s="7">
        <v>894.15</v>
      </c>
      <c r="D5880" s="6">
        <f t="shared" si="186"/>
        <v>16.331847257220389</v>
      </c>
      <c r="E5880" s="6">
        <v>-4.8452664736931696E-2</v>
      </c>
      <c r="F5880" s="6"/>
      <c r="G5880" s="6">
        <v>5873</v>
      </c>
      <c r="H5880" s="6">
        <f t="shared" ca="1" si="187"/>
        <v>2.7781225415778868E-5</v>
      </c>
    </row>
    <row r="5881" spans="2:8" x14ac:dyDescent="0.3">
      <c r="B5881" s="4">
        <v>38804</v>
      </c>
      <c r="C5881" s="7">
        <v>51.59</v>
      </c>
      <c r="D5881" s="6">
        <f t="shared" si="186"/>
        <v>-0.8791435331599784</v>
      </c>
      <c r="E5881" s="6">
        <v>-4.9207519351271559E-2</v>
      </c>
      <c r="F5881" s="6"/>
      <c r="G5881" s="6">
        <v>5874</v>
      </c>
      <c r="H5881" s="6">
        <f t="shared" ca="1" si="187"/>
        <v>-1.1733676451306373E-2</v>
      </c>
    </row>
    <row r="5882" spans="2:8" x14ac:dyDescent="0.3">
      <c r="B5882" s="4">
        <v>41491</v>
      </c>
      <c r="C5882" s="7">
        <v>426.87</v>
      </c>
      <c r="D5882" s="6">
        <f t="shared" si="186"/>
        <v>-0.10819788576442572</v>
      </c>
      <c r="E5882" s="6">
        <v>-4.9541325258282864E-2</v>
      </c>
      <c r="F5882" s="6"/>
      <c r="G5882" s="6">
        <v>5875</v>
      </c>
      <c r="H5882" s="6">
        <f t="shared" ca="1" si="187"/>
        <v>-4.6137552069855045E-4</v>
      </c>
    </row>
    <row r="5883" spans="2:8" x14ac:dyDescent="0.3">
      <c r="B5883" s="4">
        <v>41774</v>
      </c>
      <c r="C5883" s="7">
        <v>478.66</v>
      </c>
      <c r="D5883" s="6">
        <f t="shared" si="186"/>
        <v>5.1014659018483117</v>
      </c>
      <c r="E5883" s="6">
        <v>-5.0013892747985525E-2</v>
      </c>
      <c r="F5883" s="6"/>
      <c r="G5883" s="6">
        <v>5876</v>
      </c>
      <c r="H5883" s="6">
        <f t="shared" ca="1" si="187"/>
        <v>1.629657246150738E-2</v>
      </c>
    </row>
    <row r="5884" spans="2:8" x14ac:dyDescent="0.3">
      <c r="B5884" s="4">
        <v>39310</v>
      </c>
      <c r="C5884" s="7">
        <v>78.45</v>
      </c>
      <c r="D5884" s="6">
        <f t="shared" si="186"/>
        <v>-0.17299177735610369</v>
      </c>
      <c r="E5884" s="6">
        <v>-5.0127134035597536E-2</v>
      </c>
      <c r="F5884" s="6"/>
      <c r="G5884" s="6">
        <v>5877</v>
      </c>
      <c r="H5884" s="6">
        <f t="shared" ca="1" si="187"/>
        <v>-9.8880892921516667E-3</v>
      </c>
    </row>
    <row r="5885" spans="2:8" x14ac:dyDescent="0.3">
      <c r="B5885" s="4">
        <v>39980</v>
      </c>
      <c r="C5885" s="7">
        <v>94.86</v>
      </c>
      <c r="D5885" s="6">
        <f t="shared" si="186"/>
        <v>0.14275388507408737</v>
      </c>
      <c r="E5885" s="6">
        <v>-5.0355390930023038E-2</v>
      </c>
      <c r="F5885" s="6"/>
      <c r="G5885" s="6">
        <v>5878</v>
      </c>
      <c r="H5885" s="6">
        <f t="shared" ca="1" si="187"/>
        <v>2.2970946237439914E-2</v>
      </c>
    </row>
    <row r="5886" spans="2:8" x14ac:dyDescent="0.3">
      <c r="B5886" s="4">
        <v>39744</v>
      </c>
      <c r="C5886" s="7">
        <v>83.01</v>
      </c>
      <c r="D5886" s="6">
        <f t="shared" si="186"/>
        <v>-0.94284081362841365</v>
      </c>
      <c r="E5886" s="6">
        <v>-5.0446122168840042E-2</v>
      </c>
      <c r="F5886" s="6"/>
      <c r="G5886" s="6">
        <v>5879</v>
      </c>
      <c r="H5886" s="6">
        <f t="shared" ca="1" si="187"/>
        <v>-1.0147099706920114E-2</v>
      </c>
    </row>
    <row r="5887" spans="2:8" x14ac:dyDescent="0.3">
      <c r="B5887" s="4">
        <v>43924</v>
      </c>
      <c r="C5887" s="5">
        <v>1452.26</v>
      </c>
      <c r="D5887" s="6">
        <f t="shared" si="186"/>
        <v>0.35427798759733309</v>
      </c>
      <c r="E5887" s="6">
        <v>-5.1331295236602084E-2</v>
      </c>
      <c r="F5887" s="6"/>
      <c r="G5887" s="6">
        <v>5880</v>
      </c>
      <c r="H5887" s="6">
        <f t="shared" ca="1" si="187"/>
        <v>-6.2761000242883454E-3</v>
      </c>
    </row>
    <row r="5888" spans="2:8" x14ac:dyDescent="0.3">
      <c r="B5888" s="4">
        <v>43396</v>
      </c>
      <c r="C5888" s="5">
        <v>1072.3499999999999</v>
      </c>
      <c r="D5888" s="6">
        <f t="shared" si="186"/>
        <v>-0.61227795514449868</v>
      </c>
      <c r="E5888" s="6">
        <v>-5.160520031838696E-2</v>
      </c>
      <c r="F5888" s="6"/>
      <c r="G5888" s="6">
        <v>5881</v>
      </c>
      <c r="H5888" s="6">
        <f t="shared" ca="1" si="187"/>
        <v>8.5982920406554603E-3</v>
      </c>
    </row>
    <row r="5889" spans="2:8" x14ac:dyDescent="0.3">
      <c r="B5889" s="4">
        <v>44623</v>
      </c>
      <c r="C5889" s="5">
        <v>2765.77</v>
      </c>
      <c r="D5889" s="6">
        <f t="shared" si="186"/>
        <v>27.918548724383104</v>
      </c>
      <c r="E5889" s="6">
        <v>-5.1850861495635961E-2</v>
      </c>
      <c r="F5889" s="6"/>
      <c r="G5889" s="6">
        <v>5882</v>
      </c>
      <c r="H5889" s="6">
        <f t="shared" ca="1" si="187"/>
        <v>-1.171037786469438E-2</v>
      </c>
    </row>
    <row r="5890" spans="2:8" x14ac:dyDescent="0.3">
      <c r="B5890" s="4">
        <v>39506</v>
      </c>
      <c r="C5890" s="7">
        <v>95.64</v>
      </c>
      <c r="D5890" s="6">
        <f t="shared" si="186"/>
        <v>-0.96764141655078617</v>
      </c>
      <c r="E5890" s="6">
        <v>-5.194290245836633E-2</v>
      </c>
      <c r="F5890" s="6"/>
      <c r="G5890" s="6">
        <v>5883</v>
      </c>
      <c r="H5890" s="6">
        <f t="shared" ca="1" si="187"/>
        <v>1.3029213228236008E-2</v>
      </c>
    </row>
    <row r="5891" spans="2:8" x14ac:dyDescent="0.3">
      <c r="B5891" s="4">
        <v>44616</v>
      </c>
      <c r="C5891" s="5">
        <v>2955.63</v>
      </c>
      <c r="D5891" s="6">
        <f t="shared" si="186"/>
        <v>-9.8481012658227812E-2</v>
      </c>
      <c r="E5891" s="6">
        <v>-5.1944302774276134E-2</v>
      </c>
      <c r="F5891" s="6"/>
      <c r="G5891" s="6">
        <v>5884</v>
      </c>
      <c r="H5891" s="6">
        <f t="shared" ca="1" si="187"/>
        <v>1.3002980517994905E-2</v>
      </c>
    </row>
    <row r="5892" spans="2:8" x14ac:dyDescent="0.3">
      <c r="B5892" s="4">
        <v>44833</v>
      </c>
      <c r="C5892" s="5">
        <v>3278.5</v>
      </c>
      <c r="D5892" s="6">
        <f t="shared" si="186"/>
        <v>32.294404387122981</v>
      </c>
      <c r="E5892" s="6">
        <v>-5.2048425478023831E-2</v>
      </c>
      <c r="F5892" s="6"/>
      <c r="G5892" s="6">
        <v>5885</v>
      </c>
      <c r="H5892" s="6">
        <f t="shared" ca="1" si="187"/>
        <v>1.2077086490675331E-2</v>
      </c>
    </row>
    <row r="5893" spans="2:8" x14ac:dyDescent="0.3">
      <c r="B5893" s="4">
        <v>39624</v>
      </c>
      <c r="C5893" s="7">
        <v>98.47</v>
      </c>
      <c r="D5893" s="6">
        <f t="shared" si="186"/>
        <v>-0.96589960694682531</v>
      </c>
      <c r="E5893" s="6">
        <v>-5.2717652717652753E-2</v>
      </c>
      <c r="F5893" s="6"/>
      <c r="G5893" s="6">
        <v>5886</v>
      </c>
      <c r="H5893" s="6">
        <f t="shared" ca="1" si="187"/>
        <v>-2.1472839162540596E-2</v>
      </c>
    </row>
    <row r="5894" spans="2:8" x14ac:dyDescent="0.3">
      <c r="B5894" s="4">
        <v>44490</v>
      </c>
      <c r="C5894" s="5">
        <v>2887.65</v>
      </c>
      <c r="D5894" s="6">
        <f t="shared" si="186"/>
        <v>27.735695094039212</v>
      </c>
      <c r="E5894" s="6">
        <v>-5.2878607484084204E-2</v>
      </c>
      <c r="F5894" s="6"/>
      <c r="G5894" s="6">
        <v>5887</v>
      </c>
      <c r="H5894" s="6">
        <f t="shared" ca="1" si="187"/>
        <v>2.8794893384118617E-2</v>
      </c>
    </row>
    <row r="5895" spans="2:8" x14ac:dyDescent="0.3">
      <c r="B5895" s="4">
        <v>39679</v>
      </c>
      <c r="C5895" s="7">
        <v>100.49</v>
      </c>
      <c r="D5895" s="6">
        <f t="shared" si="186"/>
        <v>0.23225015328019619</v>
      </c>
      <c r="E5895" s="6">
        <v>-5.3499105208627738E-2</v>
      </c>
      <c r="F5895" s="6"/>
      <c r="G5895" s="6">
        <v>5888</v>
      </c>
      <c r="H5895" s="6">
        <f t="shared" ca="1" si="187"/>
        <v>-7.1242328680998484E-3</v>
      </c>
    </row>
    <row r="5896" spans="2:8" x14ac:dyDescent="0.3">
      <c r="B5896" s="4">
        <v>39398</v>
      </c>
      <c r="C5896" s="7">
        <v>81.55</v>
      </c>
      <c r="D5896" s="6">
        <f t="shared" ref="D5896:D5918" si="188">((C5896-C5897)/C5897)</f>
        <v>0.75640749515399519</v>
      </c>
      <c r="E5896" s="6">
        <v>-5.4821511358368151E-2</v>
      </c>
      <c r="F5896" s="6"/>
      <c r="G5896" s="6">
        <v>5889</v>
      </c>
      <c r="H5896" s="6">
        <f t="shared" ca="1" si="187"/>
        <v>-1.3155643422479915E-2</v>
      </c>
    </row>
    <row r="5897" spans="2:8" x14ac:dyDescent="0.3">
      <c r="B5897" s="4">
        <v>38856</v>
      </c>
      <c r="C5897" s="7">
        <v>46.43</v>
      </c>
      <c r="D5897" s="6">
        <f t="shared" si="188"/>
        <v>-0.9397083457777663</v>
      </c>
      <c r="E5897" s="6">
        <v>-5.5340793489318391E-2</v>
      </c>
      <c r="F5897" s="6"/>
      <c r="G5897" s="6">
        <v>5890</v>
      </c>
      <c r="H5897" s="6">
        <f t="shared" ref="H5897:H5960" ca="1" si="189">_xlfn.NORM.INV(RAND(),N$10,N$11)</f>
        <v>-3.6701002245919699E-3</v>
      </c>
    </row>
    <row r="5898" spans="2:8" x14ac:dyDescent="0.3">
      <c r="B5898" s="4">
        <v>42240</v>
      </c>
      <c r="C5898" s="7">
        <v>770.09</v>
      </c>
      <c r="D5898" s="6">
        <f t="shared" si="188"/>
        <v>7.021770833333334</v>
      </c>
      <c r="E5898" s="6">
        <v>-5.553307087579868E-2</v>
      </c>
      <c r="F5898" s="6"/>
      <c r="G5898" s="6">
        <v>5891</v>
      </c>
      <c r="H5898" s="6">
        <f t="shared" ca="1" si="189"/>
        <v>-2.8592099255015543E-2</v>
      </c>
    </row>
    <row r="5899" spans="2:8" x14ac:dyDescent="0.3">
      <c r="B5899" s="4">
        <v>39485</v>
      </c>
      <c r="C5899" s="7">
        <v>96</v>
      </c>
      <c r="D5899" s="6">
        <f t="shared" si="188"/>
        <v>-0.73294016190502687</v>
      </c>
      <c r="E5899" s="6">
        <v>-5.5675782018492985E-2</v>
      </c>
      <c r="F5899" s="6"/>
      <c r="G5899" s="6">
        <v>5892</v>
      </c>
      <c r="H5899" s="6">
        <f t="shared" ca="1" si="189"/>
        <v>2.6954821533955477E-2</v>
      </c>
    </row>
    <row r="5900" spans="2:8" x14ac:dyDescent="0.3">
      <c r="B5900" s="4">
        <v>41520</v>
      </c>
      <c r="C5900" s="7">
        <v>359.47</v>
      </c>
      <c r="D5900" s="6">
        <f t="shared" si="188"/>
        <v>-0.5134604712856814</v>
      </c>
      <c r="E5900" s="6">
        <v>-5.7399832179567824E-2</v>
      </c>
      <c r="F5900" s="6"/>
      <c r="G5900" s="6">
        <v>5893</v>
      </c>
      <c r="H5900" s="6">
        <f t="shared" ca="1" si="189"/>
        <v>-1.1627996753717527E-2</v>
      </c>
    </row>
    <row r="5901" spans="2:8" x14ac:dyDescent="0.3">
      <c r="B5901" s="4">
        <v>42037</v>
      </c>
      <c r="C5901" s="7">
        <v>738.83</v>
      </c>
      <c r="D5901" s="6">
        <f t="shared" si="188"/>
        <v>7.0500108956199616</v>
      </c>
      <c r="E5901" s="6">
        <v>-5.7879166560403948E-2</v>
      </c>
      <c r="F5901" s="6"/>
      <c r="G5901" s="6">
        <v>5894</v>
      </c>
      <c r="H5901" s="6">
        <f t="shared" ca="1" si="189"/>
        <v>5.1793484844680406E-3</v>
      </c>
    </row>
    <row r="5902" spans="2:8" x14ac:dyDescent="0.3">
      <c r="B5902" s="4">
        <v>39630</v>
      </c>
      <c r="C5902" s="7">
        <v>91.78</v>
      </c>
      <c r="D5902" s="6">
        <f t="shared" si="188"/>
        <v>-0.72609526083323384</v>
      </c>
      <c r="E5902" s="6">
        <v>-5.8956218599405308E-2</v>
      </c>
      <c r="F5902" s="6"/>
      <c r="G5902" s="6">
        <v>5895</v>
      </c>
      <c r="H5902" s="6">
        <f t="shared" ca="1" si="189"/>
        <v>-3.4685503428450943E-3</v>
      </c>
    </row>
    <row r="5903" spans="2:8" x14ac:dyDescent="0.3">
      <c r="B5903" s="4">
        <v>41061</v>
      </c>
      <c r="C5903" s="7">
        <v>335.08</v>
      </c>
      <c r="D5903" s="6">
        <f t="shared" si="188"/>
        <v>2.4025182778229079</v>
      </c>
      <c r="E5903" s="6">
        <v>-6.0110515834057972E-2</v>
      </c>
      <c r="F5903" s="6"/>
      <c r="G5903" s="6">
        <v>5896</v>
      </c>
      <c r="H5903" s="6">
        <f t="shared" ca="1" si="189"/>
        <v>2.3438992958035657E-2</v>
      </c>
    </row>
    <row r="5904" spans="2:8" x14ac:dyDescent="0.3">
      <c r="B5904" s="4">
        <v>39479</v>
      </c>
      <c r="C5904" s="7">
        <v>98.48</v>
      </c>
      <c r="D5904" s="6">
        <f t="shared" si="188"/>
        <v>0.20775079715477063</v>
      </c>
      <c r="E5904" s="6">
        <v>-6.1111640766517268E-2</v>
      </c>
      <c r="F5904" s="6"/>
      <c r="G5904" s="6">
        <v>5897</v>
      </c>
      <c r="H5904" s="6">
        <f t="shared" ca="1" si="189"/>
        <v>-2.2544662308142442E-2</v>
      </c>
    </row>
    <row r="5905" spans="2:8" x14ac:dyDescent="0.3">
      <c r="B5905" s="4">
        <v>39736</v>
      </c>
      <c r="C5905" s="7">
        <v>81.540000000000006</v>
      </c>
      <c r="D5905" s="6">
        <f t="shared" si="188"/>
        <v>-0.94927274763285263</v>
      </c>
      <c r="E5905" s="6">
        <v>-6.1139896373056862E-2</v>
      </c>
      <c r="F5905" s="6"/>
      <c r="G5905" s="6">
        <v>5898</v>
      </c>
      <c r="H5905" s="6">
        <f t="shared" ca="1" si="189"/>
        <v>-5.0115607117057741E-3</v>
      </c>
    </row>
    <row r="5906" spans="2:8" x14ac:dyDescent="0.3">
      <c r="B5906" s="4">
        <v>43906</v>
      </c>
      <c r="C5906" s="5">
        <v>1607.42</v>
      </c>
      <c r="D5906" s="6">
        <f t="shared" si="188"/>
        <v>4.0286829280920547E-2</v>
      </c>
      <c r="E5906" s="6">
        <v>-6.3580649671435827E-2</v>
      </c>
      <c r="F5906" s="6"/>
      <c r="G5906" s="6">
        <v>5899</v>
      </c>
      <c r="H5906" s="6">
        <f t="shared" ca="1" si="189"/>
        <v>-9.5251165171438435E-3</v>
      </c>
    </row>
    <row r="5907" spans="2:8" x14ac:dyDescent="0.3">
      <c r="B5907" s="4">
        <v>43908</v>
      </c>
      <c r="C5907" s="5">
        <v>1545.17</v>
      </c>
      <c r="D5907" s="6">
        <f t="shared" si="188"/>
        <v>27.471899760456974</v>
      </c>
      <c r="E5907" s="6">
        <v>-6.5487314403217492E-2</v>
      </c>
      <c r="F5907" s="6"/>
      <c r="G5907" s="6">
        <v>5900</v>
      </c>
      <c r="H5907" s="6">
        <f t="shared" ca="1" si="189"/>
        <v>-7.9612810717497495E-4</v>
      </c>
    </row>
    <row r="5908" spans="2:8" x14ac:dyDescent="0.3">
      <c r="B5908" s="4">
        <v>39146</v>
      </c>
      <c r="C5908" s="7">
        <v>54.27</v>
      </c>
      <c r="D5908" s="6">
        <f t="shared" si="188"/>
        <v>-0.93443355764700198</v>
      </c>
      <c r="E5908" s="6">
        <v>-6.5760027543467034E-2</v>
      </c>
      <c r="F5908" s="6"/>
      <c r="G5908" s="6">
        <v>5901</v>
      </c>
      <c r="H5908" s="6">
        <f t="shared" ca="1" si="189"/>
        <v>-1.9678218631510626E-2</v>
      </c>
    </row>
    <row r="5909" spans="2:8" x14ac:dyDescent="0.3">
      <c r="B5909" s="4">
        <v>42689</v>
      </c>
      <c r="C5909" s="7">
        <v>827.71</v>
      </c>
      <c r="D5909" s="6">
        <f t="shared" si="188"/>
        <v>1.0962113154029276</v>
      </c>
      <c r="E5909" s="6">
        <v>-7.4305206061622706E-2</v>
      </c>
      <c r="F5909" s="6"/>
      <c r="G5909" s="6">
        <v>5902</v>
      </c>
      <c r="H5909" s="6">
        <f t="shared" ca="1" si="189"/>
        <v>-2.5377727929538083E-5</v>
      </c>
    </row>
    <row r="5910" spans="2:8" x14ac:dyDescent="0.3">
      <c r="B5910" s="4">
        <v>41492</v>
      </c>
      <c r="C5910" s="7">
        <v>394.86</v>
      </c>
      <c r="D5910" s="6">
        <f t="shared" si="188"/>
        <v>17.874760994263859</v>
      </c>
      <c r="E5910" s="6">
        <v>-7.498770117365941E-2</v>
      </c>
      <c r="F5910" s="6"/>
      <c r="G5910" s="6">
        <v>5903</v>
      </c>
      <c r="H5910" s="6">
        <f t="shared" ca="1" si="189"/>
        <v>-2.1450061455636778E-2</v>
      </c>
    </row>
    <row r="5911" spans="2:8" x14ac:dyDescent="0.3">
      <c r="B5911" s="4">
        <v>38124</v>
      </c>
      <c r="C5911" s="7">
        <v>20.92</v>
      </c>
      <c r="D5911" s="6">
        <f t="shared" si="188"/>
        <v>-0.99234588408331714</v>
      </c>
      <c r="E5911" s="6">
        <v>-7.7601410934744181E-2</v>
      </c>
      <c r="F5911" s="6"/>
      <c r="G5911" s="6">
        <v>5904</v>
      </c>
      <c r="H5911" s="6">
        <f t="shared" ca="1" si="189"/>
        <v>1.1645584782437298E-2</v>
      </c>
    </row>
    <row r="5912" spans="2:8" x14ac:dyDescent="0.3">
      <c r="B5912" s="4">
        <v>44706</v>
      </c>
      <c r="C5912" s="5">
        <v>2733.17</v>
      </c>
      <c r="D5912" s="6">
        <f t="shared" si="188"/>
        <v>31.170080037664786</v>
      </c>
      <c r="E5912" s="6">
        <v>-8.060132266767138E-2</v>
      </c>
      <c r="F5912" s="6"/>
      <c r="G5912" s="6">
        <v>5905</v>
      </c>
      <c r="H5912" s="6">
        <f t="shared" ca="1" si="189"/>
        <v>-1.1822132325712156E-2</v>
      </c>
    </row>
    <row r="5913" spans="2:8" x14ac:dyDescent="0.3">
      <c r="B5913" s="4">
        <v>39381</v>
      </c>
      <c r="C5913" s="7">
        <v>84.96</v>
      </c>
      <c r="D5913" s="6">
        <f t="shared" si="188"/>
        <v>-0.96617322684164009</v>
      </c>
      <c r="E5913" s="6">
        <v>-8.1314878892733672E-2</v>
      </c>
      <c r="F5913" s="6"/>
      <c r="G5913" s="6">
        <v>5906</v>
      </c>
      <c r="H5913" s="6">
        <f t="shared" ca="1" si="189"/>
        <v>9.8705601014572614E-3</v>
      </c>
    </row>
    <row r="5914" spans="2:8" x14ac:dyDescent="0.3">
      <c r="B5914" s="4">
        <v>45607</v>
      </c>
      <c r="C5914" s="5">
        <v>2511.62</v>
      </c>
      <c r="D5914" s="6">
        <f t="shared" si="188"/>
        <v>30.41095547773887</v>
      </c>
      <c r="E5914" s="6">
        <v>-8.1731665673431694E-2</v>
      </c>
      <c r="F5914" s="6"/>
      <c r="G5914" s="6">
        <v>5907</v>
      </c>
      <c r="H5914" s="6">
        <f t="shared" ca="1" si="189"/>
        <v>-8.1553438901518106E-3</v>
      </c>
    </row>
    <row r="5915" spans="2:8" x14ac:dyDescent="0.3">
      <c r="B5915" s="4">
        <v>39469</v>
      </c>
      <c r="C5915" s="7">
        <v>79.959999999999994</v>
      </c>
      <c r="D5915" s="6">
        <f t="shared" si="188"/>
        <v>0.92211538461538445</v>
      </c>
      <c r="E5915" s="6">
        <v>-9.1466878763776974E-2</v>
      </c>
      <c r="F5915" s="6"/>
      <c r="G5915" s="6">
        <v>5908</v>
      </c>
      <c r="H5915" s="6">
        <f t="shared" ca="1" si="189"/>
        <v>-2.8637091406450519E-3</v>
      </c>
    </row>
    <row r="5916" spans="2:8" x14ac:dyDescent="0.3">
      <c r="B5916" s="4">
        <v>38876</v>
      </c>
      <c r="C5916" s="7">
        <v>41.6</v>
      </c>
      <c r="D5916" s="6">
        <f t="shared" si="188"/>
        <v>-0.39261206015476707</v>
      </c>
      <c r="E5916" s="6">
        <v>-0.11319548070773813</v>
      </c>
      <c r="F5916" s="6"/>
      <c r="G5916" s="6">
        <v>5909</v>
      </c>
      <c r="H5916" s="6">
        <f t="shared" ca="1" si="189"/>
        <v>-1.4829258706761239E-2</v>
      </c>
    </row>
    <row r="5917" spans="2:8" x14ac:dyDescent="0.3">
      <c r="B5917" s="4">
        <v>39840</v>
      </c>
      <c r="C5917" s="7">
        <v>68.489999999999995</v>
      </c>
      <c r="D5917" s="6">
        <f t="shared" si="188"/>
        <v>-0.95213234369103028</v>
      </c>
      <c r="E5917" s="6">
        <v>-0.12962256957682047</v>
      </c>
      <c r="F5917" s="6"/>
      <c r="G5917" s="6">
        <v>5910</v>
      </c>
      <c r="H5917" s="6">
        <f t="shared" ca="1" si="189"/>
        <v>6.8611887477894248E-3</v>
      </c>
    </row>
    <row r="5918" spans="2:8" x14ac:dyDescent="0.3">
      <c r="B5918" s="4">
        <v>43913</v>
      </c>
      <c r="C5918" s="5">
        <v>1430.82</v>
      </c>
      <c r="D5918" s="6" t="e">
        <f t="shared" si="188"/>
        <v>#DIV/0!</v>
      </c>
      <c r="E5918" s="6">
        <v>-0.14028204219216606</v>
      </c>
      <c r="F5918" s="6"/>
      <c r="G5918" s="6">
        <v>5911</v>
      </c>
      <c r="H5918" s="6">
        <f t="shared" ca="1" si="189"/>
        <v>1.1356989232338726E-2</v>
      </c>
    </row>
    <row r="5919" spans="2:8" x14ac:dyDescent="0.3">
      <c r="G5919" s="6">
        <v>5912</v>
      </c>
      <c r="H5919" s="6">
        <f t="shared" ca="1" si="189"/>
        <v>1.2562520704198415E-2</v>
      </c>
    </row>
    <row r="5920" spans="2:8" x14ac:dyDescent="0.3">
      <c r="G5920" s="6">
        <v>5913</v>
      </c>
      <c r="H5920" s="6">
        <f t="shared" ca="1" si="189"/>
        <v>4.0825691145356051E-2</v>
      </c>
    </row>
    <row r="5921" spans="7:8" x14ac:dyDescent="0.3">
      <c r="G5921" s="6">
        <v>5914</v>
      </c>
      <c r="H5921" s="6">
        <f t="shared" ca="1" si="189"/>
        <v>2.849586492967866E-2</v>
      </c>
    </row>
    <row r="5922" spans="7:8" x14ac:dyDescent="0.3">
      <c r="G5922" s="6">
        <v>5915</v>
      </c>
      <c r="H5922" s="6">
        <f t="shared" ca="1" si="189"/>
        <v>-1.1215031587685361E-2</v>
      </c>
    </row>
    <row r="5923" spans="7:8" x14ac:dyDescent="0.3">
      <c r="G5923" s="6">
        <v>5916</v>
      </c>
      <c r="H5923" s="6">
        <f t="shared" ca="1" si="189"/>
        <v>-1.5719622039784241E-5</v>
      </c>
    </row>
    <row r="5924" spans="7:8" x14ac:dyDescent="0.3">
      <c r="G5924" s="6">
        <v>5917</v>
      </c>
      <c r="H5924" s="6">
        <f t="shared" ca="1" si="189"/>
        <v>3.3039518799495828E-2</v>
      </c>
    </row>
    <row r="5925" spans="7:8" x14ac:dyDescent="0.3">
      <c r="G5925" s="6">
        <v>5918</v>
      </c>
      <c r="H5925" s="6">
        <f t="shared" ca="1" si="189"/>
        <v>1.054589281622581E-2</v>
      </c>
    </row>
    <row r="5926" spans="7:8" x14ac:dyDescent="0.3">
      <c r="G5926" s="6">
        <v>5919</v>
      </c>
      <c r="H5926" s="6">
        <f t="shared" ca="1" si="189"/>
        <v>-1.4462912092548274E-2</v>
      </c>
    </row>
    <row r="5927" spans="7:8" x14ac:dyDescent="0.3">
      <c r="G5927" s="6">
        <v>5920</v>
      </c>
      <c r="H5927" s="6">
        <f t="shared" ca="1" si="189"/>
        <v>3.0981525197234135E-3</v>
      </c>
    </row>
    <row r="5928" spans="7:8" x14ac:dyDescent="0.3">
      <c r="G5928" s="6">
        <v>5921</v>
      </c>
      <c r="H5928" s="6">
        <f t="shared" ca="1" si="189"/>
        <v>-1.3409184688176101E-2</v>
      </c>
    </row>
    <row r="5929" spans="7:8" x14ac:dyDescent="0.3">
      <c r="G5929" s="6">
        <v>5922</v>
      </c>
      <c r="H5929" s="6">
        <f t="shared" ca="1" si="189"/>
        <v>3.9926204910713031E-3</v>
      </c>
    </row>
    <row r="5930" spans="7:8" x14ac:dyDescent="0.3">
      <c r="G5930" s="6">
        <v>5923</v>
      </c>
      <c r="H5930" s="6">
        <f t="shared" ca="1" si="189"/>
        <v>5.261007167736741E-3</v>
      </c>
    </row>
    <row r="5931" spans="7:8" x14ac:dyDescent="0.3">
      <c r="G5931" s="6">
        <v>5924</v>
      </c>
      <c r="H5931" s="6">
        <f t="shared" ca="1" si="189"/>
        <v>2.2358393134671743E-2</v>
      </c>
    </row>
    <row r="5932" spans="7:8" x14ac:dyDescent="0.3">
      <c r="G5932" s="6">
        <v>5925</v>
      </c>
      <c r="H5932" s="6">
        <f t="shared" ca="1" si="189"/>
        <v>-1.755506222183981E-2</v>
      </c>
    </row>
    <row r="5933" spans="7:8" x14ac:dyDescent="0.3">
      <c r="G5933" s="6">
        <v>5926</v>
      </c>
      <c r="H5933" s="6">
        <f t="shared" ca="1" si="189"/>
        <v>-2.5631167680889307E-2</v>
      </c>
    </row>
    <row r="5934" spans="7:8" x14ac:dyDescent="0.3">
      <c r="G5934" s="6">
        <v>5927</v>
      </c>
      <c r="H5934" s="6">
        <f t="shared" ca="1" si="189"/>
        <v>3.332125332239015E-3</v>
      </c>
    </row>
    <row r="5935" spans="7:8" x14ac:dyDescent="0.3">
      <c r="G5935" s="6">
        <v>5928</v>
      </c>
      <c r="H5935" s="6">
        <f t="shared" ca="1" si="189"/>
        <v>-2.1421985241546725E-3</v>
      </c>
    </row>
    <row r="5936" spans="7:8" x14ac:dyDescent="0.3">
      <c r="G5936" s="6">
        <v>5929</v>
      </c>
      <c r="H5936" s="6">
        <f t="shared" ca="1" si="189"/>
        <v>-9.3363088467914718E-4</v>
      </c>
    </row>
    <row r="5937" spans="7:8" x14ac:dyDescent="0.3">
      <c r="G5937" s="6">
        <v>5930</v>
      </c>
      <c r="H5937" s="6">
        <f t="shared" ca="1" si="189"/>
        <v>1.0286787132569685E-2</v>
      </c>
    </row>
    <row r="5938" spans="7:8" x14ac:dyDescent="0.3">
      <c r="G5938" s="6">
        <v>5931</v>
      </c>
      <c r="H5938" s="6">
        <f t="shared" ca="1" si="189"/>
        <v>5.4541878957200494E-3</v>
      </c>
    </row>
    <row r="5939" spans="7:8" x14ac:dyDescent="0.3">
      <c r="G5939" s="6">
        <v>5932</v>
      </c>
      <c r="H5939" s="6">
        <f t="shared" ca="1" si="189"/>
        <v>3.4299260368676468E-3</v>
      </c>
    </row>
    <row r="5940" spans="7:8" x14ac:dyDescent="0.3">
      <c r="G5940" s="6">
        <v>5933</v>
      </c>
      <c r="H5940" s="6">
        <f t="shared" ca="1" si="189"/>
        <v>2.2722656255310929E-2</v>
      </c>
    </row>
    <row r="5941" spans="7:8" x14ac:dyDescent="0.3">
      <c r="G5941" s="6">
        <v>5934</v>
      </c>
      <c r="H5941" s="6">
        <f t="shared" ca="1" si="189"/>
        <v>-6.7870915397829322E-3</v>
      </c>
    </row>
    <row r="5942" spans="7:8" x14ac:dyDescent="0.3">
      <c r="G5942" s="6">
        <v>5935</v>
      </c>
      <c r="H5942" s="6">
        <f t="shared" ca="1" si="189"/>
        <v>-1.8057607657379227E-2</v>
      </c>
    </row>
    <row r="5943" spans="7:8" x14ac:dyDescent="0.3">
      <c r="G5943" s="6">
        <v>5936</v>
      </c>
      <c r="H5943" s="6">
        <f t="shared" ca="1" si="189"/>
        <v>8.436186781929627E-3</v>
      </c>
    </row>
    <row r="5944" spans="7:8" x14ac:dyDescent="0.3">
      <c r="G5944" s="6">
        <v>5937</v>
      </c>
      <c r="H5944" s="6">
        <f t="shared" ca="1" si="189"/>
        <v>1.6129782814499616E-2</v>
      </c>
    </row>
    <row r="5945" spans="7:8" x14ac:dyDescent="0.3">
      <c r="G5945" s="6">
        <v>5938</v>
      </c>
      <c r="H5945" s="6">
        <f t="shared" ca="1" si="189"/>
        <v>1.8608770965386878E-2</v>
      </c>
    </row>
    <row r="5946" spans="7:8" x14ac:dyDescent="0.3">
      <c r="G5946" s="6">
        <v>5939</v>
      </c>
      <c r="H5946" s="6">
        <f t="shared" ca="1" si="189"/>
        <v>1.1421324785567117E-2</v>
      </c>
    </row>
    <row r="5947" spans="7:8" x14ac:dyDescent="0.3">
      <c r="G5947" s="6">
        <v>5940</v>
      </c>
      <c r="H5947" s="6">
        <f t="shared" ca="1" si="189"/>
        <v>1.1609200592564902E-2</v>
      </c>
    </row>
    <row r="5948" spans="7:8" x14ac:dyDescent="0.3">
      <c r="G5948" s="6">
        <v>5941</v>
      </c>
      <c r="H5948" s="6">
        <f t="shared" ca="1" si="189"/>
        <v>2.2586205868184737E-2</v>
      </c>
    </row>
    <row r="5949" spans="7:8" x14ac:dyDescent="0.3">
      <c r="G5949" s="6">
        <v>5942</v>
      </c>
      <c r="H5949" s="6">
        <f t="shared" ca="1" si="189"/>
        <v>4.4058243966896254E-2</v>
      </c>
    </row>
    <row r="5950" spans="7:8" x14ac:dyDescent="0.3">
      <c r="G5950" s="6">
        <v>5943</v>
      </c>
      <c r="H5950" s="6">
        <f t="shared" ca="1" si="189"/>
        <v>1.4992164689747064E-2</v>
      </c>
    </row>
    <row r="5951" spans="7:8" x14ac:dyDescent="0.3">
      <c r="G5951" s="6">
        <v>5944</v>
      </c>
      <c r="H5951" s="6">
        <f t="shared" ca="1" si="189"/>
        <v>-2.6998555856242189E-2</v>
      </c>
    </row>
    <row r="5952" spans="7:8" x14ac:dyDescent="0.3">
      <c r="G5952" s="6">
        <v>5945</v>
      </c>
      <c r="H5952" s="6">
        <f t="shared" ca="1" si="189"/>
        <v>-7.5583524174207949E-3</v>
      </c>
    </row>
    <row r="5953" spans="7:8" x14ac:dyDescent="0.3">
      <c r="G5953" s="6">
        <v>5946</v>
      </c>
      <c r="H5953" s="6">
        <f t="shared" ca="1" si="189"/>
        <v>-1.313290264072316E-2</v>
      </c>
    </row>
    <row r="5954" spans="7:8" x14ac:dyDescent="0.3">
      <c r="G5954" s="6">
        <v>5947</v>
      </c>
      <c r="H5954" s="6">
        <f t="shared" ca="1" si="189"/>
        <v>3.7484440585540228E-5</v>
      </c>
    </row>
    <row r="5955" spans="7:8" x14ac:dyDescent="0.3">
      <c r="G5955" s="6">
        <v>5948</v>
      </c>
      <c r="H5955" s="6">
        <f t="shared" ca="1" si="189"/>
        <v>-1.7929549378285597E-2</v>
      </c>
    </row>
    <row r="5956" spans="7:8" x14ac:dyDescent="0.3">
      <c r="G5956" s="6">
        <v>5949</v>
      </c>
      <c r="H5956" s="6">
        <f t="shared" ca="1" si="189"/>
        <v>2.5680121161656827E-3</v>
      </c>
    </row>
    <row r="5957" spans="7:8" x14ac:dyDescent="0.3">
      <c r="G5957" s="6">
        <v>5950</v>
      </c>
      <c r="H5957" s="6">
        <f t="shared" ca="1" si="189"/>
        <v>3.4494470254830536E-3</v>
      </c>
    </row>
    <row r="5958" spans="7:8" x14ac:dyDescent="0.3">
      <c r="G5958" s="6">
        <v>5951</v>
      </c>
      <c r="H5958" s="6">
        <f t="shared" ca="1" si="189"/>
        <v>-8.5434654098833843E-3</v>
      </c>
    </row>
    <row r="5959" spans="7:8" x14ac:dyDescent="0.3">
      <c r="G5959" s="6">
        <v>5952</v>
      </c>
      <c r="H5959" s="6">
        <f t="shared" ca="1" si="189"/>
        <v>-1.0513896537686879E-2</v>
      </c>
    </row>
    <row r="5960" spans="7:8" x14ac:dyDescent="0.3">
      <c r="G5960" s="6">
        <v>5953</v>
      </c>
      <c r="H5960" s="6">
        <f t="shared" ca="1" si="189"/>
        <v>-6.3338340838611593E-3</v>
      </c>
    </row>
    <row r="5961" spans="7:8" x14ac:dyDescent="0.3">
      <c r="G5961" s="6">
        <v>5954</v>
      </c>
      <c r="H5961" s="6">
        <f t="shared" ref="H5961:H6007" ca="1" si="190">_xlfn.NORM.INV(RAND(),N$10,N$11)</f>
        <v>1.7111632241993323E-2</v>
      </c>
    </row>
    <row r="5962" spans="7:8" x14ac:dyDescent="0.3">
      <c r="G5962" s="6">
        <v>5955</v>
      </c>
      <c r="H5962" s="6">
        <f t="shared" ca="1" si="190"/>
        <v>-2.2744864533652986E-2</v>
      </c>
    </row>
    <row r="5963" spans="7:8" x14ac:dyDescent="0.3">
      <c r="G5963" s="6">
        <v>5956</v>
      </c>
      <c r="H5963" s="6">
        <f t="shared" ca="1" si="190"/>
        <v>-4.6746702976070385E-3</v>
      </c>
    </row>
    <row r="5964" spans="7:8" x14ac:dyDescent="0.3">
      <c r="G5964" s="6">
        <v>5957</v>
      </c>
      <c r="H5964" s="6">
        <f t="shared" ca="1" si="190"/>
        <v>2.9424217514380777E-2</v>
      </c>
    </row>
    <row r="5965" spans="7:8" x14ac:dyDescent="0.3">
      <c r="G5965" s="6">
        <v>5958</v>
      </c>
      <c r="H5965" s="6">
        <f t="shared" ca="1" si="190"/>
        <v>-4.0581411330372956E-2</v>
      </c>
    </row>
    <row r="5966" spans="7:8" x14ac:dyDescent="0.3">
      <c r="G5966" s="6">
        <v>5959</v>
      </c>
      <c r="H5966" s="6">
        <f t="shared" ca="1" si="190"/>
        <v>2.2642684441202534E-3</v>
      </c>
    </row>
    <row r="5967" spans="7:8" x14ac:dyDescent="0.3">
      <c r="G5967" s="6">
        <v>5960</v>
      </c>
      <c r="H5967" s="6">
        <f t="shared" ca="1" si="190"/>
        <v>-1.3269297857932988E-2</v>
      </c>
    </row>
    <row r="5968" spans="7:8" x14ac:dyDescent="0.3">
      <c r="G5968" s="6">
        <v>5961</v>
      </c>
      <c r="H5968" s="6">
        <f t="shared" ca="1" si="190"/>
        <v>-1.910987342668936E-2</v>
      </c>
    </row>
    <row r="5969" spans="7:8" x14ac:dyDescent="0.3">
      <c r="G5969" s="6">
        <v>5962</v>
      </c>
      <c r="H5969" s="6">
        <f t="shared" ca="1" si="190"/>
        <v>-2.9197480246495496E-2</v>
      </c>
    </row>
    <row r="5970" spans="7:8" x14ac:dyDescent="0.3">
      <c r="G5970" s="6">
        <v>5963</v>
      </c>
      <c r="H5970" s="6">
        <f t="shared" ca="1" si="190"/>
        <v>-1.6527210120934145E-2</v>
      </c>
    </row>
    <row r="5971" spans="7:8" x14ac:dyDescent="0.3">
      <c r="G5971" s="6">
        <v>5964</v>
      </c>
      <c r="H5971" s="6">
        <f t="shared" ca="1" si="190"/>
        <v>-1.25096175413991E-2</v>
      </c>
    </row>
    <row r="5972" spans="7:8" x14ac:dyDescent="0.3">
      <c r="G5972" s="6">
        <v>5965</v>
      </c>
      <c r="H5972" s="6">
        <f t="shared" ca="1" si="190"/>
        <v>2.345073377606878E-2</v>
      </c>
    </row>
    <row r="5973" spans="7:8" x14ac:dyDescent="0.3">
      <c r="G5973" s="6">
        <v>5966</v>
      </c>
      <c r="H5973" s="6">
        <f t="shared" ca="1" si="190"/>
        <v>-7.401422723561377E-3</v>
      </c>
    </row>
    <row r="5974" spans="7:8" x14ac:dyDescent="0.3">
      <c r="G5974" s="6">
        <v>5967</v>
      </c>
      <c r="H5974" s="6">
        <f t="shared" ca="1" si="190"/>
        <v>-1.8913908870522038E-3</v>
      </c>
    </row>
    <row r="5975" spans="7:8" x14ac:dyDescent="0.3">
      <c r="G5975" s="6">
        <v>5968</v>
      </c>
      <c r="H5975" s="6">
        <f t="shared" ca="1" si="190"/>
        <v>-4.7620928190961746E-2</v>
      </c>
    </row>
    <row r="5976" spans="7:8" x14ac:dyDescent="0.3">
      <c r="G5976" s="6">
        <v>5969</v>
      </c>
      <c r="H5976" s="6">
        <f t="shared" ca="1" si="190"/>
        <v>3.3383078876385378E-2</v>
      </c>
    </row>
    <row r="5977" spans="7:8" x14ac:dyDescent="0.3">
      <c r="G5977" s="6">
        <v>5970</v>
      </c>
      <c r="H5977" s="6">
        <f t="shared" ca="1" si="190"/>
        <v>9.2046113607740527E-3</v>
      </c>
    </row>
    <row r="5978" spans="7:8" x14ac:dyDescent="0.3">
      <c r="G5978" s="6">
        <v>5971</v>
      </c>
      <c r="H5978" s="6">
        <f t="shared" ca="1" si="190"/>
        <v>2.1620114880480912E-3</v>
      </c>
    </row>
    <row r="5979" spans="7:8" x14ac:dyDescent="0.3">
      <c r="G5979" s="6">
        <v>5972</v>
      </c>
      <c r="H5979" s="6">
        <f t="shared" ca="1" si="190"/>
        <v>-1.6646334103416965E-2</v>
      </c>
    </row>
    <row r="5980" spans="7:8" x14ac:dyDescent="0.3">
      <c r="G5980" s="6">
        <v>5973</v>
      </c>
      <c r="H5980" s="6">
        <f t="shared" ca="1" si="190"/>
        <v>-5.315402921376364E-4</v>
      </c>
    </row>
    <row r="5981" spans="7:8" x14ac:dyDescent="0.3">
      <c r="G5981" s="6">
        <v>5974</v>
      </c>
      <c r="H5981" s="6">
        <f t="shared" ca="1" si="190"/>
        <v>-2.0353877190747979E-2</v>
      </c>
    </row>
    <row r="5982" spans="7:8" x14ac:dyDescent="0.3">
      <c r="G5982" s="6">
        <v>5975</v>
      </c>
      <c r="H5982" s="6">
        <f t="shared" ca="1" si="190"/>
        <v>7.8749164145859151E-3</v>
      </c>
    </row>
    <row r="5983" spans="7:8" x14ac:dyDescent="0.3">
      <c r="G5983" s="6">
        <v>5976</v>
      </c>
      <c r="H5983" s="6">
        <f t="shared" ca="1" si="190"/>
        <v>9.0188841059634667E-3</v>
      </c>
    </row>
    <row r="5984" spans="7:8" x14ac:dyDescent="0.3">
      <c r="G5984" s="6">
        <v>5977</v>
      </c>
      <c r="H5984" s="6">
        <f t="shared" ca="1" si="190"/>
        <v>3.2230743831046835E-2</v>
      </c>
    </row>
    <row r="5985" spans="7:8" x14ac:dyDescent="0.3">
      <c r="G5985" s="6">
        <v>5978</v>
      </c>
      <c r="H5985" s="6">
        <f t="shared" ca="1" si="190"/>
        <v>1.6019259660486106E-3</v>
      </c>
    </row>
    <row r="5986" spans="7:8" x14ac:dyDescent="0.3">
      <c r="G5986" s="6">
        <v>5979</v>
      </c>
      <c r="H5986" s="6">
        <f t="shared" ca="1" si="190"/>
        <v>1.6076573856295993E-2</v>
      </c>
    </row>
    <row r="5987" spans="7:8" x14ac:dyDescent="0.3">
      <c r="G5987" s="6">
        <v>5980</v>
      </c>
      <c r="H5987" s="6">
        <f t="shared" ca="1" si="190"/>
        <v>-2.5683021076266938E-3</v>
      </c>
    </row>
    <row r="5988" spans="7:8" x14ac:dyDescent="0.3">
      <c r="G5988" s="6">
        <v>5981</v>
      </c>
      <c r="H5988" s="6">
        <f t="shared" ca="1" si="190"/>
        <v>-9.2581422719769414E-3</v>
      </c>
    </row>
    <row r="5989" spans="7:8" x14ac:dyDescent="0.3">
      <c r="G5989" s="6">
        <v>5982</v>
      </c>
      <c r="H5989" s="6">
        <f t="shared" ca="1" si="190"/>
        <v>-1.9634094056622857E-2</v>
      </c>
    </row>
    <row r="5990" spans="7:8" x14ac:dyDescent="0.3">
      <c r="G5990" s="6">
        <v>5983</v>
      </c>
      <c r="H5990" s="6">
        <f t="shared" ca="1" si="190"/>
        <v>6.033606562628125E-3</v>
      </c>
    </row>
    <row r="5991" spans="7:8" x14ac:dyDescent="0.3">
      <c r="G5991" s="6">
        <v>5984</v>
      </c>
      <c r="H5991" s="6">
        <f t="shared" ca="1" si="190"/>
        <v>-9.7822384104741655E-3</v>
      </c>
    </row>
    <row r="5992" spans="7:8" x14ac:dyDescent="0.3">
      <c r="G5992" s="6">
        <v>5985</v>
      </c>
      <c r="H5992" s="6">
        <f t="shared" ca="1" si="190"/>
        <v>1.2121164163684582E-3</v>
      </c>
    </row>
    <row r="5993" spans="7:8" x14ac:dyDescent="0.3">
      <c r="G5993" s="6">
        <v>5986</v>
      </c>
      <c r="H5993" s="6">
        <f t="shared" ca="1" si="190"/>
        <v>-2.3546852326826961E-2</v>
      </c>
    </row>
    <row r="5994" spans="7:8" x14ac:dyDescent="0.3">
      <c r="G5994" s="6">
        <v>5987</v>
      </c>
      <c r="H5994" s="6">
        <f t="shared" ca="1" si="190"/>
        <v>2.152898919258444E-2</v>
      </c>
    </row>
    <row r="5995" spans="7:8" x14ac:dyDescent="0.3">
      <c r="G5995" s="6">
        <v>5988</v>
      </c>
      <c r="H5995" s="6">
        <f t="shared" ca="1" si="190"/>
        <v>-1.5940346799810906E-2</v>
      </c>
    </row>
    <row r="5996" spans="7:8" x14ac:dyDescent="0.3">
      <c r="G5996" s="6">
        <v>5989</v>
      </c>
      <c r="H5996" s="6">
        <f t="shared" ca="1" si="190"/>
        <v>2.3708841207307645E-3</v>
      </c>
    </row>
    <row r="5997" spans="7:8" x14ac:dyDescent="0.3">
      <c r="G5997" s="6">
        <v>5990</v>
      </c>
      <c r="H5997" s="6">
        <f t="shared" ca="1" si="190"/>
        <v>1.7267784408489539E-2</v>
      </c>
    </row>
    <row r="5998" spans="7:8" x14ac:dyDescent="0.3">
      <c r="G5998" s="6">
        <v>5991</v>
      </c>
      <c r="H5998" s="6">
        <f t="shared" ca="1" si="190"/>
        <v>2.133952367848475E-2</v>
      </c>
    </row>
    <row r="5999" spans="7:8" x14ac:dyDescent="0.3">
      <c r="G5999" s="6">
        <v>5992</v>
      </c>
      <c r="H5999" s="6">
        <f t="shared" ca="1" si="190"/>
        <v>-7.3484013499508036E-3</v>
      </c>
    </row>
    <row r="6000" spans="7:8" x14ac:dyDescent="0.3">
      <c r="G6000" s="6">
        <v>5993</v>
      </c>
      <c r="H6000" s="6">
        <f t="shared" ca="1" si="190"/>
        <v>-2.4650422072215E-2</v>
      </c>
    </row>
    <row r="6001" spans="7:8" x14ac:dyDescent="0.3">
      <c r="G6001" s="6">
        <v>5994</v>
      </c>
      <c r="H6001" s="6">
        <f t="shared" ca="1" si="190"/>
        <v>-4.6135746292599996E-3</v>
      </c>
    </row>
    <row r="6002" spans="7:8" x14ac:dyDescent="0.3">
      <c r="G6002" s="6">
        <v>5995</v>
      </c>
      <c r="H6002" s="6">
        <f t="shared" ca="1" si="190"/>
        <v>7.6880540791489154E-3</v>
      </c>
    </row>
    <row r="6003" spans="7:8" x14ac:dyDescent="0.3">
      <c r="G6003" s="6">
        <v>5996</v>
      </c>
      <c r="H6003" s="6">
        <f t="shared" ca="1" si="190"/>
        <v>-1.5593045767606303E-2</v>
      </c>
    </row>
    <row r="6004" spans="7:8" x14ac:dyDescent="0.3">
      <c r="G6004" s="6">
        <v>5997</v>
      </c>
      <c r="H6004" s="6">
        <f t="shared" ca="1" si="190"/>
        <v>-2.2233225946330076E-3</v>
      </c>
    </row>
    <row r="6005" spans="7:8" x14ac:dyDescent="0.3">
      <c r="G6005" s="6">
        <v>5998</v>
      </c>
      <c r="H6005" s="6">
        <f t="shared" ca="1" si="190"/>
        <v>2.2955769736613422E-3</v>
      </c>
    </row>
    <row r="6006" spans="7:8" x14ac:dyDescent="0.3">
      <c r="G6006" s="6">
        <v>5999</v>
      </c>
      <c r="H6006" s="6">
        <f t="shared" ca="1" si="190"/>
        <v>2.4447339255715826E-3</v>
      </c>
    </row>
    <row r="6007" spans="7:8" x14ac:dyDescent="0.3">
      <c r="G6007" s="6">
        <v>6000</v>
      </c>
      <c r="H6007" s="6">
        <f t="shared" ca="1" si="190"/>
        <v>-1.762915734247579E-2</v>
      </c>
    </row>
  </sheetData>
  <mergeCells count="1">
    <mergeCell ref="B4:D5"/>
  </mergeCells>
  <pageMargins left="0.7" right="0.7" top="0.75" bottom="0.75" header="0.3" footer="0.3"/>
  <pageSetup scale="1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D995-DDC0-4033-B4BD-83EA93E8245D}">
  <dimension ref="A1"/>
  <sheetViews>
    <sheetView workbookViewId="0">
      <selection activeCell="E16" sqref="E16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Historical Approach</vt:lpstr>
      <vt:lpstr>Monte Carlo Simulation</vt:lpstr>
      <vt:lpstr>Sheet2</vt:lpstr>
      <vt:lpstr>'Historical Approach'!Print_Area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Jadhao</dc:creator>
  <cp:lastModifiedBy>Gayatri Jadhao</cp:lastModifiedBy>
  <cp:lastPrinted>2026-05-07T18:35:43Z</cp:lastPrinted>
  <dcterms:created xsi:type="dcterms:W3CDTF">2026-05-06T18:47:29Z</dcterms:created>
  <dcterms:modified xsi:type="dcterms:W3CDTF">2026-05-07T21:15:00Z</dcterms:modified>
</cp:coreProperties>
</file>